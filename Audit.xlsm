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618F7C93-6C58-4208-A18E-D01E33F3DA3B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3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6" l="1"/>
  <c r="C47" i="6"/>
  <c r="E47" i="6"/>
  <c r="G47" i="6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J48" i="6"/>
  <c r="K48" i="6"/>
  <c r="L48" i="6"/>
  <c r="M48" i="6" a="1"/>
  <c r="M48" i="6" s="1"/>
  <c r="N48" i="6" a="1"/>
  <c r="N48" i="6"/>
  <c r="O48" i="6"/>
  <c r="P48" i="6"/>
  <c r="Q48" i="6"/>
  <c r="S48" i="6" s="1"/>
  <c r="R48" i="6"/>
  <c r="A49" i="6"/>
  <c r="B49" i="6"/>
  <c r="C49" i="6"/>
  <c r="G49" i="6"/>
  <c r="H49" i="6" s="1"/>
  <c r="I49" i="6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A50" i="6"/>
  <c r="B50" i="6"/>
  <c r="C50" i="6"/>
  <c r="G50" i="6"/>
  <c r="H50" i="6" s="1"/>
  <c r="I50" i="6"/>
  <c r="J50" i="6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A51" i="6"/>
  <c r="B51" i="6"/>
  <c r="C51" i="6"/>
  <c r="E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A52" i="6"/>
  <c r="B52" i="6"/>
  <c r="C52" i="6"/>
  <c r="G52" i="6"/>
  <c r="H52" i="6" s="1"/>
  <c r="I52" i="6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A53" i="6"/>
  <c r="B53" i="6"/>
  <c r="C53" i="6"/>
  <c r="G53" i="6"/>
  <c r="H53" i="6" s="1"/>
  <c r="I53" i="6"/>
  <c r="J53" i="6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A54" i="6"/>
  <c r="B54" i="6"/>
  <c r="C54" i="6"/>
  <c r="E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A55" i="6"/>
  <c r="B55" i="6"/>
  <c r="C55" i="6"/>
  <c r="G55" i="6"/>
  <c r="H55" i="6" s="1"/>
  <c r="I55" i="6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A56" i="6"/>
  <c r="B56" i="6"/>
  <c r="C56" i="6"/>
  <c r="G56" i="6"/>
  <c r="H56" i="6" s="1"/>
  <c r="I56" i="6"/>
  <c r="J56" i="6"/>
  <c r="K56" i="6"/>
  <c r="L56" i="6"/>
  <c r="M56" i="6" a="1"/>
  <c r="M56" i="6" s="1"/>
  <c r="N56" i="6" a="1"/>
  <c r="N56" i="6"/>
  <c r="O56" i="6"/>
  <c r="P56" i="6"/>
  <c r="Q56" i="6"/>
  <c r="R56" i="6"/>
  <c r="AB56" i="6"/>
  <c r="A57" i="6"/>
  <c r="B57" i="6"/>
  <c r="C57" i="6"/>
  <c r="E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A58" i="6"/>
  <c r="B58" i="6"/>
  <c r="C58" i="6"/>
  <c r="G58" i="6"/>
  <c r="I58" i="6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A59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A60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A61" i="6"/>
  <c r="B61" i="6"/>
  <c r="C61" i="6"/>
  <c r="G61" i="6"/>
  <c r="I61" i="6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A62" i="6"/>
  <c r="B62" i="6"/>
  <c r="C62" i="6"/>
  <c r="G62" i="6"/>
  <c r="H62" i="6" s="1"/>
  <c r="I62" i="6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A63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A64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A66" i="6"/>
  <c r="B66" i="6"/>
  <c r="C66" i="6"/>
  <c r="E66" i="6"/>
  <c r="G66" i="6"/>
  <c r="H66" i="6" s="1"/>
  <c r="I66" i="6"/>
  <c r="J66" i="6"/>
  <c r="K66" i="6"/>
  <c r="L66" i="6"/>
  <c r="M66" i="6" a="1"/>
  <c r="M66" i="6" s="1"/>
  <c r="N66" i="6" a="1"/>
  <c r="N66" i="6"/>
  <c r="O66" i="6"/>
  <c r="P66" i="6"/>
  <c r="Q66" i="6"/>
  <c r="R66" i="6"/>
  <c r="AB66" i="6"/>
  <c r="A67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A68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A69" i="6"/>
  <c r="B69" i="6"/>
  <c r="C69" i="6"/>
  <c r="E69" i="6"/>
  <c r="G69" i="6"/>
  <c r="H69" i="6" s="1"/>
  <c r="I69" i="6"/>
  <c r="J69" i="6"/>
  <c r="K69" i="6"/>
  <c r="L69" i="6"/>
  <c r="M69" i="6" a="1"/>
  <c r="M69" i="6" s="1"/>
  <c r="N69" i="6" a="1"/>
  <c r="N69" i="6"/>
  <c r="O69" i="6"/>
  <c r="P69" i="6"/>
  <c r="Q69" i="6"/>
  <c r="R69" i="6"/>
  <c r="A70" i="6"/>
  <c r="B70" i="6"/>
  <c r="C70" i="6"/>
  <c r="E70" i="6"/>
  <c r="G70" i="6"/>
  <c r="I70" i="6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A71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A72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A73" i="6"/>
  <c r="B73" i="6"/>
  <c r="C73" i="6"/>
  <c r="E73" i="6"/>
  <c r="G73" i="6"/>
  <c r="I73" i="6" s="1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A74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A75" i="6"/>
  <c r="B75" i="6"/>
  <c r="C75" i="6"/>
  <c r="E75" i="6"/>
  <c r="G75" i="6"/>
  <c r="H75" i="6" s="1"/>
  <c r="I75" i="6"/>
  <c r="J75" i="6"/>
  <c r="K75" i="6"/>
  <c r="L75" i="6"/>
  <c r="M75" i="6" a="1"/>
  <c r="M75" i="6" s="1"/>
  <c r="N75" i="6" a="1"/>
  <c r="N75" i="6"/>
  <c r="O75" i="6"/>
  <c r="P75" i="6"/>
  <c r="Q75" i="6"/>
  <c r="R75" i="6"/>
  <c r="A76" i="6"/>
  <c r="B76" i="6"/>
  <c r="C76" i="6"/>
  <c r="E76" i="6"/>
  <c r="G76" i="6"/>
  <c r="I76" i="6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A78" i="6"/>
  <c r="B78" i="6"/>
  <c r="C78" i="6"/>
  <c r="G78" i="6"/>
  <c r="H78" i="6" s="1"/>
  <c r="J78" i="6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A79" i="6"/>
  <c r="B79" i="6"/>
  <c r="C79" i="6"/>
  <c r="E79" i="6"/>
  <c r="G79" i="6"/>
  <c r="J79" i="6" s="1"/>
  <c r="H79" i="6"/>
  <c r="I79" i="6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A81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A82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A83" i="6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A84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A85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A87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A88" i="6"/>
  <c r="B88" i="6"/>
  <c r="C88" i="6"/>
  <c r="E88" i="6"/>
  <c r="G88" i="6"/>
  <c r="H88" i="6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A89" i="6"/>
  <c r="B89" i="6"/>
  <c r="C89" i="6"/>
  <c r="E89" i="6"/>
  <c r="G89" i="6"/>
  <c r="K89" i="6"/>
  <c r="L89" i="6"/>
  <c r="M89" i="6" a="1"/>
  <c r="M89" i="6"/>
  <c r="N89" i="6" a="1"/>
  <c r="N89" i="6"/>
  <c r="O89" i="6"/>
  <c r="P89" i="6"/>
  <c r="Q89" i="6"/>
  <c r="R89" i="6"/>
  <c r="A90" i="6"/>
  <c r="B90" i="6"/>
  <c r="C90" i="6"/>
  <c r="E90" i="6"/>
  <c r="G90" i="6"/>
  <c r="H90" i="6"/>
  <c r="I90" i="6"/>
  <c r="J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A91" i="6"/>
  <c r="B91" i="6"/>
  <c r="C91" i="6"/>
  <c r="E91" i="6"/>
  <c r="G91" i="6"/>
  <c r="H91" i="6"/>
  <c r="I91" i="6"/>
  <c r="J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A92" i="6"/>
  <c r="B92" i="6"/>
  <c r="C92" i="6"/>
  <c r="E92" i="6"/>
  <c r="G92" i="6"/>
  <c r="I92" i="6" s="1"/>
  <c r="H92" i="6"/>
  <c r="J92" i="6"/>
  <c r="K92" i="6"/>
  <c r="L92" i="6"/>
  <c r="M92" i="6" a="1"/>
  <c r="M92" i="6" s="1"/>
  <c r="N92" i="6" a="1"/>
  <c r="N92" i="6"/>
  <c r="O92" i="6"/>
  <c r="P92" i="6"/>
  <c r="Q92" i="6"/>
  <c r="R92" i="6"/>
  <c r="AB92" i="6"/>
  <c r="A93" i="6"/>
  <c r="B93" i="6"/>
  <c r="C93" i="6"/>
  <c r="E93" i="6"/>
  <c r="G93" i="6"/>
  <c r="J93" i="6" s="1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A94" i="6"/>
  <c r="B94" i="6"/>
  <c r="C94" i="6"/>
  <c r="E94" i="6"/>
  <c r="G94" i="6"/>
  <c r="H94" i="6"/>
  <c r="I94" i="6"/>
  <c r="J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E95" i="6"/>
  <c r="G95" i="6"/>
  <c r="K95" i="6"/>
  <c r="L95" i="6"/>
  <c r="M95" i="6" a="1"/>
  <c r="M95" i="6" s="1"/>
  <c r="N95" i="6" a="1"/>
  <c r="N95" i="6"/>
  <c r="O95" i="6"/>
  <c r="P95" i="6"/>
  <c r="Q95" i="6"/>
  <c r="R95" i="6"/>
  <c r="A96" i="6"/>
  <c r="B96" i="6"/>
  <c r="C96" i="6"/>
  <c r="E96" i="6"/>
  <c r="G96" i="6"/>
  <c r="H96" i="6" s="1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A97" i="6"/>
  <c r="B97" i="6"/>
  <c r="C97" i="6"/>
  <c r="E97" i="6"/>
  <c r="G97" i="6"/>
  <c r="H97" i="6"/>
  <c r="I97" i="6"/>
  <c r="J97" i="6"/>
  <c r="K97" i="6"/>
  <c r="L97" i="6"/>
  <c r="M97" i="6" a="1"/>
  <c r="M97" i="6"/>
  <c r="N97" i="6" a="1"/>
  <c r="N97" i="6"/>
  <c r="O97" i="6"/>
  <c r="P97" i="6"/>
  <c r="Q97" i="6"/>
  <c r="R97" i="6"/>
  <c r="A98" i="6"/>
  <c r="B98" i="6"/>
  <c r="C98" i="6"/>
  <c r="E98" i="6"/>
  <c r="G98" i="6"/>
  <c r="I98" i="6" s="1"/>
  <c r="H98" i="6"/>
  <c r="J98" i="6"/>
  <c r="K98" i="6"/>
  <c r="L98" i="6"/>
  <c r="M98" i="6" a="1"/>
  <c r="M98" i="6" s="1"/>
  <c r="N98" i="6" a="1"/>
  <c r="N98" i="6"/>
  <c r="O98" i="6"/>
  <c r="P98" i="6"/>
  <c r="Q98" i="6"/>
  <c r="R98" i="6"/>
  <c r="A99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A100" i="6"/>
  <c r="B100" i="6"/>
  <c r="C100" i="6"/>
  <c r="E100" i="6"/>
  <c r="G100" i="6"/>
  <c r="H100" i="6"/>
  <c r="I100" i="6"/>
  <c r="J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A101" i="6"/>
  <c r="B101" i="6"/>
  <c r="C101" i="6"/>
  <c r="E101" i="6"/>
  <c r="G101" i="6"/>
  <c r="H101" i="6"/>
  <c r="I101" i="6"/>
  <c r="J101" i="6"/>
  <c r="K101" i="6"/>
  <c r="L101" i="6"/>
  <c r="M101" i="6" a="1"/>
  <c r="M101" i="6"/>
  <c r="N101" i="6" a="1"/>
  <c r="N101" i="6"/>
  <c r="O101" i="6"/>
  <c r="P101" i="6"/>
  <c r="Q101" i="6"/>
  <c r="R101" i="6"/>
  <c r="A102" i="6"/>
  <c r="B102" i="6"/>
  <c r="C102" i="6"/>
  <c r="E102" i="6"/>
  <c r="G102" i="6"/>
  <c r="H102" i="6"/>
  <c r="I102" i="6"/>
  <c r="J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A103" i="6"/>
  <c r="B103" i="6"/>
  <c r="C103" i="6"/>
  <c r="E103" i="6"/>
  <c r="G103" i="6"/>
  <c r="H103" i="6"/>
  <c r="I103" i="6"/>
  <c r="J103" i="6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A104" i="6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A105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A106" i="6"/>
  <c r="B106" i="6"/>
  <c r="C106" i="6"/>
  <c r="E106" i="6"/>
  <c r="G106" i="6"/>
  <c r="H106" i="6"/>
  <c r="I106" i="6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A107" i="6"/>
  <c r="B107" i="6"/>
  <c r="C107" i="6"/>
  <c r="E107" i="6"/>
  <c r="G107" i="6"/>
  <c r="H107" i="6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A108" i="6"/>
  <c r="B108" i="6"/>
  <c r="C108" i="6"/>
  <c r="E108" i="6"/>
  <c r="G108" i="6"/>
  <c r="H108" i="6"/>
  <c r="I108" i="6"/>
  <c r="J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A109" i="6"/>
  <c r="B109" i="6"/>
  <c r="C109" i="6"/>
  <c r="E109" i="6"/>
  <c r="G109" i="6"/>
  <c r="H109" i="6"/>
  <c r="I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A110" i="6"/>
  <c r="B110" i="6"/>
  <c r="C110" i="6"/>
  <c r="E110" i="6"/>
  <c r="G110" i="6"/>
  <c r="H110" i="6"/>
  <c r="I110" i="6"/>
  <c r="J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E111" i="6"/>
  <c r="G111" i="6"/>
  <c r="H111" i="6"/>
  <c r="I111" i="6"/>
  <c r="J111" i="6"/>
  <c r="K111" i="6"/>
  <c r="L111" i="6"/>
  <c r="M111" i="6" a="1"/>
  <c r="M111" i="6"/>
  <c r="N111" i="6" a="1"/>
  <c r="N111" i="6" s="1"/>
  <c r="O111" i="6"/>
  <c r="P111" i="6"/>
  <c r="Q111" i="6"/>
  <c r="R111" i="6"/>
  <c r="A112" i="6"/>
  <c r="B112" i="6"/>
  <c r="C112" i="6"/>
  <c r="E112" i="6"/>
  <c r="G112" i="6"/>
  <c r="H112" i="6"/>
  <c r="I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E113" i="6"/>
  <c r="G113" i="6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A114" i="6"/>
  <c r="B114" i="6"/>
  <c r="C114" i="6"/>
  <c r="E114" i="6"/>
  <c r="G114" i="6"/>
  <c r="H114" i="6"/>
  <c r="I114" i="6"/>
  <c r="J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A115" i="6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A116" i="6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A117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A118" i="6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A119" i="6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A120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A121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A122" i="6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A123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A124" i="6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A125" i="6"/>
  <c r="B125" i="6"/>
  <c r="C125" i="6"/>
  <c r="E125" i="6"/>
  <c r="G125" i="6"/>
  <c r="H125" i="6"/>
  <c r="I125" i="6"/>
  <c r="J125" i="6"/>
  <c r="K125" i="6"/>
  <c r="L125" i="6"/>
  <c r="M125" i="6" a="1"/>
  <c r="M125" i="6"/>
  <c r="N125" i="6" a="1"/>
  <c r="N125" i="6"/>
  <c r="O125" i="6"/>
  <c r="P125" i="6"/>
  <c r="Q125" i="6"/>
  <c r="R125" i="6"/>
  <c r="A126" i="6"/>
  <c r="B126" i="6"/>
  <c r="C126" i="6"/>
  <c r="E126" i="6"/>
  <c r="G126" i="6"/>
  <c r="H126" i="6"/>
  <c r="I126" i="6"/>
  <c r="J126" i="6"/>
  <c r="K126" i="6"/>
  <c r="L126" i="6"/>
  <c r="M126" i="6" a="1"/>
  <c r="M126" i="6"/>
  <c r="N126" i="6" a="1"/>
  <c r="N126" i="6" s="1"/>
  <c r="O126" i="6"/>
  <c r="P126" i="6"/>
  <c r="Q126" i="6"/>
  <c r="R126" i="6"/>
  <c r="A127" i="6"/>
  <c r="B127" i="6"/>
  <c r="C127" i="6"/>
  <c r="E127" i="6"/>
  <c r="G127" i="6"/>
  <c r="H127" i="6"/>
  <c r="I127" i="6"/>
  <c r="J127" i="6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A128" i="6"/>
  <c r="B128" i="6"/>
  <c r="C128" i="6"/>
  <c r="E128" i="6"/>
  <c r="G128" i="6"/>
  <c r="H128" i="6"/>
  <c r="I128" i="6"/>
  <c r="J128" i="6"/>
  <c r="K128" i="6"/>
  <c r="L128" i="6"/>
  <c r="M128" i="6" a="1"/>
  <c r="M128" i="6"/>
  <c r="N128" i="6" a="1"/>
  <c r="N128" i="6"/>
  <c r="O128" i="6"/>
  <c r="P128" i="6"/>
  <c r="Q128" i="6"/>
  <c r="R128" i="6"/>
  <c r="A129" i="6"/>
  <c r="B129" i="6"/>
  <c r="C129" i="6"/>
  <c r="E129" i="6"/>
  <c r="G129" i="6"/>
  <c r="H129" i="6"/>
  <c r="I129" i="6"/>
  <c r="J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A130" i="6"/>
  <c r="B130" i="6"/>
  <c r="C130" i="6"/>
  <c r="E130" i="6"/>
  <c r="G130" i="6"/>
  <c r="H130" i="6"/>
  <c r="I130" i="6"/>
  <c r="J130" i="6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A131" i="6"/>
  <c r="B131" i="6"/>
  <c r="C131" i="6"/>
  <c r="E131" i="6"/>
  <c r="G131" i="6"/>
  <c r="H131" i="6"/>
  <c r="I131" i="6"/>
  <c r="J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E132" i="6"/>
  <c r="G132" i="6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A133" i="6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A134" i="6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A136" i="6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A138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A139" i="6"/>
  <c r="B139" i="6"/>
  <c r="C139" i="6"/>
  <c r="E139" i="6"/>
  <c r="G139" i="6"/>
  <c r="H139" i="6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A140" i="6"/>
  <c r="B140" i="6"/>
  <c r="C140" i="6"/>
  <c r="E140" i="6"/>
  <c r="G140" i="6"/>
  <c r="H140" i="6"/>
  <c r="I140" i="6"/>
  <c r="J140" i="6"/>
  <c r="K140" i="6"/>
  <c r="L140" i="6"/>
  <c r="M140" i="6" a="1"/>
  <c r="M140" i="6"/>
  <c r="N140" i="6" a="1"/>
  <c r="N140" i="6"/>
  <c r="O140" i="6"/>
  <c r="P140" i="6"/>
  <c r="Q140" i="6"/>
  <c r="R140" i="6"/>
  <c r="A141" i="6"/>
  <c r="B141" i="6"/>
  <c r="C141" i="6"/>
  <c r="E141" i="6"/>
  <c r="G141" i="6"/>
  <c r="H141" i="6"/>
  <c r="I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A142" i="6"/>
  <c r="B142" i="6"/>
  <c r="C142" i="6"/>
  <c r="E142" i="6"/>
  <c r="G142" i="6"/>
  <c r="H142" i="6"/>
  <c r="I142" i="6"/>
  <c r="J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A143" i="6"/>
  <c r="B143" i="6"/>
  <c r="C143" i="6"/>
  <c r="E143" i="6"/>
  <c r="G143" i="6"/>
  <c r="H143" i="6"/>
  <c r="I143" i="6"/>
  <c r="J143" i="6"/>
  <c r="K143" i="6"/>
  <c r="L143" i="6"/>
  <c r="M143" i="6" a="1"/>
  <c r="M143" i="6"/>
  <c r="N143" i="6" a="1"/>
  <c r="N143" i="6"/>
  <c r="O143" i="6"/>
  <c r="P143" i="6"/>
  <c r="Q143" i="6"/>
  <c r="R143" i="6"/>
  <c r="A144" i="6"/>
  <c r="B144" i="6"/>
  <c r="C144" i="6"/>
  <c r="E144" i="6"/>
  <c r="G144" i="6"/>
  <c r="H144" i="6"/>
  <c r="I144" i="6"/>
  <c r="J144" i="6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A145" i="6"/>
  <c r="B145" i="6"/>
  <c r="C145" i="6"/>
  <c r="E145" i="6"/>
  <c r="G145" i="6"/>
  <c r="H145" i="6"/>
  <c r="I145" i="6"/>
  <c r="J145" i="6"/>
  <c r="K145" i="6"/>
  <c r="L145" i="6"/>
  <c r="M145" i="6" a="1"/>
  <c r="M145" i="6"/>
  <c r="N145" i="6" a="1"/>
  <c r="N145" i="6"/>
  <c r="O145" i="6"/>
  <c r="P145" i="6"/>
  <c r="Q145" i="6"/>
  <c r="R145" i="6"/>
  <c r="A146" i="6"/>
  <c r="B146" i="6"/>
  <c r="C146" i="6"/>
  <c r="E146" i="6"/>
  <c r="G146" i="6"/>
  <c r="H146" i="6"/>
  <c r="I146" i="6"/>
  <c r="J146" i="6"/>
  <c r="K146" i="6"/>
  <c r="L146" i="6"/>
  <c r="M146" i="6" a="1"/>
  <c r="M146" i="6"/>
  <c r="N146" i="6" a="1"/>
  <c r="N146" i="6"/>
  <c r="O146" i="6"/>
  <c r="P146" i="6"/>
  <c r="Q146" i="6"/>
  <c r="R146" i="6"/>
  <c r="A147" i="6"/>
  <c r="B147" i="6"/>
  <c r="C147" i="6"/>
  <c r="E147" i="6"/>
  <c r="G147" i="6"/>
  <c r="H147" i="6"/>
  <c r="I147" i="6"/>
  <c r="J147" i="6"/>
  <c r="K147" i="6"/>
  <c r="L147" i="6"/>
  <c r="M147" i="6" a="1"/>
  <c r="M147" i="6"/>
  <c r="N147" i="6" a="1"/>
  <c r="N147" i="6"/>
  <c r="O147" i="6"/>
  <c r="P147" i="6"/>
  <c r="Q147" i="6"/>
  <c r="R147" i="6"/>
  <c r="A148" i="6"/>
  <c r="B148" i="6"/>
  <c r="C148" i="6"/>
  <c r="E148" i="6"/>
  <c r="G148" i="6"/>
  <c r="H148" i="6"/>
  <c r="I148" i="6"/>
  <c r="J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H149" i="6"/>
  <c r="I149" i="6"/>
  <c r="J149" i="6"/>
  <c r="K149" i="6"/>
  <c r="L149" i="6"/>
  <c r="M149" i="6" a="1"/>
  <c r="M149" i="6"/>
  <c r="N149" i="6" a="1"/>
  <c r="N149" i="6"/>
  <c r="O149" i="6"/>
  <c r="P149" i="6"/>
  <c r="Q149" i="6"/>
  <c r="R149" i="6"/>
  <c r="A150" i="6"/>
  <c r="B150" i="6"/>
  <c r="C150" i="6"/>
  <c r="E150" i="6"/>
  <c r="G150" i="6"/>
  <c r="H150" i="6"/>
  <c r="I150" i="6"/>
  <c r="J150" i="6"/>
  <c r="K150" i="6"/>
  <c r="L150" i="6"/>
  <c r="M150" i="6" a="1"/>
  <c r="M150" i="6"/>
  <c r="N150" i="6" a="1"/>
  <c r="N150" i="6" s="1"/>
  <c r="O150" i="6"/>
  <c r="P150" i="6"/>
  <c r="Q150" i="6"/>
  <c r="R150" i="6"/>
  <c r="A151" i="6"/>
  <c r="B151" i="6"/>
  <c r="C151" i="6"/>
  <c r="E151" i="6"/>
  <c r="G151" i="6"/>
  <c r="H151" i="6"/>
  <c r="I151" i="6"/>
  <c r="J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A152" i="6"/>
  <c r="B152" i="6"/>
  <c r="C152" i="6"/>
  <c r="E152" i="6"/>
  <c r="G152" i="6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E153" i="6"/>
  <c r="G153" i="6"/>
  <c r="H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A154" i="6"/>
  <c r="B154" i="6"/>
  <c r="C154" i="6"/>
  <c r="E154" i="6"/>
  <c r="G154" i="6"/>
  <c r="H154" i="6"/>
  <c r="I154" i="6"/>
  <c r="J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A155" i="6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A156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A157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A158" i="6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A159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A160" i="6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E161" i="6"/>
  <c r="G161" i="6"/>
  <c r="H161" i="6"/>
  <c r="I161" i="6"/>
  <c r="J161" i="6"/>
  <c r="K161" i="6"/>
  <c r="L161" i="6"/>
  <c r="M161" i="6" a="1"/>
  <c r="M161" i="6"/>
  <c r="N161" i="6" a="1"/>
  <c r="N161" i="6"/>
  <c r="O161" i="6"/>
  <c r="P161" i="6"/>
  <c r="Q161" i="6"/>
  <c r="R161" i="6"/>
  <c r="A162" i="6"/>
  <c r="B162" i="6"/>
  <c r="C162" i="6"/>
  <c r="E162" i="6"/>
  <c r="G162" i="6"/>
  <c r="H162" i="6"/>
  <c r="I162" i="6"/>
  <c r="J162" i="6"/>
  <c r="K162" i="6"/>
  <c r="L162" i="6"/>
  <c r="M162" i="6" a="1"/>
  <c r="M162" i="6"/>
  <c r="N162" i="6" a="1"/>
  <c r="N162" i="6" s="1"/>
  <c r="O162" i="6"/>
  <c r="P162" i="6"/>
  <c r="Q162" i="6"/>
  <c r="R162" i="6"/>
  <c r="A163" i="6"/>
  <c r="B163" i="6"/>
  <c r="C163" i="6"/>
  <c r="E163" i="6"/>
  <c r="G163" i="6"/>
  <c r="H163" i="6"/>
  <c r="I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A164" i="6"/>
  <c r="B164" i="6"/>
  <c r="C164" i="6"/>
  <c r="E164" i="6"/>
  <c r="G164" i="6"/>
  <c r="H164" i="6"/>
  <c r="I164" i="6"/>
  <c r="J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E165" i="6"/>
  <c r="G165" i="6"/>
  <c r="H165" i="6"/>
  <c r="I165" i="6"/>
  <c r="J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A166" i="6"/>
  <c r="B166" i="6"/>
  <c r="C166" i="6"/>
  <c r="E166" i="6"/>
  <c r="G166" i="6"/>
  <c r="H166" i="6"/>
  <c r="I166" i="6"/>
  <c r="J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E167" i="6"/>
  <c r="G167" i="6"/>
  <c r="H167" i="6"/>
  <c r="I167" i="6"/>
  <c r="J167" i="6"/>
  <c r="K167" i="6"/>
  <c r="L167" i="6"/>
  <c r="M167" i="6" a="1"/>
  <c r="M167" i="6"/>
  <c r="N167" i="6" a="1"/>
  <c r="N167" i="6"/>
  <c r="O167" i="6"/>
  <c r="P167" i="6"/>
  <c r="Q167" i="6"/>
  <c r="R167" i="6"/>
  <c r="A168" i="6"/>
  <c r="B168" i="6"/>
  <c r="C168" i="6"/>
  <c r="E168" i="6"/>
  <c r="G168" i="6"/>
  <c r="H168" i="6"/>
  <c r="I168" i="6"/>
  <c r="J168" i="6"/>
  <c r="K168" i="6"/>
  <c r="L168" i="6"/>
  <c r="M168" i="6" a="1"/>
  <c r="M168" i="6"/>
  <c r="N168" i="6" a="1"/>
  <c r="N168" i="6" s="1"/>
  <c r="O168" i="6"/>
  <c r="P168" i="6"/>
  <c r="Q168" i="6"/>
  <c r="R168" i="6"/>
  <c r="A169" i="6"/>
  <c r="B169" i="6"/>
  <c r="C169" i="6"/>
  <c r="E169" i="6"/>
  <c r="G169" i="6"/>
  <c r="H169" i="6"/>
  <c r="I169" i="6"/>
  <c r="J169" i="6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A170" i="6"/>
  <c r="B170" i="6"/>
  <c r="C170" i="6"/>
  <c r="E170" i="6"/>
  <c r="G170" i="6"/>
  <c r="H170" i="6"/>
  <c r="I170" i="6"/>
  <c r="J170" i="6"/>
  <c r="K170" i="6"/>
  <c r="L170" i="6"/>
  <c r="M170" i="6" a="1"/>
  <c r="M170" i="6"/>
  <c r="N170" i="6" a="1"/>
  <c r="N170" i="6"/>
  <c r="O170" i="6"/>
  <c r="P170" i="6"/>
  <c r="Q170" i="6"/>
  <c r="R170" i="6"/>
  <c r="A171" i="6"/>
  <c r="B171" i="6"/>
  <c r="C171" i="6"/>
  <c r="E171" i="6"/>
  <c r="G171" i="6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A172" i="6"/>
  <c r="B172" i="6"/>
  <c r="C172" i="6"/>
  <c r="E172" i="6"/>
  <c r="G172" i="6"/>
  <c r="H172" i="6"/>
  <c r="I172" i="6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A173" i="6"/>
  <c r="B173" i="6"/>
  <c r="C173" i="6"/>
  <c r="E173" i="6"/>
  <c r="G173" i="6"/>
  <c r="H173" i="6"/>
  <c r="I173" i="6"/>
  <c r="J173" i="6"/>
  <c r="K173" i="6"/>
  <c r="L173" i="6"/>
  <c r="M173" i="6" a="1"/>
  <c r="M173" i="6"/>
  <c r="N173" i="6" a="1"/>
  <c r="N173" i="6"/>
  <c r="O173" i="6"/>
  <c r="P173" i="6"/>
  <c r="Q173" i="6"/>
  <c r="R173" i="6"/>
  <c r="A174" i="6"/>
  <c r="B174" i="6"/>
  <c r="C174" i="6"/>
  <c r="E174" i="6"/>
  <c r="G174" i="6"/>
  <c r="H174" i="6"/>
  <c r="I174" i="6"/>
  <c r="J174" i="6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A175" i="6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A176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A177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A178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A179" i="6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A180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A181" i="6"/>
  <c r="B181" i="6"/>
  <c r="C181" i="6"/>
  <c r="E181" i="6"/>
  <c r="G181" i="6"/>
  <c r="H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A182" i="6"/>
  <c r="B182" i="6"/>
  <c r="C182" i="6"/>
  <c r="E182" i="6"/>
  <c r="G182" i="6"/>
  <c r="H182" i="6"/>
  <c r="I182" i="6"/>
  <c r="J182" i="6"/>
  <c r="K182" i="6"/>
  <c r="L182" i="6"/>
  <c r="M182" i="6" a="1"/>
  <c r="M182" i="6"/>
  <c r="N182" i="6" a="1"/>
  <c r="N182" i="6"/>
  <c r="O182" i="6"/>
  <c r="P182" i="6"/>
  <c r="Q182" i="6"/>
  <c r="R182" i="6"/>
  <c r="A183" i="6"/>
  <c r="B183" i="6"/>
  <c r="C183" i="6"/>
  <c r="E183" i="6"/>
  <c r="G183" i="6"/>
  <c r="H183" i="6"/>
  <c r="I183" i="6"/>
  <c r="J183" i="6"/>
  <c r="K183" i="6"/>
  <c r="L183" i="6"/>
  <c r="M183" i="6" a="1"/>
  <c r="M183" i="6"/>
  <c r="N183" i="6" a="1"/>
  <c r="N183" i="6" s="1"/>
  <c r="O183" i="6"/>
  <c r="P183" i="6"/>
  <c r="Q183" i="6"/>
  <c r="R183" i="6"/>
  <c r="A184" i="6"/>
  <c r="B184" i="6"/>
  <c r="C184" i="6"/>
  <c r="E184" i="6"/>
  <c r="G184" i="6"/>
  <c r="H184" i="6"/>
  <c r="I184" i="6"/>
  <c r="J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A185" i="6"/>
  <c r="B185" i="6"/>
  <c r="C185" i="6"/>
  <c r="E185" i="6"/>
  <c r="G185" i="6"/>
  <c r="H185" i="6"/>
  <c r="I185" i="6"/>
  <c r="J185" i="6"/>
  <c r="K185" i="6"/>
  <c r="L185" i="6"/>
  <c r="M185" i="6" a="1"/>
  <c r="M185" i="6"/>
  <c r="N185" i="6" a="1"/>
  <c r="N185" i="6"/>
  <c r="O185" i="6"/>
  <c r="P185" i="6"/>
  <c r="Q185" i="6"/>
  <c r="R185" i="6"/>
  <c r="A186" i="6"/>
  <c r="B186" i="6"/>
  <c r="C186" i="6"/>
  <c r="E186" i="6"/>
  <c r="G186" i="6"/>
  <c r="H186" i="6"/>
  <c r="I186" i="6"/>
  <c r="J186" i="6"/>
  <c r="K186" i="6"/>
  <c r="L186" i="6"/>
  <c r="M186" i="6" a="1"/>
  <c r="M186" i="6"/>
  <c r="N186" i="6" a="1"/>
  <c r="N186" i="6" s="1"/>
  <c r="O186" i="6"/>
  <c r="P186" i="6"/>
  <c r="Q186" i="6"/>
  <c r="R186" i="6"/>
  <c r="A187" i="6"/>
  <c r="B187" i="6"/>
  <c r="C187" i="6"/>
  <c r="E187" i="6"/>
  <c r="G187" i="6"/>
  <c r="H187" i="6"/>
  <c r="I187" i="6"/>
  <c r="J187" i="6"/>
  <c r="K187" i="6"/>
  <c r="L187" i="6"/>
  <c r="M187" i="6" a="1"/>
  <c r="M187" i="6"/>
  <c r="N187" i="6" a="1"/>
  <c r="N187" i="6"/>
  <c r="O187" i="6"/>
  <c r="P187" i="6"/>
  <c r="Q187" i="6"/>
  <c r="R187" i="6"/>
  <c r="A188" i="6"/>
  <c r="B188" i="6"/>
  <c r="C188" i="6"/>
  <c r="E188" i="6"/>
  <c r="G188" i="6"/>
  <c r="H188" i="6"/>
  <c r="I188" i="6"/>
  <c r="J188" i="6"/>
  <c r="K188" i="6"/>
  <c r="L188" i="6"/>
  <c r="M188" i="6" a="1"/>
  <c r="M188" i="6"/>
  <c r="N188" i="6" a="1"/>
  <c r="N188" i="6"/>
  <c r="O188" i="6"/>
  <c r="P188" i="6"/>
  <c r="Q188" i="6"/>
  <c r="R188" i="6"/>
  <c r="A189" i="6"/>
  <c r="B189" i="6"/>
  <c r="C189" i="6"/>
  <c r="E189" i="6"/>
  <c r="G189" i="6"/>
  <c r="H189" i="6"/>
  <c r="I189" i="6"/>
  <c r="J189" i="6"/>
  <c r="K189" i="6"/>
  <c r="L189" i="6"/>
  <c r="M189" i="6" a="1"/>
  <c r="M189" i="6"/>
  <c r="N189" i="6" a="1"/>
  <c r="N189" i="6"/>
  <c r="O189" i="6"/>
  <c r="P189" i="6"/>
  <c r="Q189" i="6"/>
  <c r="R189" i="6"/>
  <c r="A190" i="6"/>
  <c r="B190" i="6"/>
  <c r="C190" i="6"/>
  <c r="E190" i="6"/>
  <c r="G190" i="6"/>
  <c r="H190" i="6"/>
  <c r="I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A191" i="6"/>
  <c r="B191" i="6"/>
  <c r="C191" i="6"/>
  <c r="E191" i="6"/>
  <c r="G191" i="6"/>
  <c r="H191" i="6"/>
  <c r="I191" i="6"/>
  <c r="J191" i="6"/>
  <c r="K191" i="6"/>
  <c r="L191" i="6"/>
  <c r="M191" i="6" a="1"/>
  <c r="M191" i="6"/>
  <c r="N191" i="6" a="1"/>
  <c r="N191" i="6"/>
  <c r="O191" i="6"/>
  <c r="P191" i="6"/>
  <c r="Q191" i="6"/>
  <c r="R191" i="6"/>
  <c r="A192" i="6"/>
  <c r="B192" i="6"/>
  <c r="C192" i="6"/>
  <c r="E192" i="6"/>
  <c r="G192" i="6"/>
  <c r="H192" i="6"/>
  <c r="I192" i="6"/>
  <c r="J192" i="6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A193" i="6"/>
  <c r="B193" i="6"/>
  <c r="C193" i="6"/>
  <c r="E193" i="6"/>
  <c r="G193" i="6"/>
  <c r="H193" i="6"/>
  <c r="I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H194" i="6"/>
  <c r="I194" i="6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E195" i="6"/>
  <c r="G195" i="6"/>
  <c r="H195" i="6"/>
  <c r="I195" i="6"/>
  <c r="J195" i="6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A196" i="6"/>
  <c r="B196" i="6"/>
  <c r="C196" i="6"/>
  <c r="E196" i="6"/>
  <c r="G196" i="6"/>
  <c r="H196" i="6"/>
  <c r="I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A197" i="6"/>
  <c r="B197" i="6"/>
  <c r="C197" i="6"/>
  <c r="E197" i="6"/>
  <c r="G197" i="6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A198" i="6"/>
  <c r="B198" i="6"/>
  <c r="C198" i="6"/>
  <c r="E198" i="6"/>
  <c r="G198" i="6"/>
  <c r="H198" i="6"/>
  <c r="I198" i="6"/>
  <c r="J198" i="6"/>
  <c r="K198" i="6"/>
  <c r="L198" i="6"/>
  <c r="M198" i="6" a="1"/>
  <c r="M198" i="6"/>
  <c r="N198" i="6" a="1"/>
  <c r="N198" i="6" s="1"/>
  <c r="O198" i="6"/>
  <c r="P198" i="6"/>
  <c r="Q198" i="6"/>
  <c r="R198" i="6"/>
  <c r="A199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A200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A201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A202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A203" i="6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A204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A205" i="6"/>
  <c r="B205" i="6"/>
  <c r="C205" i="6"/>
  <c r="E205" i="6"/>
  <c r="G205" i="6"/>
  <c r="H205" i="6"/>
  <c r="I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E206" i="6"/>
  <c r="G206" i="6"/>
  <c r="H206" i="6"/>
  <c r="I206" i="6"/>
  <c r="J206" i="6"/>
  <c r="K206" i="6"/>
  <c r="L206" i="6"/>
  <c r="M206" i="6" a="1"/>
  <c r="M206" i="6"/>
  <c r="N206" i="6" a="1"/>
  <c r="N206" i="6"/>
  <c r="O206" i="6"/>
  <c r="P206" i="6"/>
  <c r="Q206" i="6"/>
  <c r="R206" i="6"/>
  <c r="A207" i="6"/>
  <c r="B207" i="6"/>
  <c r="C207" i="6"/>
  <c r="E207" i="6"/>
  <c r="G207" i="6"/>
  <c r="H207" i="6"/>
  <c r="I207" i="6"/>
  <c r="J207" i="6"/>
  <c r="K207" i="6"/>
  <c r="L207" i="6"/>
  <c r="M207" i="6" a="1"/>
  <c r="M207" i="6"/>
  <c r="N207" i="6" a="1"/>
  <c r="N207" i="6"/>
  <c r="O207" i="6"/>
  <c r="P207" i="6"/>
  <c r="Q207" i="6"/>
  <c r="R207" i="6"/>
  <c r="A208" i="6"/>
  <c r="B208" i="6"/>
  <c r="C208" i="6"/>
  <c r="E208" i="6"/>
  <c r="G208" i="6"/>
  <c r="H208" i="6"/>
  <c r="I208" i="6"/>
  <c r="J208" i="6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E209" i="6"/>
  <c r="G209" i="6"/>
  <c r="H209" i="6"/>
  <c r="I209" i="6"/>
  <c r="J209" i="6"/>
  <c r="K209" i="6"/>
  <c r="L209" i="6"/>
  <c r="M209" i="6" a="1"/>
  <c r="M209" i="6"/>
  <c r="N209" i="6" a="1"/>
  <c r="N209" i="6"/>
  <c r="O209" i="6"/>
  <c r="P209" i="6"/>
  <c r="Q209" i="6"/>
  <c r="R209" i="6"/>
  <c r="A210" i="6"/>
  <c r="B210" i="6"/>
  <c r="C210" i="6"/>
  <c r="E210" i="6"/>
  <c r="G210" i="6"/>
  <c r="H210" i="6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A211" i="6"/>
  <c r="B211" i="6"/>
  <c r="C211" i="6"/>
  <c r="E211" i="6"/>
  <c r="G211" i="6"/>
  <c r="H211" i="6"/>
  <c r="I211" i="6"/>
  <c r="J211" i="6"/>
  <c r="K211" i="6"/>
  <c r="L211" i="6"/>
  <c r="M211" i="6" a="1"/>
  <c r="M211" i="6"/>
  <c r="N211" i="6" a="1"/>
  <c r="N211" i="6" s="1"/>
  <c r="O211" i="6"/>
  <c r="P211" i="6"/>
  <c r="Q211" i="6"/>
  <c r="R211" i="6"/>
  <c r="A212" i="6"/>
  <c r="B212" i="6"/>
  <c r="C212" i="6"/>
  <c r="E212" i="6"/>
  <c r="G212" i="6"/>
  <c r="H212" i="6"/>
  <c r="I212" i="6"/>
  <c r="J212" i="6"/>
  <c r="K212" i="6"/>
  <c r="L212" i="6"/>
  <c r="M212" i="6" a="1"/>
  <c r="M212" i="6"/>
  <c r="N212" i="6" a="1"/>
  <c r="N212" i="6"/>
  <c r="O212" i="6"/>
  <c r="P212" i="6"/>
  <c r="Q212" i="6"/>
  <c r="R212" i="6"/>
  <c r="A213" i="6"/>
  <c r="B213" i="6"/>
  <c r="C213" i="6"/>
  <c r="E213" i="6"/>
  <c r="G213" i="6"/>
  <c r="H213" i="6"/>
  <c r="I213" i="6"/>
  <c r="J213" i="6"/>
  <c r="K213" i="6"/>
  <c r="L213" i="6"/>
  <c r="M213" i="6" a="1"/>
  <c r="M213" i="6"/>
  <c r="N213" i="6" a="1"/>
  <c r="N213" i="6" s="1"/>
  <c r="O213" i="6"/>
  <c r="P213" i="6"/>
  <c r="Q213" i="6"/>
  <c r="R213" i="6"/>
  <c r="A214" i="6"/>
  <c r="B214" i="6"/>
  <c r="C214" i="6"/>
  <c r="E214" i="6"/>
  <c r="G214" i="6"/>
  <c r="H214" i="6"/>
  <c r="I214" i="6"/>
  <c r="J214" i="6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E215" i="6"/>
  <c r="G215" i="6"/>
  <c r="H215" i="6"/>
  <c r="I215" i="6"/>
  <c r="J215" i="6"/>
  <c r="K215" i="6"/>
  <c r="L215" i="6"/>
  <c r="M215" i="6" a="1"/>
  <c r="M215" i="6"/>
  <c r="N215" i="6" a="1"/>
  <c r="N215" i="6"/>
  <c r="O215" i="6"/>
  <c r="P215" i="6"/>
  <c r="Q215" i="6"/>
  <c r="R215" i="6"/>
  <c r="A216" i="6"/>
  <c r="B216" i="6"/>
  <c r="C216" i="6"/>
  <c r="E216" i="6"/>
  <c r="G216" i="6"/>
  <c r="H216" i="6"/>
  <c r="I216" i="6"/>
  <c r="J216" i="6"/>
  <c r="K216" i="6"/>
  <c r="L216" i="6"/>
  <c r="M216" i="6" a="1"/>
  <c r="M216" i="6"/>
  <c r="N216" i="6" a="1"/>
  <c r="N216" i="6" s="1"/>
  <c r="O216" i="6"/>
  <c r="P216" i="6"/>
  <c r="Q216" i="6"/>
  <c r="R216" i="6"/>
  <c r="A217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A218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A220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A222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A223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A224" i="6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A226" i="6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A228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A229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A230" i="6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A232" i="6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A233" i="6"/>
  <c r="B233" i="6"/>
  <c r="C233" i="6"/>
  <c r="E233" i="6"/>
  <c r="G233" i="6"/>
  <c r="H233" i="6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E234" i="6"/>
  <c r="G234" i="6"/>
  <c r="H234" i="6"/>
  <c r="I234" i="6"/>
  <c r="J234" i="6"/>
  <c r="K234" i="6"/>
  <c r="L234" i="6"/>
  <c r="M234" i="6" a="1"/>
  <c r="M234" i="6"/>
  <c r="N234" i="6" a="1"/>
  <c r="N234" i="6" s="1"/>
  <c r="O234" i="6"/>
  <c r="P234" i="6"/>
  <c r="Q234" i="6"/>
  <c r="R234" i="6"/>
  <c r="A235" i="6"/>
  <c r="B235" i="6"/>
  <c r="C235" i="6"/>
  <c r="E235" i="6"/>
  <c r="G235" i="6"/>
  <c r="H235" i="6"/>
  <c r="I235" i="6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A236" i="6"/>
  <c r="B236" i="6"/>
  <c r="C236" i="6"/>
  <c r="E236" i="6"/>
  <c r="G236" i="6"/>
  <c r="H236" i="6"/>
  <c r="I236" i="6"/>
  <c r="J236" i="6"/>
  <c r="K236" i="6"/>
  <c r="L236" i="6"/>
  <c r="M236" i="6" a="1"/>
  <c r="M236" i="6"/>
  <c r="N236" i="6" a="1"/>
  <c r="N236" i="6"/>
  <c r="O236" i="6"/>
  <c r="P236" i="6"/>
  <c r="Q236" i="6"/>
  <c r="R236" i="6"/>
  <c r="A237" i="6"/>
  <c r="B237" i="6"/>
  <c r="C237" i="6"/>
  <c r="E237" i="6"/>
  <c r="G237" i="6"/>
  <c r="H237" i="6"/>
  <c r="I237" i="6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A238" i="6"/>
  <c r="B238" i="6"/>
  <c r="C238" i="6"/>
  <c r="E238" i="6"/>
  <c r="G238" i="6"/>
  <c r="H238" i="6"/>
  <c r="I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A239" i="6"/>
  <c r="B239" i="6"/>
  <c r="C239" i="6"/>
  <c r="E239" i="6"/>
  <c r="G239" i="6"/>
  <c r="H239" i="6"/>
  <c r="I239" i="6"/>
  <c r="J239" i="6"/>
  <c r="K239" i="6"/>
  <c r="L239" i="6"/>
  <c r="M239" i="6" a="1"/>
  <c r="M239" i="6"/>
  <c r="N239" i="6" a="1"/>
  <c r="N239" i="6"/>
  <c r="O239" i="6"/>
  <c r="P239" i="6"/>
  <c r="Q239" i="6"/>
  <c r="R239" i="6"/>
  <c r="A240" i="6"/>
  <c r="B240" i="6"/>
  <c r="C240" i="6"/>
  <c r="E240" i="6"/>
  <c r="G240" i="6"/>
  <c r="H240" i="6"/>
  <c r="I240" i="6"/>
  <c r="J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A241" i="6"/>
  <c r="B241" i="6"/>
  <c r="C241" i="6"/>
  <c r="G241" i="6"/>
  <c r="E241" i="6" s="1"/>
  <c r="H241" i="6"/>
  <c r="I241" i="6"/>
  <c r="J241" i="6"/>
  <c r="K241" i="6"/>
  <c r="L241" i="6"/>
  <c r="M241" i="6" a="1"/>
  <c r="M241" i="6"/>
  <c r="N241" i="6" a="1"/>
  <c r="N241" i="6"/>
  <c r="O241" i="6"/>
  <c r="P241" i="6"/>
  <c r="Q241" i="6"/>
  <c r="R241" i="6"/>
  <c r="A242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A243" i="6"/>
  <c r="B243" i="6"/>
  <c r="C243" i="6"/>
  <c r="G243" i="6"/>
  <c r="I243" i="6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E244" i="6" s="1"/>
  <c r="H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J245" i="6" s="1"/>
  <c r="H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E247" i="6" s="1"/>
  <c r="H247" i="6"/>
  <c r="I247" i="6"/>
  <c r="J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E250" i="6" s="1"/>
  <c r="H250" i="6"/>
  <c r="I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E253" i="6" s="1"/>
  <c r="H253" i="6"/>
  <c r="I253" i="6"/>
  <c r="J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E261" i="6" s="1"/>
  <c r="H261" i="6"/>
  <c r="I261" i="6"/>
  <c r="J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E268" i="6" s="1"/>
  <c r="H268" i="6"/>
  <c r="I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H269" i="6"/>
  <c r="J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E271" i="6" s="1"/>
  <c r="H271" i="6"/>
  <c r="I271" i="6"/>
  <c r="J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E273" i="6" s="1"/>
  <c r="H273" i="6"/>
  <c r="I273" i="6"/>
  <c r="J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E274" i="6" s="1"/>
  <c r="H274" i="6"/>
  <c r="I274" i="6"/>
  <c r="J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H277" i="6"/>
  <c r="I277" i="6"/>
  <c r="J277" i="6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E283" i="6" s="1"/>
  <c r="H283" i="6"/>
  <c r="I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/>
  <c r="J284" i="6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E285" i="6" s="1"/>
  <c r="H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E286" i="6" s="1"/>
  <c r="H286" i="6"/>
  <c r="I286" i="6"/>
  <c r="J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E292" i="6" s="1"/>
  <c r="H292" i="6"/>
  <c r="I292" i="6"/>
  <c r="J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E295" i="6" s="1"/>
  <c r="H295" i="6"/>
  <c r="I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E298" i="6" s="1"/>
  <c r="H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E301" i="6" s="1"/>
  <c r="H301" i="6"/>
  <c r="I301" i="6"/>
  <c r="J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H308" i="6"/>
  <c r="J308" i="6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/>
  <c r="J314" i="6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E316" i="6" s="1"/>
  <c r="H316" i="6"/>
  <c r="I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/>
  <c r="J320" i="6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E325" i="6" s="1"/>
  <c r="H325" i="6"/>
  <c r="I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H328" i="6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I331" i="6"/>
  <c r="J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E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E336" i="6"/>
  <c r="G336" i="6"/>
  <c r="J336" i="6" s="1"/>
  <c r="I336" i="6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E340" i="6"/>
  <c r="G340" i="6"/>
  <c r="H340" i="6"/>
  <c r="I340" i="6"/>
  <c r="J340" i="6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E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E346" i="6"/>
  <c r="G346" i="6"/>
  <c r="H346" i="6"/>
  <c r="I346" i="6"/>
  <c r="J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H351" i="6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E352" i="6"/>
  <c r="G352" i="6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E354" i="6"/>
  <c r="G354" i="6"/>
  <c r="J354" i="6" s="1"/>
  <c r="I354" i="6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E355" i="6"/>
  <c r="G355" i="6"/>
  <c r="H355" i="6"/>
  <c r="I355" i="6"/>
  <c r="J355" i="6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E358" i="6"/>
  <c r="G358" i="6"/>
  <c r="H358" i="6"/>
  <c r="I358" i="6"/>
  <c r="J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H360" i="6"/>
  <c r="I360" i="6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H361" i="6"/>
  <c r="I361" i="6"/>
  <c r="J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E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E363" i="6"/>
  <c r="G363" i="6"/>
  <c r="J363" i="6" s="1"/>
  <c r="I363" i="6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H364" i="6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I366" i="6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H371" i="6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E372" i="6"/>
  <c r="G372" i="6"/>
  <c r="H372" i="6" s="1"/>
  <c r="I372" i="6"/>
  <c r="J372" i="6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H374" i="6"/>
  <c r="I374" i="6"/>
  <c r="J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E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H377" i="6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E378" i="6"/>
  <c r="G378" i="6"/>
  <c r="H378" i="6" s="1"/>
  <c r="I378" i="6"/>
  <c r="J378" i="6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H380" i="6"/>
  <c r="I380" i="6"/>
  <c r="J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E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H383" i="6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J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E387" i="6"/>
  <c r="G387" i="6"/>
  <c r="H387" i="6" s="1"/>
  <c r="I387" i="6"/>
  <c r="J387" i="6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/>
  <c r="A50" i="3" a="1"/>
  <c r="A50" i="3" s="1"/>
  <c r="A51" i="3" a="1"/>
  <c r="A51" i="3" s="1"/>
  <c r="A52" i="3" a="1"/>
  <c r="A52" i="3"/>
  <c r="A53" i="3" a="1"/>
  <c r="A53" i="3" s="1"/>
  <c r="A54" i="3" a="1"/>
  <c r="A54" i="3" s="1"/>
  <c r="A55" i="3" a="1"/>
  <c r="A55" i="3"/>
  <c r="A56" i="3" a="1"/>
  <c r="A56" i="3" s="1"/>
  <c r="A57" i="3" a="1"/>
  <c r="A57" i="3" s="1"/>
  <c r="A58" i="3" a="1"/>
  <c r="A58" i="3"/>
  <c r="A59" i="3" a="1"/>
  <c r="A59" i="3" s="1"/>
  <c r="A60" i="3" a="1"/>
  <c r="A60" i="3" s="1"/>
  <c r="A61" i="3" a="1"/>
  <c r="A61" i="3"/>
  <c r="A62" i="3" a="1"/>
  <c r="A62" i="3" s="1"/>
  <c r="A63" i="3" a="1"/>
  <c r="A63" i="3" s="1"/>
  <c r="A64" i="3" a="1"/>
  <c r="A64" i="3"/>
  <c r="A65" i="3" a="1"/>
  <c r="A65" i="3" s="1"/>
  <c r="A66" i="3" a="1"/>
  <c r="A66" i="3" s="1"/>
  <c r="A67" i="3" a="1"/>
  <c r="A67" i="3"/>
  <c r="A68" i="3" a="1"/>
  <c r="A68" i="3" s="1"/>
  <c r="A69" i="3" a="1"/>
  <c r="A69" i="3" s="1"/>
  <c r="A70" i="3" a="1"/>
  <c r="A70" i="3"/>
  <c r="A71" i="3" a="1"/>
  <c r="A71" i="3" s="1"/>
  <c r="A72" i="3" a="1"/>
  <c r="A72" i="3" s="1"/>
  <c r="A73" i="3" a="1"/>
  <c r="A73" i="3"/>
  <c r="A74" i="3" a="1"/>
  <c r="A74" i="3" s="1"/>
  <c r="A75" i="3" a="1"/>
  <c r="A75" i="3" s="1"/>
  <c r="A76" i="3" a="1"/>
  <c r="A76" i="3"/>
  <c r="A77" i="3" a="1"/>
  <c r="A77" i="3" s="1"/>
  <c r="A78" i="3" a="1"/>
  <c r="A78" i="3" s="1"/>
  <c r="A79" i="3" a="1"/>
  <c r="A79" i="3"/>
  <c r="A80" i="3" a="1"/>
  <c r="A80" i="3" s="1"/>
  <c r="A81" i="3" a="1"/>
  <c r="A81" i="3" s="1"/>
  <c r="A82" i="3" a="1"/>
  <c r="A82" i="3"/>
  <c r="A83" i="3" a="1"/>
  <c r="A83" i="3" s="1"/>
  <c r="A84" i="3" a="1"/>
  <c r="A84" i="3" s="1"/>
  <c r="A85" i="3" a="1"/>
  <c r="A85" i="3"/>
  <c r="A86" i="3" a="1"/>
  <c r="A86" i="3" s="1"/>
  <c r="A87" i="3" a="1"/>
  <c r="A87" i="3" s="1"/>
  <c r="A88" i="3" a="1"/>
  <c r="A88" i="3"/>
  <c r="A89" i="3" a="1"/>
  <c r="A89" i="3" s="1"/>
  <c r="A90" i="3" a="1"/>
  <c r="A90" i="3" s="1"/>
  <c r="A91" i="3" a="1"/>
  <c r="A91" i="3"/>
  <c r="A92" i="3" a="1"/>
  <c r="A92" i="3" s="1"/>
  <c r="A93" i="3" a="1"/>
  <c r="A93" i="3" s="1"/>
  <c r="A94" i="3" a="1"/>
  <c r="A94" i="3"/>
  <c r="A95" i="3" a="1"/>
  <c r="A95" i="3" s="1"/>
  <c r="A96" i="3" a="1"/>
  <c r="A96" i="3" s="1"/>
  <c r="A97" i="3" a="1"/>
  <c r="A97" i="3"/>
  <c r="A98" i="3" a="1"/>
  <c r="A98" i="3" s="1"/>
  <c r="A99" i="3" a="1"/>
  <c r="A99" i="3" s="1"/>
  <c r="A100" i="3" a="1"/>
  <c r="A100" i="3"/>
  <c r="A101" i="3" a="1"/>
  <c r="A101" i="3" s="1"/>
  <c r="A102" i="3" a="1"/>
  <c r="A102" i="3" s="1"/>
  <c r="A103" i="3" a="1"/>
  <c r="A103" i="3"/>
  <c r="A104" i="3" a="1"/>
  <c r="A104" i="3" s="1"/>
  <c r="A105" i="3" a="1"/>
  <c r="A105" i="3" s="1"/>
  <c r="A106" i="3" a="1"/>
  <c r="A106" i="3"/>
  <c r="A107" i="3" a="1"/>
  <c r="A107" i="3" s="1"/>
  <c r="A108" i="3" a="1"/>
  <c r="A108" i="3" s="1"/>
  <c r="A109" i="3" a="1"/>
  <c r="A109" i="3"/>
  <c r="A110" i="3" a="1"/>
  <c r="A110" i="3" s="1"/>
  <c r="A111" i="3" a="1"/>
  <c r="A111" i="3" s="1"/>
  <c r="A112" i="3" a="1"/>
  <c r="A112" i="3"/>
  <c r="A113" i="3" a="1"/>
  <c r="A113" i="3" s="1"/>
  <c r="A114" i="3" a="1"/>
  <c r="A114" i="3" s="1"/>
  <c r="A115" i="3" a="1"/>
  <c r="A115" i="3"/>
  <c r="A116" i="3" a="1"/>
  <c r="A116" i="3" s="1"/>
  <c r="A117" i="3" a="1"/>
  <c r="A117" i="3" s="1"/>
  <c r="A118" i="3" a="1"/>
  <c r="A118" i="3"/>
  <c r="A119" i="3" a="1"/>
  <c r="A119" i="3" s="1"/>
  <c r="A120" i="3" a="1"/>
  <c r="A120" i="3" s="1"/>
  <c r="A121" i="3" a="1"/>
  <c r="A121" i="3"/>
  <c r="A122" i="3" a="1"/>
  <c r="A122" i="3" s="1"/>
  <c r="A123" i="3" a="1"/>
  <c r="A123" i="3" s="1"/>
  <c r="A124" i="3" a="1"/>
  <c r="A124" i="3"/>
  <c r="A125" i="3" a="1"/>
  <c r="A125" i="3" s="1"/>
  <c r="A126" i="3" a="1"/>
  <c r="A126" i="3" s="1"/>
  <c r="A127" i="3" a="1"/>
  <c r="A127" i="3"/>
  <c r="A128" i="3" a="1"/>
  <c r="A128" i="3" s="1"/>
  <c r="A129" i="3" a="1"/>
  <c r="A129" i="3" s="1"/>
  <c r="A130" i="3" a="1"/>
  <c r="A130" i="3"/>
  <c r="A131" i="3" a="1"/>
  <c r="A131" i="3" s="1"/>
  <c r="A132" i="3" a="1"/>
  <c r="A132" i="3" s="1"/>
  <c r="A133" i="3" a="1"/>
  <c r="A133" i="3"/>
  <c r="A134" i="3" a="1"/>
  <c r="A134" i="3" s="1"/>
  <c r="A135" i="3" a="1"/>
  <c r="A135" i="3" s="1"/>
  <c r="A136" i="3" a="1"/>
  <c r="A136" i="3"/>
  <c r="A137" i="3" a="1"/>
  <c r="A137" i="3" s="1"/>
  <c r="A138" i="3" a="1"/>
  <c r="A138" i="3" s="1"/>
  <c r="A139" i="3" a="1"/>
  <c r="A139" i="3"/>
  <c r="A140" i="3" a="1"/>
  <c r="A140" i="3" s="1"/>
  <c r="A141" i="3" a="1"/>
  <c r="A141" i="3" s="1"/>
  <c r="A142" i="3" a="1"/>
  <c r="A142" i="3"/>
  <c r="A143" i="3" a="1"/>
  <c r="A143" i="3" s="1"/>
  <c r="A144" i="3" a="1"/>
  <c r="A144" i="3" s="1"/>
  <c r="A145" i="3" a="1"/>
  <c r="A145" i="3"/>
  <c r="A146" i="3" a="1"/>
  <c r="A146" i="3" s="1"/>
  <c r="A147" i="3" a="1"/>
  <c r="A147" i="3" s="1"/>
  <c r="A148" i="3" a="1"/>
  <c r="A148" i="3"/>
  <c r="A149" i="3" a="1"/>
  <c r="A149" i="3" s="1"/>
  <c r="A150" i="3" a="1"/>
  <c r="A150" i="3" s="1"/>
  <c r="A151" i="3" a="1"/>
  <c r="A151" i="3"/>
  <c r="A152" i="3" a="1"/>
  <c r="A152" i="3" s="1"/>
  <c r="A153" i="3" a="1"/>
  <c r="A153" i="3" s="1"/>
  <c r="A154" i="3" a="1"/>
  <c r="A154" i="3"/>
  <c r="A155" i="3" a="1"/>
  <c r="A155" i="3" s="1"/>
  <c r="A156" i="3" a="1"/>
  <c r="A156" i="3" s="1"/>
  <c r="A157" i="3" a="1"/>
  <c r="A157" i="3"/>
  <c r="A158" i="3" a="1"/>
  <c r="A158" i="3" s="1"/>
  <c r="A159" i="3" a="1"/>
  <c r="A159" i="3" s="1"/>
  <c r="A160" i="3" a="1"/>
  <c r="A160" i="3"/>
  <c r="A161" i="3" a="1"/>
  <c r="A161" i="3" s="1"/>
  <c r="A162" i="3" a="1"/>
  <c r="A162" i="3" s="1"/>
  <c r="A163" i="3" a="1"/>
  <c r="A163" i="3"/>
  <c r="A164" i="3" a="1"/>
  <c r="A164" i="3" s="1"/>
  <c r="A165" i="3" a="1"/>
  <c r="A165" i="3" s="1"/>
  <c r="A166" i="3" a="1"/>
  <c r="A166" i="3"/>
  <c r="A167" i="3" a="1"/>
  <c r="A167" i="3" s="1"/>
  <c r="A168" i="3" a="1"/>
  <c r="A168" i="3" s="1"/>
  <c r="A169" i="3" a="1"/>
  <c r="A169" i="3"/>
  <c r="A170" i="3" a="1"/>
  <c r="A170" i="3" s="1"/>
  <c r="A171" i="3" a="1"/>
  <c r="A171" i="3" s="1"/>
  <c r="A172" i="3" a="1"/>
  <c r="A172" i="3"/>
  <c r="A173" i="3" a="1"/>
  <c r="A173" i="3" s="1"/>
  <c r="A174" i="3" a="1"/>
  <c r="A174" i="3" s="1"/>
  <c r="A175" i="3" a="1"/>
  <c r="A175" i="3"/>
  <c r="A176" i="3" a="1"/>
  <c r="A176" i="3" s="1"/>
  <c r="A177" i="3" a="1"/>
  <c r="A177" i="3" s="1"/>
  <c r="A178" i="3" a="1"/>
  <c r="A178" i="3"/>
  <c r="A179" i="3" a="1"/>
  <c r="A179" i="3" s="1"/>
  <c r="A180" i="3" a="1"/>
  <c r="A180" i="3" s="1"/>
  <c r="A181" i="3" a="1"/>
  <c r="A181" i="3"/>
  <c r="A182" i="3" a="1"/>
  <c r="A182" i="3" s="1"/>
  <c r="A183" i="3" a="1"/>
  <c r="A183" i="3" s="1"/>
  <c r="A184" i="3" a="1"/>
  <c r="A184" i="3"/>
  <c r="A185" i="3" a="1"/>
  <c r="A185" i="3" s="1"/>
  <c r="A186" i="3" a="1"/>
  <c r="A186" i="3" s="1"/>
  <c r="A187" i="3" a="1"/>
  <c r="A187" i="3"/>
  <c r="A188" i="3" a="1"/>
  <c r="A188" i="3" s="1"/>
  <c r="A189" i="3" a="1"/>
  <c r="A189" i="3" s="1"/>
  <c r="A190" i="3" a="1"/>
  <c r="A190" i="3"/>
  <c r="A191" i="3" a="1"/>
  <c r="A191" i="3" s="1"/>
  <c r="A192" i="3" a="1"/>
  <c r="A192" i="3" s="1"/>
  <c r="A193" i="3" a="1"/>
  <c r="A193" i="3"/>
  <c r="A194" i="3" a="1"/>
  <c r="A194" i="3" s="1"/>
  <c r="A195" i="3" a="1"/>
  <c r="A195" i="3" s="1"/>
  <c r="A196" i="3" a="1"/>
  <c r="A196" i="3"/>
  <c r="A197" i="3" a="1"/>
  <c r="A197" i="3" s="1"/>
  <c r="A198" i="3" a="1"/>
  <c r="A198" i="3" s="1"/>
  <c r="A199" i="3" a="1"/>
  <c r="A199" i="3"/>
  <c r="A200" i="3" a="1"/>
  <c r="A200" i="3" s="1"/>
  <c r="A201" i="3" a="1"/>
  <c r="A201" i="3" s="1"/>
  <c r="A202" i="3" a="1"/>
  <c r="A202" i="3"/>
  <c r="A203" i="3" a="1"/>
  <c r="A203" i="3" s="1"/>
  <c r="A204" i="3" a="1"/>
  <c r="A204" i="3" s="1"/>
  <c r="A205" i="3" a="1"/>
  <c r="A205" i="3"/>
  <c r="A206" i="3" a="1"/>
  <c r="A206" i="3" s="1"/>
  <c r="A207" i="3" a="1"/>
  <c r="A207" i="3" s="1"/>
  <c r="A208" i="3" a="1"/>
  <c r="A208" i="3"/>
  <c r="A209" i="3" a="1"/>
  <c r="A209" i="3" s="1"/>
  <c r="A210" i="3" a="1"/>
  <c r="A210" i="3" s="1"/>
  <c r="A211" i="3" a="1"/>
  <c r="A211" i="3"/>
  <c r="A212" i="3" a="1"/>
  <c r="A212" i="3" s="1"/>
  <c r="A213" i="3" a="1"/>
  <c r="A213" i="3" s="1"/>
  <c r="A214" i="3" a="1"/>
  <c r="A214" i="3"/>
  <c r="A215" i="3" a="1"/>
  <c r="A215" i="3" s="1"/>
  <c r="A216" i="3" a="1"/>
  <c r="A216" i="3" s="1"/>
  <c r="A217" i="3" a="1"/>
  <c r="A217" i="3"/>
  <c r="A218" i="3" a="1"/>
  <c r="A218" i="3" s="1"/>
  <c r="A219" i="3" a="1"/>
  <c r="A219" i="3" s="1"/>
  <c r="A220" i="3" a="1"/>
  <c r="A220" i="3"/>
  <c r="A221" i="3" a="1"/>
  <c r="A221" i="3" s="1"/>
  <c r="A222" i="3" a="1"/>
  <c r="A222" i="3" s="1"/>
  <c r="A223" i="3" a="1"/>
  <c r="A223" i="3"/>
  <c r="A224" i="3" a="1"/>
  <c r="A224" i="3" s="1"/>
  <c r="A225" i="3" a="1"/>
  <c r="A225" i="3" s="1"/>
  <c r="A226" i="3" a="1"/>
  <c r="A226" i="3"/>
  <c r="A227" i="3" a="1"/>
  <c r="A227" i="3" s="1"/>
  <c r="A228" i="3" a="1"/>
  <c r="A228" i="3" s="1"/>
  <c r="A229" i="3" a="1"/>
  <c r="A229" i="3"/>
  <c r="A230" i="3" a="1"/>
  <c r="A230" i="3" s="1"/>
  <c r="A231" i="3" a="1"/>
  <c r="A231" i="3" s="1"/>
  <c r="A232" i="3" a="1"/>
  <c r="A232" i="3"/>
  <c r="A233" i="3" a="1"/>
  <c r="A233" i="3" s="1"/>
  <c r="A234" i="3" a="1"/>
  <c r="A234" i="3" s="1"/>
  <c r="A235" i="3" a="1"/>
  <c r="A235" i="3"/>
  <c r="A236" i="3" a="1"/>
  <c r="A236" i="3" s="1"/>
  <c r="A237" i="3" a="1"/>
  <c r="A237" i="3" s="1"/>
  <c r="A238" i="3" a="1"/>
  <c r="A238" i="3"/>
  <c r="A239" i="3" a="1"/>
  <c r="A239" i="3" s="1"/>
  <c r="A240" i="3" a="1"/>
  <c r="A240" i="3" s="1"/>
  <c r="A241" i="3" a="1"/>
  <c r="A241" i="3"/>
  <c r="A242" i="3" a="1"/>
  <c r="A242" i="3" s="1"/>
  <c r="A243" i="3" a="1"/>
  <c r="A243" i="3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A14" i="1"/>
  <c r="B14" i="1" s="1"/>
  <c r="A15" i="1"/>
  <c r="A16" i="1"/>
  <c r="B16" i="1" s="1"/>
  <c r="A17" i="1"/>
  <c r="A18" i="1"/>
  <c r="A19" i="1"/>
  <c r="A20" i="1"/>
  <c r="B20" i="1" s="1"/>
  <c r="A21" i="1"/>
  <c r="A22" i="1"/>
  <c r="A23" i="1"/>
  <c r="A24" i="1"/>
  <c r="A25" i="1"/>
  <c r="A26" i="1"/>
  <c r="B26" i="1" s="1"/>
  <c r="A27" i="1"/>
  <c r="A28" i="1"/>
  <c r="B28" i="1" s="1"/>
  <c r="A29" i="1"/>
  <c r="A30" i="1"/>
  <c r="A31" i="1"/>
  <c r="B31" i="1" s="1"/>
  <c r="A32" i="1"/>
  <c r="B32" i="1" s="1"/>
  <c r="A33" i="1"/>
  <c r="A34" i="1"/>
  <c r="B34" i="1" s="1"/>
  <c r="A35" i="1"/>
  <c r="A36" i="1"/>
  <c r="A37" i="1"/>
  <c r="B37" i="1" s="1"/>
  <c r="A38" i="1"/>
  <c r="B38" i="1" s="1"/>
  <c r="A39" i="1"/>
  <c r="A40" i="1"/>
  <c r="B40" i="1" s="1"/>
  <c r="A41" i="1"/>
  <c r="A42" i="1"/>
  <c r="A43" i="1"/>
  <c r="B43" i="1" s="1"/>
  <c r="A44" i="1"/>
  <c r="B44" i="1" s="1"/>
  <c r="A45" i="1"/>
  <c r="A46" i="1"/>
  <c r="B46" i="1" s="1"/>
  <c r="A47" i="1"/>
  <c r="A48" i="1"/>
  <c r="A49" i="1"/>
  <c r="A50" i="1"/>
  <c r="B50" i="1" s="1"/>
  <c r="A51" i="1"/>
  <c r="A52" i="1"/>
  <c r="B52" i="1" s="1"/>
  <c r="A53" i="1"/>
  <c r="A54" i="1"/>
  <c r="A55" i="1"/>
  <c r="A56" i="1"/>
  <c r="B56" i="1" s="1"/>
  <c r="A57" i="1"/>
  <c r="A58" i="1"/>
  <c r="A59" i="1"/>
  <c r="A60" i="1"/>
  <c r="A61" i="1"/>
  <c r="B61" i="1" s="1"/>
  <c r="A62" i="1"/>
  <c r="B62" i="1" s="1"/>
  <c r="A63" i="1"/>
  <c r="A64" i="1"/>
  <c r="B64" i="1" s="1"/>
  <c r="A65" i="1"/>
  <c r="A66" i="1"/>
  <c r="A67" i="1"/>
  <c r="B67" i="1" s="1"/>
  <c r="A68" i="1"/>
  <c r="B68" i="1" s="1"/>
  <c r="A69" i="1"/>
  <c r="A70" i="1"/>
  <c r="B70" i="1" s="1"/>
  <c r="A71" i="1"/>
  <c r="A72" i="1"/>
  <c r="A73" i="1"/>
  <c r="A74" i="1"/>
  <c r="B74" i="1" s="1"/>
  <c r="A75" i="1"/>
  <c r="A76" i="1"/>
  <c r="B76" i="1" s="1"/>
  <c r="A77" i="1"/>
  <c r="A78" i="1"/>
  <c r="A79" i="1"/>
  <c r="B79" i="1" s="1"/>
  <c r="A80" i="1"/>
  <c r="B80" i="1" s="1"/>
  <c r="A81" i="1"/>
  <c r="A82" i="1"/>
  <c r="A83" i="1"/>
  <c r="A84" i="1"/>
  <c r="A85" i="1"/>
  <c r="A86" i="1"/>
  <c r="B86" i="1" s="1"/>
  <c r="A87" i="1"/>
  <c r="A88" i="1"/>
  <c r="B88" i="1" s="1"/>
  <c r="A89" i="1"/>
  <c r="A90" i="1"/>
  <c r="A91" i="1"/>
  <c r="B91" i="1" s="1"/>
  <c r="A92" i="1"/>
  <c r="B92" i="1" s="1"/>
  <c r="A93" i="1"/>
  <c r="A94" i="1"/>
  <c r="A95" i="1"/>
  <c r="A96" i="1"/>
  <c r="A97" i="1"/>
  <c r="B97" i="1" s="1"/>
  <c r="A98" i="1"/>
  <c r="B98" i="1" s="1"/>
  <c r="A99" i="1"/>
  <c r="A100" i="1"/>
  <c r="B100" i="1" s="1"/>
  <c r="A101" i="1"/>
  <c r="A102" i="1"/>
  <c r="A103" i="1"/>
  <c r="B103" i="1" s="1"/>
  <c r="A104" i="1"/>
  <c r="B104" i="1" s="1"/>
  <c r="A105" i="1"/>
  <c r="A106" i="1"/>
  <c r="B106" i="1" s="1"/>
  <c r="A107" i="1"/>
  <c r="A108" i="1"/>
  <c r="A109" i="1"/>
  <c r="A110" i="1"/>
  <c r="B110" i="1" s="1"/>
  <c r="A111" i="1"/>
  <c r="A112" i="1"/>
  <c r="B112" i="1" s="1"/>
  <c r="A113" i="1"/>
  <c r="A114" i="1"/>
  <c r="A115" i="1"/>
  <c r="B115" i="1" s="1"/>
  <c r="A116" i="1"/>
  <c r="B116" i="1" s="1"/>
  <c r="A117" i="1"/>
  <c r="A118" i="1"/>
  <c r="B118" i="1" s="1"/>
  <c r="A119" i="1"/>
  <c r="A120" i="1"/>
  <c r="A121" i="1"/>
  <c r="A122" i="1"/>
  <c r="B122" i="1" s="1"/>
  <c r="A123" i="1"/>
  <c r="A124" i="1"/>
  <c r="B124" i="1" s="1"/>
  <c r="A125" i="1"/>
  <c r="A126" i="1"/>
  <c r="A127" i="1"/>
  <c r="B127" i="1" s="1"/>
  <c r="A128" i="1"/>
  <c r="B128" i="1" s="1"/>
  <c r="A129" i="1"/>
  <c r="A130" i="1"/>
  <c r="B130" i="1" s="1"/>
  <c r="A131" i="1"/>
  <c r="A132" i="1"/>
  <c r="A133" i="1"/>
  <c r="B133" i="1" s="1"/>
  <c r="A134" i="1"/>
  <c r="B134" i="1" s="1"/>
  <c r="A135" i="1"/>
  <c r="A136" i="1"/>
  <c r="B136" i="1" s="1"/>
  <c r="A137" i="1"/>
  <c r="A138" i="1"/>
  <c r="A139" i="1"/>
  <c r="B139" i="1" s="1"/>
  <c r="A140" i="1"/>
  <c r="B140" i="1" s="1"/>
  <c r="A141" i="1"/>
  <c r="A142" i="1"/>
  <c r="B142" i="1" s="1"/>
  <c r="A143" i="1"/>
  <c r="A144" i="1"/>
  <c r="A145" i="1"/>
  <c r="A146" i="1"/>
  <c r="B146" i="1" s="1"/>
  <c r="A147" i="1"/>
  <c r="A148" i="1"/>
  <c r="B148" i="1" s="1"/>
  <c r="A149" i="1"/>
  <c r="A150" i="1"/>
  <c r="A151" i="1"/>
  <c r="B151" i="1" s="1"/>
  <c r="A152" i="1"/>
  <c r="B152" i="1" s="1"/>
  <c r="A153" i="1"/>
  <c r="A154" i="1"/>
  <c r="B154" i="1" s="1"/>
  <c r="A155" i="1"/>
  <c r="A156" i="1"/>
  <c r="A157" i="1"/>
  <c r="A158" i="1"/>
  <c r="B158" i="1" s="1"/>
  <c r="A159" i="1"/>
  <c r="B159" i="1" s="1"/>
  <c r="A160" i="1"/>
  <c r="B160" i="1" s="1"/>
  <c r="A161" i="1"/>
  <c r="B161" i="1" s="1"/>
  <c r="A162" i="1"/>
  <c r="B162" i="1" s="1"/>
  <c r="A163" i="1"/>
  <c r="B163" i="1" s="1"/>
  <c r="A164" i="1"/>
  <c r="B164" i="1" s="1"/>
  <c r="A165" i="1"/>
  <c r="B165" i="1" s="1"/>
  <c r="A166" i="1"/>
  <c r="B166" i="1" s="1"/>
  <c r="A167" i="1"/>
  <c r="B167" i="1" s="1"/>
  <c r="A168" i="1"/>
  <c r="B168" i="1" s="1"/>
  <c r="A169" i="1"/>
  <c r="B169" i="1" s="1"/>
  <c r="A11" i="1"/>
  <c r="B11" i="1" s="1"/>
  <c r="A10" i="1"/>
  <c r="A3" i="1"/>
  <c r="B3" i="1" s="1"/>
  <c r="A4" i="1"/>
  <c r="A5" i="1"/>
  <c r="B5" i="1" s="1"/>
  <c r="A6" i="1"/>
  <c r="A7" i="1"/>
  <c r="B7" i="1" s="1"/>
  <c r="A8" i="1"/>
  <c r="A9" i="1"/>
  <c r="B9" i="1" s="1"/>
  <c r="A2" i="1"/>
  <c r="E2" i="1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S36" i="4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S46" i="4"/>
  <c r="T46" i="4" s="1" a="1"/>
  <c r="T46" i="4" s="1"/>
  <c r="S26" i="4"/>
  <c r="S27" i="4"/>
  <c r="S28" i="4"/>
  <c r="S29" i="4"/>
  <c r="S30" i="4"/>
  <c r="S31" i="4"/>
  <c r="S32" i="4"/>
  <c r="S33" i="4"/>
  <c r="S34" i="4"/>
  <c r="S35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S47" i="4"/>
  <c r="S48" i="4"/>
  <c r="S49" i="4"/>
  <c r="S50" i="4"/>
  <c r="S51" i="4"/>
  <c r="B6" i="1"/>
  <c r="B8" i="1"/>
  <c r="B12" i="1"/>
  <c r="B17" i="1"/>
  <c r="B18" i="1"/>
  <c r="B21" i="1"/>
  <c r="B22" i="1"/>
  <c r="B23" i="1"/>
  <c r="B24" i="1"/>
  <c r="B27" i="1"/>
  <c r="B29" i="1"/>
  <c r="B30" i="1"/>
  <c r="B33" i="1"/>
  <c r="B35" i="1"/>
  <c r="B36" i="1"/>
  <c r="B39" i="1"/>
  <c r="B41" i="1"/>
  <c r="B42" i="1"/>
  <c r="B47" i="1"/>
  <c r="B48" i="1"/>
  <c r="B51" i="1"/>
  <c r="B53" i="1"/>
  <c r="B54" i="1"/>
  <c r="B58" i="1"/>
  <c r="B59" i="1"/>
  <c r="B60" i="1"/>
  <c r="B63" i="1"/>
  <c r="B65" i="1"/>
  <c r="B66" i="1"/>
  <c r="B69" i="1"/>
  <c r="B75" i="1"/>
  <c r="B81" i="1"/>
  <c r="B82" i="1"/>
  <c r="B83" i="1"/>
  <c r="B87" i="1"/>
  <c r="B93" i="1"/>
  <c r="B94" i="1"/>
  <c r="B99" i="1"/>
  <c r="B101" i="1"/>
  <c r="B105" i="1"/>
  <c r="B111" i="1"/>
  <c r="B117" i="1"/>
  <c r="B119" i="1"/>
  <c r="B123" i="1"/>
  <c r="B129" i="1"/>
  <c r="B135" i="1"/>
  <c r="B137" i="1"/>
  <c r="B141" i="1"/>
  <c r="B147" i="1"/>
  <c r="B153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B4" i="1"/>
  <c r="B10" i="1"/>
  <c r="B15" i="1"/>
  <c r="B19" i="1"/>
  <c r="B25" i="1"/>
  <c r="B45" i="1"/>
  <c r="B49" i="1"/>
  <c r="B55" i="1"/>
  <c r="B57" i="1"/>
  <c r="B71" i="1"/>
  <c r="B72" i="1"/>
  <c r="B73" i="1"/>
  <c r="B77" i="1"/>
  <c r="B78" i="1"/>
  <c r="B84" i="1"/>
  <c r="B85" i="1"/>
  <c r="B89" i="1"/>
  <c r="B90" i="1"/>
  <c r="B95" i="1"/>
  <c r="B96" i="1"/>
  <c r="B102" i="1"/>
  <c r="B107" i="1"/>
  <c r="B108" i="1"/>
  <c r="B109" i="1"/>
  <c r="B113" i="1"/>
  <c r="B114" i="1"/>
  <c r="B120" i="1"/>
  <c r="B121" i="1"/>
  <c r="B125" i="1"/>
  <c r="B126" i="1"/>
  <c r="B131" i="1"/>
  <c r="B132" i="1"/>
  <c r="B138" i="1"/>
  <c r="B143" i="1"/>
  <c r="B144" i="1"/>
  <c r="B145" i="1"/>
  <c r="B149" i="1"/>
  <c r="B150" i="1"/>
  <c r="B155" i="1"/>
  <c r="B156" i="1"/>
  <c r="B157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T47" i="4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AD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AD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AD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AD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AD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AD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AD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AD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AD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AD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AD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AD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AD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AD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AD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AD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AD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AD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AD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AD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AD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AD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AD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AD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D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AD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AD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A46" i="3" l="1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D248" i="4"/>
  <c r="AD242" i="4"/>
  <c r="AD238" i="4"/>
  <c r="AD226" i="4"/>
  <c r="AD214" i="4"/>
  <c r="AD202" i="4"/>
  <c r="AD190" i="4"/>
  <c r="AD172" i="4"/>
  <c r="AD160" i="4"/>
  <c r="AD148" i="4"/>
  <c r="AD136" i="4"/>
  <c r="AD124" i="4"/>
  <c r="AD112" i="4"/>
  <c r="AD100" i="4"/>
  <c r="AD83" i="4"/>
  <c r="AD65" i="4"/>
  <c r="AD250" i="4"/>
  <c r="AD244" i="4"/>
  <c r="AD232" i="4"/>
  <c r="AD220" i="4"/>
  <c r="AD208" i="4"/>
  <c r="AD196" i="4"/>
  <c r="AD184" i="4"/>
  <c r="AD178" i="4"/>
  <c r="AD166" i="4"/>
  <c r="AD154" i="4"/>
  <c r="AD142" i="4"/>
  <c r="AD130" i="4"/>
  <c r="AD118" i="4"/>
  <c r="AD106" i="4"/>
  <c r="AD94" i="4"/>
  <c r="AD77" i="4"/>
  <c r="AD71" i="4"/>
  <c r="AD59" i="4"/>
  <c r="AD88" i="4"/>
  <c r="AD82" i="4"/>
  <c r="AD76" i="4"/>
  <c r="AD70" i="4"/>
  <c r="AD64" i="4"/>
  <c r="AD58" i="4"/>
  <c r="AD52" i="4"/>
  <c r="AD46" i="4"/>
  <c r="AD230" i="4"/>
  <c r="AD224" i="4"/>
  <c r="AD218" i="4"/>
  <c r="AD212" i="4"/>
  <c r="AD206" i="4"/>
  <c r="AD200" i="4"/>
  <c r="AD194" i="4"/>
  <c r="AD188" i="4"/>
  <c r="AD182" i="4"/>
  <c r="AD176" i="4"/>
  <c r="AD170" i="4"/>
  <c r="AD164" i="4"/>
  <c r="AD158" i="4"/>
  <c r="AD152" i="4"/>
  <c r="AD146" i="4"/>
  <c r="AD140" i="4"/>
  <c r="AD134" i="4"/>
  <c r="AD128" i="4"/>
  <c r="AD122" i="4"/>
  <c r="AD116" i="4"/>
  <c r="AD110" i="4"/>
  <c r="AD104" i="4"/>
  <c r="AD98" i="4"/>
  <c r="AD92" i="4"/>
  <c r="AD87" i="4"/>
  <c r="AD81" i="4"/>
  <c r="AD75" i="4"/>
  <c r="AD69" i="4"/>
  <c r="AD63" i="4"/>
  <c r="AD57" i="4"/>
  <c r="AD51" i="4"/>
  <c r="AD86" i="4"/>
  <c r="AD80" i="4"/>
  <c r="AD74" i="4"/>
  <c r="AD68" i="4"/>
  <c r="AD62" i="4"/>
  <c r="AD56" i="4"/>
  <c r="AD50" i="4"/>
  <c r="AD44" i="4"/>
  <c r="AD53" i="4"/>
  <c r="AD47" i="4"/>
  <c r="AD45" i="4"/>
  <c r="AD251" i="4"/>
  <c r="AD245" i="4"/>
  <c r="AD239" i="4"/>
  <c r="AD236" i="4"/>
  <c r="AD233" i="4"/>
  <c r="AD227" i="4"/>
  <c r="AD221" i="4"/>
  <c r="AD215" i="4"/>
  <c r="AD209" i="4"/>
  <c r="AD203" i="4"/>
  <c r="AD197" i="4"/>
  <c r="AD191" i="4"/>
  <c r="AD185" i="4"/>
  <c r="AD179" i="4"/>
  <c r="AD173" i="4"/>
  <c r="AD167" i="4"/>
  <c r="AD161" i="4"/>
  <c r="AD155" i="4"/>
  <c r="AD149" i="4"/>
  <c r="AD143" i="4"/>
  <c r="AD137" i="4"/>
  <c r="AD131" i="4"/>
  <c r="AD125" i="4"/>
  <c r="AD119" i="4"/>
  <c r="AD113" i="4"/>
  <c r="AD107" i="4"/>
  <c r="AD101" i="4"/>
  <c r="AD95" i="4"/>
  <c r="AD89" i="4"/>
  <c r="AD210" i="4"/>
  <c r="AD204" i="4"/>
  <c r="AD198" i="4"/>
  <c r="AD192" i="4"/>
  <c r="AD186" i="4"/>
  <c r="AD180" i="4"/>
  <c r="AD174" i="4"/>
  <c r="AD156" i="4"/>
  <c r="AD138" i="4"/>
  <c r="AD132" i="4"/>
  <c r="AD90" i="4"/>
  <c r="AD256" i="4"/>
  <c r="AD246" i="4"/>
  <c r="AD240" i="4"/>
  <c r="AD234" i="4"/>
  <c r="AD228" i="4"/>
  <c r="AD222" i="4"/>
  <c r="AD216" i="4"/>
  <c r="AD168" i="4"/>
  <c r="AD162" i="4"/>
  <c r="AD150" i="4"/>
  <c r="AD144" i="4"/>
  <c r="AD126" i="4"/>
  <c r="AD120" i="4"/>
  <c r="AD114" i="4"/>
  <c r="AD108" i="4"/>
  <c r="AD102" i="4"/>
  <c r="AD96" i="4"/>
  <c r="AD84" i="4"/>
  <c r="AD78" i="4"/>
  <c r="AD72" i="4"/>
  <c r="AD66" i="4"/>
  <c r="AD60" i="4"/>
  <c r="AD54" i="4"/>
  <c r="AD48" i="4"/>
  <c r="AD223" i="4"/>
  <c r="AD217" i="4"/>
  <c r="AD211" i="4"/>
  <c r="AD205" i="4"/>
  <c r="AD199" i="4"/>
  <c r="AD193" i="4"/>
  <c r="AD187" i="4"/>
  <c r="AD181" i="4"/>
  <c r="AD175" i="4"/>
  <c r="AD169" i="4"/>
  <c r="AD163" i="4"/>
  <c r="AD157" i="4"/>
  <c r="AD151" i="4"/>
  <c r="AD145" i="4"/>
  <c r="AD139" i="4"/>
  <c r="AD133" i="4"/>
  <c r="AD127" i="4"/>
  <c r="AD121" i="4"/>
  <c r="AD115" i="4"/>
  <c r="AD109" i="4"/>
  <c r="AD103" i="4"/>
  <c r="AD97" i="4"/>
  <c r="AD91" i="4"/>
  <c r="AD253" i="4"/>
  <c r="AD247" i="4"/>
  <c r="AD241" i="4"/>
  <c r="AD235" i="4"/>
  <c r="AD229" i="4"/>
  <c r="AD85" i="4"/>
  <c r="AD79" i="4"/>
  <c r="AD73" i="4"/>
  <c r="AD67" i="4"/>
  <c r="AD61" i="4"/>
  <c r="AD55" i="4"/>
  <c r="AD49" i="4"/>
  <c r="AD254" i="4"/>
  <c r="AD252" i="4"/>
  <c r="AD255" i="4"/>
  <c r="AD43" i="4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H22" i="6"/>
  <c r="H21" i="6"/>
  <c r="I19" i="6"/>
  <c r="H16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AB11" i="6" l="1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S19" i="4"/>
  <c r="S25" i="4"/>
  <c r="Q9" i="4"/>
  <c r="Q15" i="4"/>
  <c r="Q21" i="4"/>
  <c r="U12" i="4" a="1"/>
  <c r="U12" i="4" s="1"/>
  <c r="U18" i="4" a="1"/>
  <c r="U18" i="4" s="1"/>
  <c r="U24" i="4" a="1"/>
  <c r="U24" i="4" s="1"/>
  <c r="S14" i="4"/>
  <c r="S20" i="4"/>
  <c r="Q10" i="4"/>
  <c r="Q16" i="4"/>
  <c r="Q22" i="4"/>
  <c r="U13" i="4" a="1"/>
  <c r="U13" i="4" s="1"/>
  <c r="U19" i="4" a="1"/>
  <c r="U19" i="4" s="1"/>
  <c r="U25" i="4" a="1"/>
  <c r="U25" i="4" s="1"/>
  <c r="S9" i="4"/>
  <c r="S15" i="4"/>
  <c r="S21" i="4"/>
  <c r="Q11" i="4"/>
  <c r="Q17" i="4"/>
  <c r="Q23" i="4"/>
  <c r="U14" i="4" a="1"/>
  <c r="U14" i="4" s="1"/>
  <c r="U20" i="4" a="1"/>
  <c r="U20" i="4" s="1"/>
  <c r="S10" i="4"/>
  <c r="S16" i="4"/>
  <c r="S22" i="4"/>
  <c r="Q12" i="4"/>
  <c r="Q18" i="4"/>
  <c r="Q24" i="4"/>
  <c r="U9" i="4" a="1"/>
  <c r="U9" i="4" s="1"/>
  <c r="U15" i="4" a="1"/>
  <c r="U15" i="4" s="1"/>
  <c r="U21" i="4" a="1"/>
  <c r="U21" i="4" s="1"/>
  <c r="S11" i="4"/>
  <c r="S17" i="4"/>
  <c r="S23" i="4"/>
  <c r="Q13" i="4"/>
  <c r="Q19" i="4"/>
  <c r="Q25" i="4"/>
  <c r="U10" i="4" a="1"/>
  <c r="U10" i="4" s="1"/>
  <c r="U16" i="4" a="1"/>
  <c r="U16" i="4" s="1"/>
  <c r="U22" i="4" a="1"/>
  <c r="U22" i="4" s="1"/>
  <c r="S12" i="4"/>
  <c r="S18" i="4"/>
  <c r="S24" i="4"/>
  <c r="Q14" i="4"/>
  <c r="Q20" i="4"/>
  <c r="U11" i="4" a="1"/>
  <c r="U11" i="4" s="1"/>
  <c r="U17" i="4" a="1"/>
  <c r="U17" i="4" s="1"/>
  <c r="U23" i="4" a="1"/>
  <c r="U23" i="4" s="1"/>
  <c r="S7" i="4"/>
  <c r="Q8" i="4"/>
  <c r="U3" i="4" a="1"/>
  <c r="U3" i="4" s="1"/>
  <c r="Q7" i="4"/>
  <c r="S8" i="4"/>
  <c r="Q3" i="4"/>
  <c r="U4" i="4" a="1"/>
  <c r="U4" i="4" s="1"/>
  <c r="S3" i="4"/>
  <c r="Q4" i="4"/>
  <c r="U5" i="4" a="1"/>
  <c r="U5" i="4" s="1"/>
  <c r="S6" i="4"/>
  <c r="U8" i="4" a="1"/>
  <c r="U8" i="4" s="1"/>
  <c r="S4" i="4"/>
  <c r="Q5" i="4"/>
  <c r="U6" i="4" a="1"/>
  <c r="U6" i="4" s="1"/>
  <c r="S5" i="4"/>
  <c r="Q6" i="4"/>
  <c r="U7" i="4" a="1"/>
  <c r="U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D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D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D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D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AD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D26" i="4" s="1"/>
  <c r="G27" i="4"/>
  <c r="H27" i="4" s="1"/>
  <c r="F27" i="4" s="1"/>
  <c r="G28" i="4"/>
  <c r="H28" i="4" s="1"/>
  <c r="F28" i="4" s="1"/>
  <c r="T28" i="4" a="1"/>
  <c r="T28" i="4" s="1"/>
  <c r="AD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D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AD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D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D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D36" i="4" s="1"/>
  <c r="L38" i="4"/>
  <c r="N38" i="4" s="1"/>
  <c r="A39" i="4"/>
  <c r="T39" i="4" a="1"/>
  <c r="T39" i="4" s="1"/>
  <c r="AD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D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X31" i="1" l="1"/>
  <c r="I25" i="1"/>
  <c r="I22" i="1"/>
  <c r="I21" i="1"/>
  <c r="I28" i="1"/>
  <c r="S2" i="4"/>
  <c r="T2" i="4" s="1" a="1"/>
  <c r="T2" i="4" s="1"/>
  <c r="Q2" i="4"/>
  <c r="U2" i="4" a="1"/>
  <c r="U2" i="4" s="1"/>
  <c r="L2" i="4"/>
  <c r="AD30" i="4"/>
  <c r="AD11" i="4"/>
  <c r="AD29" i="4"/>
  <c r="AD18" i="4"/>
  <c r="AD16" i="4"/>
  <c r="AD9" i="4"/>
  <c r="AD13" i="4"/>
  <c r="AD21" i="4"/>
  <c r="AD25" i="4"/>
  <c r="AD41" i="4"/>
  <c r="AD20" i="4"/>
  <c r="AD19" i="4"/>
  <c r="AD24" i="4"/>
  <c r="AD14" i="4"/>
  <c r="AD33" i="4"/>
  <c r="AD32" i="4"/>
  <c r="AD37" i="4"/>
  <c r="AD42" i="4"/>
  <c r="AD35" i="4"/>
  <c r="AD22" i="4"/>
  <c r="AD15" i="4"/>
  <c r="AD40" i="4"/>
  <c r="AD8" i="4"/>
  <c r="I9" i="1"/>
  <c r="AD34" i="4"/>
  <c r="AD10" i="4"/>
  <c r="AD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J26" i="1" l="1" a="1"/>
  <c r="J26" i="1" s="1"/>
  <c r="J27" i="1" a="1"/>
  <c r="J27" i="1" s="1"/>
  <c r="J28" i="1" a="1"/>
  <c r="J28" i="1" s="1"/>
  <c r="C49" i="1" a="1"/>
  <c r="C49" i="1" s="1"/>
  <c r="C22" i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D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94" i="1" a="1"/>
  <c r="P94" i="1" s="1"/>
  <c r="Q94" i="1" a="1"/>
  <c r="Q94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D9" i="1" a="1"/>
  <c r="D9" i="1" s="1"/>
  <c r="P90" i="1" a="1"/>
  <c r="P90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100" i="1" a="1"/>
  <c r="P100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Q41" i="1" a="1"/>
  <c r="Q41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Q105" i="1" a="1"/>
  <c r="Q105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7" i="1" l="1" a="1"/>
  <c r="L7" i="1" s="1"/>
  <c r="L22" i="1" a="1"/>
  <c r="L22" i="1" s="1"/>
  <c r="K6" i="1" a="1"/>
  <c r="K6" i="1" s="1"/>
  <c r="K10" i="1" a="1"/>
  <c r="K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23" i="4"/>
  <c r="K56" i="1" s="1" a="1"/>
  <c r="K56" i="1" s="1"/>
  <c r="K6" i="4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C34" i="13" l="1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K23" i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I2" i="8"/>
  <c r="K2" i="4" s="1"/>
  <c r="K7" i="1" s="1" a="1"/>
  <c r="K7" i="1" s="1"/>
  <c r="K33" i="1" l="1" a="1"/>
  <c r="K33" i="1" s="1"/>
  <c r="K22" i="1" a="1"/>
  <c r="K22" i="1" s="1"/>
  <c r="D2" i="13"/>
  <c r="C2" i="13"/>
  <c r="E2" i="13"/>
  <c r="B2" i="13"/>
  <c r="Q33" i="1" a="1"/>
  <c r="Q33" i="1" s="1"/>
  <c r="K4" i="1" a="1"/>
  <c r="K4" i="1" s="1"/>
  <c r="K57" i="1" a="1"/>
  <c r="K57" i="1" s="1"/>
  <c r="P16" i="1" l="1" a="1"/>
  <c r="P16" i="1" s="1"/>
  <c r="P12" i="1" a="1"/>
  <c r="P12" i="1" s="1"/>
  <c r="P43" i="1" a="1"/>
  <c r="P43" i="1" s="1"/>
  <c r="P72" i="1" a="1"/>
  <c r="P72" i="1" s="1"/>
  <c r="P34" i="1" a="1"/>
  <c r="P34" i="1" s="1"/>
  <c r="P33" i="1" a="1"/>
  <c r="P33" i="1" s="1"/>
  <c r="P32" i="1" a="1"/>
  <c r="P32" i="1" s="1"/>
  <c r="P36" i="1" a="1"/>
  <c r="P36" i="1" s="1"/>
  <c r="P35" i="1" a="1"/>
  <c r="P35" i="1" s="1"/>
  <c r="P5" i="1" l="1" a="1"/>
  <c r="P5" i="1" s="1"/>
  <c r="Q20" i="1" a="1"/>
  <c r="Q20" i="1" s="1"/>
  <c r="Q18" i="1" a="1"/>
  <c r="Q18" i="1" s="1"/>
  <c r="Q72" i="1" a="1"/>
  <c r="Q72" i="1" s="1"/>
  <c r="Q34" i="1" a="1"/>
  <c r="Q34" i="1" s="1"/>
  <c r="Q62" i="1" a="1"/>
  <c r="Q62" i="1" s="1"/>
  <c r="Q36" i="1" a="1"/>
  <c r="Q36" i="1" s="1"/>
  <c r="Q35" i="1" a="1"/>
  <c r="Q35" i="1" s="1"/>
  <c r="Q32" i="1" a="1"/>
  <c r="Q32" i="1" s="1"/>
  <c r="Q43" i="1" a="1"/>
  <c r="Q43" i="1" s="1"/>
  <c r="J285" i="12"/>
  <c r="K151" i="12"/>
  <c r="K193" i="12"/>
  <c r="H185" i="12"/>
  <c r="J129" i="12"/>
  <c r="J429" i="12"/>
  <c r="H105" i="12"/>
  <c r="J272" i="12"/>
  <c r="J109" i="12"/>
  <c r="K117" i="12"/>
  <c r="H350" i="12"/>
  <c r="J15" i="12"/>
  <c r="J385" i="12"/>
  <c r="J147" i="12"/>
  <c r="J44" i="12"/>
  <c r="H139" i="12"/>
  <c r="H342" i="12"/>
  <c r="H181" i="12"/>
  <c r="J152" i="12"/>
  <c r="H124" i="12"/>
  <c r="H218" i="12"/>
  <c r="H264" i="12"/>
  <c r="J303" i="12"/>
  <c r="J46" i="12"/>
  <c r="J266" i="12"/>
  <c r="J437" i="12"/>
  <c r="H378" i="12"/>
  <c r="J182" i="12"/>
  <c r="J371" i="12"/>
  <c r="J281" i="12"/>
  <c r="J88" i="12"/>
  <c r="K226" i="12"/>
  <c r="K2" i="12"/>
  <c r="J309" i="12"/>
  <c r="K108" i="12"/>
  <c r="H380" i="12"/>
  <c r="H341" i="12"/>
  <c r="H204" i="12"/>
  <c r="K125" i="12"/>
  <c r="K124" i="12"/>
  <c r="H315" i="12"/>
  <c r="J410" i="12"/>
  <c r="H31" i="12"/>
  <c r="H428" i="12"/>
  <c r="H143" i="12"/>
  <c r="K55" i="12"/>
  <c r="H65" i="12"/>
  <c r="J155" i="12"/>
  <c r="K185" i="12"/>
  <c r="J183" i="12"/>
  <c r="H72" i="12"/>
  <c r="J64" i="12"/>
  <c r="H162" i="12"/>
  <c r="J424" i="12"/>
  <c r="J84" i="12"/>
  <c r="H30" i="12"/>
  <c r="J125" i="12"/>
  <c r="H260" i="12"/>
  <c r="J223" i="12"/>
  <c r="K51" i="12"/>
  <c r="H75" i="12"/>
  <c r="H345" i="12"/>
  <c r="H107" i="12"/>
  <c r="J191" i="12"/>
  <c r="H262" i="12"/>
  <c r="K158" i="12"/>
  <c r="K11" i="12"/>
  <c r="J320" i="12"/>
  <c r="J36" i="12"/>
  <c r="J50" i="12"/>
  <c r="K204" i="12"/>
  <c r="J269" i="12"/>
  <c r="K194" i="12"/>
  <c r="J260" i="12"/>
  <c r="H90" i="12"/>
  <c r="K177" i="12"/>
  <c r="J378" i="12"/>
  <c r="H73" i="12"/>
  <c r="K64" i="12"/>
  <c r="J337" i="12"/>
  <c r="H222" i="12"/>
  <c r="J245" i="12"/>
  <c r="K202" i="12"/>
  <c r="J302" i="12"/>
  <c r="J373" i="12"/>
  <c r="H174" i="12"/>
  <c r="J114" i="12"/>
  <c r="J172" i="12"/>
  <c r="H403" i="12"/>
  <c r="J267" i="12"/>
  <c r="H97" i="12"/>
  <c r="K101" i="12"/>
  <c r="H191" i="12"/>
  <c r="K225" i="12"/>
  <c r="K94" i="12"/>
  <c r="H340" i="12"/>
  <c r="J24" i="12"/>
  <c r="H53" i="12"/>
  <c r="H274" i="12"/>
  <c r="J280" i="12"/>
  <c r="H52" i="12"/>
  <c r="J160" i="12"/>
  <c r="H44" i="12"/>
  <c r="H138" i="12"/>
  <c r="J287" i="12"/>
  <c r="H116" i="12"/>
  <c r="J313" i="12"/>
  <c r="K107" i="12"/>
  <c r="J75" i="12"/>
  <c r="H416" i="12"/>
  <c r="H67" i="12"/>
  <c r="J314" i="12"/>
  <c r="J319" i="12"/>
  <c r="H413" i="12"/>
  <c r="H147" i="12"/>
  <c r="H155" i="12"/>
  <c r="H194" i="12"/>
  <c r="J162" i="12"/>
  <c r="J240" i="12"/>
  <c r="K188" i="12"/>
  <c r="J291" i="12"/>
  <c r="K63" i="12"/>
  <c r="K167" i="12"/>
  <c r="K243" i="12"/>
  <c r="H283" i="12"/>
  <c r="J118" i="12"/>
  <c r="J77" i="12"/>
  <c r="H178" i="12"/>
  <c r="H100" i="12"/>
  <c r="J139" i="12"/>
  <c r="K155" i="12"/>
  <c r="H12" i="12"/>
  <c r="K102" i="12"/>
  <c r="J418" i="12"/>
  <c r="J2" i="12"/>
  <c r="H156" i="12"/>
  <c r="J332" i="12"/>
  <c r="H198" i="12"/>
  <c r="K115" i="12"/>
  <c r="K104" i="12"/>
  <c r="H176" i="12"/>
  <c r="J300" i="12"/>
  <c r="H249" i="12"/>
  <c r="J242" i="12"/>
  <c r="H420" i="12"/>
  <c r="H42" i="12"/>
  <c r="H115" i="12"/>
  <c r="K150" i="12"/>
  <c r="H142" i="12"/>
  <c r="K148" i="12"/>
  <c r="H427" i="12"/>
  <c r="J377" i="12"/>
  <c r="J276" i="12"/>
  <c r="J199" i="12"/>
  <c r="J204" i="12"/>
  <c r="H10" i="12"/>
  <c r="H311" i="12"/>
  <c r="H351" i="12"/>
  <c r="H206" i="12"/>
  <c r="H398" i="12"/>
  <c r="K241" i="12"/>
  <c r="K164" i="12"/>
  <c r="J40" i="12"/>
  <c r="H203" i="12"/>
  <c r="J288" i="12"/>
  <c r="H331" i="12"/>
  <c r="J239" i="12"/>
  <c r="H280" i="12"/>
  <c r="H402" i="12"/>
  <c r="K249" i="12"/>
  <c r="H426" i="12"/>
  <c r="K35" i="12"/>
  <c r="K172" i="12"/>
  <c r="K213" i="12"/>
  <c r="H279" i="12"/>
  <c r="J384" i="12"/>
  <c r="H334" i="12"/>
  <c r="H71" i="12"/>
  <c r="H237" i="12"/>
  <c r="H94" i="12"/>
  <c r="J22" i="12"/>
  <c r="K134" i="12"/>
  <c r="H112" i="12"/>
  <c r="H339" i="12"/>
  <c r="K75" i="12"/>
  <c r="K38" i="12"/>
  <c r="J292" i="12"/>
  <c r="J258" i="12"/>
  <c r="J405" i="12"/>
  <c r="J263" i="12"/>
  <c r="K90" i="12"/>
  <c r="J42" i="12"/>
  <c r="K190" i="12"/>
  <c r="J343" i="12"/>
  <c r="K156" i="12"/>
  <c r="H275" i="12"/>
  <c r="J356" i="12"/>
  <c r="K68" i="12"/>
  <c r="J417" i="12"/>
  <c r="K126" i="12"/>
  <c r="J97" i="12"/>
  <c r="J17" i="12"/>
  <c r="H353" i="12"/>
  <c r="K173" i="12"/>
  <c r="K81" i="12"/>
  <c r="H202" i="12"/>
  <c r="J243" i="12"/>
  <c r="H308" i="12"/>
  <c r="J5" i="12"/>
  <c r="H210" i="12"/>
  <c r="K36" i="12"/>
  <c r="J121" i="12"/>
  <c r="K112" i="12"/>
  <c r="J270" i="12"/>
  <c r="H330" i="12"/>
  <c r="H60" i="12"/>
  <c r="K217" i="12"/>
  <c r="J323" i="12"/>
  <c r="H99" i="12"/>
  <c r="J25" i="12"/>
  <c r="J173" i="12"/>
  <c r="J41" i="12"/>
  <c r="J228" i="12"/>
  <c r="J208" i="12"/>
  <c r="K3" i="12"/>
  <c r="K54" i="12"/>
  <c r="K19" i="12"/>
  <c r="J283" i="12"/>
  <c r="H344" i="12"/>
  <c r="J255" i="12"/>
  <c r="J117" i="12"/>
  <c r="H144" i="12"/>
  <c r="J414" i="12"/>
  <c r="J433" i="12"/>
  <c r="H356" i="12"/>
  <c r="J278" i="12"/>
  <c r="H125" i="12"/>
  <c r="H184" i="12"/>
  <c r="J37" i="12"/>
  <c r="H160" i="12"/>
  <c r="K96" i="12"/>
  <c r="H317" i="12"/>
  <c r="J170" i="12"/>
  <c r="H419" i="12"/>
  <c r="H183" i="12"/>
  <c r="H195" i="12"/>
  <c r="J217" i="12"/>
  <c r="J186" i="12"/>
  <c r="H248" i="12"/>
  <c r="J128" i="12"/>
  <c r="H244" i="12"/>
  <c r="K111" i="12"/>
  <c r="J179" i="12"/>
  <c r="J403" i="12"/>
  <c r="J361" i="12"/>
  <c r="K97" i="12"/>
  <c r="J347" i="12"/>
  <c r="H208" i="12"/>
  <c r="K187" i="12"/>
  <c r="H392" i="12"/>
  <c r="J111" i="12"/>
  <c r="J365" i="12"/>
  <c r="J375" i="12"/>
  <c r="K45" i="12"/>
  <c r="K93" i="12"/>
  <c r="J364" i="12"/>
  <c r="H216" i="12"/>
  <c r="J252" i="12"/>
  <c r="H197" i="12"/>
  <c r="J103" i="12"/>
  <c r="K171" i="12"/>
  <c r="J203" i="12"/>
  <c r="H253" i="12"/>
  <c r="J290" i="12"/>
  <c r="J169" i="12"/>
  <c r="J6" i="12"/>
  <c r="H346" i="12"/>
  <c r="H11" i="12"/>
  <c r="K186" i="12"/>
  <c r="K224" i="12"/>
  <c r="J35" i="12"/>
  <c r="K189" i="12"/>
  <c r="H393" i="12"/>
  <c r="J190" i="12"/>
  <c r="H234" i="12"/>
  <c r="J398" i="12"/>
  <c r="K77" i="12"/>
  <c r="J123" i="12"/>
  <c r="H332" i="12"/>
  <c r="H375" i="12"/>
  <c r="K32" i="12"/>
  <c r="J142" i="12"/>
  <c r="H239" i="12"/>
  <c r="J339" i="12"/>
  <c r="H130" i="12"/>
  <c r="J60" i="12"/>
  <c r="K72" i="12"/>
  <c r="J360" i="12"/>
  <c r="H431" i="12"/>
  <c r="J9" i="12"/>
  <c r="H373" i="12"/>
  <c r="K105" i="12"/>
  <c r="H359" i="12"/>
  <c r="J151" i="12"/>
  <c r="H207" i="12"/>
  <c r="K215" i="12"/>
  <c r="K166" i="12"/>
  <c r="J177" i="12"/>
  <c r="J102" i="12"/>
  <c r="J416" i="12"/>
  <c r="K235" i="12"/>
  <c r="J409" i="12"/>
  <c r="J145" i="12"/>
  <c r="K207" i="12"/>
  <c r="H325" i="12"/>
  <c r="H306" i="12"/>
  <c r="H158" i="12"/>
  <c r="H263" i="12"/>
  <c r="K47" i="12"/>
  <c r="K236" i="12"/>
  <c r="J383" i="12"/>
  <c r="J216" i="12"/>
  <c r="K42" i="12"/>
  <c r="H224" i="12"/>
  <c r="J124" i="12"/>
  <c r="J115" i="12"/>
  <c r="J8" i="12"/>
  <c r="K176" i="12"/>
  <c r="K138" i="12"/>
  <c r="K4" i="12"/>
  <c r="H2" i="12"/>
  <c r="H363" i="12"/>
  <c r="J366" i="12"/>
  <c r="H295" i="12"/>
  <c r="K123" i="12"/>
  <c r="J89" i="12"/>
  <c r="J80" i="12"/>
  <c r="J95" i="12"/>
  <c r="K13" i="12"/>
  <c r="H149" i="12"/>
  <c r="H320" i="12"/>
  <c r="J346" i="12"/>
  <c r="J286" i="12"/>
  <c r="J231" i="12"/>
  <c r="J167" i="12"/>
  <c r="J52" i="12"/>
  <c r="J108" i="12"/>
  <c r="H61" i="12"/>
  <c r="H55" i="12"/>
  <c r="K160" i="12"/>
  <c r="H227" i="12"/>
  <c r="J241" i="12"/>
  <c r="K14" i="12"/>
  <c r="H154" i="12"/>
  <c r="H169" i="12"/>
  <c r="J90" i="12"/>
  <c r="H33" i="12"/>
  <c r="H189" i="12"/>
  <c r="H324" i="12"/>
  <c r="H360" i="12"/>
  <c r="H327" i="12"/>
  <c r="J72" i="12"/>
  <c r="J406" i="12"/>
  <c r="H410" i="12"/>
  <c r="J244" i="12"/>
  <c r="J293" i="12"/>
  <c r="H117" i="12"/>
  <c r="K205" i="12"/>
  <c r="J247" i="12"/>
  <c r="H229" i="12"/>
  <c r="J372" i="12"/>
  <c r="K80" i="12"/>
  <c r="H252" i="12"/>
  <c r="J106" i="12"/>
  <c r="J395" i="12"/>
  <c r="H235" i="12"/>
  <c r="H436" i="12"/>
  <c r="K174" i="12"/>
  <c r="J307" i="12"/>
  <c r="H284" i="12"/>
  <c r="J158" i="12"/>
  <c r="J187" i="12"/>
  <c r="J153" i="12"/>
  <c r="H45" i="12"/>
  <c r="H182" i="12"/>
  <c r="J74" i="12"/>
  <c r="H384" i="12"/>
  <c r="K222" i="12"/>
  <c r="H310" i="12"/>
  <c r="H76" i="12"/>
  <c r="H179" i="12"/>
  <c r="H180" i="12"/>
  <c r="J130" i="12"/>
  <c r="J401" i="12"/>
  <c r="J273" i="12"/>
  <c r="J311" i="12"/>
  <c r="K41" i="12"/>
  <c r="K196" i="12"/>
  <c r="H135" i="12"/>
  <c r="J200" i="12"/>
  <c r="J136" i="12"/>
  <c r="H386" i="12"/>
  <c r="H296" i="12"/>
  <c r="J250" i="12"/>
  <c r="H266" i="12"/>
  <c r="J68" i="12"/>
  <c r="K7" i="12"/>
  <c r="J386" i="12"/>
  <c r="H200" i="12"/>
  <c r="H297" i="12"/>
  <c r="H123" i="12"/>
  <c r="K17" i="12"/>
  <c r="K153" i="12"/>
  <c r="H294" i="12"/>
  <c r="H140" i="12"/>
  <c r="H121" i="12"/>
  <c r="K21" i="12"/>
  <c r="K184" i="12"/>
  <c r="H371" i="12"/>
  <c r="K252" i="12"/>
  <c r="H20" i="12"/>
  <c r="H435" i="12"/>
  <c r="K25" i="12"/>
  <c r="J165" i="12"/>
  <c r="J297" i="12"/>
  <c r="K44" i="12"/>
  <c r="J51" i="12"/>
  <c r="J87" i="12"/>
  <c r="J39" i="12"/>
  <c r="K92" i="12"/>
  <c r="K229" i="12"/>
  <c r="H273" i="12"/>
  <c r="J55" i="12"/>
  <c r="K136" i="12"/>
  <c r="H404" i="12"/>
  <c r="J357" i="12"/>
  <c r="H242" i="12"/>
  <c r="K74" i="12"/>
  <c r="J213" i="12"/>
  <c r="H93" i="12"/>
  <c r="H347" i="12"/>
  <c r="J325" i="12"/>
  <c r="J227" i="12"/>
  <c r="K84" i="12"/>
  <c r="H319" i="12"/>
  <c r="K220" i="12"/>
  <c r="H172" i="12"/>
  <c r="J66" i="12"/>
  <c r="J367" i="12"/>
  <c r="J10" i="12"/>
  <c r="H285" i="12"/>
  <c r="K200" i="12"/>
  <c r="J21" i="12"/>
  <c r="H366" i="12"/>
  <c r="J168" i="12"/>
  <c r="H85" i="12"/>
  <c r="J329" i="12"/>
  <c r="J71" i="12"/>
  <c r="H415" i="12"/>
  <c r="H255" i="12"/>
  <c r="J133" i="12"/>
  <c r="J396" i="12"/>
  <c r="H25" i="12"/>
  <c r="H424" i="12"/>
  <c r="H103" i="12"/>
  <c r="J210" i="12"/>
  <c r="J333" i="12"/>
  <c r="J370" i="12"/>
  <c r="J61" i="12"/>
  <c r="H96" i="12"/>
  <c r="K159" i="12"/>
  <c r="J38" i="12"/>
  <c r="J20" i="12"/>
  <c r="K10" i="12"/>
  <c r="K106" i="12"/>
  <c r="H358" i="12"/>
  <c r="H35" i="12"/>
  <c r="J211" i="12"/>
  <c r="J57" i="12"/>
  <c r="H335" i="12"/>
  <c r="J69" i="12"/>
  <c r="H39" i="12"/>
  <c r="K58" i="12"/>
  <c r="H84" i="12"/>
  <c r="J230" i="12"/>
  <c r="H221" i="12"/>
  <c r="J268" i="12"/>
  <c r="J171" i="12"/>
  <c r="K28" i="12"/>
  <c r="J148" i="12"/>
  <c r="H209" i="12"/>
  <c r="H152" i="12"/>
  <c r="H405" i="12"/>
  <c r="H379" i="12"/>
  <c r="K82" i="12"/>
  <c r="J277" i="12"/>
  <c r="H328" i="12"/>
  <c r="H89" i="12"/>
  <c r="H304" i="12"/>
  <c r="H349" i="12"/>
  <c r="J318" i="12"/>
  <c r="H161" i="12"/>
  <c r="K83" i="12"/>
  <c r="J23" i="12"/>
  <c r="J350" i="12"/>
  <c r="K244" i="12"/>
  <c r="J254" i="12"/>
  <c r="H343" i="12"/>
  <c r="H40" i="12"/>
  <c r="H407" i="12"/>
  <c r="K147" i="12"/>
  <c r="K161" i="12"/>
  <c r="J294" i="12"/>
  <c r="K78" i="12"/>
  <c r="H226" i="12"/>
  <c r="K223" i="12"/>
  <c r="J420" i="12"/>
  <c r="J28" i="12"/>
  <c r="H82" i="12"/>
  <c r="H381" i="12"/>
  <c r="H211" i="12"/>
  <c r="J49" i="12"/>
  <c r="J110" i="12"/>
  <c r="J257" i="12"/>
  <c r="J334" i="12"/>
  <c r="J214" i="12"/>
  <c r="J445" i="12"/>
  <c r="J4" i="12"/>
  <c r="H355" i="12"/>
  <c r="K49" i="12"/>
  <c r="H246" i="12"/>
  <c r="K195" i="12"/>
  <c r="K228" i="12"/>
  <c r="H95" i="12"/>
  <c r="H68" i="12"/>
  <c r="K66" i="12"/>
  <c r="J134" i="12"/>
  <c r="J413" i="12"/>
  <c r="J141" i="12"/>
  <c r="K169" i="12"/>
  <c r="H86" i="12"/>
  <c r="H157" i="12"/>
  <c r="J99" i="12"/>
  <c r="J261" i="12"/>
  <c r="J341" i="12"/>
  <c r="K61" i="12"/>
  <c r="J444" i="12"/>
  <c r="J70" i="12"/>
  <c r="J198" i="12"/>
  <c r="H374" i="12"/>
  <c r="K43" i="12"/>
  <c r="J107" i="12"/>
  <c r="J338" i="12"/>
  <c r="J98" i="12"/>
  <c r="H48" i="12"/>
  <c r="H220" i="12"/>
  <c r="H257" i="12"/>
  <c r="K100" i="12"/>
  <c r="H148" i="12"/>
  <c r="H177" i="12"/>
  <c r="J47" i="12"/>
  <c r="J175" i="12"/>
  <c r="H167" i="12"/>
  <c r="J174" i="12"/>
  <c r="H321" i="12"/>
  <c r="K146" i="12"/>
  <c r="H28" i="12"/>
  <c r="H368" i="12"/>
  <c r="H323" i="12"/>
  <c r="J256" i="12"/>
  <c r="J201" i="12"/>
  <c r="H196" i="12"/>
  <c r="J63" i="12"/>
  <c r="J259" i="12"/>
  <c r="H134" i="12"/>
  <c r="J82" i="12"/>
  <c r="K34" i="12"/>
  <c r="J436" i="12"/>
  <c r="K149" i="12"/>
  <c r="H205" i="12"/>
  <c r="J219" i="12"/>
  <c r="H136" i="12"/>
  <c r="K46" i="12"/>
  <c r="J3" i="12"/>
  <c r="H411" i="12"/>
  <c r="H433" i="12"/>
  <c r="K56" i="12"/>
  <c r="H106" i="12"/>
  <c r="K40" i="12"/>
  <c r="H270" i="12"/>
  <c r="K50" i="12"/>
  <c r="H126" i="12"/>
  <c r="K246" i="12"/>
  <c r="J355" i="12"/>
  <c r="K114" i="12"/>
  <c r="J78" i="12"/>
  <c r="K132" i="12"/>
  <c r="H365" i="12"/>
  <c r="K165" i="12"/>
  <c r="J176" i="12"/>
  <c r="H412" i="12"/>
  <c r="K179" i="12"/>
  <c r="H29" i="12"/>
  <c r="J271" i="12"/>
  <c r="K71" i="12"/>
  <c r="H153" i="12"/>
  <c r="K237" i="12"/>
  <c r="J116" i="12"/>
  <c r="H57" i="12"/>
  <c r="J345" i="12"/>
  <c r="H59" i="12"/>
  <c r="H390" i="12"/>
  <c r="J369" i="12"/>
  <c r="H146" i="12"/>
  <c r="K199" i="12"/>
  <c r="H122" i="12"/>
  <c r="H422" i="12"/>
  <c r="J235" i="12"/>
  <c r="H77" i="12"/>
  <c r="J79" i="12"/>
  <c r="H432" i="12"/>
  <c r="H23" i="12"/>
  <c r="J13" i="12"/>
  <c r="J248" i="12"/>
  <c r="J326" i="12"/>
  <c r="J205" i="12"/>
  <c r="K24" i="12"/>
  <c r="J56" i="12"/>
  <c r="H300" i="12"/>
  <c r="H66" i="12"/>
  <c r="H192" i="12"/>
  <c r="H425" i="12"/>
  <c r="J331" i="12"/>
  <c r="J215" i="12"/>
  <c r="J193" i="12"/>
  <c r="H199" i="12"/>
  <c r="K152" i="12"/>
  <c r="K143" i="12"/>
  <c r="J206" i="12"/>
  <c r="H111" i="12"/>
  <c r="K139" i="12"/>
  <c r="J26" i="12"/>
  <c r="J149" i="12"/>
  <c r="H230" i="12"/>
  <c r="H312" i="12"/>
  <c r="J81" i="12"/>
  <c r="K122" i="12"/>
  <c r="H113" i="12"/>
  <c r="J85" i="12"/>
  <c r="K183" i="12"/>
  <c r="J374" i="12"/>
  <c r="K73" i="12"/>
  <c r="H173" i="12"/>
  <c r="H287" i="12"/>
  <c r="H62" i="12"/>
  <c r="H38" i="12"/>
  <c r="K39" i="12"/>
  <c r="J408" i="12"/>
  <c r="J188" i="12"/>
  <c r="J441" i="12"/>
  <c r="J368" i="12"/>
  <c r="K67" i="12"/>
  <c r="H305" i="12"/>
  <c r="J132" i="12"/>
  <c r="H141" i="12"/>
  <c r="J407" i="12"/>
  <c r="J14" i="12"/>
  <c r="K201" i="12"/>
  <c r="K130" i="12"/>
  <c r="H108" i="12"/>
  <c r="H307" i="12"/>
  <c r="J92" i="12"/>
  <c r="H256" i="12"/>
  <c r="J178" i="12"/>
  <c r="H267" i="12"/>
  <c r="H401" i="12"/>
  <c r="J58" i="12"/>
  <c r="H186" i="12"/>
  <c r="H383" i="12"/>
  <c r="H27" i="12"/>
  <c r="J351" i="12"/>
  <c r="J354" i="12"/>
  <c r="H151" i="12"/>
  <c r="J218" i="12"/>
  <c r="J253" i="12"/>
  <c r="J29" i="12"/>
  <c r="H231" i="12"/>
  <c r="H101" i="12"/>
  <c r="J30" i="12"/>
  <c r="K119" i="12"/>
  <c r="H232" i="12"/>
  <c r="J62" i="12"/>
  <c r="H16" i="12"/>
  <c r="J65" i="12"/>
  <c r="J428" i="12"/>
  <c r="J301" i="12"/>
  <c r="H118" i="12"/>
  <c r="K6" i="12"/>
  <c r="K121" i="12"/>
  <c r="H54" i="12"/>
  <c r="K30" i="12"/>
  <c r="K232" i="12"/>
  <c r="J315" i="12"/>
  <c r="H245" i="12"/>
  <c r="H396" i="12"/>
  <c r="K135" i="12"/>
  <c r="J237" i="12"/>
  <c r="J431" i="12"/>
  <c r="K239" i="12"/>
  <c r="J105" i="12"/>
  <c r="J387" i="12"/>
  <c r="K59" i="12"/>
  <c r="H382" i="12"/>
  <c r="J359" i="12"/>
  <c r="H201" i="12"/>
  <c r="J390" i="12"/>
  <c r="H326" i="12"/>
  <c r="J324" i="12"/>
  <c r="H34" i="12"/>
  <c r="K180" i="12"/>
  <c r="K99" i="12"/>
  <c r="J251" i="12"/>
  <c r="J249" i="12"/>
  <c r="J344" i="12"/>
  <c r="H170" i="12"/>
  <c r="J86" i="12"/>
  <c r="K22" i="12"/>
  <c r="H385" i="12"/>
  <c r="J164" i="12"/>
  <c r="K31" i="12"/>
  <c r="J348" i="12"/>
  <c r="J415" i="12"/>
  <c r="H272" i="12"/>
  <c r="J45" i="12"/>
  <c r="J425" i="12"/>
  <c r="J209" i="12"/>
  <c r="H362" i="12"/>
  <c r="J67" i="12"/>
  <c r="J389" i="12"/>
  <c r="K48" i="12"/>
  <c r="J400" i="12"/>
  <c r="K65" i="12"/>
  <c r="H223" i="12"/>
  <c r="H387" i="12"/>
  <c r="J157" i="12"/>
  <c r="J442" i="12"/>
  <c r="J430" i="12"/>
  <c r="H47" i="12"/>
  <c r="H268" i="12"/>
  <c r="H377" i="12"/>
  <c r="H241" i="12"/>
  <c r="K141" i="12"/>
  <c r="J322" i="12"/>
  <c r="H166" i="12"/>
  <c r="H293" i="12"/>
  <c r="K23" i="12"/>
  <c r="H104" i="12"/>
  <c r="J423" i="12"/>
  <c r="H63" i="12"/>
  <c r="K57" i="12"/>
  <c r="K163" i="12"/>
  <c r="J119" i="12"/>
  <c r="K221" i="12"/>
  <c r="J421" i="12"/>
  <c r="K211" i="12"/>
  <c r="J306" i="12"/>
  <c r="K208" i="12"/>
  <c r="J382" i="12"/>
  <c r="H81" i="12"/>
  <c r="J221" i="12"/>
  <c r="H258" i="12"/>
  <c r="H271" i="12"/>
  <c r="J412" i="12"/>
  <c r="H43" i="12"/>
  <c r="H316" i="12"/>
  <c r="J226" i="12"/>
  <c r="J264" i="12"/>
  <c r="J434" i="12"/>
  <c r="K154" i="12"/>
  <c r="H17" i="12"/>
  <c r="J126" i="12"/>
  <c r="J195" i="12"/>
  <c r="H24" i="12"/>
  <c r="H338" i="12"/>
  <c r="H69" i="12"/>
  <c r="J7" i="12"/>
  <c r="H348" i="12"/>
  <c r="H83" i="12"/>
  <c r="H318" i="12"/>
  <c r="J275" i="12"/>
  <c r="J163" i="12"/>
  <c r="J234" i="12"/>
  <c r="K16" i="12"/>
  <c r="J265" i="12"/>
  <c r="K15" i="12"/>
  <c r="H236" i="12"/>
  <c r="H120" i="12"/>
  <c r="J122" i="12"/>
  <c r="J262" i="12"/>
  <c r="K145" i="12"/>
  <c r="J399" i="12"/>
  <c r="J16" i="12"/>
  <c r="J376" i="12"/>
  <c r="J336" i="12"/>
  <c r="K26" i="12"/>
  <c r="K253" i="12"/>
  <c r="H277" i="12"/>
  <c r="K168" i="12"/>
  <c r="K251" i="12"/>
  <c r="H50" i="12"/>
  <c r="K87" i="12"/>
  <c r="K70" i="12"/>
  <c r="K95" i="12"/>
  <c r="H298" i="12"/>
  <c r="J335" i="12"/>
  <c r="H265" i="12"/>
  <c r="K113" i="12"/>
  <c r="K116" i="12"/>
  <c r="K120" i="12"/>
  <c r="J33" i="12"/>
  <c r="J144" i="12"/>
  <c r="H369" i="12"/>
  <c r="H418" i="12"/>
  <c r="H370" i="12"/>
  <c r="H56" i="12"/>
  <c r="H19" i="12"/>
  <c r="H292" i="12"/>
  <c r="K29" i="12"/>
  <c r="H22" i="12"/>
  <c r="H74" i="12"/>
  <c r="J32" i="12"/>
  <c r="J127" i="12"/>
  <c r="J440" i="12"/>
  <c r="H88" i="12"/>
  <c r="J59" i="12"/>
  <c r="H188" i="12"/>
  <c r="K33" i="12"/>
  <c r="H434" i="12"/>
  <c r="J232" i="12"/>
  <c r="J91" i="12"/>
  <c r="K128" i="12"/>
  <c r="J96" i="12"/>
  <c r="K234" i="12"/>
  <c r="J304" i="12"/>
  <c r="J321" i="12"/>
  <c r="H259" i="12"/>
  <c r="H408" i="12"/>
  <c r="H133" i="12"/>
  <c r="H119" i="12"/>
  <c r="J394" i="12"/>
  <c r="J202" i="12"/>
  <c r="H406" i="12"/>
  <c r="H261" i="12"/>
  <c r="H303" i="12"/>
  <c r="H278" i="12"/>
  <c r="H276" i="12"/>
  <c r="H251" i="12"/>
  <c r="H110" i="12"/>
  <c r="H269" i="12"/>
  <c r="J18" i="12"/>
  <c r="J317" i="12"/>
  <c r="J380" i="12"/>
  <c r="H361" i="12"/>
  <c r="H215" i="12"/>
  <c r="H357" i="12"/>
  <c r="J381" i="12"/>
  <c r="J446" i="12"/>
  <c r="J397" i="12"/>
  <c r="J233" i="12"/>
  <c r="J328" i="12"/>
  <c r="H137" i="12"/>
  <c r="H131" i="12"/>
  <c r="H225" i="12"/>
  <c r="H364" i="12"/>
  <c r="J185" i="12"/>
  <c r="H26" i="12"/>
  <c r="K210" i="12"/>
  <c r="K157" i="12"/>
  <c r="J404" i="12"/>
  <c r="K233" i="12"/>
  <c r="J229" i="12"/>
  <c r="K98" i="12"/>
  <c r="J443" i="12"/>
  <c r="K231" i="12"/>
  <c r="H163" i="12"/>
  <c r="K37" i="12"/>
  <c r="J154" i="12"/>
  <c r="K238" i="12"/>
  <c r="K9" i="12"/>
  <c r="J402" i="12"/>
  <c r="H238" i="12"/>
  <c r="H8" i="12"/>
  <c r="H299" i="12"/>
  <c r="J181" i="12"/>
  <c r="H214" i="12"/>
  <c r="J43" i="12"/>
  <c r="K88" i="12"/>
  <c r="H288" i="12"/>
  <c r="K209" i="12"/>
  <c r="H414" i="12"/>
  <c r="H394" i="12"/>
  <c r="J340" i="12"/>
  <c r="J236" i="12"/>
  <c r="J184" i="12"/>
  <c r="J295" i="12"/>
  <c r="H132" i="12"/>
  <c r="J137" i="12"/>
  <c r="K227" i="12"/>
  <c r="H129" i="12"/>
  <c r="J379" i="12"/>
  <c r="H14" i="12"/>
  <c r="H409" i="12"/>
  <c r="J48" i="12"/>
  <c r="J224" i="12"/>
  <c r="K178" i="12"/>
  <c r="J358" i="12"/>
  <c r="K91" i="12"/>
  <c r="H309" i="12"/>
  <c r="H314" i="12"/>
  <c r="H354" i="12"/>
  <c r="K89" i="12"/>
  <c r="H109" i="12"/>
  <c r="K79" i="12"/>
  <c r="K137" i="12"/>
  <c r="K86" i="12"/>
  <c r="J192" i="12"/>
  <c r="J411" i="12"/>
  <c r="J113" i="12"/>
  <c r="H254" i="12"/>
  <c r="K18" i="12"/>
  <c r="J93" i="12"/>
  <c r="H333" i="12"/>
  <c r="J131" i="12"/>
  <c r="H168" i="12"/>
  <c r="K216" i="12"/>
  <c r="K245" i="12"/>
  <c r="J196" i="12"/>
  <c r="K12" i="12"/>
  <c r="J31" i="12"/>
  <c r="J312" i="12"/>
  <c r="H395" i="12"/>
  <c r="H102" i="12"/>
  <c r="H37" i="12"/>
  <c r="K197" i="12"/>
  <c r="H164" i="12"/>
  <c r="K144" i="12"/>
  <c r="H337" i="12"/>
  <c r="J427" i="12"/>
  <c r="J54" i="12"/>
  <c r="K248" i="12"/>
  <c r="H217" i="12"/>
  <c r="J207" i="12"/>
  <c r="H32" i="12"/>
  <c r="K20" i="12"/>
  <c r="H213" i="12"/>
  <c r="J419" i="12"/>
  <c r="J393" i="12"/>
  <c r="J11" i="12"/>
  <c r="K85" i="12"/>
  <c r="K182" i="12"/>
  <c r="J305" i="12"/>
  <c r="J274" i="12"/>
  <c r="H286" i="12"/>
  <c r="H329" i="12"/>
  <c r="H41" i="12"/>
  <c r="J299" i="12"/>
  <c r="H291" i="12"/>
  <c r="K250" i="12"/>
  <c r="H175" i="12"/>
  <c r="J362" i="12"/>
  <c r="J282" i="12"/>
  <c r="J76" i="12"/>
  <c r="J94" i="12"/>
  <c r="K76" i="12"/>
  <c r="K140" i="12"/>
  <c r="J212" i="12"/>
  <c r="H302" i="12"/>
  <c r="H240" i="12"/>
  <c r="J156" i="12"/>
  <c r="H36" i="12"/>
  <c r="J363" i="12"/>
  <c r="J296" i="12"/>
  <c r="H128" i="12"/>
  <c r="K162" i="12"/>
  <c r="J432" i="12"/>
  <c r="J112" i="12"/>
  <c r="H281" i="12"/>
  <c r="H18" i="12"/>
  <c r="K242" i="12"/>
  <c r="J73" i="12"/>
  <c r="J308" i="12"/>
  <c r="H87" i="12"/>
  <c r="J391" i="12"/>
  <c r="J166" i="12"/>
  <c r="J349" i="12"/>
  <c r="K170" i="12"/>
  <c r="H145" i="12"/>
  <c r="K214" i="12"/>
  <c r="J189" i="12"/>
  <c r="J353" i="12"/>
  <c r="J140" i="12"/>
  <c r="J161" i="12"/>
  <c r="J316" i="12"/>
  <c r="H165" i="12"/>
  <c r="H243" i="12"/>
  <c r="K131" i="12"/>
  <c r="J327" i="12"/>
  <c r="H114" i="12"/>
  <c r="K60" i="12"/>
  <c r="H301" i="12"/>
  <c r="H98" i="12"/>
  <c r="K142" i="12"/>
  <c r="J138" i="12"/>
  <c r="J352" i="12"/>
  <c r="H421" i="12"/>
  <c r="H423" i="12"/>
  <c r="K129" i="12"/>
  <c r="H336" i="12"/>
  <c r="H127" i="12"/>
  <c r="J159" i="12"/>
  <c r="H13" i="12"/>
  <c r="H430" i="12"/>
  <c r="H233" i="12"/>
  <c r="H21" i="12"/>
  <c r="K118" i="12"/>
  <c r="J342" i="12"/>
  <c r="J194" i="12"/>
  <c r="J104" i="12"/>
  <c r="H376" i="12"/>
  <c r="J143" i="12"/>
  <c r="J27" i="12"/>
  <c r="J438" i="12"/>
  <c r="K127" i="12"/>
  <c r="H219" i="12"/>
  <c r="H372" i="12"/>
  <c r="K52" i="12"/>
  <c r="K203" i="12"/>
  <c r="K109" i="12"/>
  <c r="J150" i="12"/>
  <c r="H388" i="12"/>
  <c r="H247" i="12"/>
  <c r="H322" i="12"/>
  <c r="K5" i="12"/>
  <c r="H429" i="12"/>
  <c r="J83" i="12"/>
  <c r="J435" i="12"/>
  <c r="H80" i="12"/>
  <c r="J220" i="12"/>
  <c r="K240" i="12"/>
  <c r="J310" i="12"/>
  <c r="H193" i="12"/>
  <c r="J53" i="12"/>
  <c r="J12" i="12"/>
  <c r="J392" i="12"/>
  <c r="H389" i="12"/>
  <c r="K110" i="12"/>
  <c r="H5" i="12"/>
  <c r="H4" i="12"/>
  <c r="K198" i="12"/>
  <c r="K219" i="12"/>
  <c r="J289" i="12"/>
  <c r="J101" i="12"/>
  <c r="J238" i="12"/>
  <c r="K247" i="12"/>
  <c r="K53" i="12"/>
  <c r="J197" i="12"/>
  <c r="H250" i="12"/>
  <c r="H399" i="12"/>
  <c r="H397" i="12"/>
  <c r="K230" i="12"/>
  <c r="J279" i="12"/>
  <c r="H3" i="12"/>
  <c r="H46" i="12"/>
  <c r="K27" i="12"/>
  <c r="J19" i="12"/>
  <c r="K62" i="12"/>
  <c r="H212" i="12"/>
  <c r="K192" i="12"/>
  <c r="H313" i="12"/>
  <c r="K8" i="12"/>
  <c r="H150" i="12"/>
  <c r="J388" i="12"/>
  <c r="K206" i="12"/>
  <c r="J298" i="12"/>
  <c r="H92" i="12"/>
  <c r="K191" i="12"/>
  <c r="H417" i="12"/>
  <c r="H282" i="12"/>
  <c r="K133" i="12"/>
  <c r="H49" i="12"/>
  <c r="K212" i="12"/>
  <c r="K218" i="12"/>
  <c r="K175" i="12"/>
  <c r="H190" i="12"/>
  <c r="H290" i="12"/>
  <c r="H91" i="12"/>
  <c r="J100" i="12"/>
  <c r="J146" i="12"/>
  <c r="J439" i="12"/>
  <c r="K69" i="12"/>
  <c r="H70" i="12"/>
  <c r="J222" i="12"/>
  <c r="J246" i="12"/>
  <c r="H6" i="12"/>
  <c r="J426" i="12"/>
  <c r="J180" i="12"/>
  <c r="H64" i="12"/>
  <c r="H159" i="12"/>
  <c r="H352" i="12"/>
  <c r="H187" i="12"/>
  <c r="H289" i="12"/>
  <c r="H7" i="12"/>
  <c r="H228" i="12"/>
  <c r="J422" i="12"/>
  <c r="K103" i="12"/>
  <c r="H79" i="12"/>
  <c r="H367" i="12"/>
  <c r="H391" i="12"/>
  <c r="H15" i="12"/>
  <c r="H78" i="12"/>
  <c r="J135" i="12"/>
  <c r="H9" i="12"/>
  <c r="J330" i="12"/>
  <c r="K181" i="12"/>
  <c r="J284" i="12"/>
  <c r="H58" i="12"/>
  <c r="H400" i="12"/>
  <c r="H171" i="12"/>
  <c r="J34" i="12"/>
  <c r="J120" i="12"/>
  <c r="H51" i="12"/>
  <c r="J225" i="12"/>
  <c r="Q60" i="1" l="1" a="1"/>
  <c r="Q60" i="1" s="1"/>
  <c r="L225" i="12" a="1"/>
  <c r="L225" i="12" s="1"/>
  <c r="I51" i="12" a="1"/>
  <c r="I51" i="12" s="1"/>
  <c r="L120" i="12" a="1"/>
  <c r="L120" i="12" s="1"/>
  <c r="L34" i="12" a="1"/>
  <c r="L34" i="12" s="1"/>
  <c r="I58" i="12" a="1"/>
  <c r="I58" i="12" s="1"/>
  <c r="M181" i="12" a="1"/>
  <c r="M181" i="12" s="1"/>
  <c r="I9" i="12" a="1"/>
  <c r="I9" i="12" s="1"/>
  <c r="L135" i="12" a="1"/>
  <c r="L135" i="12" s="1"/>
  <c r="I78" i="12" a="1"/>
  <c r="I78" i="12" s="1"/>
  <c r="I15" i="12" a="1"/>
  <c r="I15" i="12" s="1"/>
  <c r="I79" i="12" a="1"/>
  <c r="I79" i="12" s="1"/>
  <c r="M103" i="12" a="1"/>
  <c r="M103" i="12" s="1"/>
  <c r="I7" i="12" a="1"/>
  <c r="I7" i="12" s="1"/>
  <c r="I64" i="12" a="1"/>
  <c r="I64" i="12" s="1"/>
  <c r="L180" i="12" a="1"/>
  <c r="L180" i="12" s="1"/>
  <c r="I6" i="12" a="1"/>
  <c r="I6" i="12" s="1"/>
  <c r="L246" i="12" a="1"/>
  <c r="L246" i="12" s="1"/>
  <c r="L222" i="12" a="1"/>
  <c r="L222" i="12" s="1"/>
  <c r="I70" i="12" a="1"/>
  <c r="I70" i="12" s="1"/>
  <c r="M69" i="12" a="1"/>
  <c r="M69" i="12" s="1"/>
  <c r="L146" i="12" a="1"/>
  <c r="L146" i="12" s="1"/>
  <c r="L100" i="12" a="1"/>
  <c r="L100" i="12" s="1"/>
  <c r="I91" i="12" a="1"/>
  <c r="I91" i="12" s="1"/>
  <c r="M175" i="12" a="1"/>
  <c r="M175" i="12" s="1"/>
  <c r="M218" i="12" a="1"/>
  <c r="M218" i="12" s="1"/>
  <c r="M212" i="12" a="1"/>
  <c r="M212" i="12" s="1"/>
  <c r="I49" i="12" a="1"/>
  <c r="I49" i="12" s="1"/>
  <c r="M133" i="12" a="1"/>
  <c r="M133" i="12" s="1"/>
  <c r="M191" i="12" a="1"/>
  <c r="M191" i="12" s="1"/>
  <c r="I92" i="12" a="1"/>
  <c r="I92" i="12" s="1"/>
  <c r="M206" i="12" a="1"/>
  <c r="M206" i="12" s="1"/>
  <c r="M8" i="12" a="1"/>
  <c r="M8" i="12" s="1"/>
  <c r="M192" i="12" a="1"/>
  <c r="M192" i="12" s="1"/>
  <c r="M62" i="12" a="1"/>
  <c r="M62" i="12" s="1"/>
  <c r="L19" i="12" a="1"/>
  <c r="L19" i="12" s="1"/>
  <c r="M27" i="12" a="1"/>
  <c r="M27" i="12" s="1"/>
  <c r="I46" i="12" a="1"/>
  <c r="I46" i="12" s="1"/>
  <c r="I3" i="12" a="1"/>
  <c r="I3" i="12" s="1"/>
  <c r="M230" i="12" a="1"/>
  <c r="M230" i="12" s="1"/>
  <c r="L197" i="12" a="1"/>
  <c r="L197" i="12" s="1"/>
  <c r="M53" i="12" a="1"/>
  <c r="M53" i="12" s="1"/>
  <c r="L238" i="12" a="1"/>
  <c r="L238" i="12" s="1"/>
  <c r="L101" i="12" a="1"/>
  <c r="L101" i="12" s="1"/>
  <c r="M219" i="12" a="1"/>
  <c r="M219" i="12" s="1"/>
  <c r="M198" i="12" a="1"/>
  <c r="M198" i="12" s="1"/>
  <c r="I4" i="12" a="1"/>
  <c r="I4" i="12" s="1"/>
  <c r="I5" i="12" a="1"/>
  <c r="I5" i="12" s="1"/>
  <c r="M110" i="12" a="1"/>
  <c r="M110" i="12" s="1"/>
  <c r="L12" i="12" a="1"/>
  <c r="L12" i="12" s="1"/>
  <c r="L53" i="12" a="1"/>
  <c r="L53" i="12" s="1"/>
  <c r="N53" i="12" s="1"/>
  <c r="L220" i="12" a="1"/>
  <c r="L220" i="12" s="1"/>
  <c r="I80" i="12" a="1"/>
  <c r="I80" i="12" s="1"/>
  <c r="L83" i="12" a="1"/>
  <c r="L83" i="12" s="1"/>
  <c r="M5" i="12" a="1"/>
  <c r="M5" i="12" s="1"/>
  <c r="L150" i="12" a="1"/>
  <c r="L150" i="12" s="1"/>
  <c r="M109" i="12" a="1"/>
  <c r="M109" i="12" s="1"/>
  <c r="M203" i="12" a="1"/>
  <c r="M203" i="12" s="1"/>
  <c r="M52" i="12" a="1"/>
  <c r="M52" i="12" s="1"/>
  <c r="M127" i="12" a="1"/>
  <c r="M127" i="12" s="1"/>
  <c r="L27" i="12" a="1"/>
  <c r="L27" i="12" s="1"/>
  <c r="L143" i="12" a="1"/>
  <c r="L143" i="12" s="1"/>
  <c r="L104" i="12" a="1"/>
  <c r="L104" i="12" s="1"/>
  <c r="L194" i="12" a="1"/>
  <c r="L194" i="12" s="1"/>
  <c r="M118" i="12" a="1"/>
  <c r="M118" i="12" s="1"/>
  <c r="I21" i="12" a="1"/>
  <c r="I21" i="12" s="1"/>
  <c r="I13" i="12" a="1"/>
  <c r="I13" i="12" s="1"/>
  <c r="L159" i="12" a="1"/>
  <c r="L159" i="12" s="1"/>
  <c r="M129" i="12" a="1"/>
  <c r="M129" i="12" s="1"/>
  <c r="L138" i="12" a="1"/>
  <c r="L138" i="12" s="1"/>
  <c r="M142" i="12" a="1"/>
  <c r="M142" i="12" s="1"/>
  <c r="I98" i="12" a="1"/>
  <c r="I98" i="12" s="1"/>
  <c r="M60" i="12" a="1"/>
  <c r="M60" i="12" s="1"/>
  <c r="M131" i="12" a="1"/>
  <c r="M131" i="12" s="1"/>
  <c r="L161" i="12" a="1"/>
  <c r="L161" i="12" s="1"/>
  <c r="L140" i="12" a="1"/>
  <c r="L140" i="12" s="1"/>
  <c r="L189" i="12" a="1"/>
  <c r="L189" i="12" s="1"/>
  <c r="M214" i="12" a="1"/>
  <c r="M214" i="12" s="1"/>
  <c r="M170" i="12" a="1"/>
  <c r="M170" i="12" s="1"/>
  <c r="L166" i="12" a="1"/>
  <c r="L166" i="12" s="1"/>
  <c r="I87" i="12" a="1"/>
  <c r="I87" i="12" s="1"/>
  <c r="L73" i="12" a="1"/>
  <c r="L73" i="12" s="1"/>
  <c r="I18" i="12" a="1"/>
  <c r="I18" i="12" s="1"/>
  <c r="L112" i="12" a="1"/>
  <c r="L112" i="12" s="1"/>
  <c r="M162" i="12" a="1"/>
  <c r="M162" i="12" s="1"/>
  <c r="I36" i="12" a="1"/>
  <c r="I36" i="12" s="1"/>
  <c r="L156" i="12" a="1"/>
  <c r="L156" i="12" s="1"/>
  <c r="L212" i="12" a="1"/>
  <c r="L212" i="12" s="1"/>
  <c r="M140" i="12" a="1"/>
  <c r="M140" i="12" s="1"/>
  <c r="M76" i="12" a="1"/>
  <c r="M76" i="12" s="1"/>
  <c r="L94" i="12" a="1"/>
  <c r="L94" i="12" s="1"/>
  <c r="L76" i="12" a="1"/>
  <c r="L76" i="12" s="1"/>
  <c r="N76" i="12" s="1"/>
  <c r="I41" i="12" a="1"/>
  <c r="I41" i="12" s="1"/>
  <c r="M182" i="12" a="1"/>
  <c r="M182" i="12" s="1"/>
  <c r="M85" i="12" a="1"/>
  <c r="M85" i="12" s="1"/>
  <c r="L11" i="12" a="1"/>
  <c r="L11" i="12" s="1"/>
  <c r="M20" i="12" a="1"/>
  <c r="M20" i="12" s="1"/>
  <c r="I32" i="12" a="1"/>
  <c r="I32" i="12" s="1"/>
  <c r="L207" i="12" a="1"/>
  <c r="L207" i="12" s="1"/>
  <c r="L54" i="12" a="1"/>
  <c r="L54" i="12" s="1"/>
  <c r="M144" i="12" a="1"/>
  <c r="M144" i="12" s="1"/>
  <c r="M197" i="12" a="1"/>
  <c r="M197" i="12" s="1"/>
  <c r="I37" i="12" a="1"/>
  <c r="I37" i="12" s="1"/>
  <c r="L31" i="12" a="1"/>
  <c r="L31" i="12" s="1"/>
  <c r="M12" i="12" a="1"/>
  <c r="M12" i="12" s="1"/>
  <c r="L196" i="12" a="1"/>
  <c r="L196" i="12" s="1"/>
  <c r="M216" i="12" a="1"/>
  <c r="M216" i="12" s="1"/>
  <c r="L131" i="12" a="1"/>
  <c r="L131" i="12" s="1"/>
  <c r="L93" i="12" a="1"/>
  <c r="L93" i="12" s="1"/>
  <c r="M18" i="12" a="1"/>
  <c r="M18" i="12" s="1"/>
  <c r="L113" i="12" a="1"/>
  <c r="L113" i="12" s="1"/>
  <c r="L192" i="12" a="1"/>
  <c r="L192" i="12" s="1"/>
  <c r="M86" i="12" a="1"/>
  <c r="M86" i="12" s="1"/>
  <c r="M137" i="12" a="1"/>
  <c r="M137" i="12" s="1"/>
  <c r="M79" i="12" a="1"/>
  <c r="M79" i="12" s="1"/>
  <c r="M89" i="12" a="1"/>
  <c r="M89" i="12" s="1"/>
  <c r="M91" i="12" a="1"/>
  <c r="M91" i="12" s="1"/>
  <c r="M178" i="12" a="1"/>
  <c r="M178" i="12" s="1"/>
  <c r="L224" i="12" a="1"/>
  <c r="L224" i="12" s="1"/>
  <c r="L48" i="12" a="1"/>
  <c r="L48" i="12" s="1"/>
  <c r="I14" i="12" a="1"/>
  <c r="I14" i="12" s="1"/>
  <c r="M227" i="12" a="1"/>
  <c r="M227" i="12" s="1"/>
  <c r="L137" i="12" a="1"/>
  <c r="L137" i="12" s="1"/>
  <c r="L184" i="12" a="1"/>
  <c r="L184" i="12" s="1"/>
  <c r="L236" i="12" a="1"/>
  <c r="L236" i="12" s="1"/>
  <c r="M209" i="12" a="1"/>
  <c r="M209" i="12" s="1"/>
  <c r="M88" i="12" a="1"/>
  <c r="M88" i="12" s="1"/>
  <c r="L43" i="12" a="1"/>
  <c r="L43" i="12" s="1"/>
  <c r="L181" i="12" a="1"/>
  <c r="L181" i="12" s="1"/>
  <c r="I8" i="12" a="1"/>
  <c r="I8" i="12" s="1"/>
  <c r="M9" i="12" a="1"/>
  <c r="M9" i="12" s="1"/>
  <c r="L154" i="12" a="1"/>
  <c r="L154" i="12" s="1"/>
  <c r="M37" i="12" a="1"/>
  <c r="M37" i="12" s="1"/>
  <c r="M231" i="12" a="1"/>
  <c r="M231" i="12" s="1"/>
  <c r="M98" i="12" a="1"/>
  <c r="M98" i="12" s="1"/>
  <c r="L229" i="12" a="1"/>
  <c r="L229" i="12" s="1"/>
  <c r="M233" i="12" a="1"/>
  <c r="M233" i="12" s="1"/>
  <c r="M157" i="12" a="1"/>
  <c r="M157" i="12" s="1"/>
  <c r="M210" i="12" a="1"/>
  <c r="M210" i="12" s="1"/>
  <c r="I26" i="12" a="1"/>
  <c r="I26" i="12" s="1"/>
  <c r="L185" i="12" a="1"/>
  <c r="L185" i="12" s="1"/>
  <c r="L233" i="12" a="1"/>
  <c r="L233" i="12" s="1"/>
  <c r="L18" i="12" a="1"/>
  <c r="L18" i="12" s="1"/>
  <c r="N18" i="12" s="1"/>
  <c r="L202" i="12" a="1"/>
  <c r="L202" i="12" s="1"/>
  <c r="M234" i="12" a="1"/>
  <c r="M234" i="12" s="1"/>
  <c r="L96" i="12" a="1"/>
  <c r="L96" i="12" s="1"/>
  <c r="M128" i="12" a="1"/>
  <c r="M128" i="12" s="1"/>
  <c r="L91" i="12" a="1"/>
  <c r="L91" i="12" s="1"/>
  <c r="N91" i="12" s="1"/>
  <c r="L232" i="12" a="1"/>
  <c r="L232" i="12" s="1"/>
  <c r="M33" i="12" a="1"/>
  <c r="M33" i="12" s="1"/>
  <c r="L59" i="12" a="1"/>
  <c r="L59" i="12" s="1"/>
  <c r="I88" i="12" a="1"/>
  <c r="I88" i="12" s="1"/>
  <c r="L127" i="12" a="1"/>
  <c r="L127" i="12" s="1"/>
  <c r="L32" i="12" a="1"/>
  <c r="L32" i="12" s="1"/>
  <c r="I74" i="12" a="1"/>
  <c r="I74" i="12" s="1"/>
  <c r="I22" i="12" a="1"/>
  <c r="I22" i="12" s="1"/>
  <c r="M29" i="12" a="1"/>
  <c r="M29" i="12" s="1"/>
  <c r="I19" i="12" a="1"/>
  <c r="I19" i="12" s="1"/>
  <c r="I56" i="12" a="1"/>
  <c r="I56" i="12" s="1"/>
  <c r="L144" i="12" a="1"/>
  <c r="L144" i="12" s="1"/>
  <c r="L33" i="12" a="1"/>
  <c r="L33" i="12" s="1"/>
  <c r="M120" i="12" a="1"/>
  <c r="M120" i="12" s="1"/>
  <c r="M116" i="12" a="1"/>
  <c r="M116" i="12" s="1"/>
  <c r="M113" i="12" a="1"/>
  <c r="M113" i="12" s="1"/>
  <c r="M95" i="12" a="1"/>
  <c r="M95" i="12" s="1"/>
  <c r="M70" i="12" a="1"/>
  <c r="M70" i="12" s="1"/>
  <c r="M87" i="12" a="1"/>
  <c r="M87" i="12" s="1"/>
  <c r="I50" i="12" a="1"/>
  <c r="I50" i="12" s="1"/>
  <c r="M168" i="12" a="1"/>
  <c r="M168" i="12" s="1"/>
  <c r="M26" i="12" a="1"/>
  <c r="M26" i="12" s="1"/>
  <c r="L16" i="12" a="1"/>
  <c r="L16" i="12" s="1"/>
  <c r="M145" i="12" a="1"/>
  <c r="M145" i="12" s="1"/>
  <c r="L122" i="12" a="1"/>
  <c r="L122" i="12" s="1"/>
  <c r="M15" i="12" a="1"/>
  <c r="M15" i="12" s="1"/>
  <c r="M16" i="12" a="1"/>
  <c r="M16" i="12" s="1"/>
  <c r="L234" i="12" a="1"/>
  <c r="L234" i="12" s="1"/>
  <c r="L163" i="12" a="1"/>
  <c r="L163" i="12" s="1"/>
  <c r="I83" i="12" a="1"/>
  <c r="I83" i="12" s="1"/>
  <c r="L7" i="12" a="1"/>
  <c r="L7" i="12" s="1"/>
  <c r="I69" i="12" a="1"/>
  <c r="I69" i="12" s="1"/>
  <c r="I24" i="12" a="1"/>
  <c r="I24" i="12" s="1"/>
  <c r="L195" i="12" a="1"/>
  <c r="L195" i="12" s="1"/>
  <c r="L126" i="12" a="1"/>
  <c r="L126" i="12" s="1"/>
  <c r="I17" i="12" a="1"/>
  <c r="I17" i="12" s="1"/>
  <c r="AE7" i="4" s="1"/>
  <c r="M154" i="12" a="1"/>
  <c r="M154" i="12" s="1"/>
  <c r="L226" i="12" a="1"/>
  <c r="L226" i="12" s="1"/>
  <c r="I43" i="12" a="1"/>
  <c r="I43" i="12" s="1"/>
  <c r="L221" i="12" a="1"/>
  <c r="L221" i="12" s="1"/>
  <c r="I81" i="12" a="1"/>
  <c r="I81" i="12" s="1"/>
  <c r="M208" i="12" a="1"/>
  <c r="M208" i="12" s="1"/>
  <c r="M211" i="12" a="1"/>
  <c r="M211" i="12" s="1"/>
  <c r="M221" i="12" a="1"/>
  <c r="M221" i="12" s="1"/>
  <c r="L119" i="12" a="1"/>
  <c r="L119" i="12" s="1"/>
  <c r="M163" i="12" a="1"/>
  <c r="M163" i="12" s="1"/>
  <c r="M57" i="12" a="1"/>
  <c r="M57" i="12" s="1"/>
  <c r="I63" i="12" a="1"/>
  <c r="I63" i="12" s="1"/>
  <c r="M23" i="12" a="1"/>
  <c r="M23" i="12" s="1"/>
  <c r="M141" i="12" a="1"/>
  <c r="M141" i="12" s="1"/>
  <c r="I47" i="12" a="1"/>
  <c r="I47" i="12" s="1"/>
  <c r="L157" i="12" a="1"/>
  <c r="L157" i="12" s="1"/>
  <c r="M65" i="12" a="1"/>
  <c r="M65" i="12" s="1"/>
  <c r="M48" i="12" a="1"/>
  <c r="M48" i="12" s="1"/>
  <c r="L67" i="12" a="1"/>
  <c r="L67" i="12" s="1"/>
  <c r="L209" i="12" a="1"/>
  <c r="L209" i="12" s="1"/>
  <c r="L45" i="12" a="1"/>
  <c r="L45" i="12" s="1"/>
  <c r="M31" i="12" a="1"/>
  <c r="M31" i="12" s="1"/>
  <c r="L164" i="12" a="1"/>
  <c r="L164" i="12" s="1"/>
  <c r="M22" i="12" a="1"/>
  <c r="M22" i="12" s="1"/>
  <c r="L86" i="12" a="1"/>
  <c r="L86" i="12" s="1"/>
  <c r="N86" i="12" s="1"/>
  <c r="L249" i="12" a="1"/>
  <c r="L249" i="12" s="1"/>
  <c r="L251" i="12" a="1"/>
  <c r="L251" i="12" s="1"/>
  <c r="M99" i="12" a="1"/>
  <c r="M99" i="12" s="1"/>
  <c r="M180" i="12" a="1"/>
  <c r="M180" i="12" s="1"/>
  <c r="I34" i="12" a="1"/>
  <c r="I34" i="12" s="1"/>
  <c r="M59" i="12" a="1"/>
  <c r="M59" i="12" s="1"/>
  <c r="L105" i="12" a="1"/>
  <c r="L105" i="12" s="1"/>
  <c r="L237" i="12" a="1"/>
  <c r="L237" i="12" s="1"/>
  <c r="M135" i="12" a="1"/>
  <c r="M135" i="12" s="1"/>
  <c r="M232" i="12" a="1"/>
  <c r="M232" i="12" s="1"/>
  <c r="M30" i="12" a="1"/>
  <c r="M30" i="12" s="1"/>
  <c r="I54" i="12" a="1"/>
  <c r="I54" i="12" s="1"/>
  <c r="M121" i="12" a="1"/>
  <c r="M121" i="12" s="1"/>
  <c r="M6" i="12" a="1"/>
  <c r="M6" i="12" s="1"/>
  <c r="L65" i="12" a="1"/>
  <c r="L65" i="12" s="1"/>
  <c r="N65" i="12" s="1"/>
  <c r="I16" i="12" a="1"/>
  <c r="I16" i="12" s="1"/>
  <c r="L62" i="12" a="1"/>
  <c r="L62" i="12" s="1"/>
  <c r="N62" i="12" s="1"/>
  <c r="M119" i="12" a="1"/>
  <c r="M119" i="12" s="1"/>
  <c r="L30" i="12" a="1"/>
  <c r="L30" i="12" s="1"/>
  <c r="L29" i="12" a="1"/>
  <c r="L29" i="12" s="1"/>
  <c r="N29" i="12" s="1"/>
  <c r="L253" i="12" a="1"/>
  <c r="L253" i="12" s="1"/>
  <c r="L218" i="12" a="1"/>
  <c r="L218" i="12" s="1"/>
  <c r="I27" i="12" a="1"/>
  <c r="I27" i="12" s="1"/>
  <c r="L58" i="12" a="1"/>
  <c r="L58" i="12" s="1"/>
  <c r="L178" i="12" a="1"/>
  <c r="L178" i="12" s="1"/>
  <c r="L92" i="12" a="1"/>
  <c r="L92" i="12" s="1"/>
  <c r="M130" i="12" a="1"/>
  <c r="M130" i="12" s="1"/>
  <c r="M201" i="12" a="1"/>
  <c r="M201" i="12" s="1"/>
  <c r="L14" i="12" a="1"/>
  <c r="L14" i="12" s="1"/>
  <c r="L132" i="12" a="1"/>
  <c r="L132" i="12" s="1"/>
  <c r="M67" i="12" a="1"/>
  <c r="M67" i="12" s="1"/>
  <c r="L188" i="12" a="1"/>
  <c r="L188" i="12" s="1"/>
  <c r="M39" i="12" a="1"/>
  <c r="M39" i="12" s="1"/>
  <c r="I38" i="12" a="1"/>
  <c r="I38" i="12" s="1"/>
  <c r="I62" i="12" a="1"/>
  <c r="I62" i="12" s="1"/>
  <c r="M73" i="12" a="1"/>
  <c r="M73" i="12" s="1"/>
  <c r="N73" i="12" s="1"/>
  <c r="M183" i="12" a="1"/>
  <c r="M183" i="12" s="1"/>
  <c r="L85" i="12" a="1"/>
  <c r="L85" i="12" s="1"/>
  <c r="N85" i="12" s="1"/>
  <c r="M122" i="12" a="1"/>
  <c r="M122" i="12" s="1"/>
  <c r="L81" i="12" a="1"/>
  <c r="L81" i="12" s="1"/>
  <c r="L149" i="12" a="1"/>
  <c r="L149" i="12" s="1"/>
  <c r="L26" i="12" a="1"/>
  <c r="L26" i="12" s="1"/>
  <c r="N26" i="12" s="1"/>
  <c r="M139" i="12" a="1"/>
  <c r="M139" i="12" s="1"/>
  <c r="L206" i="12" a="1"/>
  <c r="L206" i="12" s="1"/>
  <c r="M143" i="12" a="1"/>
  <c r="M143" i="12" s="1"/>
  <c r="M152" i="12" a="1"/>
  <c r="M152" i="12" s="1"/>
  <c r="L193" i="12" a="1"/>
  <c r="L193" i="12" s="1"/>
  <c r="L215" i="12" a="1"/>
  <c r="L215" i="12" s="1"/>
  <c r="I66" i="12" a="1"/>
  <c r="I66" i="12" s="1"/>
  <c r="L56" i="12" a="1"/>
  <c r="L56" i="12" s="1"/>
  <c r="N56" i="12" s="1"/>
  <c r="M24" i="12" a="1"/>
  <c r="M24" i="12" s="1"/>
  <c r="L205" i="12" a="1"/>
  <c r="L205" i="12" s="1"/>
  <c r="L248" i="12" a="1"/>
  <c r="L248" i="12" s="1"/>
  <c r="L13" i="12" a="1"/>
  <c r="L13" i="12" s="1"/>
  <c r="I23" i="12" a="1"/>
  <c r="I23" i="12" s="1"/>
  <c r="L79" i="12" a="1"/>
  <c r="L79" i="12" s="1"/>
  <c r="I77" i="12" a="1"/>
  <c r="I77" i="12" s="1"/>
  <c r="L235" i="12" a="1"/>
  <c r="L235" i="12" s="1"/>
  <c r="M199" i="12" a="1"/>
  <c r="M199" i="12" s="1"/>
  <c r="I59" i="12" a="1"/>
  <c r="I59" i="12" s="1"/>
  <c r="I57" i="12" a="1"/>
  <c r="I57" i="12" s="1"/>
  <c r="L116" i="12" a="1"/>
  <c r="L116" i="12" s="1"/>
  <c r="M71" i="12" a="1"/>
  <c r="M71" i="12" s="1"/>
  <c r="I29" i="12" a="1"/>
  <c r="I29" i="12" s="1"/>
  <c r="M179" i="12" a="1"/>
  <c r="M179" i="12" s="1"/>
  <c r="L176" i="12" a="1"/>
  <c r="L176" i="12" s="1"/>
  <c r="M165" i="12" a="1"/>
  <c r="M165" i="12" s="1"/>
  <c r="M132" i="12" a="1"/>
  <c r="M132" i="12" s="1"/>
  <c r="L78" i="12" a="1"/>
  <c r="L78" i="12" s="1"/>
  <c r="M114" i="12" a="1"/>
  <c r="M114" i="12" s="1"/>
  <c r="M50" i="12" a="1"/>
  <c r="M50" i="12" s="1"/>
  <c r="M40" i="12" a="1"/>
  <c r="M40" i="12" s="1"/>
  <c r="M56" i="12" a="1"/>
  <c r="M56" i="12" s="1"/>
  <c r="L3" i="12" a="1"/>
  <c r="L3" i="12" s="1"/>
  <c r="M46" i="12" a="1"/>
  <c r="M46" i="12" s="1"/>
  <c r="L219" i="12" a="1"/>
  <c r="L219" i="12" s="1"/>
  <c r="M149" i="12" a="1"/>
  <c r="M149" i="12" s="1"/>
  <c r="M34" i="12" a="1"/>
  <c r="M34" i="12" s="1"/>
  <c r="L82" i="12" a="1"/>
  <c r="L82" i="12" s="1"/>
  <c r="L63" i="12" a="1"/>
  <c r="L63" i="12" s="1"/>
  <c r="L201" i="12" a="1"/>
  <c r="L201" i="12" s="1"/>
  <c r="I28" i="12" a="1"/>
  <c r="I28" i="12" s="1"/>
  <c r="M146" i="12" a="1"/>
  <c r="M146" i="12" s="1"/>
  <c r="L174" i="12" a="1"/>
  <c r="L174" i="12" s="1"/>
  <c r="L175" i="12" a="1"/>
  <c r="L175" i="12" s="1"/>
  <c r="L47" i="12" a="1"/>
  <c r="L47" i="12" s="1"/>
  <c r="M100" i="12" a="1"/>
  <c r="M100" i="12" s="1"/>
  <c r="N100" i="12" s="1"/>
  <c r="I48" i="12" a="1"/>
  <c r="I48" i="12" s="1"/>
  <c r="L98" i="12" a="1"/>
  <c r="L98" i="12" s="1"/>
  <c r="N98" i="12" s="1"/>
  <c r="L107" i="12" a="1"/>
  <c r="L107" i="12" s="1"/>
  <c r="M43" i="12" a="1"/>
  <c r="M43" i="12" s="1"/>
  <c r="L198" i="12" a="1"/>
  <c r="L198" i="12" s="1"/>
  <c r="L70" i="12" a="1"/>
  <c r="L70" i="12" s="1"/>
  <c r="N70" i="12" s="1"/>
  <c r="M61" i="12" a="1"/>
  <c r="M61" i="12" s="1"/>
  <c r="L99" i="12" a="1"/>
  <c r="L99" i="12" s="1"/>
  <c r="I86" i="12" a="1"/>
  <c r="I86" i="12" s="1"/>
  <c r="M169" i="12" a="1"/>
  <c r="M169" i="12" s="1"/>
  <c r="L141" i="12" a="1"/>
  <c r="L141" i="12" s="1"/>
  <c r="L134" i="12" a="1"/>
  <c r="L134" i="12" s="1"/>
  <c r="M66" i="12" a="1"/>
  <c r="M66" i="12" s="1"/>
  <c r="I68" i="12" a="1"/>
  <c r="I68" i="12" s="1"/>
  <c r="I95" i="12" a="1"/>
  <c r="I95" i="12" s="1"/>
  <c r="M228" i="12" a="1"/>
  <c r="M228" i="12" s="1"/>
  <c r="M195" i="12" a="1"/>
  <c r="M195" i="12" s="1"/>
  <c r="M49" i="12" a="1"/>
  <c r="M49" i="12" s="1"/>
  <c r="L4" i="12" a="1"/>
  <c r="L4" i="12" s="1"/>
  <c r="L214" i="12" a="1"/>
  <c r="L214" i="12" s="1"/>
  <c r="L110" i="12" a="1"/>
  <c r="L110" i="12" s="1"/>
  <c r="L49" i="12" a="1"/>
  <c r="L49" i="12" s="1"/>
  <c r="I82" i="12" a="1"/>
  <c r="I82" i="12" s="1"/>
  <c r="L28" i="12" a="1"/>
  <c r="L28" i="12" s="1"/>
  <c r="M223" i="12" a="1"/>
  <c r="M223" i="12" s="1"/>
  <c r="M78" i="12" a="1"/>
  <c r="M78" i="12" s="1"/>
  <c r="M161" i="12" a="1"/>
  <c r="M161" i="12" s="1"/>
  <c r="M147" i="12" a="1"/>
  <c r="M147" i="12" s="1"/>
  <c r="I40" i="12" a="1"/>
  <c r="I40" i="12" s="1"/>
  <c r="L23" i="12" a="1"/>
  <c r="L23" i="12" s="1"/>
  <c r="M83" i="12" a="1"/>
  <c r="M83" i="12" s="1"/>
  <c r="I89" i="12" a="1"/>
  <c r="I89" i="12" s="1"/>
  <c r="M82" i="12" a="1"/>
  <c r="M82" i="12" s="1"/>
  <c r="L148" i="12" a="1"/>
  <c r="L148" i="12" s="1"/>
  <c r="M28" i="12" a="1"/>
  <c r="M28" i="12" s="1"/>
  <c r="L171" i="12" a="1"/>
  <c r="L171" i="12" s="1"/>
  <c r="L230" i="12" a="1"/>
  <c r="L230" i="12" s="1"/>
  <c r="I84" i="12" a="1"/>
  <c r="I84" i="12" s="1"/>
  <c r="M58" i="12" a="1"/>
  <c r="M58" i="12" s="1"/>
  <c r="I39" i="12" a="1"/>
  <c r="I39" i="12" s="1"/>
  <c r="L69" i="12" a="1"/>
  <c r="L69" i="12" s="1"/>
  <c r="N69" i="12" s="1"/>
  <c r="L57" i="12" a="1"/>
  <c r="L57" i="12" s="1"/>
  <c r="N57" i="12" s="1"/>
  <c r="L211" i="12" a="1"/>
  <c r="L211" i="12" s="1"/>
  <c r="I35" i="12" a="1"/>
  <c r="I35" i="12" s="1"/>
  <c r="M106" i="12" a="1"/>
  <c r="M106" i="12" s="1"/>
  <c r="M10" i="12" a="1"/>
  <c r="M10" i="12" s="1"/>
  <c r="L20" i="12" a="1"/>
  <c r="L20" i="12" s="1"/>
  <c r="N20" i="12" s="1"/>
  <c r="L38" i="12" a="1"/>
  <c r="L38" i="12" s="1"/>
  <c r="M159" i="12" a="1"/>
  <c r="M159" i="12" s="1"/>
  <c r="I96" i="12" a="1"/>
  <c r="I96" i="12" s="1"/>
  <c r="L61" i="12" a="1"/>
  <c r="L61" i="12" s="1"/>
  <c r="N61" i="12" s="1"/>
  <c r="L210" i="12" a="1"/>
  <c r="L210" i="12" s="1"/>
  <c r="I25" i="12" a="1"/>
  <c r="I25" i="12" s="1"/>
  <c r="L133" i="12" a="1"/>
  <c r="L133" i="12" s="1"/>
  <c r="L71" i="12" a="1"/>
  <c r="L71" i="12" s="1"/>
  <c r="N71" i="12" s="1"/>
  <c r="I85" i="12" a="1"/>
  <c r="I85" i="12" s="1"/>
  <c r="L168" i="12" a="1"/>
  <c r="L168" i="12" s="1"/>
  <c r="L21" i="12" a="1"/>
  <c r="L21" i="12" s="1"/>
  <c r="M200" i="12" a="1"/>
  <c r="M200" i="12" s="1"/>
  <c r="L10" i="12" a="1"/>
  <c r="L10" i="12" s="1"/>
  <c r="N10" i="12" s="1"/>
  <c r="L66" i="12" a="1"/>
  <c r="L66" i="12" s="1"/>
  <c r="M220" i="12" a="1"/>
  <c r="M220" i="12" s="1"/>
  <c r="M84" i="12" a="1"/>
  <c r="M84" i="12" s="1"/>
  <c r="L227" i="12" a="1"/>
  <c r="L227" i="12" s="1"/>
  <c r="I93" i="12" a="1"/>
  <c r="I93" i="12" s="1"/>
  <c r="L213" i="12" a="1"/>
  <c r="L213" i="12" s="1"/>
  <c r="M74" i="12" a="1"/>
  <c r="M74" i="12" s="1"/>
  <c r="M136" i="12" a="1"/>
  <c r="M136" i="12" s="1"/>
  <c r="L55" i="12" a="1"/>
  <c r="L55" i="12" s="1"/>
  <c r="M229" i="12" a="1"/>
  <c r="M229" i="12" s="1"/>
  <c r="M92" i="12" a="1"/>
  <c r="M92" i="12" s="1"/>
  <c r="L39" i="12" a="1"/>
  <c r="L39" i="12" s="1"/>
  <c r="L87" i="12" a="1"/>
  <c r="L87" i="12" s="1"/>
  <c r="N87" i="12" s="1"/>
  <c r="L51" i="12" a="1"/>
  <c r="L51" i="12" s="1"/>
  <c r="M44" i="12" a="1"/>
  <c r="M44" i="12" s="1"/>
  <c r="L165" i="12" a="1"/>
  <c r="L165" i="12" s="1"/>
  <c r="M25" i="12" a="1"/>
  <c r="M25" i="12" s="1"/>
  <c r="I20" i="12" a="1"/>
  <c r="I20" i="12" s="1"/>
  <c r="M184" i="12" a="1"/>
  <c r="M184" i="12" s="1"/>
  <c r="M21" i="12" a="1"/>
  <c r="M21" i="12" s="1"/>
  <c r="M153" i="12" a="1"/>
  <c r="M153" i="12" s="1"/>
  <c r="M17" i="12" a="1"/>
  <c r="M17" i="12" s="1"/>
  <c r="M7" i="12" a="1"/>
  <c r="M7" i="12" s="1"/>
  <c r="L68" i="12" a="1"/>
  <c r="L68" i="12" s="1"/>
  <c r="L250" i="12" a="1"/>
  <c r="L250" i="12" s="1"/>
  <c r="L136" i="12" a="1"/>
  <c r="L136" i="12" s="1"/>
  <c r="L200" i="12" a="1"/>
  <c r="L200" i="12" s="1"/>
  <c r="M196" i="12" a="1"/>
  <c r="M196" i="12" s="1"/>
  <c r="M41" i="12" a="1"/>
  <c r="M41" i="12" s="1"/>
  <c r="L130" i="12" a="1"/>
  <c r="L130" i="12" s="1"/>
  <c r="I76" i="12" a="1"/>
  <c r="I76" i="12" s="1"/>
  <c r="M222" i="12" a="1"/>
  <c r="M222" i="12" s="1"/>
  <c r="L74" i="12" a="1"/>
  <c r="L74" i="12" s="1"/>
  <c r="I45" i="12" a="1"/>
  <c r="I45" i="12" s="1"/>
  <c r="L153" i="12" a="1"/>
  <c r="L153" i="12" s="1"/>
  <c r="L187" i="12" a="1"/>
  <c r="L187" i="12" s="1"/>
  <c r="L158" i="12" a="1"/>
  <c r="L158" i="12" s="1"/>
  <c r="M174" i="12" a="1"/>
  <c r="M174" i="12" s="1"/>
  <c r="L106" i="12" a="1"/>
  <c r="L106" i="12" s="1"/>
  <c r="M80" i="12" a="1"/>
  <c r="M80" i="12" s="1"/>
  <c r="L247" i="12" a="1"/>
  <c r="L247" i="12" s="1"/>
  <c r="M205" i="12" a="1"/>
  <c r="M205" i="12" s="1"/>
  <c r="L244" i="12" a="1"/>
  <c r="L244" i="12" s="1"/>
  <c r="L72" i="12" a="1"/>
  <c r="L72" i="12" s="1"/>
  <c r="I33" i="12" a="1"/>
  <c r="I33" i="12" s="1"/>
  <c r="L90" i="12" a="1"/>
  <c r="L90" i="12" s="1"/>
  <c r="M14" i="12" a="1"/>
  <c r="M14" i="12" s="1"/>
  <c r="L241" i="12" a="1"/>
  <c r="L241" i="12" s="1"/>
  <c r="M160" i="12" a="1"/>
  <c r="M160" i="12" s="1"/>
  <c r="I55" i="12" a="1"/>
  <c r="I55" i="12" s="1"/>
  <c r="I61" i="12" a="1"/>
  <c r="I61" i="12" s="1"/>
  <c r="L108" i="12" a="1"/>
  <c r="L108" i="12" s="1"/>
  <c r="L52" i="12" a="1"/>
  <c r="L52" i="12" s="1"/>
  <c r="N52" i="12" s="1"/>
  <c r="L167" i="12" a="1"/>
  <c r="L167" i="12" s="1"/>
  <c r="L231" i="12" a="1"/>
  <c r="L231" i="12" s="1"/>
  <c r="M13" i="12" a="1"/>
  <c r="M13" i="12" s="1"/>
  <c r="L95" i="12" a="1"/>
  <c r="L95" i="12" s="1"/>
  <c r="N95" i="12" s="1"/>
  <c r="L80" i="12" a="1"/>
  <c r="L80" i="12" s="1"/>
  <c r="N80" i="12" s="1"/>
  <c r="L89" i="12" a="1"/>
  <c r="L89" i="12" s="1"/>
  <c r="M123" i="12" a="1"/>
  <c r="M123" i="12" s="1"/>
  <c r="I2" i="12" a="1"/>
  <c r="I2" i="12" s="1"/>
  <c r="M4" i="12" a="1"/>
  <c r="M4" i="12" s="1"/>
  <c r="M138" i="12" a="1"/>
  <c r="M138" i="12" s="1"/>
  <c r="M176" i="12" a="1"/>
  <c r="M176" i="12" s="1"/>
  <c r="L8" i="12" a="1"/>
  <c r="L8" i="12" s="1"/>
  <c r="N8" i="12" s="1"/>
  <c r="L115" i="12" a="1"/>
  <c r="L115" i="12" s="1"/>
  <c r="L124" i="12" a="1"/>
  <c r="L124" i="12" s="1"/>
  <c r="M42" i="12" a="1"/>
  <c r="M42" i="12" s="1"/>
  <c r="L216" i="12" a="1"/>
  <c r="L216" i="12" s="1"/>
  <c r="M47" i="12" a="1"/>
  <c r="M47" i="12" s="1"/>
  <c r="M207" i="12" a="1"/>
  <c r="M207" i="12" s="1"/>
  <c r="L145" i="12" a="1"/>
  <c r="L145" i="12" s="1"/>
  <c r="M235" i="12" a="1"/>
  <c r="M235" i="12" s="1"/>
  <c r="L102" i="12" a="1"/>
  <c r="L102" i="12" s="1"/>
  <c r="L177" i="12" a="1"/>
  <c r="L177" i="12" s="1"/>
  <c r="M166" i="12" a="1"/>
  <c r="M166" i="12" s="1"/>
  <c r="M215" i="12" a="1"/>
  <c r="M215" i="12" s="1"/>
  <c r="L151" i="12" a="1"/>
  <c r="L151" i="12" s="1"/>
  <c r="M105" i="12" a="1"/>
  <c r="M105" i="12" s="1"/>
  <c r="N105" i="12" s="1"/>
  <c r="L9" i="12" a="1"/>
  <c r="L9" i="12" s="1"/>
  <c r="N9" i="12" s="1"/>
  <c r="M72" i="12" a="1"/>
  <c r="M72" i="12" s="1"/>
  <c r="L60" i="12" a="1"/>
  <c r="L60" i="12" s="1"/>
  <c r="L142" i="12" a="1"/>
  <c r="L142" i="12" s="1"/>
  <c r="M32" i="12" a="1"/>
  <c r="M32" i="12" s="1"/>
  <c r="L123" i="12" a="1"/>
  <c r="L123" i="12" s="1"/>
  <c r="M77" i="12" a="1"/>
  <c r="M77" i="12" s="1"/>
  <c r="L190" i="12" a="1"/>
  <c r="L190" i="12" s="1"/>
  <c r="M189" i="12" a="1"/>
  <c r="M189" i="12" s="1"/>
  <c r="L35" i="12" a="1"/>
  <c r="L35" i="12" s="1"/>
  <c r="M224" i="12" a="1"/>
  <c r="M224" i="12" s="1"/>
  <c r="M186" i="12" a="1"/>
  <c r="M186" i="12" s="1"/>
  <c r="I11" i="12" a="1"/>
  <c r="I11" i="12" s="1"/>
  <c r="T10" i="6" s="1"/>
  <c r="P29" i="1" s="1" a="1"/>
  <c r="P29" i="1" s="1"/>
  <c r="F10" i="13" s="1"/>
  <c r="L6" i="12" a="1"/>
  <c r="L6" i="12" s="1"/>
  <c r="L169" i="12" a="1"/>
  <c r="L169" i="12" s="1"/>
  <c r="L203" i="12" a="1"/>
  <c r="L203" i="12" s="1"/>
  <c r="M171" i="12" a="1"/>
  <c r="M171" i="12" s="1"/>
  <c r="L103" i="12" a="1"/>
  <c r="L103" i="12" s="1"/>
  <c r="L252" i="12" a="1"/>
  <c r="L252" i="12" s="1"/>
  <c r="M93" i="12" a="1"/>
  <c r="M93" i="12" s="1"/>
  <c r="M45" i="12" a="1"/>
  <c r="M45" i="12" s="1"/>
  <c r="L111" i="12" a="1"/>
  <c r="L111" i="12" s="1"/>
  <c r="N111" i="12" s="1"/>
  <c r="M187" i="12" a="1"/>
  <c r="M187" i="12" s="1"/>
  <c r="M97" i="12" a="1"/>
  <c r="M97" i="12" s="1"/>
  <c r="L179" i="12" a="1"/>
  <c r="L179" i="12" s="1"/>
  <c r="M111" i="12" a="1"/>
  <c r="M111" i="12" s="1"/>
  <c r="L128" i="12" a="1"/>
  <c r="L128" i="12" s="1"/>
  <c r="L186" i="12" a="1"/>
  <c r="L186" i="12" s="1"/>
  <c r="L217" i="12" a="1"/>
  <c r="L217" i="12" s="1"/>
  <c r="L170" i="12" a="1"/>
  <c r="L170" i="12" s="1"/>
  <c r="M96" i="12" a="1"/>
  <c r="M96" i="12" s="1"/>
  <c r="L37" i="12" a="1"/>
  <c r="L37" i="12" s="1"/>
  <c r="L117" i="12" a="1"/>
  <c r="L117" i="12" s="1"/>
  <c r="M19" i="12" a="1"/>
  <c r="M19" i="12" s="1"/>
  <c r="M54" i="12" a="1"/>
  <c r="M54" i="12" s="1"/>
  <c r="M3" i="12" a="1"/>
  <c r="M3" i="12" s="1"/>
  <c r="L208" i="12" a="1"/>
  <c r="L208" i="12" s="1"/>
  <c r="L228" i="12" a="1"/>
  <c r="L228" i="12" s="1"/>
  <c r="L41" i="12" a="1"/>
  <c r="L41" i="12" s="1"/>
  <c r="L173" i="12" a="1"/>
  <c r="L173" i="12" s="1"/>
  <c r="L25" i="12" a="1"/>
  <c r="L25" i="12" s="1"/>
  <c r="I99" i="12" a="1"/>
  <c r="I99" i="12" s="1"/>
  <c r="M217" i="12" a="1"/>
  <c r="M217" i="12" s="1"/>
  <c r="I60" i="12" a="1"/>
  <c r="I60" i="12" s="1"/>
  <c r="M112" i="12" a="1"/>
  <c r="M112" i="12" s="1"/>
  <c r="L121" i="12" a="1"/>
  <c r="L121" i="12" s="1"/>
  <c r="M36" i="12" a="1"/>
  <c r="M36" i="12" s="1"/>
  <c r="L5" i="12" a="1"/>
  <c r="L5" i="12" s="1"/>
  <c r="L243" i="12" a="1"/>
  <c r="L243" i="12" s="1"/>
  <c r="M81" i="12" a="1"/>
  <c r="M81" i="12" s="1"/>
  <c r="M173" i="12" a="1"/>
  <c r="M173" i="12" s="1"/>
  <c r="L17" i="12" a="1"/>
  <c r="L17" i="12" s="1"/>
  <c r="L97" i="12" a="1"/>
  <c r="L97" i="12" s="1"/>
  <c r="M126" i="12" a="1"/>
  <c r="M126" i="12" s="1"/>
  <c r="M68" i="12" a="1"/>
  <c r="M68" i="12" s="1"/>
  <c r="M156" i="12" a="1"/>
  <c r="M156" i="12" s="1"/>
  <c r="M190" i="12" a="1"/>
  <c r="M190" i="12" s="1"/>
  <c r="L42" i="12" a="1"/>
  <c r="L42" i="12" s="1"/>
  <c r="N42" i="12" s="1"/>
  <c r="M90" i="12" a="1"/>
  <c r="M90" i="12" s="1"/>
  <c r="M38" i="12" a="1"/>
  <c r="M38" i="12" s="1"/>
  <c r="M75" i="12" a="1"/>
  <c r="M75" i="12" s="1"/>
  <c r="M134" i="12" a="1"/>
  <c r="M134" i="12" s="1"/>
  <c r="L22" i="12" a="1"/>
  <c r="L22" i="12" s="1"/>
  <c r="N22" i="12" s="1"/>
  <c r="I94" i="12" a="1"/>
  <c r="I94" i="12" s="1"/>
  <c r="I71" i="12" a="1"/>
  <c r="I71" i="12" s="1"/>
  <c r="M213" i="12" a="1"/>
  <c r="M213" i="12" s="1"/>
  <c r="M172" i="12" a="1"/>
  <c r="M172" i="12" s="1"/>
  <c r="M35" i="12" a="1"/>
  <c r="M35" i="12" s="1"/>
  <c r="L239" i="12" a="1"/>
  <c r="L239" i="12" s="1"/>
  <c r="L40" i="12" a="1"/>
  <c r="L40" i="12" s="1"/>
  <c r="N40" i="12" s="1"/>
  <c r="M164" i="12" a="1"/>
  <c r="M164" i="12" s="1"/>
  <c r="I10" i="12" a="1"/>
  <c r="I10" i="12" s="1"/>
  <c r="AE3" i="4" s="1"/>
  <c r="L204" i="12" a="1"/>
  <c r="L204" i="12" s="1"/>
  <c r="L199" i="12" a="1"/>
  <c r="L199" i="12" s="1"/>
  <c r="M148" i="12" a="1"/>
  <c r="M148" i="12" s="1"/>
  <c r="M150" i="12" a="1"/>
  <c r="M150" i="12" s="1"/>
  <c r="I42" i="12" a="1"/>
  <c r="I42" i="12" s="1"/>
  <c r="L242" i="12" a="1"/>
  <c r="L242" i="12" s="1"/>
  <c r="M104" i="12" a="1"/>
  <c r="M104" i="12" s="1"/>
  <c r="M115" i="12" a="1"/>
  <c r="M115" i="12" s="1"/>
  <c r="L2" i="12" a="1"/>
  <c r="L2" i="12" s="1"/>
  <c r="M102" i="12" a="1"/>
  <c r="M102" i="12" s="1"/>
  <c r="I12" i="12" a="1"/>
  <c r="I12" i="12" s="1"/>
  <c r="AE4" i="4" s="1"/>
  <c r="M155" i="12" a="1"/>
  <c r="M155" i="12" s="1"/>
  <c r="L139" i="12" a="1"/>
  <c r="L139" i="12" s="1"/>
  <c r="I100" i="12" a="1"/>
  <c r="I100" i="12" s="1"/>
  <c r="L77" i="12" a="1"/>
  <c r="L77" i="12" s="1"/>
  <c r="L118" i="12" a="1"/>
  <c r="L118" i="12" s="1"/>
  <c r="M167" i="12" a="1"/>
  <c r="M167" i="12" s="1"/>
  <c r="M63" i="12" a="1"/>
  <c r="M63" i="12" s="1"/>
  <c r="M188" i="12" a="1"/>
  <c r="M188" i="12" s="1"/>
  <c r="L240" i="12" a="1"/>
  <c r="L240" i="12" s="1"/>
  <c r="L162" i="12" a="1"/>
  <c r="L162" i="12" s="1"/>
  <c r="I67" i="12" a="1"/>
  <c r="I67" i="12" s="1"/>
  <c r="L75" i="12" a="1"/>
  <c r="L75" i="12" s="1"/>
  <c r="M107" i="12" a="1"/>
  <c r="M107" i="12" s="1"/>
  <c r="I44" i="12" a="1"/>
  <c r="I44" i="12" s="1"/>
  <c r="L160" i="12" a="1"/>
  <c r="L160" i="12" s="1"/>
  <c r="I52" i="12" a="1"/>
  <c r="I52" i="12" s="1"/>
  <c r="I53" i="12" a="1"/>
  <c r="I53" i="12" s="1"/>
  <c r="L24" i="12" a="1"/>
  <c r="L24" i="12" s="1"/>
  <c r="N24" i="12" s="1"/>
  <c r="M94" i="12" a="1"/>
  <c r="M94" i="12" s="1"/>
  <c r="M225" i="12" a="1"/>
  <c r="M225" i="12" s="1"/>
  <c r="M101" i="12" a="1"/>
  <c r="M101" i="12" s="1"/>
  <c r="I97" i="12" a="1"/>
  <c r="I97" i="12" s="1"/>
  <c r="L172" i="12" a="1"/>
  <c r="L172" i="12" s="1"/>
  <c r="L114" i="12" a="1"/>
  <c r="L114" i="12" s="1"/>
  <c r="M202" i="12" a="1"/>
  <c r="M202" i="12" s="1"/>
  <c r="L245" i="12" a="1"/>
  <c r="L245" i="12" s="1"/>
  <c r="M64" i="12" a="1"/>
  <c r="M64" i="12" s="1"/>
  <c r="I73" i="12" a="1"/>
  <c r="I73" i="12" s="1"/>
  <c r="M177" i="12" a="1"/>
  <c r="M177" i="12" s="1"/>
  <c r="I90" i="12" a="1"/>
  <c r="I90" i="12" s="1"/>
  <c r="M194" i="12" a="1"/>
  <c r="M194" i="12" s="1"/>
  <c r="M204" i="12" a="1"/>
  <c r="M204" i="12" s="1"/>
  <c r="L50" i="12" a="1"/>
  <c r="L50" i="12" s="1"/>
  <c r="N50" i="12" s="1"/>
  <c r="L36" i="12" a="1"/>
  <c r="L36" i="12" s="1"/>
  <c r="N36" i="12" s="1"/>
  <c r="M11" i="12" a="1"/>
  <c r="M11" i="12" s="1"/>
  <c r="N11" i="12" s="1"/>
  <c r="M158" i="12" a="1"/>
  <c r="M158" i="12" s="1"/>
  <c r="L191" i="12" a="1"/>
  <c r="L191" i="12" s="1"/>
  <c r="I75" i="12" a="1"/>
  <c r="I75" i="12" s="1"/>
  <c r="M51" i="12" a="1"/>
  <c r="M51" i="12" s="1"/>
  <c r="L223" i="12" a="1"/>
  <c r="L223" i="12" s="1"/>
  <c r="L125" i="12" a="1"/>
  <c r="L125" i="12" s="1"/>
  <c r="I30" i="12" a="1"/>
  <c r="I30" i="12" s="1"/>
  <c r="L84" i="12" a="1"/>
  <c r="L84" i="12" s="1"/>
  <c r="N84" i="12" s="1"/>
  <c r="L64" i="12" a="1"/>
  <c r="L64" i="12" s="1"/>
  <c r="N64" i="12" s="1"/>
  <c r="I72" i="12" a="1"/>
  <c r="I72" i="12" s="1"/>
  <c r="L183" i="12" a="1"/>
  <c r="L183" i="12" s="1"/>
  <c r="M185" i="12" a="1"/>
  <c r="M185" i="12" s="1"/>
  <c r="L155" i="12" a="1"/>
  <c r="L155" i="12" s="1"/>
  <c r="I65" i="12" a="1"/>
  <c r="I65" i="12" s="1"/>
  <c r="M55" i="12" a="1"/>
  <c r="M55" i="12" s="1"/>
  <c r="I31" i="12" a="1"/>
  <c r="I31" i="12" s="1"/>
  <c r="M124" i="12" a="1"/>
  <c r="M124" i="12" s="1"/>
  <c r="M125" i="12" a="1"/>
  <c r="M125" i="12" s="1"/>
  <c r="M108" i="12" a="1"/>
  <c r="M108" i="12" s="1"/>
  <c r="N108" i="12" s="1"/>
  <c r="M2" i="12" a="1"/>
  <c r="M2" i="12" s="1"/>
  <c r="M226" i="12" a="1"/>
  <c r="M226" i="12" s="1"/>
  <c r="L88" i="12" a="1"/>
  <c r="L88" i="12" s="1"/>
  <c r="L182" i="12" a="1"/>
  <c r="L182" i="12" s="1"/>
  <c r="L46" i="12" a="1"/>
  <c r="L46" i="12" s="1"/>
  <c r="N46" i="12" s="1"/>
  <c r="L152" i="12" a="1"/>
  <c r="L152" i="12" s="1"/>
  <c r="L44" i="12" a="1"/>
  <c r="L44" i="12" s="1"/>
  <c r="N44" i="12" s="1"/>
  <c r="L147" i="12" a="1"/>
  <c r="L147" i="12" s="1"/>
  <c r="L15" i="12" a="1"/>
  <c r="L15" i="12" s="1"/>
  <c r="N15" i="12" s="1"/>
  <c r="M117" i="12" a="1"/>
  <c r="M117" i="12" s="1"/>
  <c r="L109" i="12" a="1"/>
  <c r="L109" i="12" s="1"/>
  <c r="N109" i="12" s="1"/>
  <c r="L129" i="12" a="1"/>
  <c r="L129" i="12" s="1"/>
  <c r="M193" i="12" a="1"/>
  <c r="M193" i="12" s="1"/>
  <c r="M151" i="12" a="1"/>
  <c r="M151" i="12" s="1"/>
  <c r="P61" i="1" a="1"/>
  <c r="P61" i="1" s="1"/>
  <c r="N106" i="12"/>
  <c r="P66" i="1" a="1"/>
  <c r="P66" i="1" s="1"/>
  <c r="F28" i="13" s="1"/>
  <c r="Q59" i="1" a="1"/>
  <c r="Q59" i="1" s="1"/>
  <c r="P65" i="1" a="1"/>
  <c r="P65" i="1" s="1"/>
  <c r="F27" i="13" s="1"/>
  <c r="P63" i="1" a="1"/>
  <c r="P63" i="1" s="1"/>
  <c r="F25" i="13" s="1"/>
  <c r="Q61" i="1" a="1"/>
  <c r="Q61" i="1" s="1"/>
  <c r="P69" i="1" a="1"/>
  <c r="P69" i="1" s="1"/>
  <c r="F31" i="13" s="1"/>
  <c r="P56" i="1" a="1"/>
  <c r="P56" i="1" s="1"/>
  <c r="F20" i="13" s="1"/>
  <c r="P68" i="1" a="1"/>
  <c r="P68" i="1" s="1"/>
  <c r="F30" i="13" s="1"/>
  <c r="Q27" i="1" a="1"/>
  <c r="Q27" i="1" s="1"/>
  <c r="Q49" i="1" a="1"/>
  <c r="Q49" i="1" s="1"/>
  <c r="P54" i="1" a="1"/>
  <c r="P54" i="1" s="1"/>
  <c r="F18" i="13" s="1"/>
  <c r="P31" i="1" a="1"/>
  <c r="P31" i="1" s="1"/>
  <c r="F12" i="13" s="1"/>
  <c r="Q29" i="1" a="1"/>
  <c r="Q29" i="1" s="1"/>
  <c r="P53" i="1" a="1"/>
  <c r="P53" i="1" s="1"/>
  <c r="F17" i="13" s="1"/>
  <c r="N79" i="12"/>
  <c r="T8" i="6"/>
  <c r="P27" i="1" s="1" a="1"/>
  <c r="P27" i="1" s="1"/>
  <c r="N23" i="12"/>
  <c r="T7" i="6"/>
  <c r="P26" i="1" s="1" a="1"/>
  <c r="P26" i="1" s="1"/>
  <c r="T14" i="6"/>
  <c r="P14" i="1" s="1" a="1"/>
  <c r="P14" i="1" s="1"/>
  <c r="N34" i="12"/>
  <c r="N27" i="12"/>
  <c r="N48" i="12"/>
  <c r="N89" i="12"/>
  <c r="N16" i="12"/>
  <c r="N112" i="12"/>
  <c r="N99" i="12"/>
  <c r="N45" i="12"/>
  <c r="N83" i="12"/>
  <c r="P24" i="1" a="1"/>
  <c r="P24" i="1" s="1"/>
  <c r="P55" i="1" a="1"/>
  <c r="P55" i="1" s="1"/>
  <c r="F19" i="13" s="1"/>
  <c r="P10" i="1" a="1"/>
  <c r="P10" i="1" s="1"/>
  <c r="P73" i="1" a="1"/>
  <c r="P73" i="1" s="1"/>
  <c r="P20" i="1" a="1"/>
  <c r="P20" i="1" s="1"/>
  <c r="P9" i="1" a="1"/>
  <c r="P9" i="1" s="1"/>
  <c r="P21" i="1" a="1"/>
  <c r="P21" i="1" s="1"/>
  <c r="P67" i="1" a="1"/>
  <c r="P67" i="1" s="1"/>
  <c r="F29" i="13" s="1"/>
  <c r="P13" i="1" a="1"/>
  <c r="P13" i="1" s="1"/>
  <c r="F11" i="13" s="1"/>
  <c r="P15" i="1" a="1"/>
  <c r="P15" i="1" s="1"/>
  <c r="P46" i="1" a="1"/>
  <c r="P46" i="1" s="1"/>
  <c r="P23" i="1" a="1"/>
  <c r="P23" i="1" s="1"/>
  <c r="F4" i="13" s="1"/>
  <c r="P3" i="1" a="1"/>
  <c r="P3" i="1" s="1"/>
  <c r="P18" i="1" a="1"/>
  <c r="P18" i="1" s="1"/>
  <c r="F13" i="13" s="1"/>
  <c r="P22" i="1" a="1"/>
  <c r="P22" i="1" s="1"/>
  <c r="F3" i="13" s="1"/>
  <c r="P7" i="1" a="1"/>
  <c r="P7" i="1" s="1"/>
  <c r="P19" i="1" a="1"/>
  <c r="P19" i="1" s="1"/>
  <c r="P4" i="1" a="1"/>
  <c r="P4" i="1" s="1"/>
  <c r="P11" i="1" a="1"/>
  <c r="P11" i="1" s="1"/>
  <c r="F9" i="13" s="1"/>
  <c r="Q9" i="1" a="1"/>
  <c r="Q9" i="1" s="1"/>
  <c r="P44" i="1" a="1"/>
  <c r="P44" i="1" s="1"/>
  <c r="P8" i="1" a="1"/>
  <c r="P8" i="1" s="1"/>
  <c r="P25" i="1" a="1"/>
  <c r="P25" i="1" s="1"/>
  <c r="Q22" i="1" a="1"/>
  <c r="Q22" i="1" s="1"/>
  <c r="Q24" i="1" a="1"/>
  <c r="Q24" i="1" s="1"/>
  <c r="Q12" i="1" a="1"/>
  <c r="Q12" i="1" s="1"/>
  <c r="Q11" i="1" a="1"/>
  <c r="Q11" i="1" s="1"/>
  <c r="Q5" i="1" a="1"/>
  <c r="Q5" i="1" s="1"/>
  <c r="Q3" i="1" a="1"/>
  <c r="Q3" i="1" s="1"/>
  <c r="Q14" i="1" a="1"/>
  <c r="Q14" i="1" s="1"/>
  <c r="Q19" i="1" a="1"/>
  <c r="Q19" i="1" s="1"/>
  <c r="Q2" i="1" a="1"/>
  <c r="Q2" i="1" s="1"/>
  <c r="Q13" i="1" a="1"/>
  <c r="Q13" i="1" s="1"/>
  <c r="Q8" i="1" a="1"/>
  <c r="Q8" i="1" s="1"/>
  <c r="Q4" i="1" a="1"/>
  <c r="Q4" i="1" s="1"/>
  <c r="Q17" i="1" a="1"/>
  <c r="Q17" i="1" s="1"/>
  <c r="Q7" i="1" a="1"/>
  <c r="Q7" i="1" s="1"/>
  <c r="Q10" i="1" a="1"/>
  <c r="Q10" i="1" s="1"/>
  <c r="N35" i="12" l="1"/>
  <c r="T36" i="6"/>
  <c r="T39" i="6"/>
  <c r="T44" i="6"/>
  <c r="T38" i="6"/>
  <c r="T42" i="6"/>
  <c r="T41" i="6"/>
  <c r="T40" i="6"/>
  <c r="T43" i="6"/>
  <c r="T35" i="6"/>
  <c r="T37" i="6"/>
  <c r="T11" i="6"/>
  <c r="P30" i="1" s="1" a="1"/>
  <c r="P30" i="1" s="1"/>
  <c r="T19" i="6"/>
  <c r="T12" i="6"/>
  <c r="T32" i="6"/>
  <c r="T25" i="6"/>
  <c r="T17" i="6"/>
  <c r="P17" i="1" s="1" a="1"/>
  <c r="P17" i="1" s="1"/>
  <c r="T15" i="6"/>
  <c r="T24" i="6"/>
  <c r="P60" i="1" s="1" a="1"/>
  <c r="P60" i="1" s="1"/>
  <c r="F24" i="13" s="1"/>
  <c r="T29" i="6"/>
  <c r="T6" i="6"/>
  <c r="T2" i="6"/>
  <c r="T18" i="6"/>
  <c r="T23" i="6"/>
  <c r="P59" i="1" s="1" a="1"/>
  <c r="P59" i="1" s="1"/>
  <c r="F23" i="13" s="1"/>
  <c r="T20" i="6"/>
  <c r="T5" i="6"/>
  <c r="T16" i="6"/>
  <c r="T28" i="6"/>
  <c r="T31" i="6"/>
  <c r="T9" i="6"/>
  <c r="P28" i="1" s="1" a="1"/>
  <c r="P28" i="1" s="1"/>
  <c r="T13" i="6"/>
  <c r="P49" i="1" s="1" a="1"/>
  <c r="P49" i="1" s="1"/>
  <c r="T22" i="6"/>
  <c r="T26" i="6"/>
  <c r="P62" i="1" s="1" a="1"/>
  <c r="P62" i="1" s="1"/>
  <c r="T27" i="6"/>
  <c r="T4" i="6"/>
  <c r="T3" i="6"/>
  <c r="T33" i="6"/>
  <c r="T30" i="6"/>
  <c r="T21" i="6"/>
  <c r="P57" i="1" s="1" a="1"/>
  <c r="P57" i="1" s="1"/>
  <c r="F21" i="13" s="1"/>
  <c r="AE66" i="4"/>
  <c r="AE250" i="4"/>
  <c r="AE90" i="4"/>
  <c r="AE192" i="4"/>
  <c r="AE156" i="4"/>
  <c r="AE225" i="4"/>
  <c r="AE88" i="4"/>
  <c r="AE205" i="4"/>
  <c r="AE9" i="4"/>
  <c r="AE228" i="4"/>
  <c r="AE16" i="4"/>
  <c r="AE70" i="4"/>
  <c r="AE130" i="4"/>
  <c r="AE96" i="4"/>
  <c r="AE161" i="4"/>
  <c r="AE37" i="4"/>
  <c r="AE177" i="4"/>
  <c r="AE46" i="4"/>
  <c r="AE27" i="4"/>
  <c r="AE144" i="4"/>
  <c r="AE19" i="4"/>
  <c r="P6" i="1" s="1" a="1"/>
  <c r="P6" i="1" s="1"/>
  <c r="AE87" i="4"/>
  <c r="AE31" i="4"/>
  <c r="P51" i="1" s="1" a="1"/>
  <c r="P51" i="1" s="1"/>
  <c r="F15" i="13" s="1"/>
  <c r="AE218" i="4"/>
  <c r="AE86" i="4"/>
  <c r="AE60" i="4"/>
  <c r="AE44" i="4"/>
  <c r="AE24" i="4"/>
  <c r="AE185" i="4"/>
  <c r="AE128" i="4"/>
  <c r="AE63" i="4"/>
  <c r="AE229" i="4"/>
  <c r="AE116" i="4"/>
  <c r="AE198" i="4"/>
  <c r="AE167" i="4"/>
  <c r="AE62" i="4"/>
  <c r="AE115" i="4"/>
  <c r="AE81" i="4"/>
  <c r="AE111" i="4"/>
  <c r="AE184" i="4"/>
  <c r="AE191" i="4"/>
  <c r="AE238" i="4"/>
  <c r="AE33" i="4"/>
  <c r="P48" i="1" s="1" a="1"/>
  <c r="P48" i="1" s="1"/>
  <c r="AE51" i="4"/>
  <c r="AE174" i="4"/>
  <c r="AE22" i="4"/>
  <c r="AE13" i="4"/>
  <c r="AE217" i="4"/>
  <c r="AE38" i="4"/>
  <c r="AE11" i="4"/>
  <c r="AE95" i="4"/>
  <c r="AE247" i="4"/>
  <c r="AE142" i="4"/>
  <c r="AE150" i="4"/>
  <c r="AE170" i="4"/>
  <c r="AE197" i="4"/>
  <c r="AE147" i="4"/>
  <c r="AE152" i="4"/>
  <c r="AE246" i="4"/>
  <c r="AE136" i="4"/>
  <c r="AE64" i="4"/>
  <c r="AE122" i="4"/>
  <c r="AE52" i="4"/>
  <c r="AE223" i="4"/>
  <c r="AE43" i="4"/>
  <c r="AE65" i="4"/>
  <c r="AE175" i="4"/>
  <c r="AE129" i="4"/>
  <c r="AE110" i="4"/>
  <c r="AE71" i="4"/>
  <c r="AE166" i="4"/>
  <c r="AE249" i="4"/>
  <c r="AE58" i="4"/>
  <c r="AE117" i="4"/>
  <c r="AE40" i="4"/>
  <c r="AE29" i="4"/>
  <c r="P42" i="1" s="1" a="1"/>
  <c r="P42" i="1" s="1"/>
  <c r="AE15" i="4"/>
  <c r="AE42" i="4"/>
  <c r="AE233" i="4"/>
  <c r="AE183" i="4"/>
  <c r="AE244" i="4"/>
  <c r="AE28" i="4"/>
  <c r="P58" i="1" s="1" a="1"/>
  <c r="P58" i="1" s="1"/>
  <c r="F22" i="13" s="1"/>
  <c r="AE159" i="4"/>
  <c r="AE141" i="4"/>
  <c r="AE153" i="4"/>
  <c r="AE201" i="4"/>
  <c r="AE200" i="4"/>
  <c r="AE57" i="4"/>
  <c r="AE202" i="4"/>
  <c r="AE221" i="4"/>
  <c r="AE178" i="4"/>
  <c r="AE204" i="4"/>
  <c r="AE194" i="4"/>
  <c r="AE222" i="4"/>
  <c r="AE208" i="4"/>
  <c r="AE160" i="4"/>
  <c r="AE89" i="4"/>
  <c r="AE240" i="4"/>
  <c r="AE215" i="4"/>
  <c r="AE56" i="4"/>
  <c r="AE123" i="4"/>
  <c r="AE157" i="4"/>
  <c r="AE77" i="4"/>
  <c r="AE101" i="4"/>
  <c r="AE104" i="4"/>
  <c r="AE195" i="4"/>
  <c r="AE97" i="4"/>
  <c r="AE251" i="4"/>
  <c r="AE105" i="4"/>
  <c r="AE135" i="4"/>
  <c r="AE39" i="4"/>
  <c r="AE155" i="4"/>
  <c r="AE41" i="4"/>
  <c r="P77" i="1" s="1" a="1"/>
  <c r="P77" i="1" s="1"/>
  <c r="AE154" i="4"/>
  <c r="AE75" i="4"/>
  <c r="AE124" i="4"/>
  <c r="AE98" i="4"/>
  <c r="AE169" i="4"/>
  <c r="AE227" i="4"/>
  <c r="AE171" i="4"/>
  <c r="AE139" i="4"/>
  <c r="AE252" i="4"/>
  <c r="AE54" i="4"/>
  <c r="AE35" i="4"/>
  <c r="AE79" i="4"/>
  <c r="AE133" i="4"/>
  <c r="AE14" i="4"/>
  <c r="AE121" i="4"/>
  <c r="AE119" i="4"/>
  <c r="AE20" i="4"/>
  <c r="AE78" i="4"/>
  <c r="AE182" i="4"/>
  <c r="AE203" i="4"/>
  <c r="AE196" i="4"/>
  <c r="AE32" i="4"/>
  <c r="P71" i="1" s="1" a="1"/>
  <c r="P71" i="1" s="1"/>
  <c r="AE236" i="4"/>
  <c r="AE113" i="4"/>
  <c r="AE220" i="4"/>
  <c r="AE69" i="4"/>
  <c r="N41" i="12"/>
  <c r="N59" i="12"/>
  <c r="AE67" i="4"/>
  <c r="AE102" i="4"/>
  <c r="AE213" i="4"/>
  <c r="AE93" i="4"/>
  <c r="AE237" i="4"/>
  <c r="AE74" i="4"/>
  <c r="AE242" i="4"/>
  <c r="AE151" i="4"/>
  <c r="AE55" i="4"/>
  <c r="N77" i="12"/>
  <c r="AE59" i="4"/>
  <c r="AE162" i="4"/>
  <c r="AE137" i="4"/>
  <c r="AE134" i="4"/>
  <c r="AE232" i="4"/>
  <c r="AE173" i="4"/>
  <c r="AE190" i="4"/>
  <c r="AE216" i="4"/>
  <c r="AE189" i="4"/>
  <c r="AE23" i="4"/>
  <c r="AE149" i="4"/>
  <c r="AE145" i="4"/>
  <c r="AE99" i="4"/>
  <c r="AE49" i="4"/>
  <c r="AE120" i="4"/>
  <c r="AE206" i="4"/>
  <c r="AE131" i="4"/>
  <c r="AE179" i="4"/>
  <c r="AE76" i="4"/>
  <c r="AE92" i="4"/>
  <c r="AE212" i="4"/>
  <c r="AE53" i="4"/>
  <c r="AE138" i="4"/>
  <c r="AE235" i="4"/>
  <c r="AE132" i="4"/>
  <c r="AE50" i="4"/>
  <c r="AE226" i="4"/>
  <c r="AE103" i="4"/>
  <c r="AE207" i="4"/>
  <c r="AE248" i="4"/>
  <c r="AE187" i="4"/>
  <c r="AE146" i="4"/>
  <c r="AE127" i="4"/>
  <c r="AE143" i="4"/>
  <c r="AE34" i="4"/>
  <c r="P64" i="1" s="1" a="1"/>
  <c r="P64" i="1" s="1"/>
  <c r="F26" i="13" s="1"/>
  <c r="AE112" i="4"/>
  <c r="AE199" i="4"/>
  <c r="AE148" i="4"/>
  <c r="AE180" i="4"/>
  <c r="AE114" i="4"/>
  <c r="AE10" i="4"/>
  <c r="AE91" i="4"/>
  <c r="AE165" i="4"/>
  <c r="AE210" i="4"/>
  <c r="AE125" i="4"/>
  <c r="AE36" i="4"/>
  <c r="P52" i="1" s="1" a="1"/>
  <c r="P52" i="1" s="1"/>
  <c r="F16" i="13" s="1"/>
  <c r="AE48" i="4"/>
  <c r="AE168" i="4"/>
  <c r="AE82" i="4"/>
  <c r="AE193" i="4"/>
  <c r="AE245" i="4"/>
  <c r="AE68" i="4"/>
  <c r="AE17" i="4"/>
  <c r="AE94" i="4"/>
  <c r="AE219" i="4"/>
  <c r="AE158" i="4"/>
  <c r="AE18" i="4"/>
  <c r="AE107" i="4"/>
  <c r="AE214" i="4"/>
  <c r="AE26" i="4"/>
  <c r="AE118" i="4"/>
  <c r="AE241" i="4"/>
  <c r="AE231" i="4"/>
  <c r="AE12" i="4"/>
  <c r="AE109" i="4"/>
  <c r="AE47" i="4"/>
  <c r="AE61" i="4"/>
  <c r="T51" i="6"/>
  <c r="T85" i="6"/>
  <c r="T97" i="6"/>
  <c r="T100" i="6"/>
  <c r="T121" i="6"/>
  <c r="T148" i="6"/>
  <c r="T152" i="6"/>
  <c r="T209" i="6"/>
  <c r="T219" i="6"/>
  <c r="T253" i="6"/>
  <c r="T258" i="6"/>
  <c r="T318" i="6"/>
  <c r="T319" i="6"/>
  <c r="T326" i="6"/>
  <c r="T329" i="6"/>
  <c r="T356" i="6"/>
  <c r="T360" i="6"/>
  <c r="T365" i="6"/>
  <c r="T368" i="6"/>
  <c r="T369" i="6"/>
  <c r="T375" i="6"/>
  <c r="T378" i="6"/>
  <c r="T383" i="6"/>
  <c r="T127" i="6"/>
  <c r="T196" i="6"/>
  <c r="T238" i="6"/>
  <c r="T305" i="6"/>
  <c r="T342" i="6"/>
  <c r="T61" i="6"/>
  <c r="T76" i="6"/>
  <c r="T80" i="6"/>
  <c r="T82" i="6"/>
  <c r="T95" i="6"/>
  <c r="T103" i="6"/>
  <c r="T122" i="6"/>
  <c r="T231" i="6"/>
  <c r="T232" i="6"/>
  <c r="T249" i="6"/>
  <c r="T265" i="6"/>
  <c r="T324" i="6"/>
  <c r="T325" i="6"/>
  <c r="T337" i="6"/>
  <c r="T340" i="6"/>
  <c r="T373" i="6"/>
  <c r="T374" i="6"/>
  <c r="T382" i="6"/>
  <c r="T385" i="6"/>
  <c r="T75" i="6"/>
  <c r="T131" i="6"/>
  <c r="T153" i="6"/>
  <c r="T195" i="6"/>
  <c r="T345" i="6"/>
  <c r="T387" i="6"/>
  <c r="T55" i="6"/>
  <c r="T71" i="6"/>
  <c r="T93" i="6"/>
  <c r="T109" i="6"/>
  <c r="T115" i="6"/>
  <c r="T159" i="6"/>
  <c r="T181" i="6"/>
  <c r="T184" i="6"/>
  <c r="T199" i="6"/>
  <c r="T225" i="6"/>
  <c r="T282" i="6"/>
  <c r="T289" i="6"/>
  <c r="T299" i="6"/>
  <c r="T304" i="6"/>
  <c r="T311" i="6"/>
  <c r="T330" i="6"/>
  <c r="T338" i="6"/>
  <c r="T343" i="6"/>
  <c r="T346" i="6"/>
  <c r="T348" i="6"/>
  <c r="T58" i="6"/>
  <c r="T90" i="6"/>
  <c r="T161" i="6"/>
  <c r="T207" i="6"/>
  <c r="T352" i="6"/>
  <c r="T363" i="6"/>
  <c r="T381" i="6"/>
  <c r="T50" i="6"/>
  <c r="T54" i="6"/>
  <c r="T69" i="6"/>
  <c r="T88" i="6"/>
  <c r="T89" i="6"/>
  <c r="T110" i="6"/>
  <c r="T118" i="6"/>
  <c r="T136" i="6"/>
  <c r="T146" i="6"/>
  <c r="T160" i="6"/>
  <c r="T169" i="6"/>
  <c r="T214" i="6"/>
  <c r="T227" i="6"/>
  <c r="T239" i="6"/>
  <c r="T310" i="6"/>
  <c r="T355" i="6"/>
  <c r="T357" i="6"/>
  <c r="T367" i="6"/>
  <c r="T386" i="6"/>
  <c r="T52" i="6"/>
  <c r="T59" i="6"/>
  <c r="T99" i="6"/>
  <c r="T170" i="6"/>
  <c r="T190" i="6"/>
  <c r="T297" i="6"/>
  <c r="T358" i="6"/>
  <c r="T372" i="6"/>
  <c r="T186" i="6"/>
  <c r="T114" i="6"/>
  <c r="T63" i="6"/>
  <c r="T222" i="6"/>
  <c r="T290" i="6"/>
  <c r="T320" i="6"/>
  <c r="T288" i="6"/>
  <c r="T172" i="6"/>
  <c r="T248" i="6"/>
  <c r="T260" i="6"/>
  <c r="T236" i="6"/>
  <c r="T96" i="6"/>
  <c r="T142" i="6"/>
  <c r="T200" i="6"/>
  <c r="T140" i="6"/>
  <c r="T84" i="6"/>
  <c r="T108" i="6"/>
  <c r="T168" i="6"/>
  <c r="T216" i="6"/>
  <c r="T210" i="6"/>
  <c r="T56" i="6"/>
  <c r="T126" i="6"/>
  <c r="T341" i="6"/>
  <c r="T307" i="6"/>
  <c r="T302" i="6"/>
  <c r="T250" i="6"/>
  <c r="T208" i="6"/>
  <c r="T252" i="6"/>
  <c r="T278" i="6"/>
  <c r="T259" i="6"/>
  <c r="T284" i="6"/>
  <c r="T270" i="6"/>
  <c r="T157" i="6"/>
  <c r="T138" i="6"/>
  <c r="T180" i="6"/>
  <c r="T240" i="6"/>
  <c r="T174" i="6"/>
  <c r="T192" i="6"/>
  <c r="T120" i="6"/>
  <c r="T291" i="6"/>
  <c r="T359" i="6"/>
  <c r="T267" i="6"/>
  <c r="T286" i="6"/>
  <c r="T178" i="6"/>
  <c r="T314" i="6"/>
  <c r="T229" i="6"/>
  <c r="T279" i="6"/>
  <c r="T182" i="6"/>
  <c r="T296" i="6"/>
  <c r="T272" i="6"/>
  <c r="T86" i="6"/>
  <c r="T77" i="6"/>
  <c r="T83" i="6"/>
  <c r="T74" i="6"/>
  <c r="T102" i="6"/>
  <c r="T234" i="6"/>
  <c r="T156" i="6"/>
  <c r="T132" i="6"/>
  <c r="T212" i="6"/>
  <c r="T298" i="6"/>
  <c r="T254" i="6"/>
  <c r="T224" i="6"/>
  <c r="T300" i="6"/>
  <c r="T223" i="6"/>
  <c r="T274" i="6"/>
  <c r="T362" i="6"/>
  <c r="T193" i="6"/>
  <c r="T295" i="6"/>
  <c r="T116" i="6"/>
  <c r="T87" i="6"/>
  <c r="T72" i="6"/>
  <c r="T162" i="6"/>
  <c r="T266" i="6"/>
  <c r="T187" i="6"/>
  <c r="T183" i="6"/>
  <c r="T111" i="6"/>
  <c r="T303" i="6"/>
  <c r="T150" i="6"/>
  <c r="T255" i="6"/>
  <c r="T81" i="6"/>
  <c r="T66" i="6"/>
  <c r="T204" i="6"/>
  <c r="T243" i="6"/>
  <c r="T68" i="6"/>
  <c r="T283" i="6"/>
  <c r="T206" i="6"/>
  <c r="T308" i="6"/>
  <c r="T105" i="6"/>
  <c r="T228" i="6"/>
  <c r="T335" i="6"/>
  <c r="T271" i="6"/>
  <c r="T171" i="6"/>
  <c r="T247" i="6"/>
  <c r="T144" i="6"/>
  <c r="T198" i="6"/>
  <c r="T344" i="6"/>
  <c r="T350" i="6"/>
  <c r="T262" i="6"/>
  <c r="T242" i="6"/>
  <c r="T213" i="6"/>
  <c r="T141" i="6"/>
  <c r="T177" i="6"/>
  <c r="T129" i="6"/>
  <c r="T78" i="6"/>
  <c r="T353" i="6"/>
  <c r="T264" i="6"/>
  <c r="T306" i="6"/>
  <c r="T46" i="6"/>
  <c r="P86" i="1" s="1" a="1"/>
  <c r="P86" i="1" s="1"/>
  <c r="F41" i="13" s="1"/>
  <c r="T53" i="6"/>
  <c r="T60" i="6"/>
  <c r="T62" i="6"/>
  <c r="T101" i="6"/>
  <c r="T107" i="6"/>
  <c r="T117" i="6"/>
  <c r="T123" i="6"/>
  <c r="T128" i="6"/>
  <c r="T147" i="6"/>
  <c r="T154" i="6"/>
  <c r="T158" i="6"/>
  <c r="T163" i="6"/>
  <c r="T167" i="6"/>
  <c r="T173" i="6"/>
  <c r="T179" i="6"/>
  <c r="T189" i="6"/>
  <c r="T197" i="6"/>
  <c r="T201" i="6"/>
  <c r="T205" i="6"/>
  <c r="T211" i="6"/>
  <c r="T218" i="6"/>
  <c r="T221" i="6"/>
  <c r="T251" i="6"/>
  <c r="T263" i="6"/>
  <c r="T273" i="6"/>
  <c r="T281" i="6"/>
  <c r="T312" i="6"/>
  <c r="T313" i="6"/>
  <c r="T323" i="6"/>
  <c r="T332" i="6"/>
  <c r="T334" i="6"/>
  <c r="T336" i="6"/>
  <c r="T47" i="6"/>
  <c r="T48" i="6"/>
  <c r="T49" i="6"/>
  <c r="T67" i="6"/>
  <c r="T98" i="6"/>
  <c r="T113" i="6"/>
  <c r="T124" i="6"/>
  <c r="T130" i="6"/>
  <c r="T133" i="6"/>
  <c r="T137" i="6"/>
  <c r="T155" i="6"/>
  <c r="T164" i="6"/>
  <c r="T194" i="6"/>
  <c r="T202" i="6"/>
  <c r="T215" i="6"/>
  <c r="T226" i="6"/>
  <c r="T230" i="6"/>
  <c r="T246" i="6"/>
  <c r="T276" i="6"/>
  <c r="T277" i="6"/>
  <c r="T280" i="6"/>
  <c r="T294" i="6"/>
  <c r="T315" i="6"/>
  <c r="T317" i="6"/>
  <c r="T321" i="6"/>
  <c r="T322" i="6"/>
  <c r="T327" i="6"/>
  <c r="T328" i="6"/>
  <c r="T331" i="6"/>
  <c r="T333" i="6"/>
  <c r="T45" i="6"/>
  <c r="P85" i="1" s="1" a="1"/>
  <c r="P85" i="1" s="1"/>
  <c r="T64" i="6"/>
  <c r="T65" i="6"/>
  <c r="T79" i="6"/>
  <c r="T135" i="6"/>
  <c r="T145" i="6"/>
  <c r="T151" i="6"/>
  <c r="T166" i="6"/>
  <c r="T176" i="6"/>
  <c r="T188" i="6"/>
  <c r="T217" i="6"/>
  <c r="T237" i="6"/>
  <c r="T256" i="6"/>
  <c r="T257" i="6"/>
  <c r="T261" i="6"/>
  <c r="T285" i="6"/>
  <c r="T292" i="6"/>
  <c r="T293" i="6"/>
  <c r="T301" i="6"/>
  <c r="T316" i="6"/>
  <c r="T351" i="6"/>
  <c r="T354" i="6"/>
  <c r="T361" i="6"/>
  <c r="T364" i="6"/>
  <c r="T366" i="6"/>
  <c r="T370" i="6"/>
  <c r="T371" i="6"/>
  <c r="T379" i="6"/>
  <c r="T380" i="6"/>
  <c r="T384" i="6"/>
  <c r="T57" i="6"/>
  <c r="T92" i="6"/>
  <c r="T94" i="6"/>
  <c r="T104" i="6"/>
  <c r="T112" i="6"/>
  <c r="T119" i="6"/>
  <c r="T125" i="6"/>
  <c r="T134" i="6"/>
  <c r="T139" i="6"/>
  <c r="T191" i="6"/>
  <c r="T203" i="6"/>
  <c r="T220" i="6"/>
  <c r="T233" i="6"/>
  <c r="T235" i="6"/>
  <c r="T245" i="6"/>
  <c r="T268" i="6"/>
  <c r="T269" i="6"/>
  <c r="T275" i="6"/>
  <c r="T287" i="6"/>
  <c r="T309" i="6"/>
  <c r="T339" i="6"/>
  <c r="T347" i="6"/>
  <c r="T349" i="6"/>
  <c r="T376" i="6"/>
  <c r="T377" i="6"/>
  <c r="T149" i="6"/>
  <c r="T165" i="6"/>
  <c r="T175" i="6"/>
  <c r="T185" i="6"/>
  <c r="T241" i="6"/>
  <c r="T244" i="6"/>
  <c r="T70" i="6"/>
  <c r="T73" i="6"/>
  <c r="T91" i="6"/>
  <c r="T106" i="6"/>
  <c r="T143" i="6"/>
  <c r="N74" i="12"/>
  <c r="AE239" i="4"/>
  <c r="AE181" i="4"/>
  <c r="AE21" i="4"/>
  <c r="AE243" i="4"/>
  <c r="AE80" i="4"/>
  <c r="AE140" i="4"/>
  <c r="AE230" i="4"/>
  <c r="AE73" i="4"/>
  <c r="AE85" i="4"/>
  <c r="AE106" i="4"/>
  <c r="AE172" i="4"/>
  <c r="AE30" i="4"/>
  <c r="N97" i="12"/>
  <c r="N47" i="12"/>
  <c r="N63" i="12"/>
  <c r="N3" i="12"/>
  <c r="AF22" i="4" s="1"/>
  <c r="N93" i="12"/>
  <c r="N94" i="12"/>
  <c r="N92" i="12"/>
  <c r="N2" i="12"/>
  <c r="N60" i="12"/>
  <c r="N90" i="12"/>
  <c r="N17" i="12"/>
  <c r="N21" i="12"/>
  <c r="N49" i="12"/>
  <c r="N82" i="12"/>
  <c r="N30" i="12"/>
  <c r="N33" i="12"/>
  <c r="N19" i="12"/>
  <c r="AF184" i="4"/>
  <c r="AF214" i="4"/>
  <c r="AF231" i="4"/>
  <c r="AF67" i="4"/>
  <c r="AF44" i="4"/>
  <c r="AF242" i="4"/>
  <c r="AF129" i="4"/>
  <c r="AF84" i="4"/>
  <c r="AF170" i="4"/>
  <c r="N88" i="12"/>
  <c r="N37" i="12"/>
  <c r="N6" i="12"/>
  <c r="N55" i="12"/>
  <c r="N110" i="12"/>
  <c r="N107" i="12"/>
  <c r="N13" i="12"/>
  <c r="N58" i="12"/>
  <c r="N67" i="12"/>
  <c r="N7" i="12"/>
  <c r="N102" i="12"/>
  <c r="N72" i="12"/>
  <c r="N51" i="12"/>
  <c r="N14" i="12"/>
  <c r="N32" i="12"/>
  <c r="N54" i="12"/>
  <c r="N5" i="12"/>
  <c r="N103" i="12"/>
  <c r="AE2" i="4"/>
  <c r="P76" i="1" a="1"/>
  <c r="P76" i="1" s="1"/>
  <c r="P82" i="1" a="1"/>
  <c r="P82" i="1" s="1"/>
  <c r="F37" i="13" s="1"/>
  <c r="P74" i="1" a="1"/>
  <c r="P74" i="1" s="1"/>
  <c r="F33" i="13" s="1"/>
  <c r="P80" i="1" a="1"/>
  <c r="P80" i="1" s="1"/>
  <c r="P84" i="1" a="1"/>
  <c r="P84" i="1" s="1"/>
  <c r="P75" i="1" a="1"/>
  <c r="P75" i="1" s="1"/>
  <c r="F34" i="13" s="1"/>
  <c r="P81" i="1" a="1"/>
  <c r="P81" i="1" s="1"/>
  <c r="F36" i="13" s="1"/>
  <c r="P79" i="1" a="1"/>
  <c r="P79" i="1" s="1"/>
  <c r="P83" i="1" a="1"/>
  <c r="P83" i="1" s="1"/>
  <c r="F38" i="13" s="1"/>
  <c r="T34" i="6"/>
  <c r="P70" i="1" s="1" a="1"/>
  <c r="P70" i="1" s="1"/>
  <c r="F32" i="13" s="1"/>
  <c r="P78" i="1" a="1"/>
  <c r="P78" i="1" s="1"/>
  <c r="N4" i="12"/>
  <c r="N66" i="12"/>
  <c r="N81" i="12"/>
  <c r="N113" i="12"/>
  <c r="N104" i="12"/>
  <c r="AE5" i="4"/>
  <c r="AE6" i="4"/>
  <c r="AE8" i="4"/>
  <c r="P2" i="1" s="1" a="1"/>
  <c r="P2" i="1" s="1"/>
  <c r="AE224" i="4"/>
  <c r="AE188" i="4"/>
  <c r="AE176" i="4"/>
  <c r="AE108" i="4"/>
  <c r="AE84" i="4"/>
  <c r="AE72" i="4"/>
  <c r="AE163" i="4"/>
  <c r="AE211" i="4"/>
  <c r="AE126" i="4"/>
  <c r="AE209" i="4"/>
  <c r="AE25" i="4"/>
  <c r="P45" i="1" s="1" a="1"/>
  <c r="P45" i="1" s="1"/>
  <c r="AE83" i="4"/>
  <c r="AE164" i="4"/>
  <c r="AE234" i="4"/>
  <c r="AE100" i="4"/>
  <c r="AE186" i="4"/>
  <c r="AE45" i="4"/>
  <c r="AF151" i="4"/>
  <c r="AF90" i="4"/>
  <c r="N75" i="12"/>
  <c r="N25" i="12"/>
  <c r="N68" i="12"/>
  <c r="N38" i="12"/>
  <c r="N28" i="12"/>
  <c r="N78" i="12"/>
  <c r="N39" i="12"/>
  <c r="N96" i="12"/>
  <c r="N43" i="12"/>
  <c r="N31" i="12"/>
  <c r="N12" i="12"/>
  <c r="N101" i="12"/>
  <c r="Q57" i="1" a="1"/>
  <c r="Q57" i="1" s="1"/>
  <c r="F6" i="13"/>
  <c r="Q51" i="1" a="1"/>
  <c r="Q51" i="1" s="1"/>
  <c r="F5" i="13"/>
  <c r="F8" i="13"/>
  <c r="F7" i="13"/>
  <c r="Q52" i="1" a="1"/>
  <c r="Q52" i="1" s="1"/>
  <c r="Q50" i="1" a="1"/>
  <c r="Q50" i="1" s="1"/>
  <c r="P50" i="1" a="1"/>
  <c r="P50" i="1" s="1"/>
  <c r="F14" i="13" s="1"/>
  <c r="Q21" i="1" a="1"/>
  <c r="Q21" i="1" s="1"/>
  <c r="Q25" i="1" a="1"/>
  <c r="Q25" i="1" s="1"/>
  <c r="Q54" i="1" a="1"/>
  <c r="Q54" i="1" s="1"/>
  <c r="Q15" i="1" a="1"/>
  <c r="Q15" i="1" s="1"/>
  <c r="Q16" i="1" a="1"/>
  <c r="Q16" i="1" s="1"/>
  <c r="F2" i="13" l="1"/>
  <c r="AF99" i="4"/>
  <c r="AF213" i="4"/>
  <c r="AF238" i="4"/>
  <c r="AF171" i="4"/>
  <c r="AF200" i="4"/>
  <c r="AF135" i="4"/>
  <c r="AF123" i="4"/>
  <c r="AF232" i="4"/>
  <c r="AF27" i="4"/>
  <c r="AF87" i="4"/>
  <c r="AF228" i="4"/>
  <c r="AF126" i="4"/>
  <c r="AF131" i="4"/>
  <c r="AF120" i="4"/>
  <c r="AF71" i="4"/>
  <c r="AF198" i="4"/>
  <c r="AF16" i="4"/>
  <c r="AF132" i="4"/>
  <c r="AF56" i="4"/>
  <c r="AF207" i="4"/>
  <c r="AF117" i="4"/>
  <c r="AF233" i="4"/>
  <c r="AF222" i="4"/>
  <c r="AF41" i="4"/>
  <c r="Q77" i="1" s="1" a="1"/>
  <c r="Q77" i="1" s="1"/>
  <c r="AF70" i="4"/>
  <c r="AF75" i="4"/>
  <c r="AF53" i="4"/>
  <c r="AF180" i="4"/>
  <c r="AF77" i="4"/>
  <c r="AF189" i="4"/>
  <c r="AF32" i="4"/>
  <c r="Q71" i="1" s="1" a="1"/>
  <c r="Q71" i="1" s="1"/>
  <c r="AF5" i="4"/>
  <c r="AF7" i="4"/>
  <c r="AF215" i="4"/>
  <c r="AF106" i="4"/>
  <c r="AF175" i="4"/>
  <c r="AF192" i="4"/>
  <c r="AF105" i="4"/>
  <c r="AF23" i="4"/>
  <c r="Q56" i="1" s="1" a="1"/>
  <c r="Q56" i="1" s="1"/>
  <c r="AF115" i="4"/>
  <c r="AF55" i="4"/>
  <c r="AF28" i="4"/>
  <c r="Q58" i="1" s="1" a="1"/>
  <c r="Q58" i="1" s="1"/>
  <c r="AF61" i="4"/>
  <c r="AF15" i="4"/>
  <c r="Q46" i="1" s="1" a="1"/>
  <c r="Q46" i="1" s="1"/>
  <c r="AF60" i="4"/>
  <c r="AF85" i="4"/>
  <c r="AF223" i="4"/>
  <c r="AF65" i="4"/>
  <c r="AF96" i="4"/>
  <c r="AF190" i="4"/>
  <c r="AF249" i="4"/>
  <c r="AF181" i="4"/>
  <c r="AF107" i="4"/>
  <c r="AF203" i="4"/>
  <c r="AF4" i="4"/>
  <c r="AF224" i="4"/>
  <c r="AF134" i="4"/>
  <c r="AF164" i="4"/>
  <c r="AF122" i="4"/>
  <c r="AF186" i="4"/>
  <c r="AF139" i="4"/>
  <c r="AF239" i="4"/>
  <c r="AF95" i="4"/>
  <c r="AF40" i="4"/>
  <c r="Q53" i="1" s="1" a="1"/>
  <c r="Q53" i="1" s="1"/>
  <c r="AF169" i="4"/>
  <c r="U36" i="6"/>
  <c r="V36" i="6" s="1"/>
  <c r="U39" i="6"/>
  <c r="V39" i="6" s="1"/>
  <c r="U42" i="6"/>
  <c r="V42" i="6" s="1"/>
  <c r="U43" i="6"/>
  <c r="V43" i="6" s="1"/>
  <c r="U44" i="6"/>
  <c r="V44" i="6" s="1"/>
  <c r="U35" i="6"/>
  <c r="V35" i="6" s="1"/>
  <c r="U41" i="6"/>
  <c r="V41" i="6" s="1"/>
  <c r="U40" i="6"/>
  <c r="V40" i="6" s="1"/>
  <c r="U37" i="6"/>
  <c r="V37" i="6" s="1"/>
  <c r="U38" i="6"/>
  <c r="V38" i="6" s="1"/>
  <c r="U24" i="6"/>
  <c r="V24" i="6" s="1"/>
  <c r="U33" i="6"/>
  <c r="V33" i="6" s="1"/>
  <c r="U10" i="6"/>
  <c r="V10" i="6" s="1"/>
  <c r="U19" i="6"/>
  <c r="V19" i="6" s="1"/>
  <c r="U4" i="6"/>
  <c r="V4" i="6" s="1"/>
  <c r="U18" i="6"/>
  <c r="V18" i="6" s="1"/>
  <c r="U30" i="6"/>
  <c r="V30" i="6" s="1"/>
  <c r="U31" i="6"/>
  <c r="V31" i="6" s="1"/>
  <c r="U13" i="6"/>
  <c r="V13" i="6" s="1"/>
  <c r="U26" i="6"/>
  <c r="V26" i="6" s="1"/>
  <c r="U12" i="6"/>
  <c r="V12" i="6" s="1"/>
  <c r="U25" i="6"/>
  <c r="V25" i="6" s="1"/>
  <c r="U20" i="6"/>
  <c r="V20" i="6" s="1"/>
  <c r="U8" i="6"/>
  <c r="V8" i="6" s="1"/>
  <c r="U5" i="6"/>
  <c r="V5" i="6" s="1"/>
  <c r="U17" i="6"/>
  <c r="V17" i="6" s="1"/>
  <c r="U27" i="6"/>
  <c r="V27" i="6" s="1"/>
  <c r="U32" i="6"/>
  <c r="V32" i="6" s="1"/>
  <c r="U3" i="6"/>
  <c r="V3" i="6" s="1"/>
  <c r="U23" i="6"/>
  <c r="V23" i="6" s="1"/>
  <c r="U7" i="6"/>
  <c r="U22" i="6"/>
  <c r="V22" i="6" s="1"/>
  <c r="U29" i="6"/>
  <c r="V29" i="6" s="1"/>
  <c r="U28" i="6"/>
  <c r="V28" i="6" s="1"/>
  <c r="U9" i="6"/>
  <c r="U2" i="6"/>
  <c r="V2" i="6" s="1"/>
  <c r="U11" i="6"/>
  <c r="U15" i="6"/>
  <c r="V15" i="6" s="1"/>
  <c r="U21" i="6"/>
  <c r="V21" i="6" s="1"/>
  <c r="U16" i="6"/>
  <c r="V16" i="6" s="1"/>
  <c r="U6" i="6"/>
  <c r="V6" i="6" s="1"/>
  <c r="U14" i="6"/>
  <c r="V14" i="6" s="1"/>
  <c r="AF187" i="4"/>
  <c r="AF59" i="4"/>
  <c r="AF150" i="4"/>
  <c r="AF202" i="4"/>
  <c r="AF152" i="4"/>
  <c r="AF24" i="4"/>
  <c r="Q44" i="1" s="1" a="1"/>
  <c r="Q44" i="1" s="1"/>
  <c r="AF31" i="4"/>
  <c r="AF137" i="4"/>
  <c r="AF196" i="4"/>
  <c r="AF141" i="4"/>
  <c r="AF138" i="4"/>
  <c r="AF100" i="4"/>
  <c r="AF57" i="4"/>
  <c r="AF50" i="4"/>
  <c r="AF17" i="4"/>
  <c r="Q73" i="1" s="1" a="1"/>
  <c r="Q73" i="1" s="1"/>
  <c r="AF9" i="4"/>
  <c r="Q31" i="1" s="1" a="1"/>
  <c r="Q31" i="1" s="1"/>
  <c r="AF227" i="4"/>
  <c r="AF30" i="4"/>
  <c r="Q63" i="1" s="1" a="1"/>
  <c r="Q63" i="1" s="1"/>
  <c r="AF229" i="4"/>
  <c r="AF193" i="4"/>
  <c r="AF159" i="4"/>
  <c r="AF54" i="4"/>
  <c r="AF25" i="4"/>
  <c r="Q45" i="1" s="1" a="1"/>
  <c r="Q45" i="1" s="1"/>
  <c r="AF18" i="4"/>
  <c r="AF136" i="4"/>
  <c r="AF195" i="4"/>
  <c r="AF76" i="4"/>
  <c r="AF42" i="4"/>
  <c r="AF236" i="4"/>
  <c r="AF92" i="4"/>
  <c r="AF125" i="4"/>
  <c r="AF172" i="4"/>
  <c r="AF225" i="4"/>
  <c r="AF199" i="4"/>
  <c r="AF197" i="4"/>
  <c r="AF147" i="4"/>
  <c r="AF219" i="4"/>
  <c r="AF14" i="4"/>
  <c r="Q66" i="1" s="1" a="1"/>
  <c r="Q66" i="1" s="1"/>
  <c r="AF102" i="4"/>
  <c r="AF19" i="4"/>
  <c r="Q6" i="1" s="1" a="1"/>
  <c r="Q6" i="1" s="1"/>
  <c r="AF244" i="4"/>
  <c r="AF140" i="4"/>
  <c r="AF201" i="4"/>
  <c r="AF36" i="4"/>
  <c r="AF45" i="4"/>
  <c r="AF119" i="4"/>
  <c r="AF79" i="4"/>
  <c r="AF58" i="4"/>
  <c r="AF121" i="4"/>
  <c r="AF252" i="4"/>
  <c r="AF167" i="4"/>
  <c r="AF158" i="4"/>
  <c r="AF94" i="4"/>
  <c r="AF62" i="4"/>
  <c r="AF205" i="4"/>
  <c r="AF34" i="4"/>
  <c r="Q64" i="1" s="1" a="1"/>
  <c r="Q64" i="1" s="1"/>
  <c r="AF38" i="4"/>
  <c r="AF98" i="4"/>
  <c r="AF212" i="4"/>
  <c r="AF246" i="4"/>
  <c r="AF112" i="4"/>
  <c r="AF83" i="4"/>
  <c r="AF113" i="4"/>
  <c r="AF80" i="4"/>
  <c r="AF208" i="4"/>
  <c r="AF82" i="4"/>
  <c r="AF6" i="4"/>
  <c r="Q23" i="1" s="1" a="1"/>
  <c r="Q23" i="1" s="1"/>
  <c r="AF48" i="4"/>
  <c r="AF124" i="4"/>
  <c r="AF234" i="4"/>
  <c r="AF37" i="4"/>
  <c r="Q65" i="1" s="1" a="1"/>
  <c r="Q65" i="1" s="1"/>
  <c r="AF209" i="4"/>
  <c r="AF206" i="4"/>
  <c r="AF13" i="4"/>
  <c r="AF148" i="4"/>
  <c r="AF52" i="4"/>
  <c r="AF51" i="4"/>
  <c r="AF160" i="4"/>
  <c r="AF49" i="4"/>
  <c r="AF11" i="4"/>
  <c r="Q55" i="1" s="1" a="1"/>
  <c r="Q55" i="1" s="1"/>
  <c r="AF10" i="4"/>
  <c r="AF221" i="4"/>
  <c r="AF145" i="4"/>
  <c r="AF26" i="4"/>
  <c r="AF29" i="4"/>
  <c r="Q42" i="1" s="1" a="1"/>
  <c r="Q42" i="1" s="1"/>
  <c r="AF43" i="4"/>
  <c r="AF163" i="4"/>
  <c r="AF247" i="4"/>
  <c r="AF39" i="4"/>
  <c r="Q69" i="1" s="1" a="1"/>
  <c r="Q69" i="1" s="1"/>
  <c r="AF78" i="4"/>
  <c r="AF130" i="4"/>
  <c r="AF162" i="4"/>
  <c r="AF66" i="4"/>
  <c r="AF103" i="4"/>
  <c r="AF81" i="4"/>
  <c r="AF142" i="4"/>
  <c r="AF47" i="4"/>
  <c r="AF8" i="4"/>
  <c r="AF177" i="4"/>
  <c r="AF166" i="4"/>
  <c r="AF204" i="4"/>
  <c r="AF88" i="4"/>
  <c r="AF194" i="4"/>
  <c r="AF245" i="4"/>
  <c r="AF165" i="4"/>
  <c r="AF3" i="4"/>
  <c r="AF176" i="4"/>
  <c r="AF178" i="4"/>
  <c r="AF240" i="4"/>
  <c r="AF146" i="4"/>
  <c r="AF72" i="4"/>
  <c r="AF89" i="4"/>
  <c r="AF173" i="4"/>
  <c r="AF111" i="4"/>
  <c r="AF21" i="4"/>
  <c r="Q67" i="1" s="1" a="1"/>
  <c r="Q67" i="1" s="1"/>
  <c r="AF64" i="4"/>
  <c r="AF217" i="4"/>
  <c r="AF114" i="4"/>
  <c r="AF211" i="4"/>
  <c r="AF109" i="4"/>
  <c r="AF73" i="4"/>
  <c r="AF63" i="4"/>
  <c r="AF220" i="4"/>
  <c r="AF216" i="4"/>
  <c r="AF248" i="4"/>
  <c r="AF149" i="4"/>
  <c r="AF226" i="4"/>
  <c r="AF33" i="4"/>
  <c r="Q48" i="1" s="1" a="1"/>
  <c r="Q48" i="1" s="1"/>
  <c r="AF154" i="4"/>
  <c r="AF168" i="4"/>
  <c r="AF157" i="4"/>
  <c r="AF12" i="4"/>
  <c r="AF143" i="4"/>
  <c r="AF251" i="4"/>
  <c r="AF241" i="4"/>
  <c r="AF46" i="4"/>
  <c r="AF118" i="4"/>
  <c r="AF161" i="4"/>
  <c r="AF210" i="4"/>
  <c r="AF74" i="4"/>
  <c r="F39" i="13"/>
  <c r="F40" i="13"/>
  <c r="F35" i="13"/>
  <c r="U45" i="6"/>
  <c r="U58" i="6"/>
  <c r="V58" i="6" s="1"/>
  <c r="U64" i="6"/>
  <c r="V64" i="6" s="1"/>
  <c r="U66" i="6"/>
  <c r="V66" i="6" s="1"/>
  <c r="U138" i="6"/>
  <c r="V138" i="6" s="1"/>
  <c r="U170" i="6"/>
  <c r="V170" i="6" s="1"/>
  <c r="U194" i="6"/>
  <c r="V194" i="6" s="1"/>
  <c r="U230" i="6"/>
  <c r="V230" i="6" s="1"/>
  <c r="U108" i="6"/>
  <c r="V108" i="6" s="1"/>
  <c r="U155" i="6"/>
  <c r="V155" i="6" s="1"/>
  <c r="U224" i="6"/>
  <c r="V224" i="6" s="1"/>
  <c r="U373" i="6"/>
  <c r="V373" i="6" s="1"/>
  <c r="U382" i="6"/>
  <c r="V382" i="6" s="1"/>
  <c r="U47" i="6"/>
  <c r="V47" i="6" s="1"/>
  <c r="U74" i="6"/>
  <c r="V74" i="6" s="1"/>
  <c r="U100" i="6"/>
  <c r="V100" i="6" s="1"/>
  <c r="U152" i="6"/>
  <c r="V152" i="6" s="1"/>
  <c r="U176" i="6"/>
  <c r="V176" i="6" s="1"/>
  <c r="U209" i="6"/>
  <c r="V209" i="6" s="1"/>
  <c r="U365" i="6"/>
  <c r="V365" i="6" s="1"/>
  <c r="U375" i="6"/>
  <c r="V375" i="6" s="1"/>
  <c r="U95" i="6"/>
  <c r="V95" i="6" s="1"/>
  <c r="U122" i="6"/>
  <c r="V122" i="6" s="1"/>
  <c r="U180" i="6"/>
  <c r="V180" i="6" s="1"/>
  <c r="U232" i="6"/>
  <c r="V232" i="6" s="1"/>
  <c r="U370" i="6"/>
  <c r="V370" i="6" s="1"/>
  <c r="U379" i="6"/>
  <c r="V379" i="6" s="1"/>
  <c r="U56" i="6"/>
  <c r="V56" i="6" s="1"/>
  <c r="U131" i="6"/>
  <c r="V131" i="6" s="1"/>
  <c r="U132" i="6"/>
  <c r="V132" i="6" s="1"/>
  <c r="U188" i="6"/>
  <c r="V188" i="6" s="1"/>
  <c r="U376" i="6"/>
  <c r="V376" i="6" s="1"/>
  <c r="U50" i="6"/>
  <c r="V50" i="6" s="1"/>
  <c r="U54" i="6"/>
  <c r="V54" i="6" s="1"/>
  <c r="U65" i="6"/>
  <c r="V65" i="6" s="1"/>
  <c r="U88" i="6"/>
  <c r="V88" i="6" s="1"/>
  <c r="U137" i="6"/>
  <c r="V137" i="6" s="1"/>
  <c r="U202" i="6"/>
  <c r="V202" i="6" s="1"/>
  <c r="U367" i="6"/>
  <c r="V367" i="6" s="1"/>
  <c r="U49" i="6"/>
  <c r="V49" i="6" s="1"/>
  <c r="U55" i="6"/>
  <c r="V55" i="6" s="1"/>
  <c r="U166" i="6"/>
  <c r="V166" i="6" s="1"/>
  <c r="U200" i="6"/>
  <c r="V200" i="6" s="1"/>
  <c r="U349" i="6"/>
  <c r="V349" i="6" s="1"/>
  <c r="U366" i="6"/>
  <c r="V366" i="6" s="1"/>
  <c r="U48" i="6"/>
  <c r="V48" i="6" s="1"/>
  <c r="U83" i="6"/>
  <c r="V83" i="6" s="1"/>
  <c r="U89" i="6"/>
  <c r="V89" i="6" s="1"/>
  <c r="U146" i="6"/>
  <c r="V146" i="6" s="1"/>
  <c r="U215" i="6"/>
  <c r="V215" i="6" s="1"/>
  <c r="U333" i="6"/>
  <c r="V333" i="6" s="1"/>
  <c r="U347" i="6"/>
  <c r="V347" i="6" s="1"/>
  <c r="U364" i="6"/>
  <c r="V364" i="6" s="1"/>
  <c r="U384" i="6"/>
  <c r="V384" i="6" s="1"/>
  <c r="U282" i="6"/>
  <c r="V282" i="6" s="1"/>
  <c r="U281" i="6"/>
  <c r="V281" i="6" s="1"/>
  <c r="U219" i="6"/>
  <c r="V219" i="6" s="1"/>
  <c r="U330" i="6"/>
  <c r="V330" i="6" s="1"/>
  <c r="U310" i="6"/>
  <c r="V310" i="6" s="1"/>
  <c r="U326" i="6"/>
  <c r="V326" i="6" s="1"/>
  <c r="U287" i="6"/>
  <c r="V287" i="6" s="1"/>
  <c r="U111" i="6"/>
  <c r="V111" i="6" s="1"/>
  <c r="U304" i="6"/>
  <c r="V304" i="6" s="1"/>
  <c r="U244" i="6"/>
  <c r="V244" i="6" s="1"/>
  <c r="U153" i="6"/>
  <c r="V153" i="6" s="1"/>
  <c r="U255" i="6"/>
  <c r="V255" i="6" s="1"/>
  <c r="U380" i="6"/>
  <c r="V380" i="6" s="1"/>
  <c r="U302" i="6"/>
  <c r="V302" i="6" s="1"/>
  <c r="U250" i="6"/>
  <c r="V250" i="6" s="1"/>
  <c r="U171" i="6"/>
  <c r="V171" i="6" s="1"/>
  <c r="U207" i="6"/>
  <c r="V207" i="6" s="1"/>
  <c r="U229" i="6"/>
  <c r="V229" i="6" s="1"/>
  <c r="U345" i="6"/>
  <c r="V345" i="6" s="1"/>
  <c r="U278" i="6"/>
  <c r="V278" i="6" s="1"/>
  <c r="U247" i="6"/>
  <c r="V247" i="6" s="1"/>
  <c r="U284" i="6"/>
  <c r="V284" i="6" s="1"/>
  <c r="U297" i="6"/>
  <c r="V297" i="6" s="1"/>
  <c r="U235" i="6"/>
  <c r="V235" i="6" s="1"/>
  <c r="U163" i="6"/>
  <c r="V163" i="6" s="1"/>
  <c r="U273" i="6"/>
  <c r="V273" i="6" s="1"/>
  <c r="U154" i="6"/>
  <c r="V154" i="6" s="1"/>
  <c r="U181" i="6"/>
  <c r="V181" i="6" s="1"/>
  <c r="U124" i="6"/>
  <c r="V124" i="6" s="1"/>
  <c r="U109" i="6"/>
  <c r="V109" i="6" s="1"/>
  <c r="U84" i="6"/>
  <c r="V84" i="6" s="1"/>
  <c r="U93" i="6"/>
  <c r="V93" i="6" s="1"/>
  <c r="U68" i="6"/>
  <c r="V68" i="6" s="1"/>
  <c r="U213" i="6"/>
  <c r="V213" i="6" s="1"/>
  <c r="U301" i="6"/>
  <c r="V301" i="6" s="1"/>
  <c r="U118" i="6"/>
  <c r="V118" i="6" s="1"/>
  <c r="U92" i="6"/>
  <c r="V92" i="6" s="1"/>
  <c r="U135" i="6"/>
  <c r="V135" i="6" s="1"/>
  <c r="U275" i="6"/>
  <c r="V275" i="6" s="1"/>
  <c r="U280" i="6"/>
  <c r="V280" i="6" s="1"/>
  <c r="U324" i="6"/>
  <c r="V324" i="6" s="1"/>
  <c r="U293" i="6"/>
  <c r="V293" i="6" s="1"/>
  <c r="U300" i="6"/>
  <c r="V300" i="6" s="1"/>
  <c r="U319" i="6"/>
  <c r="V319" i="6" s="1"/>
  <c r="U292" i="6"/>
  <c r="V292" i="6" s="1"/>
  <c r="U225" i="6"/>
  <c r="V225" i="6" s="1"/>
  <c r="U291" i="6"/>
  <c r="V291" i="6" s="1"/>
  <c r="U355" i="6"/>
  <c r="V355" i="6" s="1"/>
  <c r="U346" i="6"/>
  <c r="V346" i="6" s="1"/>
  <c r="U337" i="6"/>
  <c r="V337" i="6" s="1"/>
  <c r="U350" i="6"/>
  <c r="V350" i="6" s="1"/>
  <c r="U361" i="6"/>
  <c r="V361" i="6" s="1"/>
  <c r="U377" i="6"/>
  <c r="V377" i="6" s="1"/>
  <c r="U362" i="6"/>
  <c r="V362" i="6" s="1"/>
  <c r="U335" i="6"/>
  <c r="V335" i="6" s="1"/>
  <c r="U267" i="6"/>
  <c r="V267" i="6" s="1"/>
  <c r="U262" i="6"/>
  <c r="V262" i="6" s="1"/>
  <c r="U193" i="6"/>
  <c r="V193" i="6" s="1"/>
  <c r="U360" i="6"/>
  <c r="V360" i="6" s="1"/>
  <c r="U342" i="6"/>
  <c r="V342" i="6" s="1"/>
  <c r="U331" i="6"/>
  <c r="V331" i="6" s="1"/>
  <c r="U220" i="6"/>
  <c r="V220" i="6" s="1"/>
  <c r="U279" i="6"/>
  <c r="V279" i="6" s="1"/>
  <c r="U177" i="6"/>
  <c r="V177" i="6" s="1"/>
  <c r="U145" i="6"/>
  <c r="V145" i="6" s="1"/>
  <c r="U90" i="6"/>
  <c r="V90" i="6" s="1"/>
  <c r="U245" i="6"/>
  <c r="V245" i="6" s="1"/>
  <c r="U318" i="6"/>
  <c r="V318" i="6" s="1"/>
  <c r="U313" i="6"/>
  <c r="V313" i="6" s="1"/>
  <c r="U256" i="6"/>
  <c r="V256" i="6" s="1"/>
  <c r="U305" i="6"/>
  <c r="V305" i="6" s="1"/>
  <c r="U306" i="6"/>
  <c r="V306" i="6" s="1"/>
  <c r="U147" i="6"/>
  <c r="V147" i="6" s="1"/>
  <c r="U321" i="6"/>
  <c r="V321" i="6" s="1"/>
  <c r="U269" i="6"/>
  <c r="V269" i="6" s="1"/>
  <c r="U303" i="6"/>
  <c r="V303" i="6" s="1"/>
  <c r="U359" i="6"/>
  <c r="V359" i="6" s="1"/>
  <c r="U352" i="6"/>
  <c r="V352" i="6" s="1"/>
  <c r="U371" i="6"/>
  <c r="V371" i="6" s="1"/>
  <c r="U344" i="6"/>
  <c r="V344" i="6" s="1"/>
  <c r="U298" i="6"/>
  <c r="V298" i="6" s="1"/>
  <c r="U271" i="6"/>
  <c r="V271" i="6" s="1"/>
  <c r="U254" i="6"/>
  <c r="V254" i="6" s="1"/>
  <c r="U354" i="6"/>
  <c r="V354" i="6" s="1"/>
  <c r="U336" i="6"/>
  <c r="V336" i="6" s="1"/>
  <c r="U283" i="6"/>
  <c r="V283" i="6" s="1"/>
  <c r="U274" i="6"/>
  <c r="V274" i="6" s="1"/>
  <c r="U242" i="6"/>
  <c r="V242" i="6" s="1"/>
  <c r="U187" i="6"/>
  <c r="V187" i="6" s="1"/>
  <c r="U328" i="6"/>
  <c r="V328" i="6" s="1"/>
  <c r="U295" i="6"/>
  <c r="V295" i="6" s="1"/>
  <c r="U243" i="6"/>
  <c r="V243" i="6" s="1"/>
  <c r="U277" i="6"/>
  <c r="V277" i="6" s="1"/>
  <c r="U249" i="6"/>
  <c r="V249" i="6" s="1"/>
  <c r="U261" i="6"/>
  <c r="V261" i="6" s="1"/>
  <c r="U169" i="6"/>
  <c r="V169" i="6" s="1"/>
  <c r="U211" i="6"/>
  <c r="V211" i="6" s="1"/>
  <c r="U103" i="6"/>
  <c r="V103" i="6" s="1"/>
  <c r="U94" i="6"/>
  <c r="V94" i="6" s="1"/>
  <c r="U151" i="6"/>
  <c r="V151" i="6" s="1"/>
  <c r="U99" i="6"/>
  <c r="V99" i="6" s="1"/>
  <c r="U78" i="6"/>
  <c r="V78" i="6" s="1"/>
  <c r="U87" i="6"/>
  <c r="V87" i="6" s="1"/>
  <c r="U159" i="6"/>
  <c r="V159" i="6" s="1"/>
  <c r="U322" i="6"/>
  <c r="V322" i="6" s="1"/>
  <c r="U231" i="6"/>
  <c r="V231" i="6" s="1"/>
  <c r="U195" i="6"/>
  <c r="V195" i="6" s="1"/>
  <c r="U258" i="6"/>
  <c r="V258" i="6" s="1"/>
  <c r="U323" i="6"/>
  <c r="V323" i="6" s="1"/>
  <c r="U299" i="6"/>
  <c r="V299" i="6" s="1"/>
  <c r="U317" i="6"/>
  <c r="V317" i="6" s="1"/>
  <c r="U257" i="6"/>
  <c r="V257" i="6" s="1"/>
  <c r="U189" i="6"/>
  <c r="V189" i="6" s="1"/>
  <c r="U72" i="6"/>
  <c r="V72" i="6" s="1"/>
  <c r="U386" i="6"/>
  <c r="V386" i="6" s="1"/>
  <c r="U368" i="6"/>
  <c r="V368" i="6" s="1"/>
  <c r="U266" i="6"/>
  <c r="V266" i="6" s="1"/>
  <c r="U178" i="6"/>
  <c r="V178" i="6" s="1"/>
  <c r="U351" i="6"/>
  <c r="V351" i="6" s="1"/>
  <c r="U263" i="6"/>
  <c r="V263" i="6" s="1"/>
  <c r="U270" i="6"/>
  <c r="V270" i="6" s="1"/>
  <c r="U251" i="6"/>
  <c r="V251" i="6" s="1"/>
  <c r="U315" i="6"/>
  <c r="V315" i="6" s="1"/>
  <c r="U276" i="6"/>
  <c r="V276" i="6" s="1"/>
  <c r="U290" i="6"/>
  <c r="V290" i="6" s="1"/>
  <c r="U223" i="6"/>
  <c r="V223" i="6" s="1"/>
  <c r="U201" i="6"/>
  <c r="V201" i="6" s="1"/>
  <c r="U272" i="6"/>
  <c r="V272" i="6" s="1"/>
  <c r="U116" i="6"/>
  <c r="V116" i="6" s="1"/>
  <c r="U81" i="6"/>
  <c r="V81" i="6" s="1"/>
  <c r="U329" i="6"/>
  <c r="V329" i="6" s="1"/>
  <c r="U383" i="6"/>
  <c r="V383" i="6" s="1"/>
  <c r="U260" i="6"/>
  <c r="V260" i="6" s="1"/>
  <c r="U142" i="6"/>
  <c r="V142" i="6" s="1"/>
  <c r="U96" i="6"/>
  <c r="V96" i="6" s="1"/>
  <c r="U309" i="6"/>
  <c r="V309" i="6" s="1"/>
  <c r="U208" i="6"/>
  <c r="V208" i="6" s="1"/>
  <c r="U339" i="6"/>
  <c r="V339" i="6" s="1"/>
  <c r="U182" i="6"/>
  <c r="V182" i="6" s="1"/>
  <c r="U165" i="6"/>
  <c r="V165" i="6" s="1"/>
  <c r="U237" i="6"/>
  <c r="V237" i="6" s="1"/>
  <c r="U121" i="6"/>
  <c r="V121" i="6" s="1"/>
  <c r="U129" i="6"/>
  <c r="V129" i="6" s="1"/>
  <c r="U312" i="6"/>
  <c r="V312" i="6" s="1"/>
  <c r="U294" i="6"/>
  <c r="V294" i="6" s="1"/>
  <c r="U246" i="6"/>
  <c r="V246" i="6" s="1"/>
  <c r="U341" i="6"/>
  <c r="V341" i="6" s="1"/>
  <c r="U332" i="6"/>
  <c r="V332" i="6" s="1"/>
  <c r="U248" i="6"/>
  <c r="V248" i="6" s="1"/>
  <c r="U183" i="6"/>
  <c r="V183" i="6" s="1"/>
  <c r="U217" i="6"/>
  <c r="V217" i="6" s="1"/>
  <c r="U157" i="6"/>
  <c r="V157" i="6" s="1"/>
  <c r="U63" i="6"/>
  <c r="V63" i="6" s="1"/>
  <c r="U316" i="6"/>
  <c r="V316" i="6" s="1"/>
  <c r="U268" i="6"/>
  <c r="V268" i="6" s="1"/>
  <c r="U286" i="6"/>
  <c r="V286" i="6" s="1"/>
  <c r="U296" i="6"/>
  <c r="V296" i="6" s="1"/>
  <c r="U141" i="6"/>
  <c r="V141" i="6" s="1"/>
  <c r="U265" i="6"/>
  <c r="V265" i="6" s="1"/>
  <c r="U226" i="6"/>
  <c r="V226" i="6" s="1"/>
  <c r="U115" i="6"/>
  <c r="V115" i="6" s="1"/>
  <c r="U264" i="6"/>
  <c r="V264" i="6" s="1"/>
  <c r="U311" i="6"/>
  <c r="V311" i="6" s="1"/>
  <c r="U307" i="6"/>
  <c r="V307" i="6" s="1"/>
  <c r="U314" i="6"/>
  <c r="V314" i="6" s="1"/>
  <c r="U97" i="6"/>
  <c r="V97" i="6" s="1"/>
  <c r="U288" i="6"/>
  <c r="V288" i="6" s="1"/>
  <c r="U252" i="6"/>
  <c r="V252" i="6" s="1"/>
  <c r="U117" i="6"/>
  <c r="V117" i="6" s="1"/>
  <c r="U172" i="6"/>
  <c r="V172" i="6" s="1"/>
  <c r="U212" i="6"/>
  <c r="V212" i="6" s="1"/>
  <c r="U374" i="6"/>
  <c r="V374" i="6" s="1"/>
  <c r="U353" i="6"/>
  <c r="V353" i="6" s="1"/>
  <c r="U320" i="6"/>
  <c r="V320" i="6" s="1"/>
  <c r="U357" i="6"/>
  <c r="V357" i="6" s="1"/>
  <c r="U241" i="6"/>
  <c r="V241" i="6" s="1"/>
  <c r="U190" i="6"/>
  <c r="V190" i="6" s="1"/>
  <c r="U175" i="6"/>
  <c r="V175" i="6" s="1"/>
  <c r="U105" i="6"/>
  <c r="V105" i="6" s="1"/>
  <c r="U160" i="6"/>
  <c r="V160" i="6" s="1"/>
  <c r="U77" i="6"/>
  <c r="V77" i="6" s="1"/>
  <c r="U80" i="6"/>
  <c r="V80" i="6" s="1"/>
  <c r="U71" i="6"/>
  <c r="V71" i="6" s="1"/>
  <c r="U325" i="6"/>
  <c r="V325" i="6" s="1"/>
  <c r="U123" i="6"/>
  <c r="V123" i="6" s="1"/>
  <c r="U343" i="6"/>
  <c r="V343" i="6" s="1"/>
  <c r="U348" i="6"/>
  <c r="V348" i="6" s="1"/>
  <c r="U259" i="6"/>
  <c r="V259" i="6" s="1"/>
  <c r="U285" i="6"/>
  <c r="V285" i="6" s="1"/>
  <c r="U289" i="6"/>
  <c r="V289" i="6" s="1"/>
  <c r="U253" i="6"/>
  <c r="V253" i="6" s="1"/>
  <c r="U308" i="6"/>
  <c r="V308" i="6" s="1"/>
  <c r="U133" i="6"/>
  <c r="V133" i="6" s="1"/>
  <c r="U139" i="6"/>
  <c r="V139" i="6" s="1"/>
  <c r="U106" i="6"/>
  <c r="V106" i="6" s="1"/>
  <c r="U86" i="6"/>
  <c r="V86" i="6" s="1"/>
  <c r="U327" i="6"/>
  <c r="V327" i="6" s="1"/>
  <c r="U205" i="6"/>
  <c r="V205" i="6" s="1"/>
  <c r="U199" i="6"/>
  <c r="V199" i="6" s="1"/>
  <c r="U127" i="6"/>
  <c r="V127" i="6" s="1"/>
  <c r="U52" i="6"/>
  <c r="V52" i="6" s="1"/>
  <c r="U61" i="6"/>
  <c r="V61" i="6" s="1"/>
  <c r="U69" i="6"/>
  <c r="V69" i="6" s="1"/>
  <c r="U73" i="6"/>
  <c r="V73" i="6" s="1"/>
  <c r="U75" i="6"/>
  <c r="V75" i="6" s="1"/>
  <c r="U76" i="6"/>
  <c r="V76" i="6" s="1"/>
  <c r="U79" i="6"/>
  <c r="V79" i="6" s="1"/>
  <c r="U91" i="6"/>
  <c r="V91" i="6" s="1"/>
  <c r="U112" i="6"/>
  <c r="V112" i="6" s="1"/>
  <c r="U120" i="6"/>
  <c r="V120" i="6" s="1"/>
  <c r="U136" i="6"/>
  <c r="V136" i="6" s="1"/>
  <c r="U143" i="6"/>
  <c r="V143" i="6" s="1"/>
  <c r="U150" i="6"/>
  <c r="V150" i="6" s="1"/>
  <c r="U185" i="6"/>
  <c r="V185" i="6" s="1"/>
  <c r="U214" i="6"/>
  <c r="V214" i="6" s="1"/>
  <c r="U233" i="6"/>
  <c r="V233" i="6" s="1"/>
  <c r="U234" i="6"/>
  <c r="V234" i="6" s="1"/>
  <c r="U238" i="6"/>
  <c r="V238" i="6" s="1"/>
  <c r="U46" i="6"/>
  <c r="U53" i="6"/>
  <c r="V53" i="6" s="1"/>
  <c r="U60" i="6"/>
  <c r="V60" i="6" s="1"/>
  <c r="U62" i="6"/>
  <c r="V62" i="6" s="1"/>
  <c r="U101" i="6"/>
  <c r="V101" i="6" s="1"/>
  <c r="U102" i="6"/>
  <c r="V102" i="6" s="1"/>
  <c r="U107" i="6"/>
  <c r="V107" i="6" s="1"/>
  <c r="U128" i="6"/>
  <c r="V128" i="6" s="1"/>
  <c r="U144" i="6"/>
  <c r="V144" i="6" s="1"/>
  <c r="U158" i="6"/>
  <c r="V158" i="6" s="1"/>
  <c r="U167" i="6"/>
  <c r="V167" i="6" s="1"/>
  <c r="U168" i="6"/>
  <c r="V168" i="6" s="1"/>
  <c r="U173" i="6"/>
  <c r="V173" i="6" s="1"/>
  <c r="U174" i="6"/>
  <c r="V174" i="6" s="1"/>
  <c r="U179" i="6"/>
  <c r="V179" i="6" s="1"/>
  <c r="U186" i="6"/>
  <c r="V186" i="6" s="1"/>
  <c r="U197" i="6"/>
  <c r="V197" i="6" s="1"/>
  <c r="U206" i="6"/>
  <c r="V206" i="6" s="1"/>
  <c r="U218" i="6"/>
  <c r="V218" i="6" s="1"/>
  <c r="U221" i="6"/>
  <c r="V221" i="6" s="1"/>
  <c r="U334" i="6"/>
  <c r="V334" i="6" s="1"/>
  <c r="U70" i="6"/>
  <c r="V70" i="6" s="1"/>
  <c r="U98" i="6"/>
  <c r="V98" i="6" s="1"/>
  <c r="U114" i="6"/>
  <c r="V114" i="6" s="1"/>
  <c r="U126" i="6"/>
  <c r="V126" i="6" s="1"/>
  <c r="U130" i="6"/>
  <c r="V130" i="6" s="1"/>
  <c r="U149" i="6"/>
  <c r="V149" i="6" s="1"/>
  <c r="U192" i="6"/>
  <c r="V192" i="6" s="1"/>
  <c r="U228" i="6"/>
  <c r="V228" i="6" s="1"/>
  <c r="U338" i="6"/>
  <c r="V338" i="6" s="1"/>
  <c r="U340" i="6"/>
  <c r="V340" i="6" s="1"/>
  <c r="U363" i="6"/>
  <c r="V363" i="6" s="1"/>
  <c r="U372" i="6"/>
  <c r="V372" i="6" s="1"/>
  <c r="U381" i="6"/>
  <c r="V381" i="6" s="1"/>
  <c r="U387" i="6"/>
  <c r="V387" i="6" s="1"/>
  <c r="U51" i="6"/>
  <c r="V51" i="6" s="1"/>
  <c r="U59" i="6"/>
  <c r="V59" i="6" s="1"/>
  <c r="U82" i="6"/>
  <c r="V82" i="6" s="1"/>
  <c r="U85" i="6"/>
  <c r="V85" i="6" s="1"/>
  <c r="U110" i="6"/>
  <c r="V110" i="6" s="1"/>
  <c r="U148" i="6"/>
  <c r="V148" i="6" s="1"/>
  <c r="U161" i="6"/>
  <c r="V161" i="6" s="1"/>
  <c r="U162" i="6"/>
  <c r="V162" i="6" s="1"/>
  <c r="U164" i="6"/>
  <c r="V164" i="6" s="1"/>
  <c r="U184" i="6"/>
  <c r="V184" i="6" s="1"/>
  <c r="U196" i="6"/>
  <c r="V196" i="6" s="1"/>
  <c r="U210" i="6"/>
  <c r="V210" i="6" s="1"/>
  <c r="U216" i="6"/>
  <c r="V216" i="6" s="1"/>
  <c r="U227" i="6"/>
  <c r="V227" i="6" s="1"/>
  <c r="U239" i="6"/>
  <c r="V239" i="6" s="1"/>
  <c r="U240" i="6"/>
  <c r="V240" i="6" s="1"/>
  <c r="U356" i="6"/>
  <c r="V356" i="6" s="1"/>
  <c r="U358" i="6"/>
  <c r="V358" i="6" s="1"/>
  <c r="U369" i="6"/>
  <c r="V369" i="6" s="1"/>
  <c r="U378" i="6"/>
  <c r="V378" i="6" s="1"/>
  <c r="U385" i="6"/>
  <c r="V385" i="6" s="1"/>
  <c r="U156" i="6"/>
  <c r="V156" i="6" s="1"/>
  <c r="U191" i="6"/>
  <c r="V191" i="6" s="1"/>
  <c r="U198" i="6"/>
  <c r="V198" i="6" s="1"/>
  <c r="U203" i="6"/>
  <c r="V203" i="6" s="1"/>
  <c r="U204" i="6"/>
  <c r="V204" i="6" s="1"/>
  <c r="U222" i="6"/>
  <c r="V222" i="6" s="1"/>
  <c r="U236" i="6"/>
  <c r="V236" i="6" s="1"/>
  <c r="U57" i="6"/>
  <c r="V57" i="6" s="1"/>
  <c r="U67" i="6"/>
  <c r="V67" i="6" s="1"/>
  <c r="U104" i="6"/>
  <c r="V104" i="6" s="1"/>
  <c r="U113" i="6"/>
  <c r="V113" i="6" s="1"/>
  <c r="U119" i="6"/>
  <c r="V119" i="6" s="1"/>
  <c r="U125" i="6"/>
  <c r="V125" i="6" s="1"/>
  <c r="U134" i="6"/>
  <c r="V134" i="6" s="1"/>
  <c r="U140" i="6"/>
  <c r="V140" i="6" s="1"/>
  <c r="AF116" i="4"/>
  <c r="AF35" i="4"/>
  <c r="Q68" i="1" s="1" a="1"/>
  <c r="Q68" i="1" s="1"/>
  <c r="AF250" i="4"/>
  <c r="AF86" i="4"/>
  <c r="AF243" i="4"/>
  <c r="AF191" i="4"/>
  <c r="AF156" i="4"/>
  <c r="AF133" i="4"/>
  <c r="AF218" i="4"/>
  <c r="AF93" i="4"/>
  <c r="AF20" i="4"/>
  <c r="AF128" i="4"/>
  <c r="AF182" i="4"/>
  <c r="AF104" i="4"/>
  <c r="AF235" i="4"/>
  <c r="AF183" i="4"/>
  <c r="AF69" i="4"/>
  <c r="AF97" i="4"/>
  <c r="AF237" i="4"/>
  <c r="AF188" i="4"/>
  <c r="AF185" i="4"/>
  <c r="AF155" i="4"/>
  <c r="AF110" i="4"/>
  <c r="AF108" i="4"/>
  <c r="AF68" i="4"/>
  <c r="AF153" i="4"/>
  <c r="AF174" i="4"/>
  <c r="AF127" i="4"/>
  <c r="AF230" i="4"/>
  <c r="AF179" i="4"/>
  <c r="AF91" i="4"/>
  <c r="AF144" i="4"/>
  <c r="AF101" i="4"/>
  <c r="AF2" i="4"/>
  <c r="U34" i="6"/>
  <c r="Q28" i="1" l="1" a="1"/>
  <c r="Q28" i="1" s="1"/>
  <c r="V9" i="6"/>
  <c r="Q30" i="1" a="1"/>
  <c r="Q30" i="1" s="1"/>
  <c r="V11" i="6"/>
  <c r="Q26" i="1" a="1"/>
  <c r="Q26" i="1" s="1"/>
  <c r="V7" i="6"/>
  <c r="V46" i="6"/>
  <c r="Q86" i="1" a="1"/>
  <c r="Q86" i="1" s="1"/>
  <c r="V45" i="6"/>
  <c r="Q85" i="1" a="1"/>
  <c r="Q85" i="1" s="1"/>
  <c r="Q76" i="1" a="1"/>
  <c r="Q76" i="1" s="1"/>
  <c r="Q81" i="1" a="1"/>
  <c r="Q81" i="1" s="1"/>
  <c r="Q75" i="1" a="1"/>
  <c r="Q75" i="1" s="1"/>
  <c r="Q74" i="1" a="1"/>
  <c r="Q74" i="1" s="1"/>
  <c r="Q79" i="1" a="1"/>
  <c r="Q79" i="1" s="1"/>
  <c r="Q82" i="1" a="1"/>
  <c r="Q82" i="1" s="1"/>
  <c r="Q78" i="1" a="1"/>
  <c r="Q78" i="1" s="1"/>
  <c r="Q80" i="1" a="1"/>
  <c r="Q80" i="1" s="1"/>
  <c r="Q83" i="1" a="1"/>
  <c r="Q83" i="1" s="1"/>
  <c r="Q84" i="1" a="1"/>
  <c r="Q84" i="1" s="1"/>
  <c r="V34" i="6"/>
  <c r="Q70" i="1" a="1"/>
  <c r="Q7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<sst xmlns="http://schemas.openxmlformats.org/spreadsheetml/2006/main" count="947" uniqueCount="541">
  <si>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</si>
  <si>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</si>
  <si>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</si>
  <si>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</si>
  <si>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</si>
  <si>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</si>
  <si>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</si>
  <si>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</si>
  <si>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</si>
  <si>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</si>
  <si>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</si>
  <si>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</si>
  <si>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</si>
  <si>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</si>
  <si>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</si>
  <si>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</si>
  <si>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</si>
  <si>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</si>
  <si>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</si>
  <si>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</si>
  <si>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</si>
  <si>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</si>
  <si>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</si>
  <si>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</si>
  <si>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</si>
  <si>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</si>
  <si>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</si>
  <si>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</si>
  <si>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</si>
  <si>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</si>
  <si>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</si>
  <si>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</si>
  <si>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</si>
  <si>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</si>
  <si>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</si>
  <si>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</si>
  <si>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</si>
  <si>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</si>
  <si>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</si>
  <si>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</si>
  <si>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</si>
  <si>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</si>
  <si>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</si>
  <si>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</si>
  <si>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</si>
  <si>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</si>
  <si>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</si>
  <si>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</si>
  <si>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</si>
  <si>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</si>
  <si>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</si>
  <si>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</si>
  <si>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</si>
  <si>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</si>
  <si>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</si>
  <si>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</si>
  <si>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</si>
  <si>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</si>
  <si>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</si>
  <si>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</si>
  <si>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</si>
  <si>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</si>
  <si>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</si>
  <si>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</si>
  <si>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</si>
  <si>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</si>
  <si>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</si>
  <si>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</si>
  <si>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</si>
  <si>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</si>
  <si>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</si>
  <si>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</si>
  <si>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</si>
  <si>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</si>
  <si>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</si>
  <si>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</si>
  <si>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</si>
  <si>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</si>
  <si>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</si>
  <si>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</si>
  <si>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</si>
  <si>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</si>
  <si>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</si>
  <si>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</si>
  <si>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</si>
  <si>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</si>
  <si>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</si>
  <si>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</si>
  <si>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</si>
  <si>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</si>
  <si>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</si>
  <si>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</si>
  <si>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</si>
  <si>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</si>
  <si>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</si>
  <si>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</si>
  <si>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</si>
  <si>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</si>
  <si>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</si>
  <si>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</si>
  <si>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</si>
  <si>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</si>
  <si>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</si>
  <si>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</si>
  <si>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</si>
  <si>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</si>
  <si>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</si>
  <si>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</si>
  <si>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</si>
  <si>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</si>
  <si>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</si>
  <si>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</si>
  <si>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</si>
  <si>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</si>
  <si>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</si>
  <si>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</si>
  <si>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</si>
  <si>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</si>
  <si>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</si>
  <si>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</si>
  <si>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</si>
  <si>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</si>
  <si>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</si>
  <si>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</si>
  <si>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</si>
  <si>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</si>
  <si>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</si>
  <si>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</si>
  <si>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</si>
  <si>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</si>
  <si>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</si>
  <si>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</si>
  <si>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</si>
  <si>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</si>
  <si>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</si>
  <si>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</si>
  <si>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</si>
  <si>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</si>
  <si>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</si>
  <si>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</si>
  <si>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</si>
  <si>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</si>
  <si>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</si>
  <si>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</si>
  <si>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</si>
  <si>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</si>
  <si>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</si>
  <si>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</si>
  <si>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</si>
  <si>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</si>
  <si>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</si>
  <si>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</si>
  <si>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</si>
  <si>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</si>
  <si>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</si>
  <si>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</si>
  <si>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</si>
  <si>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</si>
  <si>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</si>
  <si>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</si>
  <si>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</si>
  <si>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</si>
  <si>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</si>
  <si>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</si>
  <si>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</si>
  <si>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</si>
  <si>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</si>
  <si>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</si>
  <si>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</si>
  <si>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</si>
  <si>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</si>
  <si>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</si>
  <si>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</si>
  <si>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</si>
  <si>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</si>
  <si>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</si>
  <si>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</si>
  <si>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</si>
  <si>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</si>
  <si>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</si>
  <si>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</si>
  <si>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</si>
  <si>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</si>
  <si>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</si>
  <si>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</si>
  <si>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</si>
  <si>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</si>
  <si>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</si>
  <si>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</si>
  <si>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</si>
  <si>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</si>
  <si>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</si>
  <si>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</si>
  <si>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</si>
  <si>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</si>
  <si>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</si>
  <si>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</si>
  <si>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</si>
  <si>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</si>
  <si>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</si>
  <si>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</si>
  <si>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</si>
  <si>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</si>
  <si>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</si>
  <si>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</si>
  <si>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</si>
  <si>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</si>
  <si>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</si>
  <si>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</si>
  <si>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</si>
  <si>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</si>
  <si>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</si>
  <si>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</si>
  <si>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</si>
  <si>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</si>
  <si>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</si>
  <si>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</si>
  <si>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</si>
  <si>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</si>
  <si>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</si>
  <si>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</si>
  <si>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</si>
  <si>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</si>
  <si>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</si>
  <si>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</si>
  <si>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</si>
  <si>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</si>
  <si>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</si>
  <si>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</si>
  <si>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</si>
  <si>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</si>
  <si>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</si>
  <si>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</si>
  <si>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</si>
  <si>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</si>
  <si>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</si>
  <si>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</si>
  <si>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</si>
  <si>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</si>
  <si>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</si>
  <si>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</si>
  <si>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</si>
  <si>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</si>
  <si>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</si>
  <si>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</si>
  <si>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</si>
  <si>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</si>
  <si>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</si>
  <si>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</si>
  <si>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</si>
  <si>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</si>
  <si>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</si>
  <si>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</si>
  <si>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</si>
  <si>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</si>
  <si>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</si>
  <si>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</si>
  <si>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</si>
  <si>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</si>
  <si>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</si>
  <si>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</si>
  <si>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</si>
  <si>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</si>
  <si>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</si>
  <si>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</si>
  <si>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</si>
  <si>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</si>
  <si>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</si>
  <si>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</si>
  <si>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</si>
  <si>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</si>
  <si>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</si>
  <si>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</si>
  <si>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</si>
  <si>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</si>
  <si>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</si>
  <si>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</si>
  <si>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</si>
  <si>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</si>
  <si>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</si>
  <si>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</si>
  <si>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</si>
  <si>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</si>
  <si>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</si>
  <si>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</si>
  <si>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</si>
  <si>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</si>
  <si>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</si>
  <si>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</si>
  <si>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</si>
  <si>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</si>
  <si>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</si>
  <si>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</si>
  <si>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</si>
  <si>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</si>
  <si>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</si>
  <si>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</si>
  <si>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</si>
  <si>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</si>
  <si>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</si>
  <si>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</si>
  <si>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</si>
  <si>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</si>
  <si>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</si>
  <si>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</si>
  <si>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</si>
  <si>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</si>
  <si>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</si>
  <si>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</si>
  <si>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</si>
  <si>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</si>
  <si>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</si>
  <si>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</si>
  <si>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</si>
  <si>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</si>
  <si>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</si>
  <si>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</si>
  <si>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</si>
  <si>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</si>
  <si>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</si>
  <si>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</si>
  <si>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</si>
  <si>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</si>
  <si>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</si>
  <si>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</si>
  <si>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</si>
  <si>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</si>
  <si>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</si>
  <si>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</si>
  <si>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</si>
  <si>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</si>
  <si>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</si>
  <si>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</si>
  <si>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</si>
  <si>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</si>
  <si>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</si>
  <si>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</si>
  <si>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</si>
  <si>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</si>
  <si>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</si>
  <si>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</si>
  <si>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</si>
  <si>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</si>
  <si>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</si>
  <si>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</si>
  <si>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</si>
  <si>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</si>
  <si>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</si>
  <si>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</si>
  <si>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</si>
  <si>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</si>
  <si>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</si>
  <si>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</si>
  <si>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</si>
  <si>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</si>
  <si>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</si>
  <si>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</si>
  <si>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</si>
  <si>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</si>
  <si>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</si>
  <si>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</si>
  <si>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</si>
  <si>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</si>
  <si>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</si>
  <si>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</si>
  <si>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</si>
  <si>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</si>
  <si>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</si>
  <si>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</si>
  <si>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</si>
  <si>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</si>
  <si>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</si>
  <si>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</si>
  <si>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</si>
  <si>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</si>
  <si>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</si>
  <si>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</si>
  <si>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</si>
  <si>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</si>
  <si>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</si>
  <si>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</si>
  <si>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</si>
  <si>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</si>
  <si>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</si>
  <si>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</si>
  <si>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</si>
  <si>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</si>
  <si>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</si>
  <si>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</si>
  <si>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</si>
  <si>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</si>
  <si>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</si>
  <si>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</si>
  <si>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</si>
  <si>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</si>
  <si>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</si>
  <si>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</si>
  <si>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</si>
  <si>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</si>
  <si>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</si>
  <si>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</si>
  <si>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</si>
  <si>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</si>
  <si>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</si>
  <si>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</si>
  <si>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</si>
  <si>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</si>
  <si>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</si>
  <si>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</si>
  <si>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</si>
  <si>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</si>
  <si>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</si>
  <si>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</si>
  <si>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</si>
  <si>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</si>
  <si>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</si>
  <si>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</si>
  <si>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</si>
  <si>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</si>
  <si>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</si>
  <si>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</si>
  <si>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</si>
  <si>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</si>
  <si>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</si>
  <si>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</si>
  <si>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</si>
  <si>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</si>
  <si>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</si>
  <si>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</si>
  <si>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</si>
  <si>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</si>
  <si>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</si>
  <si>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</si>
  <si>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</si>
  <si>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</si>
  <si>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</si>
  <si>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</si>
  <si>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</si>
  <si>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</si>
  <si>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</si>
  <si>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</si>
  <si>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</si>
  <si>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</si>
  <si>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</si>
  <si>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</si>
  <si>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</si>
  <si>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</si>
  <si>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</si>
  <si>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</si>
  <si>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</si>
  <si>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</si>
  <si>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</si>
  <si>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</si>
  <si>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</si>
  <si>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</si>
  <si>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</si>
  <si>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</si>
  <si>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</si>
  <si>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</si>
  <si>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</si>
  <si>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</si>
  <si>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</si>
  <si>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</si>
  <si>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</si>
  <si>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</si>
  <si>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</si>
  <si>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</si>
  <si>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</si>
  <si>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</si>
  <si>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</si>
  <si>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</si>
  <si>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</si>
  <si>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</si>
  <si>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</si>
  <si>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</si>
  <si>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</si>
  <si>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</si>
  <si>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</si>
  <si>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</si>
  <si>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</si>
  <si>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</si>
  <si>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</si>
  <si>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</si>
  <si>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</si>
  <si>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</si>
  <si>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</si>
  <si>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</si>
  <si>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</si>
  <si>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</si>
  <si>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</si>
  <si>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</si>
  <si>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</si>
  <si>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</si>
  <si>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</si>
  <si>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</si>
  <si>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</si>
  <si>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</si>
  <si>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</si>
  <si>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</si>
  <si>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</si>
  <si>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</si>
  <si>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</si>
  <si>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</si>
  <si>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</si>
  <si>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</si>
  <si>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</si>
  <si>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</si>
  <si>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</si>
  <si>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</si>
  <si>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</si>
  <si>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</si>
  <si>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</si>
  <si>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</si>
  <si>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</si>
  <si>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</si>
  <si>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</si>
  <si>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</si>
  <si>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</si>
  <si>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</si>
  <si>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</si>
  <si>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</si>
  <si>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</si>
  <si>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</si>
  <si>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</si>
  <si>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</si>
  <si>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</si>
  <si>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</si>
  <si>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</si>
  <si>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</si>
  <si>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</si>
  <si>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</si>
  <si>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</si>
  <si>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</si>
  <si>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</si>
  <si>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</si>
  <si>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Comment9</t>
  </si>
  <si>
    <t>SHR</t>
  </si>
  <si>
    <t>XXX</t>
  </si>
  <si>
    <t>Mac16,12</t>
  </si>
  <si>
    <t>A3240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</si>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</sst>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04.449957638892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4">
        <s v=""/>
        <m/>
        <s v="Successful" u="1"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0"/>
        <item m="1" x="3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1" xr3:uid="{520A2281-2436-4088-944B-DACE8F490E6F}" name="Comment9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tabSelected="1" topLeftCell="B1" workbookViewId="0">
      <selection activeCell="G24" sqref="G24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524</v>
      </c>
      <c r="B1" s="1" t="s">
        <v>525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523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CSV!AD:AD,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_xlpm.CSVVal,_xlfn.XLOOKUP($A2,CSV!$A:$A,CSV!AE:AE,""),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_xlpm.CSVVal,_xlfn.XLOOKUP($A2,CSV!$A:$A,CSV!AF:AF,""),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CSV!AD:AD,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_xlpm.CSVVal,_xlfn.XLOOKUP($A3,CSV!$A:$A,CSV!AE:AE,""),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_xlpm.CSVVal,_xlfn.XLOOKUP($A3,CSV!$A:$A,CSV!AF:AF,""),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CSV!AD:AD,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_xlpm.CSVVal,_xlfn.XLOOKUP($A4,CSV!$A:$A,CSV!AE:AE,""),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_xlpm.CSVVal,_xlfn.XLOOKUP($A4,CSV!$A:$A,CSV!AF:AF,""),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CSV!AD:AD,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_xlpm.CSVVal,_xlfn.XLOOKUP($A5,CSV!$A:$A,CSV!AE:AE,""),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_xlpm.CSVVal,_xlfn.XLOOKUP($A5,CSV!$A:$A,CSV!AF:AF,""),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CSV!AD:AD,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_xlpm.CSVVal,_xlfn.XLOOKUP($A6,CSV!$A:$A,CSV!AE:AE,""),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_xlpm.CSVVal,_xlfn.XLOOKUP($A6,CSV!$A:$A,CSV!AF:AF,""),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CSV!AD:AD,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_xlpm.CSVVal,_xlfn.XLOOKUP($A7,CSV!$A:$A,CSV!AE:AE,""),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_xlpm.CSVVal,_xlfn.XLOOKUP($A7,CSV!$A:$A,CSV!AF:AF,""),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CSV!AD:AD,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_xlpm.CSVVal,_xlfn.XLOOKUP($A8,CSV!$A:$A,CSV!AE:AE,""),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_xlpm.CSVVal,_xlfn.XLOOKUP($A8,CSV!$A:$A,CSV!AF:AF,""),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CSV!AD:AD,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_xlpm.CSVVal,_xlfn.XLOOKUP($A9,CSV!$A:$A,CSV!AE:AE,""),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_xlpm.CSVVal,_xlfn.XLOOKUP($A9,CSV!$A:$A,CSV!AF:AF,""),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CSV!AD:AD,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_xlpm.CSVVal,_xlfn.XLOOKUP($A10,CSV!$A:$A,CSV!AE:AE,""),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_xlpm.CSVVal,_xlfn.XLOOKUP($A10,CSV!$A:$A,CSV!AF:AF,""),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CSV!AD:AD,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_xlpm.CSVVal,_xlfn.XLOOKUP($A11,CSV!$A:$A,CSV!AE:AE,""),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_xlpm.CSVVal,_xlfn.XLOOKUP($A11,CSV!$A:$A,CSV!AF:AF,""),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CSV!AD:AD,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_xlpm.CSVVal,_xlfn.XLOOKUP($A12,CSV!$A:$A,CSV!AE:AE,""),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_xlpm.CSVVal,_xlfn.XLOOKUP($A12,CSV!$A:$A,CSV!AF:AF,""),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CSV!AD:AD,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_xlpm.CSVVal,_xlfn.XLOOKUP($A13,CSV!$A:$A,CSV!AE:AE,""),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_xlpm.CSVVal,_xlfn.XLOOKUP($A13,CSV!$A:$A,CSV!AF:AF,""),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CSV!AD:AD,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_xlpm.CSVVal,_xlfn.XLOOKUP($A14,CSV!$A:$A,CSV!AE:AE,""),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_xlpm.CSVVal,_xlfn.XLOOKUP($A14,CSV!$A:$A,CSV!AF:AF,""),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CSV!AD:AD,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_xlpm.CSVVal,_xlfn.XLOOKUP($A15,CSV!$A:$A,CSV!AE:AE,""),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_xlpm.CSVVal,_xlfn.XLOOKUP($A15,CSV!$A:$A,CSV!AF:AF,""),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CSV!AD:AD,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_xlpm.CSVVal,_xlfn.XLOOKUP($A16,CSV!$A:$A,CSV!AE:AE,""),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_xlpm.CSVVal,_xlfn.XLOOKUP($A16,CSV!$A:$A,CSV!AF:AF,""),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CSV!AD:AD,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_xlpm.CSVVal,_xlfn.XLOOKUP($A17,CSV!$A:$A,CSV!AE:AE,""),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_xlpm.CSVVal,_xlfn.XLOOKUP($A17,CSV!$A:$A,CSV!AF:AF,""),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CSV!AD:AD,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_xlpm.CSVVal,_xlfn.XLOOKUP($A18,CSV!$A:$A,CSV!AE:AE,""),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_xlpm.CSVVal,_xlfn.XLOOKUP($A18,CSV!$A:$A,CSV!AF:AF,""),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CSV!AD:AD,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_xlpm.CSVVal,_xlfn.XLOOKUP($A19,CSV!$A:$A,CSV!AE:AE,""),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_xlpm.CSVVal,_xlfn.XLOOKUP($A19,CSV!$A:$A,CSV!AF:AF,""),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CSV!AD:AD,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_xlpm.CSVVal,_xlfn.XLOOKUP($A20,CSV!$A:$A,CSV!AE:AE,""),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_xlpm.CSVVal,_xlfn.XLOOKUP($A20,CSV!$A:$A,CSV!AF:AF,""),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CSV!AD:AD,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_xlpm.CSVVal,_xlfn.XLOOKUP($A21,CSV!$A:$A,CSV!AE:AE,""),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_xlpm.CSVVal,_xlfn.XLOOKUP($A21,CSV!$A:$A,CSV!AF:AF,""),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CSV!AD:AD,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_xlpm.CSVVal,_xlfn.XLOOKUP($A22,CSV!$A:$A,CSV!AE:AE,""),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_xlpm.CSVVal,_xlfn.XLOOKUP($A22,CSV!$A:$A,CSV!AF:AF,""),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CSV!AD:AD,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_xlpm.CSVVal,_xlfn.XLOOKUP($A23,CSV!$A:$A,CSV!AE:AE,""),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_xlpm.CSVVal,_xlfn.XLOOKUP($A23,CSV!$A:$A,CSV!AF:AF,""),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CSV!AD:AD,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_xlpm.CSVVal,_xlfn.XLOOKUP($A24,CSV!$A:$A,CSV!AE:AE,""),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_xlpm.CSVVal,_xlfn.XLOOKUP($A24,CSV!$A:$A,CSV!AF:AF,""),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CSV!AD:AD,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_xlpm.CSVVal,_xlfn.XLOOKUP($A25,CSV!$A:$A,CSV!AE:AE,""),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_xlpm.CSVVal,_xlfn.XLOOKUP($A25,CSV!$A:$A,CSV!AF:AF,""),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CSV!AD:AD,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_xlpm.CSVVal,_xlfn.XLOOKUP($A26,CSV!$A:$A,CSV!AE:AE,""),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_xlpm.CSVVal,_xlfn.XLOOKUP($A26,CSV!$A:$A,CSV!AF:AF,""),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CSV!AD:AD,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_xlpm.CSVVal,_xlfn.XLOOKUP($A27,CSV!$A:$A,CSV!AE:AE,""),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_xlpm.CSVVal,_xlfn.XLOOKUP($A27,CSV!$A:$A,CSV!AF:AF,""),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CSV!AD:AD,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_xlpm.CSVVal,_xlfn.XLOOKUP($A28,CSV!$A:$A,CSV!AE:AE,""),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_xlpm.CSVVal,_xlfn.XLOOKUP($A28,CSV!$A:$A,CSV!AF:AF,""),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CSV!AD:AD,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_xlpm.CSVVal,_xlfn.XLOOKUP($A29,CSV!$A:$A,CSV!AE:AE,""),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_xlpm.CSVVal,_xlfn.XLOOKUP($A29,CSV!$A:$A,CSV!AF:AF,""),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CSV!AD:AD,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_xlpm.CSVVal,_xlfn.XLOOKUP($A30,CSV!$A:$A,CSV!AE:AE,""),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_xlpm.CSVVal,_xlfn.XLOOKUP($A30,CSV!$A:$A,CSV!AF:AF,""),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CSV!AD:AD,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_xlpm.CSVVal,_xlfn.XLOOKUP($A31,CSV!$A:$A,CSV!AE:AE,""),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_xlpm.CSVVal,_xlfn.XLOOKUP($A31,CSV!$A:$A,CSV!AF:AF,""),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CSV!AD:AD,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_xlpm.CSVVal,_xlfn.XLOOKUP($A32,CSV!$A:$A,CSV!AE:AE,""),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_xlpm.CSVVal,_xlfn.XLOOKUP($A32,CSV!$A:$A,CSV!AF:AF,""),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CSV!AD:AD,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_xlpm.CSVVal,_xlfn.XLOOKUP($A33,CSV!$A:$A,CSV!AE:AE,""),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_xlpm.CSVVal,_xlfn.XLOOKUP($A33,CSV!$A:$A,CSV!AF:AF,""),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CSV!AD:AD,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_xlpm.CSVVal,_xlfn.XLOOKUP($A34,CSV!$A:$A,CSV!AE:AE,""),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_xlpm.CSVVal,_xlfn.XLOOKUP($A34,CSV!$A:$A,CSV!AF:AF,""),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CSV!AD:AD,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_xlpm.CSVVal,_xlfn.XLOOKUP($A35,CSV!$A:$A,CSV!AE:AE,""),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_xlpm.CSVVal,_xlfn.XLOOKUP($A35,CSV!$A:$A,CSV!AF:AF,""),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CSV!AD:AD,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_xlpm.CSVVal,_xlfn.XLOOKUP($A36,CSV!$A:$A,CSV!AE:AE,""),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_xlpm.CSVVal,_xlfn.XLOOKUP($A36,CSV!$A:$A,CSV!AF:AF,""),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CSV!AD:AD,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_xlpm.CSVVal,_xlfn.XLOOKUP($A37,CSV!$A:$A,CSV!AE:AE,""),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_xlpm.CSVVal,_xlfn.XLOOKUP($A37,CSV!$A:$A,CSV!AF:AF,""),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CSV!AD:AD,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_xlpm.CSVVal,_xlfn.XLOOKUP($A38,CSV!$A:$A,CSV!AE:AE,""),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_xlpm.CSVVal,_xlfn.XLOOKUP($A38,CSV!$A:$A,CSV!AF:AF,""),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CSV!AD:AD,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_xlpm.CSVVal,_xlfn.XLOOKUP($A39,CSV!$A:$A,CSV!AE:AE,""),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_xlpm.CSVVal,_xlfn.XLOOKUP($A39,CSV!$A:$A,CSV!AF:AF,""),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CSV!AD:AD,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_xlpm.CSVVal,_xlfn.XLOOKUP($A40,CSV!$A:$A,CSV!AE:AE,""),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_xlpm.CSVVal,_xlfn.XLOOKUP($A40,CSV!$A:$A,CSV!AF:AF,""),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CSV!AD:AD,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_xlpm.CSVVal,_xlfn.XLOOKUP($A41,CSV!$A:$A,CSV!AE:AE,""),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_xlpm.CSVVal,_xlfn.XLOOKUP($A41,CSV!$A:$A,CSV!AF:AF,""),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CSV!AD:AD,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_xlpm.CSVVal,_xlfn.XLOOKUP($A42,CSV!$A:$A,CSV!AE:AE,""),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_xlpm.CSVVal,_xlfn.XLOOKUP($A42,CSV!$A:$A,CSV!AF:AF,""),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CSV!AD:AD,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_xlpm.CSVVal,_xlfn.XLOOKUP($A43,CSV!$A:$A,CSV!AE:AE,""),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_xlpm.CSVVal,_xlfn.XLOOKUP($A43,CSV!$A:$A,CSV!AF:AF,""),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CSV!AD:AD,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_xlpm.CSVVal,_xlfn.XLOOKUP($A44,CSV!$A:$A,CSV!AE:AE,""),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_xlpm.CSVVal,_xlfn.XLOOKUP($A44,CSV!$A:$A,CSV!AF:AF,""),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CSV!AD:AD,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_xlpm.CSVVal,_xlfn.XLOOKUP($A45,CSV!$A:$A,CSV!AE:AE,""),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_xlpm.CSVVal,_xlfn.XLOOKUP($A45,CSV!$A:$A,CSV!AF:AF,""),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CSV!AD:AD,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_xlpm.CSVVal,_xlfn.XLOOKUP($A46,CSV!$A:$A,CSV!AE:AE,""),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_xlpm.CSVVal,_xlfn.XLOOKUP($A46,CSV!$A:$A,CSV!AF:AF,""),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CSV!AD:AD,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_xlpm.CSVVal,_xlfn.XLOOKUP($A47,CSV!$A:$A,CSV!AE:AE,""),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_xlpm.CSVVal,_xlfn.XLOOKUP($A47,CSV!$A:$A,CSV!AF:AF,""),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CSV!AD:AD,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_xlpm.CSVVal,_xlfn.XLOOKUP($A48,CSV!$A:$A,CSV!AE:AE,""),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_xlpm.CSVVal,_xlfn.XLOOKUP($A48,CSV!$A:$A,CSV!AF:AF,""),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CSV!AD:AD,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_xlpm.CSVVal,_xlfn.XLOOKUP($A49,CSV!$A:$A,CSV!AE:AE,""),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_xlpm.CSVVal,_xlfn.XLOOKUP($A49,CSV!$A:$A,CSV!AF:AF,""),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CSV!AD:AD,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_xlpm.CSVVal,_xlfn.XLOOKUP($A50,CSV!$A:$A,CSV!AE:AE,""),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_xlpm.CSVVal,_xlfn.XLOOKUP($A50,CSV!$A:$A,CSV!AF:AF,""),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CSV!AD:AD,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_xlpm.CSVVal,_xlfn.XLOOKUP($A51,CSV!$A:$A,CSV!AE:AE,""),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_xlpm.CSVVal,_xlfn.XLOOKUP($A51,CSV!$A:$A,CSV!AF:AF,""),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CSV!AD:AD,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_xlpm.CSVVal,_xlfn.XLOOKUP($A52,CSV!$A:$A,CSV!AE:AE,""),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_xlpm.CSVVal,_xlfn.XLOOKUP($A52,CSV!$A:$A,CSV!AF:AF,""),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CSV!AD:AD,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_xlpm.CSVVal,_xlfn.XLOOKUP($A53,CSV!$A:$A,CSV!AE:AE,""),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_xlpm.CSVVal,_xlfn.XLOOKUP($A53,CSV!$A:$A,CSV!AF:AF,""),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CSV!AD:AD,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_xlpm.CSVVal,_xlfn.XLOOKUP($A54,CSV!$A:$A,CSV!AE:AE,""),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_xlpm.CSVVal,_xlfn.XLOOKUP($A54,CSV!$A:$A,CSV!AF:AF,""),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CSV!AD:AD,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_xlpm.CSVVal,_xlfn.XLOOKUP($A55,CSV!$A:$A,CSV!AE:AE,""),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_xlpm.CSVVal,_xlfn.XLOOKUP($A55,CSV!$A:$A,CSV!AF:AF,""),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CSV!AD:AD,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_xlpm.CSVVal,_xlfn.XLOOKUP($A56,CSV!$A:$A,CSV!AE:AE,""),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_xlpm.CSVVal,_xlfn.XLOOKUP($A56,CSV!$A:$A,CSV!AF:AF,""),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CSV!AD:AD,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_xlpm.CSVVal,_xlfn.XLOOKUP($A57,CSV!$A:$A,CSV!AE:AE,""),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_xlpm.CSVVal,_xlfn.XLOOKUP($A57,CSV!$A:$A,CSV!AF:AF,""),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CSV!AD:AD,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_xlpm.CSVVal,_xlfn.XLOOKUP($A58,CSV!$A:$A,CSV!AE:AE,""),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_xlpm.CSVVal,_xlfn.XLOOKUP($A58,CSV!$A:$A,CSV!AF:AF,""),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CSV!AD:AD,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_xlpm.CSVVal,_xlfn.XLOOKUP($A59,CSV!$A:$A,CSV!AE:AE,""),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_xlpm.CSVVal,_xlfn.XLOOKUP($A59,CSV!$A:$A,CSV!AF:AF,""),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CSV!AD:AD,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_xlpm.CSVVal,_xlfn.XLOOKUP($A60,CSV!$A:$A,CSV!AE:AE,""),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_xlpm.CSVVal,_xlfn.XLOOKUP($A60,CSV!$A:$A,CSV!AF:AF,""),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CSV!AD:AD,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_xlpm.CSVVal,_xlfn.XLOOKUP($A61,CSV!$A:$A,CSV!AE:AE,""),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_xlpm.CSVVal,_xlfn.XLOOKUP($A61,CSV!$A:$A,CSV!AF:AF,""),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CSV!AD:AD,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_xlpm.CSVVal,_xlfn.XLOOKUP($A62,CSV!$A:$A,CSV!AE:AE,""),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_xlpm.CSVVal,_xlfn.XLOOKUP($A62,CSV!$A:$A,CSV!AF:AF,""),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CSV!AD:AD,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_xlpm.CSVVal,_xlfn.XLOOKUP($A63,CSV!$A:$A,CSV!AE:AE,""),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_xlpm.CSVVal,_xlfn.XLOOKUP($A63,CSV!$A:$A,CSV!AF:AF,""),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CSV!AD:AD,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_xlpm.CSVVal,_xlfn.XLOOKUP($A64,CSV!$A:$A,CSV!AE:AE,""),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_xlpm.CSVVal,_xlfn.XLOOKUP($A64,CSV!$A:$A,CSV!AF:AF,""),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CSV!AD:AD,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_xlpm.CSVVal,_xlfn.XLOOKUP($A65,CSV!$A:$A,CSV!AE:AE,""),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_xlpm.CSVVal,_xlfn.XLOOKUP($A65,CSV!$A:$A,CSV!AF:AF,""),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CSV!AD:AD,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_xlpm.CSVVal,_xlfn.XLOOKUP($A66,CSV!$A:$A,CSV!AE:AE,""),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_xlpm.CSVVal,_xlfn.XLOOKUP($A66,CSV!$A:$A,CSV!AF:AF,""),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>
        <f>_xlfn.XLOOKUP(A67,My_Audit!A:A,My_Audit!D:D,"")</f>
        <v>0</v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CSV!AD:AD,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_xlpm.CSVVal,_xlfn.XLOOKUP($A67,CSV!$A:$A,CSV!AE:AE,""),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_xlpm.CSVVal,_xlfn.XLOOKUP($A67,CSV!$A:$A,CSV!AF:AF,""),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>
        <f>_xlfn.XLOOKUP(A68,My_Audit!A:A,My_Audit!D:D,"")</f>
        <v>0</v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CSV!AD:AD,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_xlpm.CSVVal,_xlfn.XLOOKUP($A68,CSV!$A:$A,CSV!AE:AE,""),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_xlpm.CSVVal,_xlfn.XLOOKUP($A68,CSV!$A:$A,CSV!AF:AF,""),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>
        <f>_xlfn.XLOOKUP(A69,My_Audit!A:A,My_Audit!D:D,"")</f>
        <v>0</v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CSV!AD:AD,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_xlpm.CSVVal,_xlfn.XLOOKUP($A69,CSV!$A:$A,CSV!AE:AE,""),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_xlpm.CSVVal,_xlfn.XLOOKUP($A69,CSV!$A:$A,CSV!AF:AF,""),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>
        <f>_xlfn.XLOOKUP(A70,My_Audit!A:A,My_Audit!D:D,"")</f>
        <v>0</v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CSV!AD:AD,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_xlpm.CSVVal,_xlfn.XLOOKUP($A70,CSV!$A:$A,CSV!AE:AE,""),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_xlpm.CSVVal,_xlfn.XLOOKUP($A70,CSV!$A:$A,CSV!AF:AF,""),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>
        <f>_xlfn.XLOOKUP(A71,My_Audit!A:A,My_Audit!D:D,"")</f>
        <v>0</v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CSV!AD:AD,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_xlpm.CSVVal,_xlfn.XLOOKUP($A71,CSV!$A:$A,CSV!AE:AE,""),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_xlpm.CSVVal,_xlfn.XLOOKUP($A71,CSV!$A:$A,CSV!AF:AF,""),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>
        <f>_xlfn.XLOOKUP(A72,My_Audit!A:A,My_Audit!D:D,"")</f>
        <v>0</v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CSV!AD:AD,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_xlpm.CSVVal,_xlfn.XLOOKUP($A72,CSV!$A:$A,CSV!AE:AE,""),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_xlpm.CSVVal,_xlfn.XLOOKUP($A72,CSV!$A:$A,CSV!AF:AF,""),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>
        <f>_xlfn.XLOOKUP(A73,My_Audit!A:A,My_Audit!D:D,"")</f>
        <v>0</v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CSV!AD:AD,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_xlpm.CSVVal,_xlfn.XLOOKUP($A73,CSV!$A:$A,CSV!AE:AE,""),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_xlpm.CSVVal,_xlfn.XLOOKUP($A73,CSV!$A:$A,CSV!AF:AF,""),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>
        <f>_xlfn.XLOOKUP(A74,My_Audit!A:A,My_Audit!D:D,"")</f>
        <v>0</v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CSV!AD:AD,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_xlpm.CSVVal,_xlfn.XLOOKUP($A74,CSV!$A:$A,CSV!AE:AE,""),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_xlpm.CSVVal,_xlfn.XLOOKUP($A74,CSV!$A:$A,CSV!AF:AF,""),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>
        <f>_xlfn.XLOOKUP(A75,My_Audit!A:A,My_Audit!D:D,"")</f>
        <v>0</v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CSV!AD:AD,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_xlpm.CSVVal,_xlfn.XLOOKUP($A75,CSV!$A:$A,CSV!AE:AE,""),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_xlpm.CSVVal,_xlfn.XLOOKUP($A75,CSV!$A:$A,CSV!AF:AF,""),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>
        <f>_xlfn.XLOOKUP(A76,My_Audit!A:A,My_Audit!D:D,"")</f>
        <v>0</v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CSV!AD:AD,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_xlpm.CSVVal,_xlfn.XLOOKUP($A76,CSV!$A:$A,CSV!AE:AE,""),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_xlpm.CSVVal,_xlfn.XLOOKUP($A76,CSV!$A:$A,CSV!AF:AF,""),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>
        <f>_xlfn.XLOOKUP(A77,My_Audit!A:A,My_Audit!D:D,"")</f>
        <v>0</v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CSV!AD:AD,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_xlpm.CSVVal,_xlfn.XLOOKUP($A77,CSV!$A:$A,CSV!AE:AE,""),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_xlpm.CSVVal,_xlfn.XLOOKUP($A77,CSV!$A:$A,CSV!AF:AF,""),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>
        <f>_xlfn.XLOOKUP(A78,My_Audit!A:A,My_Audit!D:D,"")</f>
        <v>0</v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CSV!AD:AD,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_xlpm.CSVVal,_xlfn.XLOOKUP($A78,CSV!$A:$A,CSV!AE:AE,""),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_xlpm.CSVVal,_xlfn.XLOOKUP($A78,CSV!$A:$A,CSV!AF:AF,""),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>
        <f>_xlfn.XLOOKUP(A79,My_Audit!A:A,My_Audit!D:D,"")</f>
        <v>0</v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CSV!AD:AD,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_xlpm.CSVVal,_xlfn.XLOOKUP($A79,CSV!$A:$A,CSV!AE:AE,""),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_xlpm.CSVVal,_xlfn.XLOOKUP($A79,CSV!$A:$A,CSV!AF:AF,""),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>
        <f>_xlfn.XLOOKUP(A80,My_Audit!A:A,My_Audit!D:D,"")</f>
        <v>0</v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CSV!AD:AD,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_xlpm.CSVVal,_xlfn.XLOOKUP($A80,CSV!$A:$A,CSV!AE:AE,""),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_xlpm.CSVVal,_xlfn.XLOOKUP($A80,CSV!$A:$A,CSV!AF:AF,""),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>
        <f>_xlfn.XLOOKUP(A81,My_Audit!A:A,My_Audit!D:D,"")</f>
        <v>0</v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CSV!AD:AD,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_xlpm.CSVVal,_xlfn.XLOOKUP($A81,CSV!$A:$A,CSV!AE:AE,""),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_xlpm.CSVVal,_xlfn.XLOOKUP($A81,CSV!$A:$A,CSV!AF:AF,""),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>
        <f>_xlfn.XLOOKUP(A82,My_Audit!A:A,My_Audit!D:D,"")</f>
        <v>0</v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CSV!AD:AD,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_xlpm.CSVVal,_xlfn.XLOOKUP($A82,CSV!$A:$A,CSV!AE:AE,""),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_xlpm.CSVVal,_xlfn.XLOOKUP($A82,CSV!$A:$A,CSV!AF:AF,""),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>
        <f>_xlfn.XLOOKUP(A83,My_Audit!A:A,My_Audit!D:D,"")</f>
        <v>0</v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CSV!AD:AD,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_xlpm.CSVVal,_xlfn.XLOOKUP($A83,CSV!$A:$A,CSV!AE:AE,""),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_xlpm.CSVVal,_xlfn.XLOOKUP($A83,CSV!$A:$A,CSV!AF:AF,""),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>
        <f>_xlfn.XLOOKUP(A84,My_Audit!A:A,My_Audit!D:D,"")</f>
        <v>0</v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CSV!AD:AD,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_xlpm.CSVVal,_xlfn.XLOOKUP($A84,CSV!$A:$A,CSV!AE:AE,""),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_xlpm.CSVVal,_xlfn.XLOOKUP($A84,CSV!$A:$A,CSV!AF:AF,""),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>
        <f>_xlfn.XLOOKUP(A85,My_Audit!A:A,My_Audit!D:D,"")</f>
        <v>0</v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CSV!AD:AD,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_xlpm.CSVVal,_xlfn.XLOOKUP($A85,CSV!$A:$A,CSV!AE:AE,""),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_xlpm.CSVVal,_xlfn.XLOOKUP($A85,CSV!$A:$A,CSV!AF:AF,""),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>
        <f>_xlfn.XLOOKUP(A86,My_Audit!A:A,My_Audit!D:D,"")</f>
        <v>0</v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CSV!AD:AD,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_xlpm.CSVVal,_xlfn.XLOOKUP($A86,CSV!$A:$A,CSV!AE:AE,""),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_xlpm.CSVVal,_xlfn.XLOOKUP($A86,CSV!$A:$A,CSV!AF:AF,""),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>
        <f>_xlfn.XLOOKUP(A87,My_Audit!A:A,My_Audit!D:D,"")</f>
        <v>0</v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CSV!AD:AD,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_xlpm.CSVVal,_xlfn.XLOOKUP($A87,CSV!$A:$A,CSV!AE:AE,""),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_xlpm.CSVVal,_xlfn.XLOOKUP($A87,CSV!$A:$A,CSV!AF:AF,""),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>
        <f>_xlfn.XLOOKUP(A88,My_Audit!A:A,My_Audit!D:D,"")</f>
        <v>0</v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CSV!AD:AD,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_xlpm.CSVVal,_xlfn.XLOOKUP($A88,CSV!$A:$A,CSV!AE:AE,""),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_xlpm.CSVVal,_xlfn.XLOOKUP($A88,CSV!$A:$A,CSV!AF:AF,""),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>
        <f>_xlfn.XLOOKUP(A89,My_Audit!A:A,My_Audit!D:D,"")</f>
        <v>0</v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CSV!AD:AD,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_xlpm.CSVVal,_xlfn.XLOOKUP($A89,CSV!$A:$A,CSV!AE:AE,""),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_xlpm.CSVVal,_xlfn.XLOOKUP($A89,CSV!$A:$A,CSV!AF:AF,""),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>
        <f>_xlfn.XLOOKUP(A90,My_Audit!A:A,My_Audit!D:D,"")</f>
        <v>0</v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CSV!AD:AD,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_xlpm.CSVVal,_xlfn.XLOOKUP($A90,CSV!$A:$A,CSV!AE:AE,""),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_xlpm.CSVVal,_xlfn.XLOOKUP($A90,CSV!$A:$A,CSV!AF:AF,""),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>
        <f>_xlfn.XLOOKUP(A91,My_Audit!A:A,My_Audit!D:D,"")</f>
        <v>0</v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CSV!AD:AD,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_xlpm.CSVVal,_xlfn.XLOOKUP($A91,CSV!$A:$A,CSV!AE:AE,""),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_xlpm.CSVVal,_xlfn.XLOOKUP($A91,CSV!$A:$A,CSV!AF:AF,""),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>
        <f>_xlfn.XLOOKUP(A92,My_Audit!A:A,My_Audit!D:D,"")</f>
        <v>0</v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CSV!AD:AD,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_xlpm.CSVVal,_xlfn.XLOOKUP($A92,CSV!$A:$A,CSV!AE:AE,""),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_xlpm.CSVVal,_xlfn.XLOOKUP($A92,CSV!$A:$A,CSV!AF:AF,""),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>
        <f>_xlfn.XLOOKUP(A93,My_Audit!A:A,My_Audit!D:D,"")</f>
        <v>0</v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CSV!AD:AD,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_xlpm.CSVVal,_xlfn.XLOOKUP($A93,CSV!$A:$A,CSV!AE:AE,""),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_xlpm.CSVVal,_xlfn.XLOOKUP($A93,CSV!$A:$A,CSV!AF:AF,""),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>
        <f>_xlfn.XLOOKUP(A94,My_Audit!A:A,My_Audit!D:D,"")</f>
        <v>0</v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CSV!AD:AD,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_xlpm.CSVVal,_xlfn.XLOOKUP($A94,CSV!$A:$A,CSV!AE:AE,""),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_xlpm.CSVVal,_xlfn.XLOOKUP($A94,CSV!$A:$A,CSV!AF:AF,""),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>
        <f>_xlfn.XLOOKUP(A95,My_Audit!A:A,My_Audit!D:D,"")</f>
        <v>0</v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CSV!AD:AD,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_xlpm.CSVVal,_xlfn.XLOOKUP($A95,CSV!$A:$A,CSV!AE:AE,""),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_xlpm.CSVVal,_xlfn.XLOOKUP($A95,CSV!$A:$A,CSV!AF:AF,""),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>
        <f>_xlfn.XLOOKUP(A96,My_Audit!A:A,My_Audit!D:D,"")</f>
        <v>0</v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CSV!AD:AD,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_xlpm.CSVVal,_xlfn.XLOOKUP($A96,CSV!$A:$A,CSV!AE:AE,""),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_xlpm.CSVVal,_xlfn.XLOOKUP($A96,CSV!$A:$A,CSV!AF:AF,""),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>
        <f>_xlfn.XLOOKUP(A97,My_Audit!A:A,My_Audit!D:D,"")</f>
        <v>0</v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CSV!AD:AD,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_xlpm.CSVVal,_xlfn.XLOOKUP($A97,CSV!$A:$A,CSV!AE:AE,""),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_xlpm.CSVVal,_xlfn.XLOOKUP($A97,CSV!$A:$A,CSV!AF:AF,""),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>
        <f>_xlfn.XLOOKUP(A98,My_Audit!A:A,My_Audit!D:D,"")</f>
        <v>0</v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CSV!AD:AD,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_xlpm.CSVVal,_xlfn.XLOOKUP($A98,CSV!$A:$A,CSV!AE:AE,""),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_xlpm.CSVVal,_xlfn.XLOOKUP($A98,CSV!$A:$A,CSV!AF:AF,""),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>
        <f>_xlfn.XLOOKUP(A99,My_Audit!A:A,My_Audit!D:D,"")</f>
        <v>0</v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CSV!AD:AD,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_xlpm.CSVVal,_xlfn.XLOOKUP($A99,CSV!$A:$A,CSV!AE:AE,""),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_xlpm.CSVVal,_xlfn.XLOOKUP($A99,CSV!$A:$A,CSV!AF:AF,""),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>
        <f>_xlfn.XLOOKUP(A100,My_Audit!A:A,My_Audit!D:D,"")</f>
        <v>0</v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CSV!AD:AD,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_xlpm.CSVVal,_xlfn.XLOOKUP($A100,CSV!$A:$A,CSV!AE:AE,""),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_xlpm.CSVVal,_xlfn.XLOOKUP($A100,CSV!$A:$A,CSV!AF:AF,""),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>
        <f>_xlfn.XLOOKUP(A101,My_Audit!A:A,My_Audit!D:D,"")</f>
        <v>0</v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CSV!AD:AD,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_xlpm.CSVVal,_xlfn.XLOOKUP($A101,CSV!$A:$A,CSV!AE:AE,""),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_xlpm.CSVVal,_xlfn.XLOOKUP($A101,CSV!$A:$A,CSV!AF:AF,""),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>
        <f>_xlfn.XLOOKUP(A102,My_Audit!A:A,My_Audit!D:D,"")</f>
        <v>0</v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CSV!AD:AD,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_xlpm.CSVVal,_xlfn.XLOOKUP($A102,CSV!$A:$A,CSV!AE:AE,""),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_xlpm.CSVVal,_xlfn.XLOOKUP($A102,CSV!$A:$A,CSV!AF:AF,""),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>
        <f>_xlfn.XLOOKUP(A103,My_Audit!A:A,My_Audit!D:D,"")</f>
        <v>0</v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CSV!AD:AD,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_xlpm.CSVVal,_xlfn.XLOOKUP($A103,CSV!$A:$A,CSV!AE:AE,""),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_xlpm.CSVVal,_xlfn.XLOOKUP($A103,CSV!$A:$A,CSV!AF:AF,""),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>
        <f>_xlfn.XLOOKUP(A104,My_Audit!A:A,My_Audit!D:D,"")</f>
        <v>0</v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CSV!AD:AD,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_xlpm.CSVVal,_xlfn.XLOOKUP($A104,CSV!$A:$A,CSV!AE:AE,""),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_xlpm.CSVVal,_xlfn.XLOOKUP($A104,CSV!$A:$A,CSV!AF:AF,""),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>
        <f>_xlfn.XLOOKUP(A105,My_Audit!A:A,My_Audit!D:D,"")</f>
        <v>0</v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CSV!AD:AD,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_xlpm.CSVVal,_xlfn.XLOOKUP($A105,CSV!$A:$A,CSV!AE:AE,""),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_xlpm.CSVVal,_xlfn.XLOOKUP($A105,CSV!$A:$A,CSV!AF:AF,""),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>
        <f>_xlfn.XLOOKUP(A106,My_Audit!A:A,My_Audit!D:D,"")</f>
        <v>0</v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CSV!AD:AD,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_xlpm.CSVVal,_xlfn.XLOOKUP($A106,CSV!$A:$A,CSV!AE:AE,""),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_xlpm.CSVVal,_xlfn.XLOOKUP($A106,CSV!$A:$A,CSV!AF:AF,""),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>
        <f>_xlfn.XLOOKUP(A107,My_Audit!A:A,My_Audit!D:D,"")</f>
        <v>0</v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CSV!AD:AD,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_xlpm.CSVVal,_xlfn.XLOOKUP($A107,CSV!$A:$A,CSV!AE:AE,""),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_xlpm.CSVVal,_xlfn.XLOOKUP($A107,CSV!$A:$A,CSV!AF:AF,""),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>
        <f>_xlfn.XLOOKUP(A108,My_Audit!A:A,My_Audit!D:D,"")</f>
        <v>0</v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CSV!AD:AD,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_xlpm.CSVVal,_xlfn.XLOOKUP($A108,CSV!$A:$A,CSV!AE:AE,""),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_xlpm.CSVVal,_xlfn.XLOOKUP($A108,CSV!$A:$A,CSV!AF:AF,""),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>
        <f>_xlfn.XLOOKUP(A109,My_Audit!A:A,My_Audit!D:D,"")</f>
        <v>0</v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CSV!AD:AD,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_xlpm.CSVVal,_xlfn.XLOOKUP($A109,CSV!$A:$A,CSV!AE:AE,""),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_xlpm.CSVVal,_xlfn.XLOOKUP($A109,CSV!$A:$A,CSV!AF:AF,""),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>
        <f>_xlfn.XLOOKUP(A110,My_Audit!A:A,My_Audit!D:D,"")</f>
        <v>0</v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CSV!AD:AD,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_xlpm.CSVVal,_xlfn.XLOOKUP($A110,CSV!$A:$A,CSV!AE:AE,""),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_xlpm.CSVVal,_xlfn.XLOOKUP($A110,CSV!$A:$A,CSV!AF:AF,""),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>
        <f>_xlfn.XLOOKUP(A111,My_Audit!A:A,My_Audit!D:D,"")</f>
        <v>0</v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CSV!AD:AD,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_xlpm.CSVVal,_xlfn.XLOOKUP($A111,CSV!$A:$A,CSV!AE:AE,""),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_xlpm.CSVVal,_xlfn.XLOOKUP($A111,CSV!$A:$A,CSV!AF:AF,""),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>
        <f>_xlfn.XLOOKUP(A112,My_Audit!A:A,My_Audit!D:D,"")</f>
        <v>0</v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CSV!AD:AD,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_xlpm.CSVVal,_xlfn.XLOOKUP($A112,CSV!$A:$A,CSV!AE:AE,""),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_xlpm.CSVVal,_xlfn.XLOOKUP($A112,CSV!$A:$A,CSV!AF:AF,""),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>
        <f>_xlfn.XLOOKUP(A113,My_Audit!A:A,My_Audit!D:D,"")</f>
        <v>0</v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CSV!AD:AD,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_xlpm.CSVVal,_xlfn.XLOOKUP($A113,CSV!$A:$A,CSV!AE:AE,""),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_xlpm.CSVVal,_xlfn.XLOOKUP($A113,CSV!$A:$A,CSV!AF:AF,""),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>
        <f>_xlfn.XLOOKUP(A114,My_Audit!A:A,My_Audit!D:D,"")</f>
        <v>0</v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CSV!AD:AD,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_xlpm.CSVVal,_xlfn.XLOOKUP($A114,CSV!$A:$A,CSV!AE:AE,""),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_xlpm.CSVVal,_xlfn.XLOOKUP($A114,CSV!$A:$A,CSV!AF:AF,""),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>
        <f>_xlfn.XLOOKUP(A115,My_Audit!A:A,My_Audit!D:D,"")</f>
        <v>0</v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CSV!AD:AD,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_xlpm.CSVVal,_xlfn.XLOOKUP($A115,CSV!$A:$A,CSV!AE:AE,""),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_xlpm.CSVVal,_xlfn.XLOOKUP($A115,CSV!$A:$A,CSV!AF:AF,""),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>
        <f>_xlfn.XLOOKUP(A116,My_Audit!A:A,My_Audit!D:D,"")</f>
        <v>0</v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CSV!AD:AD,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_xlpm.CSVVal,_xlfn.XLOOKUP($A116,CSV!$A:$A,CSV!AE:AE,""),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_xlpm.CSVVal,_xlfn.XLOOKUP($A116,CSV!$A:$A,CSV!AF:AF,""),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>
        <f>_xlfn.XLOOKUP(A117,My_Audit!A:A,My_Audit!D:D,"")</f>
        <v>0</v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CSV!AD:AD,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_xlpm.CSVVal,_xlfn.XLOOKUP($A117,CSV!$A:$A,CSV!AE:AE,""),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_xlpm.CSVVal,_xlfn.XLOOKUP($A117,CSV!$A:$A,CSV!AF:AF,""),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>
        <f>_xlfn.XLOOKUP(A118,My_Audit!A:A,My_Audit!D:D,"")</f>
        <v>0</v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CSV!AD:AD,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_xlpm.CSVVal,_xlfn.XLOOKUP($A118,CSV!$A:$A,CSV!AE:AE,""),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_xlpm.CSVVal,_xlfn.XLOOKUP($A118,CSV!$A:$A,CSV!AF:AF,""),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>
        <f>_xlfn.XLOOKUP(A119,My_Audit!A:A,My_Audit!D:D,"")</f>
        <v>0</v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CSV!AD:AD,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_xlpm.CSVVal,_xlfn.XLOOKUP($A119,CSV!$A:$A,CSV!AE:AE,""),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_xlpm.CSVVal,_xlfn.XLOOKUP($A119,CSV!$A:$A,CSV!AF:AF,""),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>
        <f>_xlfn.XLOOKUP(A120,My_Audit!A:A,My_Audit!D:D,"")</f>
        <v>0</v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CSV!AD:AD,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_xlpm.CSVVal,_xlfn.XLOOKUP($A120,CSV!$A:$A,CSV!AE:AE,""),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_xlpm.CSVVal,_xlfn.XLOOKUP($A120,CSV!$A:$A,CSV!AF:AF,""),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>
        <f>_xlfn.XLOOKUP(A121,My_Audit!A:A,My_Audit!D:D,"")</f>
        <v>0</v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CSV!AD:AD,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_xlpm.CSVVal,_xlfn.XLOOKUP($A121,CSV!$A:$A,CSV!AE:AE,""),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_xlpm.CSVVal,_xlfn.XLOOKUP($A121,CSV!$A:$A,CSV!AF:AF,""),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>
        <f>_xlfn.XLOOKUP(A122,My_Audit!A:A,My_Audit!D:D,"")</f>
        <v>0</v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CSV!AD:AD,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_xlpm.CSVVal,_xlfn.XLOOKUP($A122,CSV!$A:$A,CSV!AE:AE,""),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_xlpm.CSVVal,_xlfn.XLOOKUP($A122,CSV!$A:$A,CSV!AF:AF,""),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>
        <f>_xlfn.XLOOKUP(A123,My_Audit!A:A,My_Audit!D:D,"")</f>
        <v>0</v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CSV!AD:AD,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_xlpm.CSVVal,_xlfn.XLOOKUP($A123,CSV!$A:$A,CSV!AE:AE,""),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_xlpm.CSVVal,_xlfn.XLOOKUP($A123,CSV!$A:$A,CSV!AF:AF,""),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>
        <f>_xlfn.XLOOKUP(A124,My_Audit!A:A,My_Audit!D:D,"")</f>
        <v>0</v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CSV!AD:AD,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_xlpm.CSVVal,_xlfn.XLOOKUP($A124,CSV!$A:$A,CSV!AE:AE,""),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_xlpm.CSVVal,_xlfn.XLOOKUP($A124,CSV!$A:$A,CSV!AF:AF,""),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>
        <f>_xlfn.XLOOKUP(A125,My_Audit!A:A,My_Audit!D:D,"")</f>
        <v>0</v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CSV!AD:AD,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_xlpm.CSVVal,_xlfn.XLOOKUP($A125,CSV!$A:$A,CSV!AE:AE,""),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_xlpm.CSVVal,_xlfn.XLOOKUP($A125,CSV!$A:$A,CSV!AF:AF,""),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>
        <f>_xlfn.XLOOKUP(A126,My_Audit!A:A,My_Audit!D:D,"")</f>
        <v>0</v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CSV!AD:AD,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_xlpm.CSVVal,_xlfn.XLOOKUP($A126,CSV!$A:$A,CSV!AE:AE,""),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_xlpm.CSVVal,_xlfn.XLOOKUP($A126,CSV!$A:$A,CSV!AF:AF,""),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>
        <f>_xlfn.XLOOKUP(A127,My_Audit!A:A,My_Audit!D:D,"")</f>
        <v>0</v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CSV!AD:AD,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_xlpm.CSVVal,_xlfn.XLOOKUP($A127,CSV!$A:$A,CSV!AE:AE,""),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_xlpm.CSVVal,_xlfn.XLOOKUP($A127,CSV!$A:$A,CSV!AF:AF,""),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>
        <f>_xlfn.XLOOKUP(A128,My_Audit!A:A,My_Audit!D:D,"")</f>
        <v>0</v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CSV!AD:AD,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_xlpm.CSVVal,_xlfn.XLOOKUP($A128,CSV!$A:$A,CSV!AE:AE,""),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_xlpm.CSVVal,_xlfn.XLOOKUP($A128,CSV!$A:$A,CSV!AF:AF,""),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>
        <f>_xlfn.XLOOKUP(A129,My_Audit!A:A,My_Audit!D:D,"")</f>
        <v>0</v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CSV!AD:AD,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_xlpm.CSVVal,_xlfn.XLOOKUP($A129,CSV!$A:$A,CSV!AE:AE,""),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_xlpm.CSVVal,_xlfn.XLOOKUP($A129,CSV!$A:$A,CSV!AF:AF,""),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>
        <f>_xlfn.XLOOKUP(A130,My_Audit!A:A,My_Audit!D:D,"")</f>
        <v>0</v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CSV!AD:AD,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_xlpm.CSVVal,_xlfn.XLOOKUP($A130,CSV!$A:$A,CSV!AE:AE,""),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_xlpm.CSVVal,_xlfn.XLOOKUP($A130,CSV!$A:$A,CSV!AF:AF,""),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>
        <f>_xlfn.XLOOKUP(A131,My_Audit!A:A,My_Audit!D:D,"")</f>
        <v>0</v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CSV!AD:AD,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_xlpm.CSVVal,_xlfn.XLOOKUP($A131,CSV!$A:$A,CSV!AE:AE,""),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_xlpm.CSVVal,_xlfn.XLOOKUP($A131,CSV!$A:$A,CSV!AF:AF,""),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>
        <f>_xlfn.XLOOKUP(A132,My_Audit!A:A,My_Audit!D:D,"")</f>
        <v>0</v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CSV!AD:AD,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_xlpm.CSVVal,_xlfn.XLOOKUP($A132,CSV!$A:$A,CSV!AE:AE,""),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_xlpm.CSVVal,_xlfn.XLOOKUP($A132,CSV!$A:$A,CSV!AF:AF,""),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>
        <f>_xlfn.XLOOKUP(A133,My_Audit!A:A,My_Audit!D:D,"")</f>
        <v>0</v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CSV!AD:AD,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_xlpm.CSVVal,_xlfn.XLOOKUP($A133,CSV!$A:$A,CSV!AE:AE,""),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_xlpm.CSVVal,_xlfn.XLOOKUP($A133,CSV!$A:$A,CSV!AF:AF,""),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>
        <f>_xlfn.XLOOKUP(A134,My_Audit!A:A,My_Audit!D:D,"")</f>
        <v>0</v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CSV!AD:AD,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_xlpm.CSVVal,_xlfn.XLOOKUP($A134,CSV!$A:$A,CSV!AE:AE,""),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_xlpm.CSVVal,_xlfn.XLOOKUP($A134,CSV!$A:$A,CSV!AF:AF,""),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>
        <f>_xlfn.XLOOKUP(A135,My_Audit!A:A,My_Audit!D:D,"")</f>
        <v>0</v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CSV!AD:AD,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_xlpm.CSVVal,_xlfn.XLOOKUP($A135,CSV!$A:$A,CSV!AE:AE,""),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_xlpm.CSVVal,_xlfn.XLOOKUP($A135,CSV!$A:$A,CSV!AF:AF,""),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>
        <f>_xlfn.XLOOKUP(A136,My_Audit!A:A,My_Audit!D:D,"")</f>
        <v>0</v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CSV!AD:AD,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_xlpm.CSVVal,_xlfn.XLOOKUP($A136,CSV!$A:$A,CSV!AE:AE,""),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_xlpm.CSVVal,_xlfn.XLOOKUP($A136,CSV!$A:$A,CSV!AF:AF,""),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>
        <f>_xlfn.XLOOKUP(A137,My_Audit!A:A,My_Audit!D:D,"")</f>
        <v>0</v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CSV!AD:AD,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_xlpm.CSVVal,_xlfn.XLOOKUP($A137,CSV!$A:$A,CSV!AE:AE,""),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_xlpm.CSVVal,_xlfn.XLOOKUP($A137,CSV!$A:$A,CSV!AF:AF,""),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>
        <f>_xlfn.XLOOKUP(A138,My_Audit!A:A,My_Audit!D:D,"")</f>
        <v>0</v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CSV!AD:AD,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_xlpm.CSVVal,_xlfn.XLOOKUP($A138,CSV!$A:$A,CSV!AE:AE,""),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_xlpm.CSVVal,_xlfn.XLOOKUP($A138,CSV!$A:$A,CSV!AF:AF,""),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>
        <f>_xlfn.XLOOKUP(A139,My_Audit!A:A,My_Audit!D:D,"")</f>
        <v>0</v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CSV!AD:AD,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_xlpm.CSVVal,_xlfn.XLOOKUP($A139,CSV!$A:$A,CSV!AE:AE,""),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_xlpm.CSVVal,_xlfn.XLOOKUP($A139,CSV!$A:$A,CSV!AF:AF,""),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>
        <f>_xlfn.XLOOKUP(A140,My_Audit!A:A,My_Audit!D:D,"")</f>
        <v>0</v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CSV!AD:AD,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_xlpm.CSVVal,_xlfn.XLOOKUP($A140,CSV!$A:$A,CSV!AE:AE,""),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_xlpm.CSVVal,_xlfn.XLOOKUP($A140,CSV!$A:$A,CSV!AF:AF,""),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>
        <f>_xlfn.XLOOKUP(A141,My_Audit!A:A,My_Audit!D:D,"")</f>
        <v>0</v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CSV!AD:AD,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_xlpm.CSVVal,_xlfn.XLOOKUP($A141,CSV!$A:$A,CSV!AE:AE,""),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_xlpm.CSVVal,_xlfn.XLOOKUP($A141,CSV!$A:$A,CSV!AF:AF,""),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>
        <f>_xlfn.XLOOKUP(A142,My_Audit!A:A,My_Audit!D:D,"")</f>
        <v>0</v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CSV!AD:AD,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_xlpm.CSVVal,_xlfn.XLOOKUP($A142,CSV!$A:$A,CSV!AE:AE,""),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_xlpm.CSVVal,_xlfn.XLOOKUP($A142,CSV!$A:$A,CSV!AF:AF,""),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>
        <f>_xlfn.XLOOKUP(A143,My_Audit!A:A,My_Audit!D:D,"")</f>
        <v>0</v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CSV!AD:AD,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_xlpm.CSVVal,_xlfn.XLOOKUP($A143,CSV!$A:$A,CSV!AE:AE,""),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_xlpm.CSVVal,_xlfn.XLOOKUP($A143,CSV!$A:$A,CSV!AF:AF,""),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>
        <f>_xlfn.XLOOKUP(A144,My_Audit!A:A,My_Audit!D:D,"")</f>
        <v>0</v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CSV!AD:AD,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_xlpm.CSVVal,_xlfn.XLOOKUP($A144,CSV!$A:$A,CSV!AE:AE,""),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_xlpm.CSVVal,_xlfn.XLOOKUP($A144,CSV!$A:$A,CSV!AF:AF,""),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>
        <f>_xlfn.XLOOKUP(A145,My_Audit!A:A,My_Audit!D:D,"")</f>
        <v>0</v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CSV!AD:AD,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_xlpm.CSVVal,_xlfn.XLOOKUP($A145,CSV!$A:$A,CSV!AE:AE,""),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_xlpm.CSVVal,_xlfn.XLOOKUP($A145,CSV!$A:$A,CSV!AF:AF,""),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>
        <f>_xlfn.XLOOKUP(A146,My_Audit!A:A,My_Audit!D:D,"")</f>
        <v>0</v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CSV!AD:AD,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_xlpm.CSVVal,_xlfn.XLOOKUP($A146,CSV!$A:$A,CSV!AE:AE,""),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_xlpm.CSVVal,_xlfn.XLOOKUP($A146,CSV!$A:$A,CSV!AF:AF,""),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>
        <f>_xlfn.XLOOKUP(A147,My_Audit!A:A,My_Audit!D:D,"")</f>
        <v>0</v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CSV!AD:AD,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_xlpm.CSVVal,_xlfn.XLOOKUP($A147,CSV!$A:$A,CSV!AE:AE,""),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_xlpm.CSVVal,_xlfn.XLOOKUP($A147,CSV!$A:$A,CSV!AF:AF,""),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>
        <f>_xlfn.XLOOKUP(A148,My_Audit!A:A,My_Audit!D:D,"")</f>
        <v>0</v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CSV!AD:AD,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_xlpm.CSVVal,_xlfn.XLOOKUP($A148,CSV!$A:$A,CSV!AE:AE,""),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_xlpm.CSVVal,_xlfn.XLOOKUP($A148,CSV!$A:$A,CSV!AF:AF,""),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>
        <f>_xlfn.XLOOKUP(A149,My_Audit!A:A,My_Audit!D:D,"")</f>
        <v>0</v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CSV!AD:AD,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_xlpm.CSVVal,_xlfn.XLOOKUP($A149,CSV!$A:$A,CSV!AE:AE,""),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_xlpm.CSVVal,_xlfn.XLOOKUP($A149,CSV!$A:$A,CSV!AF:AF,""),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IF(_xlfn.XLOOKUP(A150,My_Audit!A:A,My_Audit!D:D),_xlfn.XLOOKUP(A150,My_Audit!A:A,My_Audit!D:D),"")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CSV!AD:AD,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_xlpm.CSVVal,_xlfn.XLOOKUP($A150,CSV!$A:$A,CSV!AE:AE,""),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_xlpm.CSVVal,_xlfn.XLOOKUP($A150,CSV!$A:$A,CSV!AF:AF,""),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IF(_xlfn.XLOOKUP(A151,My_Audit!A:A,My_Audit!D:D),_xlfn.XLOOKUP(A151,My_Audit!A:A,My_Audit!D:D),"")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CSV!AD:AD,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_xlpm.CSVVal,_xlfn.XLOOKUP($A151,CSV!$A:$A,CSV!AE:AE,""),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_xlpm.CSVVal,_xlfn.XLOOKUP($A151,CSV!$A:$A,CSV!AF:AF,""),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IF(_xlfn.XLOOKUP(A152,My_Audit!A:A,My_Audit!D:D),_xlfn.XLOOKUP(A152,My_Audit!A:A,My_Audit!D:D),"")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CSV!AD:AD,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_xlpm.CSVVal,_xlfn.XLOOKUP($A152,CSV!$A:$A,CSV!AE:AE,""),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_xlpm.CSVVal,_xlfn.XLOOKUP($A152,CSV!$A:$A,CSV!AF:AF,""),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IF(_xlfn.XLOOKUP(A153,My_Audit!A:A,My_Audit!D:D),_xlfn.XLOOKUP(A153,My_Audit!A:A,My_Audit!D:D),"")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CSV!AD:AD,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_xlpm.CSVVal,_xlfn.XLOOKUP($A153,CSV!$A:$A,CSV!AE:AE,""),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_xlpm.CSVVal,_xlfn.XLOOKUP($A153,CSV!$A:$A,CSV!AF:AF,""),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IF(_xlfn.XLOOKUP(A154,My_Audit!A:A,My_Audit!D:D),_xlfn.XLOOKUP(A154,My_Audit!A:A,My_Audit!D:D),"")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CSV!AD:AD,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_xlpm.CSVVal,_xlfn.XLOOKUP($A154,CSV!$A:$A,CSV!AE:AE,""),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_xlpm.CSVVal,_xlfn.XLOOKUP($A154,CSV!$A:$A,CSV!AF:AF,""),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IF(_xlfn.XLOOKUP(A155,My_Audit!A:A,My_Audit!D:D),_xlfn.XLOOKUP(A155,My_Audit!A:A,My_Audit!D:D),"")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CSV!AD:AD,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_xlpm.CSVVal,_xlfn.XLOOKUP($A155,CSV!$A:$A,CSV!AE:AE,""),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_xlpm.CSVVal,_xlfn.XLOOKUP($A155,CSV!$A:$A,CSV!AF:AF,""),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IF(_xlfn.XLOOKUP(A156,My_Audit!A:A,My_Audit!D:D),_xlfn.XLOOKUP(A156,My_Audit!A:A,My_Audit!D:D),"")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CSV!AD:AD,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_xlpm.CSVVal,_xlfn.XLOOKUP($A156,CSV!$A:$A,CSV!AE:AE,""),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_xlpm.CSVVal,_xlfn.XLOOKUP($A156,CSV!$A:$A,CSV!AF:AF,""),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IF(_xlfn.XLOOKUP(A157,My_Audit!A:A,My_Audit!D:D),_xlfn.XLOOKUP(A157,My_Audit!A:A,My_Audit!D:D),"")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CSV!AD:AD,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_xlpm.CSVVal,_xlfn.XLOOKUP($A157,CSV!$A:$A,CSV!AE:AE,""),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_xlpm.CSVVal,_xlfn.XLOOKUP($A157,CSV!$A:$A,CSV!AF:AF,""),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IF(_xlfn.XLOOKUP(A158,My_Audit!A:A,My_Audit!D:D),_xlfn.XLOOKUP(A158,My_Audit!A:A,My_Audit!D:D),"")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CSV!AD:AD,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_xlpm.CSVVal,_xlfn.XLOOKUP($A158,CSV!$A:$A,CSV!AE:AE,""),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_xlpm.CSVVal,_xlfn.XLOOKUP($A158,CSV!$A:$A,CSV!AF:AF,""),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B159" s="2" t="str">
        <f>_xlfn.TEXTJOIN("-",TRUE,"ITD",Input!$A$2,A159)</f>
        <v>ITD-SHR-X158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IF(_xlfn.XLOOKUP(A159,My_Audit!A:A,My_Audit!D:D),_xlfn.XLOOKUP(A159,My_Audit!A:A,My_Audit!D:D),"")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CSV!AD:AD,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_xlpm.CSVVal,_xlfn.XLOOKUP($A159,CSV!$A:$A,CSV!AE:AE,""),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_xlpm.CSVVal,_xlfn.XLOOKUP($A159,CSV!$A:$A,CSV!AF:AF,""),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B160" s="2" t="str">
        <f>_xlfn.TEXTJOIN("-",TRUE,"ITD",Input!$A$2,A160)</f>
        <v>ITD-SHR-X159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IF(_xlfn.XLOOKUP(A160,My_Audit!A:A,My_Audit!D:D),_xlfn.XLOOKUP(A160,My_Audit!A:A,My_Audit!D:D),"")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CSV!AD:AD,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_xlpm.CSVVal,_xlfn.XLOOKUP($A160,CSV!$A:$A,CSV!AE:AE,""),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_xlpm.CSVVal,_xlfn.XLOOKUP($A160,CSV!$A:$A,CSV!AF:AF,""),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B161" s="2" t="str">
        <f>_xlfn.TEXTJOIN("-",TRUE,"ITD",Input!$A$2,A161)</f>
        <v>ITD-SHR-X160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IF(_xlfn.XLOOKUP(A161,My_Audit!A:A,My_Audit!D:D),_xlfn.XLOOKUP(A161,My_Audit!A:A,My_Audit!D:D),"")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CSV!AD:AD,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_xlpm.CSVVal,_xlfn.XLOOKUP($A161,CSV!$A:$A,CSV!AE:AE,""),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_xlpm.CSVVal,_xlfn.XLOOKUP($A161,CSV!$A:$A,CSV!AF:AF,""),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B162" s="2" t="str">
        <f>_xlfn.TEXTJOIN("-",TRUE,"ITD",Input!$A$2,A162)</f>
        <v>ITD-SHR-X161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IF(_xlfn.XLOOKUP(A162,My_Audit!A:A,My_Audit!D:D),_xlfn.XLOOKUP(A162,My_Audit!A:A,My_Audit!D:D),"")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CSV!AD:AD,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_xlpm.CSVVal,_xlfn.XLOOKUP($A162,CSV!$A:$A,CSV!AE:AE,""),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_xlpm.CSVVal,_xlfn.XLOOKUP($A162,CSV!$A:$A,CSV!AF:AF,""),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B163" s="2" t="str">
        <f>_xlfn.TEXTJOIN("-",TRUE,"ITD",Input!$A$2,A163)</f>
        <v>ITD-SHR-X162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IF(_xlfn.XLOOKUP(A163,My_Audit!A:A,My_Audit!D:D),_xlfn.XLOOKUP(A163,My_Audit!A:A,My_Audit!D:D),"")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CSV!AD:AD,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_xlpm.CSVVal,_xlfn.XLOOKUP($A163,CSV!$A:$A,CSV!AE:AE,""),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_xlpm.CSVVal,_xlfn.XLOOKUP($A163,CSV!$A:$A,CSV!AF:AF,""),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B164" s="2" t="str">
        <f>_xlfn.TEXTJOIN("-",TRUE,"ITD",Input!$A$2,A164)</f>
        <v>ITD-SHR-X163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IF(_xlfn.XLOOKUP(A164,My_Audit!A:A,My_Audit!D:D),_xlfn.XLOOKUP(A164,My_Audit!A:A,My_Audit!D:D),"")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CSV!AD:AD,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_xlpm.CSVVal,_xlfn.XLOOKUP($A164,CSV!$A:$A,CSV!AE:AE,""),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_xlpm.CSVVal,_xlfn.XLOOKUP($A164,CSV!$A:$A,CSV!AF:AF,""),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B165" s="2" t="str">
        <f>_xlfn.TEXTJOIN("-",TRUE,"ITD",Input!$A$2,A165)</f>
        <v>ITD-SHR-X164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IF(_xlfn.XLOOKUP(A165,My_Audit!A:A,My_Audit!D:D),_xlfn.XLOOKUP(A165,My_Audit!A:A,My_Audit!D:D),"")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CSV!AD:AD,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_xlpm.CSVVal,_xlfn.XLOOKUP($A165,CSV!$A:$A,CSV!AE:AE,""),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_xlpm.CSVVal,_xlfn.XLOOKUP($A165,CSV!$A:$A,CSV!AF:AF,""),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B166" s="2" t="str">
        <f>_xlfn.TEXTJOIN("-",TRUE,"ITD",Input!$A$2,A166)</f>
        <v>ITD-SHR-X165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IF(_xlfn.XLOOKUP(A166,My_Audit!A:A,My_Audit!D:D),_xlfn.XLOOKUP(A166,My_Audit!A:A,My_Audit!D:D),"")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CSV!AD:AD,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_xlpm.CSVVal,_xlfn.XLOOKUP($A166,CSV!$A:$A,CSV!AE:AE,""),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_xlpm.CSVVal,_xlfn.XLOOKUP($A166,CSV!$A:$A,CSV!AF:AF,""),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B167" s="2" t="str">
        <f>_xlfn.TEXTJOIN("-",TRUE,"ITD",Input!$A$2,A167)</f>
        <v>ITD-SHR-X166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IF(_xlfn.XLOOKUP(A167,My_Audit!A:A,My_Audit!D:D),_xlfn.XLOOKUP(A167,My_Audit!A:A,My_Audit!D:D),"")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CSV!AD:AD,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_xlpm.CSVVal,_xlfn.XLOOKUP($A167,CSV!$A:$A,CSV!AE:AE,""),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_xlpm.CSVVal,_xlfn.XLOOKUP($A167,CSV!$A:$A,CSV!AF:AF,""),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B168" s="2" t="str">
        <f>_xlfn.TEXTJOIN("-",TRUE,"ITD",Input!$A$2,A168)</f>
        <v>ITD-SHR-X167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IF(_xlfn.XLOOKUP(A168,My_Audit!A:A,My_Audit!D:D),_xlfn.XLOOKUP(A168,My_Audit!A:A,My_Audit!D:D),"")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CSV!AD:AD,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_xlpm.CSVVal,_xlfn.XLOOKUP($A168,CSV!$A:$A,CSV!AE:AE,""),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_xlpm.CSVVal,_xlfn.XLOOKUP($A168,CSV!$A:$A,CSV!AF:AF,""),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B169" s="2" t="str">
        <f>_xlfn.TEXTJOIN("-",TRUE,"ITD",Input!$A$2,A169)</f>
        <v>ITD-SHR-X168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IF(_xlfn.XLOOKUP(A169,My_Audit!A:A,My_Audit!D:D),_xlfn.XLOOKUP(A169,My_Audit!A:A,My_Audit!D:D),"")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X169</v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  <row r="171" spans="1:24">
      <c r="A171" s="2" t="str">
        <f>_xlfn.TEXTJOIN("",TRUE,Input!$B$2,ROW(My_Audit!A170))</f>
        <v>X170</v>
      </c>
    </row>
    <row r="172" spans="1:24">
      <c r="A172" s="2" t="str">
        <f>_xlfn.TEXTJOIN("",TRUE,Input!$B$2,ROW(My_Audit!A171))</f>
        <v>X171</v>
      </c>
    </row>
    <row r="173" spans="1:24">
      <c r="A173" s="2" t="str">
        <f>_xlfn.TEXTJOIN("",TRUE,Input!$B$2,ROW(My_Audit!A172))</f>
        <v>X172</v>
      </c>
    </row>
    <row r="174" spans="1:24">
      <c r="A174" s="2" t="str">
        <f>_xlfn.TEXTJOIN("",TRUE,Input!$B$2,ROW(My_Audit!A173))</f>
        <v>X173</v>
      </c>
    </row>
    <row r="175" spans="1:24">
      <c r="A175" s="2" t="str">
        <f>_xlfn.TEXTJOIN("",TRUE,Input!$B$2,ROW(My_Audit!A174))</f>
        <v>X174</v>
      </c>
    </row>
    <row r="176" spans="1:24">
      <c r="A176" s="2" t="str">
        <f>_xlfn.TEXTJOIN("",TRUE,Input!$B$2,ROW(My_Audit!A175))</f>
        <v>X175</v>
      </c>
    </row>
    <row r="177" spans="1:1">
      <c r="A177" s="2" t="str">
        <f>_xlfn.TEXTJOIN("",TRUE,Input!$B$2,ROW(My_Audit!A176))</f>
        <v>X176</v>
      </c>
    </row>
    <row r="178" spans="1:1">
      <c r="A178" s="2" t="str">
        <f>_xlfn.TEXTJOIN("",TRUE,Input!$B$2,ROW(My_Audit!A177))</f>
        <v>X177</v>
      </c>
    </row>
    <row r="179" spans="1:1">
      <c r="A179" s="2" t="str">
        <f>_xlfn.TEXTJOIN("",TRUE,Input!$B$2,ROW(My_Audit!A178))</f>
        <v>X178</v>
      </c>
    </row>
    <row r="180" spans="1:1">
      <c r="A180" s="2" t="str">
        <f>_xlfn.TEXTJOIN("",TRUE,Input!$B$2,ROW(My_Audit!A179))</f>
        <v>X179</v>
      </c>
    </row>
    <row r="181" spans="1:1">
      <c r="A181" s="2" t="str">
        <f>_xlfn.TEXTJOIN("",TRUE,Input!$B$2,ROW(My_Audit!A180))</f>
        <v>X180</v>
      </c>
    </row>
    <row r="182" spans="1:1">
      <c r="A182" s="2" t="str">
        <f>_xlfn.TEXTJOIN("",TRUE,Input!$B$2,ROW(My_Audit!A181))</f>
        <v>X181</v>
      </c>
    </row>
    <row r="183" spans="1:1">
      <c r="A183" s="2" t="str">
        <f>_xlfn.TEXTJOIN("",TRUE,Input!$B$2,ROW(My_Audit!A182))</f>
        <v>X182</v>
      </c>
    </row>
    <row r="184" spans="1:1">
      <c r="A184" s="2" t="str">
        <f>_xlfn.TEXTJOIN("",TRUE,Input!$B$2,ROW(My_Audit!A183))</f>
        <v>X183</v>
      </c>
    </row>
    <row r="185" spans="1:1">
      <c r="A185" s="2" t="str">
        <f>_xlfn.TEXTJOIN("",TRUE,Input!$B$2,ROW(My_Audit!A184))</f>
        <v>X184</v>
      </c>
    </row>
    <row r="186" spans="1:1">
      <c r="A186" s="2" t="str">
        <f>_xlfn.TEXTJOIN("",TRUE,Input!$B$2,ROW(My_Audit!A185))</f>
        <v>X185</v>
      </c>
    </row>
    <row r="187" spans="1:1">
      <c r="A187" s="2" t="str">
        <f>_xlfn.TEXTJOIN("",TRUE,Input!$B$2,ROW(My_Audit!A186))</f>
        <v>X186</v>
      </c>
    </row>
    <row r="188" spans="1:1">
      <c r="A188" s="2" t="str">
        <f>_xlfn.TEXTJOIN("",TRUE,Input!$B$2,ROW(My_Audit!A187))</f>
        <v>X187</v>
      </c>
    </row>
    <row r="189" spans="1:1">
      <c r="A189" s="2" t="str">
        <f>_xlfn.TEXTJOIN("",TRUE,Input!$B$2,ROW(My_Audit!A188))</f>
        <v>X188</v>
      </c>
    </row>
    <row r="190" spans="1:1">
      <c r="A190" s="2" t="str">
        <f>_xlfn.TEXTJOIN("",TRUE,Input!$B$2,ROW(My_Audit!A189))</f>
        <v>X189</v>
      </c>
    </row>
    <row r="191" spans="1:1">
      <c r="A191" s="2" t="str">
        <f>_xlfn.TEXTJOIN("",TRUE,Input!$B$2,ROW(My_Audit!A190))</f>
        <v>X190</v>
      </c>
    </row>
    <row r="192" spans="1:1">
      <c r="A192" s="2" t="str">
        <f>_xlfn.TEXTJOIN("",TRUE,Input!$B$2,ROW(My_Audit!A191))</f>
        <v>X191</v>
      </c>
    </row>
    <row r="193" spans="1:1">
      <c r="A193" s="2" t="str">
        <f>_xlfn.TEXTJOIN("",TRUE,Input!$B$2,ROW(My_Audit!A192))</f>
        <v>X192</v>
      </c>
    </row>
    <row r="194" spans="1:1">
      <c r="A194" s="2" t="str">
        <f>_xlfn.TEXTJOIN("",TRUE,Input!$B$2,ROW(My_Audit!A193))</f>
        <v>X193</v>
      </c>
    </row>
    <row r="195" spans="1:1">
      <c r="A195" s="2" t="str">
        <f>_xlfn.TEXTJOIN("",TRUE,Input!$B$2,ROW(My_Audit!A194))</f>
        <v>X194</v>
      </c>
    </row>
    <row r="196" spans="1:1">
      <c r="A196" s="2" t="str">
        <f>_xlfn.TEXTJOIN("",TRUE,Input!$B$2,ROW(My_Audit!A195))</f>
        <v>X195</v>
      </c>
    </row>
    <row r="197" spans="1:1">
      <c r="A197" s="2" t="str">
        <f>_xlfn.TEXTJOIN("",TRUE,Input!$B$2,ROW(My_Audit!A196))</f>
        <v>X196</v>
      </c>
    </row>
    <row r="198" spans="1:1">
      <c r="A198" s="2" t="str">
        <f>_xlfn.TEXTJOIN("",TRUE,Input!$B$2,ROW(My_Audit!A197))</f>
        <v>X197</v>
      </c>
    </row>
    <row r="199" spans="1:1">
      <c r="A199" s="2" t="str">
        <f>_xlfn.TEXTJOIN("",TRUE,Input!$B$2,ROW(My_Audit!A198))</f>
        <v>X198</v>
      </c>
    </row>
    <row r="200" spans="1:1">
      <c r="A200" s="2" t="str">
        <f>_xlfn.TEXTJOIN("",TRUE,Input!$B$2,ROW(My_Audit!A199))</f>
        <v>X199</v>
      </c>
    </row>
    <row r="201" spans="1:1">
      <c r="A201" s="2" t="str">
        <f>_xlfn.TEXTJOIN("",TRUE,Input!$B$2,ROW(My_Audit!A200))</f>
        <v>X200</v>
      </c>
    </row>
    <row r="202" spans="1:1">
      <c r="A202" s="2" t="str">
        <f>_xlfn.TEXTJOIN("",TRUE,Input!$B$2,ROW(My_Audit!A201))</f>
        <v>X201</v>
      </c>
    </row>
    <row r="203" spans="1:1">
      <c r="A203" s="2" t="str">
        <f>_xlfn.TEXTJOIN("",TRUE,Input!$B$2,ROW(My_Audit!A202))</f>
        <v>X202</v>
      </c>
    </row>
    <row r="204" spans="1:1">
      <c r="A204" s="2" t="str">
        <f>_xlfn.TEXTJOIN("",TRUE,Input!$B$2,ROW(My_Audit!A203))</f>
        <v>X203</v>
      </c>
    </row>
    <row r="205" spans="1:1">
      <c r="A205" s="2" t="str">
        <f>_xlfn.TEXTJOIN("",TRUE,Input!$B$2,ROW(My_Audit!A204))</f>
        <v>X204</v>
      </c>
    </row>
    <row r="206" spans="1:1">
      <c r="A206" s="2" t="str">
        <f>_xlfn.TEXTJOIN("",TRUE,Input!$B$2,ROW(My_Audit!A205))</f>
        <v>X205</v>
      </c>
    </row>
    <row r="207" spans="1:1">
      <c r="A207" s="2" t="str">
        <f>_xlfn.TEXTJOIN("",TRUE,Input!$B$2,ROW(My_Audit!A206))</f>
        <v>X206</v>
      </c>
    </row>
    <row r="208" spans="1:1">
      <c r="A208" s="2" t="str">
        <f>_xlfn.TEXTJOIN("",TRUE,Input!$B$2,ROW(My_Audit!A207))</f>
        <v>X207</v>
      </c>
    </row>
    <row r="209" spans="1:1">
      <c r="A209" s="2" t="str">
        <f>_xlfn.TEXTJOIN("",TRUE,Input!$B$2,ROW(My_Audit!A208))</f>
        <v>X208</v>
      </c>
    </row>
    <row r="210" spans="1:1">
      <c r="A210" s="2" t="str">
        <f>_xlfn.TEXTJOIN("",TRUE,Input!$B$2,ROW(My_Audit!A209))</f>
        <v>X209</v>
      </c>
    </row>
    <row r="211" spans="1:1">
      <c r="A211" s="2" t="str">
        <f>_xlfn.TEXTJOIN("",TRUE,Input!$B$2,ROW(My_Audit!A210))</f>
        <v>X210</v>
      </c>
    </row>
    <row r="212" spans="1:1">
      <c r="A212" s="2" t="str">
        <f>_xlfn.TEXTJOIN("",TRUE,Input!$B$2,ROW(My_Audit!A211))</f>
        <v>X211</v>
      </c>
    </row>
    <row r="213" spans="1:1">
      <c r="A213" s="2" t="str">
        <f>_xlfn.TEXTJOIN("",TRUE,Input!$B$2,ROW(My_Audit!A212))</f>
        <v>X212</v>
      </c>
    </row>
    <row r="214" spans="1:1">
      <c r="A214" s="2" t="str">
        <f>_xlfn.TEXTJOIN("",TRUE,Input!$B$2,ROW(My_Audit!A213))</f>
        <v>X213</v>
      </c>
    </row>
    <row r="215" spans="1:1">
      <c r="A215" s="2" t="str">
        <f>_xlfn.TEXTJOIN("",TRUE,Input!$B$2,ROW(My_Audit!A214))</f>
        <v>X214</v>
      </c>
    </row>
    <row r="216" spans="1:1">
      <c r="A216" s="2" t="str">
        <f>_xlfn.TEXTJOIN("",TRUE,Input!$B$2,ROW(My_Audit!A215))</f>
        <v>X215</v>
      </c>
    </row>
    <row r="217" spans="1:1">
      <c r="A217" s="2" t="str">
        <f>_xlfn.TEXTJOIN("",TRUE,Input!$B$2,ROW(My_Audit!A216))</f>
        <v>X216</v>
      </c>
    </row>
    <row r="218" spans="1:1">
      <c r="A218" s="2" t="str">
        <f>_xlfn.TEXTJOIN("",TRUE,Input!$B$2,ROW(My_Audit!A217))</f>
        <v>X217</v>
      </c>
    </row>
    <row r="219" spans="1:1">
      <c r="A219" s="2" t="str">
        <f>_xlfn.TEXTJOIN("",TRUE,Input!$B$2,ROW(My_Audit!A218))</f>
        <v>X218</v>
      </c>
    </row>
    <row r="220" spans="1:1">
      <c r="A220" s="2" t="str">
        <f>_xlfn.TEXTJOIN("",TRUE,Input!$B$2,ROW(My_Audit!A219))</f>
        <v>X219</v>
      </c>
    </row>
    <row r="221" spans="1:1">
      <c r="A221" s="2" t="str">
        <f>_xlfn.TEXTJOIN("",TRUE,Input!$B$2,ROW(My_Audit!A220))</f>
        <v>X220</v>
      </c>
    </row>
    <row r="222" spans="1:1">
      <c r="A222" s="2" t="str">
        <f>_xlfn.TEXTJOIN("",TRUE,Input!$B$2,ROW(My_Audit!A221))</f>
        <v>X221</v>
      </c>
    </row>
    <row r="223" spans="1:1">
      <c r="A223" s="2" t="str">
        <f>_xlfn.TEXTJOIN("",TRUE,Input!$B$2,ROW(My_Audit!A222))</f>
        <v>X222</v>
      </c>
    </row>
    <row r="224" spans="1:1">
      <c r="A224" s="2" t="str">
        <f>_xlfn.TEXTJOIN("",TRUE,Input!$B$2,ROW(My_Audit!A223))</f>
        <v>X223</v>
      </c>
    </row>
    <row r="225" spans="1:1">
      <c r="A225" s="2" t="str">
        <f>_xlfn.TEXTJOIN("",TRUE,Input!$B$2,ROW(My_Audit!A224))</f>
        <v>X224</v>
      </c>
    </row>
    <row r="226" spans="1:1">
      <c r="A226" s="2" t="str">
        <f>_xlfn.TEXTJOIN("",TRUE,Input!$B$2,ROW(My_Audit!A225))</f>
        <v>X225</v>
      </c>
    </row>
    <row r="227" spans="1:1">
      <c r="A227" s="2" t="str">
        <f>_xlfn.TEXTJOIN("",TRUE,Input!$B$2,ROW(My_Audit!A226))</f>
        <v>X226</v>
      </c>
    </row>
    <row r="228" spans="1:1">
      <c r="A228" s="2" t="str">
        <f>_xlfn.TEXTJOIN("",TRUE,Input!$B$2,ROW(My_Audit!A227))</f>
        <v>X227</v>
      </c>
    </row>
    <row r="229" spans="1:1">
      <c r="A229" s="2" t="str">
        <f>_xlfn.TEXTJOIN("",TRUE,Input!$B$2,ROW(My_Audit!A228))</f>
        <v>X228</v>
      </c>
    </row>
    <row r="230" spans="1:1">
      <c r="A230" s="2" t="str">
        <f>_xlfn.TEXTJOIN("",TRUE,Input!$B$2,ROW(My_Audit!A229))</f>
        <v>X229</v>
      </c>
    </row>
    <row r="231" spans="1:1">
      <c r="A231" s="2" t="str">
        <f>_xlfn.TEXTJOIN("",TRUE,Input!$B$2,ROW(My_Audit!A230))</f>
        <v>X230</v>
      </c>
    </row>
    <row r="232" spans="1:1">
      <c r="A232" s="2" t="str">
        <f>_xlfn.TEXTJOIN("",TRUE,Input!$B$2,ROW(My_Audit!A231))</f>
        <v>X231</v>
      </c>
    </row>
    <row r="233" spans="1:1">
      <c r="A233" s="2" t="str">
        <f>_xlfn.TEXTJOIN("",TRUE,Input!$B$2,ROW(My_Audit!A232))</f>
        <v>X232</v>
      </c>
    </row>
    <row r="234" spans="1:1">
      <c r="A234" s="2" t="str">
        <f>_xlfn.TEXTJOIN("",TRUE,Input!$B$2,ROW(My_Audit!A233))</f>
        <v>X233</v>
      </c>
    </row>
    <row r="235" spans="1:1">
      <c r="A235" s="2" t="str">
        <f>_xlfn.TEXTJOIN("",TRUE,Input!$B$2,ROW(My_Audit!A234))</f>
        <v>X234</v>
      </c>
    </row>
    <row r="236" spans="1:1">
      <c r="A236" s="2" t="str">
        <f>_xlfn.TEXTJOIN("",TRUE,Input!$B$2,ROW(My_Audit!A235))</f>
        <v>X235</v>
      </c>
    </row>
    <row r="237" spans="1:1">
      <c r="A237" s="2" t="str">
        <f>_xlfn.TEXTJOIN("",TRUE,Input!$B$2,ROW(My_Audit!A236))</f>
        <v>X236</v>
      </c>
    </row>
    <row r="238" spans="1:1">
      <c r="A238" s="2" t="str">
        <f>_xlfn.TEXTJOIN("",TRUE,Input!$B$2,ROW(My_Audit!A237))</f>
        <v>X237</v>
      </c>
    </row>
    <row r="239" spans="1:1">
      <c r="A239" s="2" t="str">
        <f>_xlfn.TEXTJOIN("",TRUE,Input!$B$2,ROW(My_Audit!A238))</f>
        <v>X238</v>
      </c>
    </row>
    <row r="240" spans="1:1">
      <c r="A240" s="2" t="str">
        <f>_xlfn.TEXTJOIN("",TRUE,Input!$B$2,ROW(My_Audit!A239))</f>
        <v>X239</v>
      </c>
    </row>
    <row r="241" spans="1:1">
      <c r="A241" s="2" t="str">
        <f>_xlfn.TEXTJOIN("",TRUE,Input!$B$2,ROW(My_Audit!A240))</f>
        <v>X240</v>
      </c>
    </row>
    <row r="242" spans="1:1">
      <c r="A242" s="2" t="str">
        <f>_xlfn.TEXTJOIN("",TRUE,Input!$B$2,ROW(My_Audit!A241))</f>
        <v>X241</v>
      </c>
    </row>
    <row r="243" spans="1:1">
      <c r="A243" s="2" t="str">
        <f>_xlfn.TEXTJOIN("",TRUE,Input!$B$2,ROW(My_Audit!A242))</f>
        <v>X242</v>
      </c>
    </row>
    <row r="244" spans="1:1">
      <c r="A244" s="2" t="str">
        <f>_xlfn.TEXTJOIN("",TRUE,Input!$B$2,ROW(My_Audit!A243))</f>
        <v>X243</v>
      </c>
    </row>
    <row r="245" spans="1:1">
      <c r="A245" s="2" t="str">
        <f>_xlfn.TEXTJOIN("",TRUE,Input!$B$2,ROW(My_Audit!A244))</f>
        <v>X244</v>
      </c>
    </row>
    <row r="246" spans="1:1">
      <c r="A246" s="2" t="str">
        <f>_xlfn.TEXTJOIN("",TRUE,Input!$B$2,ROW(My_Audit!A245))</f>
        <v>X245</v>
      </c>
    </row>
    <row r="247" spans="1:1">
      <c r="A247" s="2" t="str">
        <f>_xlfn.TEXTJOIN("",TRUE,Input!$B$2,ROW(My_Audit!A246))</f>
        <v>X246</v>
      </c>
    </row>
    <row r="248" spans="1:1">
      <c r="A248" s="2" t="str">
        <f>_xlfn.TEXTJOIN("",TRUE,Input!$B$2,ROW(My_Audit!A247))</f>
        <v>X247</v>
      </c>
    </row>
    <row r="249" spans="1:1">
      <c r="A249" s="2" t="str">
        <f>_xlfn.TEXTJOIN("",TRUE,Input!$B$2,ROW(My_Audit!A248))</f>
        <v>X248</v>
      </c>
    </row>
    <row r="250" spans="1:1">
      <c r="A250" s="2" t="str">
        <f>_xlfn.TEXTJOIN("",TRUE,Input!$B$2,ROW(My_Audit!A249))</f>
        <v>X249</v>
      </c>
    </row>
    <row r="251" spans="1:1">
      <c r="A251" s="2" t="str">
        <f>_xlfn.TEXTJOIN("",TRUE,Input!$B$2,ROW(My_Audit!A250))</f>
        <v>X250</v>
      </c>
    </row>
    <row r="252" spans="1:1">
      <c r="A252" s="2" t="str">
        <f>_xlfn.TEXTJOIN("",TRUE,Input!$B$2,ROW(My_Audit!A251))</f>
        <v>X251</v>
      </c>
    </row>
    <row r="253" spans="1:1">
      <c r="A253" s="2" t="str">
        <f>_xlfn.TEXTJOIN("",TRUE,Input!$B$2,ROW(My_Audit!A252))</f>
        <v>X252</v>
      </c>
    </row>
    <row r="254" spans="1:1">
      <c r="A254" s="2" t="str">
        <f>_xlfn.TEXTJOIN("",TRUE,Input!$B$2,ROW(My_Audit!A253))</f>
        <v>X253</v>
      </c>
    </row>
    <row r="255" spans="1:1">
      <c r="A255" s="2" t="str">
        <f>_xlfn.TEXTJOIN("",TRUE,Input!$B$2,ROW(My_Audit!A254))</f>
        <v>X254</v>
      </c>
    </row>
    <row r="256" spans="1:1">
      <c r="A256" s="2" t="str">
        <f>_xlfn.TEXTJOIN("",TRUE,Input!$B$2,ROW(My_Audit!A255))</f>
        <v>X255</v>
      </c>
    </row>
    <row r="257" spans="1:1">
      <c r="A257" s="2" t="str">
        <f>_xlfn.TEXTJOIN("",TRUE,Input!$B$2,ROW(My_Audit!A256))</f>
        <v>X256</v>
      </c>
    </row>
    <row r="258" spans="1:1">
      <c r="A258" s="2" t="str">
        <f>_xlfn.TEXTJOIN("",TRUE,Input!$B$2,ROW(My_Audit!A257))</f>
        <v>X257</v>
      </c>
    </row>
    <row r="259" spans="1:1">
      <c r="A259" s="2" t="str">
        <f>_xlfn.TEXTJOIN("",TRUE,Input!$B$2,ROW(My_Audit!A258))</f>
        <v>X258</v>
      </c>
    </row>
    <row r="260" spans="1:1">
      <c r="A260" s="2" t="str">
        <f>_xlfn.TEXTJOIN("",TRUE,Input!$B$2,ROW(My_Audit!A259))</f>
        <v>X259</v>
      </c>
    </row>
    <row r="261" spans="1:1">
      <c r="A261" s="2" t="str">
        <f>_xlfn.TEXTJOIN("",TRUE,Input!$B$2,ROW(My_Audit!A260))</f>
        <v>X260</v>
      </c>
    </row>
    <row r="262" spans="1:1">
      <c r="A262" s="2" t="str">
        <f>_xlfn.TEXTJOIN("",TRUE,Input!$B$2,ROW(My_Audit!A261))</f>
        <v>X261</v>
      </c>
    </row>
    <row r="263" spans="1:1">
      <c r="A263" s="2" t="str">
        <f>_xlfn.TEXTJOIN("",TRUE,Input!$B$2,ROW(My_Audit!A262))</f>
        <v>X262</v>
      </c>
    </row>
    <row r="264" spans="1:1">
      <c r="A264" s="2" t="str">
        <f>_xlfn.TEXTJOIN("",TRUE,Input!$B$2,ROW(My_Audit!A263))</f>
        <v>X263</v>
      </c>
    </row>
    <row r="265" spans="1:1">
      <c r="A265" s="2" t="str">
        <f>_xlfn.TEXTJOIN("",TRUE,Input!$B$2,ROW(My_Audit!A264))</f>
        <v>X264</v>
      </c>
    </row>
    <row r="266" spans="1:1">
      <c r="A266" s="2" t="str">
        <f>_xlfn.TEXTJOIN("",TRUE,Input!$B$2,ROW(My_Audit!A265))</f>
        <v>X265</v>
      </c>
    </row>
    <row r="267" spans="1:1">
      <c r="A267" s="2" t="str">
        <f>_xlfn.TEXTJOIN("",TRUE,Input!$B$2,ROW(My_Audit!A266))</f>
        <v>X266</v>
      </c>
    </row>
    <row r="268" spans="1:1">
      <c r="A268" s="2" t="str">
        <f>_xlfn.TEXTJOIN("",TRUE,Input!$B$2,ROW(My_Audit!A267))</f>
        <v>X267</v>
      </c>
    </row>
    <row r="269" spans="1:1">
      <c r="A269" s="2" t="str">
        <f>_xlfn.TEXTJOIN("",TRUE,Input!$B$2,ROW(My_Audit!A268))</f>
        <v>X268</v>
      </c>
    </row>
    <row r="270" spans="1:1">
      <c r="A270" s="2" t="str">
        <f>_xlfn.TEXTJOIN("",TRUE,Input!$B$2,ROW(My_Audit!A269))</f>
        <v>X269</v>
      </c>
    </row>
    <row r="271" spans="1:1">
      <c r="A271" s="2" t="str">
        <f>_xlfn.TEXTJOIN("",TRUE,Input!$B$2,ROW(My_Audit!A270))</f>
        <v>X270</v>
      </c>
    </row>
    <row r="272" spans="1:1">
      <c r="A272" s="2" t="str">
        <f>_xlfn.TEXTJOIN("",TRUE,Input!$B$2,ROW(My_Audit!A271))</f>
        <v>X271</v>
      </c>
    </row>
    <row r="273" spans="1:1">
      <c r="A273" s="2" t="str">
        <f>_xlfn.TEXTJOIN("",TRUE,Input!$B$2,ROW(My_Audit!A272))</f>
        <v>X272</v>
      </c>
    </row>
    <row r="274" spans="1:1">
      <c r="A274" s="2" t="str">
        <f>_xlfn.TEXTJOIN("",TRUE,Input!$B$2,ROW(My_Audit!A273))</f>
        <v>X273</v>
      </c>
    </row>
    <row r="275" spans="1:1">
      <c r="A275" s="2" t="str">
        <f>_xlfn.TEXTJOIN("",TRUE,Input!$B$2,ROW(My_Audit!A274))</f>
        <v>X274</v>
      </c>
    </row>
    <row r="276" spans="1:1">
      <c r="A276" s="2" t="str">
        <f>_xlfn.TEXTJOIN("",TRUE,Input!$B$2,ROW(My_Audit!A275))</f>
        <v>X275</v>
      </c>
    </row>
    <row r="277" spans="1:1">
      <c r="A277" s="2" t="str">
        <f>_xlfn.TEXTJOIN("",TRUE,Input!$B$2,ROW(My_Audit!A276))</f>
        <v>X276</v>
      </c>
    </row>
    <row r="278" spans="1:1">
      <c r="A278" s="2" t="str">
        <f>_xlfn.TEXTJOIN("",TRUE,Input!$B$2,ROW(My_Audit!A277))</f>
        <v>X277</v>
      </c>
    </row>
    <row r="279" spans="1:1">
      <c r="A279" s="2" t="str">
        <f>_xlfn.TEXTJOIN("",TRUE,Input!$B$2,ROW(My_Audit!A278))</f>
        <v>X278</v>
      </c>
    </row>
    <row r="280" spans="1:1">
      <c r="A280" s="2" t="str">
        <f>_xlfn.TEXTJOIN("",TRUE,Input!$B$2,ROW(My_Audit!A279))</f>
        <v>X279</v>
      </c>
    </row>
    <row r="281" spans="1:1">
      <c r="A281" s="2" t="str">
        <f>_xlfn.TEXTJOIN("",TRUE,Input!$B$2,ROW(My_Audit!A280))</f>
        <v>X280</v>
      </c>
    </row>
    <row r="282" spans="1:1">
      <c r="A282" s="2" t="str">
        <f>_xlfn.TEXTJOIN("",TRUE,Input!$B$2,ROW(My_Audit!A281))</f>
        <v>X281</v>
      </c>
    </row>
    <row r="283" spans="1:1">
      <c r="A283" s="2" t="str">
        <f>_xlfn.TEXTJOIN("",TRUE,Input!$B$2,ROW(My_Audit!A282))</f>
        <v>X282</v>
      </c>
    </row>
    <row r="284" spans="1:1">
      <c r="A284" s="2" t="str">
        <f>_xlfn.TEXTJOIN("",TRUE,Input!$B$2,ROW(My_Audit!A283))</f>
        <v>X283</v>
      </c>
    </row>
    <row r="285" spans="1:1">
      <c r="A285" s="2" t="str">
        <f>_xlfn.TEXTJOIN("",TRUE,Input!$B$2,ROW(My_Audit!A284))</f>
        <v>X284</v>
      </c>
    </row>
    <row r="286" spans="1:1">
      <c r="A286" s="2" t="str">
        <f>_xlfn.TEXTJOIN("",TRUE,Input!$B$2,ROW(My_Audit!A285))</f>
        <v>X285</v>
      </c>
    </row>
    <row r="287" spans="1:1">
      <c r="A287" s="2" t="str">
        <f>_xlfn.TEXTJOIN("",TRUE,Input!$B$2,ROW(My_Audit!A286))</f>
        <v>X286</v>
      </c>
    </row>
    <row r="288" spans="1:1">
      <c r="A288" s="2" t="str">
        <f>_xlfn.TEXTJOIN("",TRUE,Input!$B$2,ROW(My_Audit!A287))</f>
        <v>X287</v>
      </c>
    </row>
    <row r="289" spans="1:1">
      <c r="A289" s="2" t="str">
        <f>_xlfn.TEXTJOIN("",TRUE,Input!$B$2,ROW(My_Audit!A288))</f>
        <v>X288</v>
      </c>
    </row>
    <row r="290" spans="1:1">
      <c r="A290" s="2" t="str">
        <f>_xlfn.TEXTJOIN("",TRUE,Input!$B$2,ROW(My_Audit!A289))</f>
        <v>X289</v>
      </c>
    </row>
    <row r="291" spans="1:1">
      <c r="A291" s="2" t="str">
        <f>_xlfn.TEXTJOIN("",TRUE,Input!$B$2,ROW(My_Audit!A290))</f>
        <v>X290</v>
      </c>
    </row>
    <row r="292" spans="1:1">
      <c r="A292" s="2" t="str">
        <f>_xlfn.TEXTJOIN("",TRUE,Input!$B$2,ROW(My_Audit!A291))</f>
        <v>X291</v>
      </c>
    </row>
    <row r="293" spans="1:1">
      <c r="A293" s="2" t="str">
        <f>_xlfn.TEXTJOIN("",TRUE,Input!$B$2,ROW(My_Audit!A292))</f>
        <v>X292</v>
      </c>
    </row>
    <row r="294" spans="1:1">
      <c r="A294" s="2" t="str">
        <f>_xlfn.TEXTJOIN("",TRUE,Input!$B$2,ROW(My_Audit!A293))</f>
        <v>X293</v>
      </c>
    </row>
    <row r="295" spans="1:1">
      <c r="A295" s="2" t="str">
        <f>_xlfn.TEXTJOIN("",TRUE,Input!$B$2,ROW(My_Audit!A294))</f>
        <v>X294</v>
      </c>
    </row>
    <row r="296" spans="1:1">
      <c r="A296" s="2" t="str">
        <f>_xlfn.TEXTJOIN("",TRUE,Input!$B$2,ROW(My_Audit!A295))</f>
        <v>X295</v>
      </c>
    </row>
    <row r="297" spans="1:1">
      <c r="A297" s="2" t="str">
        <f>_xlfn.TEXTJOIN("",TRUE,Input!$B$2,ROW(My_Audit!A296))</f>
        <v>X296</v>
      </c>
    </row>
    <row r="298" spans="1:1">
      <c r="A298" s="2" t="str">
        <f>_xlfn.TEXTJOIN("",TRUE,Input!$B$2,ROW(My_Audit!A297))</f>
        <v>X297</v>
      </c>
    </row>
    <row r="299" spans="1:1">
      <c r="A299" s="2" t="str">
        <f>_xlfn.TEXTJOIN("",TRUE,Input!$B$2,ROW(My_Audit!A298))</f>
        <v>X298</v>
      </c>
    </row>
    <row r="300" spans="1:1">
      <c r="A300" s="2" t="str">
        <f>_xlfn.TEXTJOIN("",TRUE,Input!$B$2,ROW(My_Audit!A299))</f>
        <v>X299</v>
      </c>
    </row>
    <row r="301" spans="1:1">
      <c r="A301" s="2" t="str">
        <f>_xlfn.TEXTJOIN("",TRUE,Input!$B$2,ROW(My_Audit!A300))</f>
        <v>X300</v>
      </c>
    </row>
    <row r="302" spans="1:1">
      <c r="A302" s="2" t="str">
        <f>_xlfn.TEXTJOIN("",TRUE,Input!$B$2,ROW(My_Audit!A301))</f>
        <v>X301</v>
      </c>
    </row>
    <row r="303" spans="1:1">
      <c r="A303" s="2" t="str">
        <f>_xlfn.TEXTJOIN("",TRUE,Input!$B$2,ROW(My_Audit!A302))</f>
        <v>X302</v>
      </c>
    </row>
    <row r="304" spans="1:1">
      <c r="A304" s="2" t="str">
        <f>_xlfn.TEXTJOIN("",TRUE,Input!$B$2,ROW(My_Audit!A303))</f>
        <v>X303</v>
      </c>
    </row>
    <row r="305" spans="1:1">
      <c r="A305" s="2" t="str">
        <f>_xlfn.TEXTJOIN("",TRUE,Input!$B$2,ROW(My_Audit!A304))</f>
        <v>X304</v>
      </c>
    </row>
    <row r="306" spans="1:1">
      <c r="A306" s="2" t="str">
        <f>_xlfn.TEXTJOIN("",TRUE,Input!$B$2,ROW(My_Audit!A305))</f>
        <v>X305</v>
      </c>
    </row>
    <row r="307" spans="1:1">
      <c r="A307" s="2" t="str">
        <f>_xlfn.TEXTJOIN("",TRUE,Input!$B$2,ROW(My_Audit!A306))</f>
        <v>X306</v>
      </c>
    </row>
    <row r="308" spans="1:1">
      <c r="A308" s="2" t="str">
        <f>_xlfn.TEXTJOIN("",TRUE,Input!$B$2,ROW(My_Audit!A307))</f>
        <v>X307</v>
      </c>
    </row>
    <row r="309" spans="1:1">
      <c r="A309" s="2" t="str">
        <f>_xlfn.TEXTJOIN("",TRUE,Input!$B$2,ROW(My_Audit!A308))</f>
        <v>X308</v>
      </c>
    </row>
    <row r="310" spans="1:1">
      <c r="A310" s="2" t="str">
        <f>_xlfn.TEXTJOIN("",TRUE,Input!$B$2,ROW(My_Audit!A309))</f>
        <v>X309</v>
      </c>
    </row>
    <row r="311" spans="1:1">
      <c r="A311" s="2" t="str">
        <f>_xlfn.TEXTJOIN("",TRUE,Input!$B$2,ROW(My_Audit!A310))</f>
        <v>X310</v>
      </c>
    </row>
    <row r="312" spans="1:1">
      <c r="A312" s="2" t="str">
        <f>_xlfn.TEXTJOIN("",TRUE,Input!$B$2,ROW(My_Audit!A311))</f>
        <v>X311</v>
      </c>
    </row>
    <row r="313" spans="1:1">
      <c r="A313" s="2" t="str">
        <f>_xlfn.TEXTJOIN("",TRUE,Input!$B$2,ROW(My_Audit!A312))</f>
        <v>X312</v>
      </c>
    </row>
    <row r="314" spans="1:1">
      <c r="A314" s="2" t="str">
        <f>_xlfn.TEXTJOIN("",TRUE,Input!$B$2,ROW(My_Audit!A313))</f>
        <v>X313</v>
      </c>
    </row>
    <row r="315" spans="1:1">
      <c r="A315" s="2" t="str">
        <f>_xlfn.TEXTJOIN("",TRUE,Input!$B$2,ROW(My_Audit!A314))</f>
        <v>X314</v>
      </c>
    </row>
    <row r="316" spans="1:1">
      <c r="A316" s="2" t="str">
        <f>_xlfn.TEXTJOIN("",TRUE,Input!$B$2,ROW(My_Audit!A315))</f>
        <v>X315</v>
      </c>
    </row>
    <row r="317" spans="1:1">
      <c r="A317" s="2" t="str">
        <f>_xlfn.TEXTJOIN("",TRUE,Input!$B$2,ROW(My_Audit!A316))</f>
        <v>X316</v>
      </c>
    </row>
    <row r="318" spans="1:1">
      <c r="A318" s="2" t="str">
        <f>_xlfn.TEXTJOIN("",TRUE,Input!$B$2,ROW(My_Audit!A317))</f>
        <v>X317</v>
      </c>
    </row>
    <row r="319" spans="1:1">
      <c r="A319" s="2" t="str">
        <f>_xlfn.TEXTJOIN("",TRUE,Input!$B$2,ROW(My_Audit!A318))</f>
        <v>X318</v>
      </c>
    </row>
    <row r="320" spans="1:1">
      <c r="A320" s="2" t="str">
        <f>_xlfn.TEXTJOIN("",TRUE,Input!$B$2,ROW(My_Audit!A319))</f>
        <v>X319</v>
      </c>
    </row>
    <row r="321" spans="1:1">
      <c r="A321" s="2" t="str">
        <f>_xlfn.TEXTJOIN("",TRUE,Input!$B$2,ROW(My_Audit!A320))</f>
        <v>X320</v>
      </c>
    </row>
    <row r="322" spans="1:1">
      <c r="A322" s="2" t="str">
        <f>_xlfn.TEXTJOIN("",TRUE,Input!$B$2,ROW(My_Audit!A321))</f>
        <v>X321</v>
      </c>
    </row>
    <row r="323" spans="1:1">
      <c r="A323" s="2" t="str">
        <f>_xlfn.TEXTJOIN("",TRUE,Input!$B$2,ROW(My_Audit!A322))</f>
        <v>X322</v>
      </c>
    </row>
    <row r="324" spans="1:1">
      <c r="A324" s="2" t="str">
        <f>_xlfn.TEXTJOIN("",TRUE,Input!$B$2,ROW(My_Audit!A323))</f>
        <v>X323</v>
      </c>
    </row>
    <row r="325" spans="1:1">
      <c r="A325" s="2" t="str">
        <f>_xlfn.TEXTJOIN("",TRUE,Input!$B$2,ROW(My_Audit!A324))</f>
        <v>X324</v>
      </c>
    </row>
    <row r="326" spans="1:1">
      <c r="A326" s="2" t="str">
        <f>_xlfn.TEXTJOIN("",TRUE,Input!$B$2,ROW(My_Audit!A325))</f>
        <v>X325</v>
      </c>
    </row>
    <row r="327" spans="1:1">
      <c r="A327" s="2" t="str">
        <f>_xlfn.TEXTJOIN("",TRUE,Input!$B$2,ROW(My_Audit!A326))</f>
        <v>X326</v>
      </c>
    </row>
    <row r="328" spans="1:1">
      <c r="A328" s="2" t="str">
        <f>_xlfn.TEXTJOIN("",TRUE,Input!$B$2,ROW(My_Audit!A327))</f>
        <v>X327</v>
      </c>
    </row>
    <row r="329" spans="1:1">
      <c r="A329" s="2" t="str">
        <f>_xlfn.TEXTJOIN("",TRUE,Input!$B$2,ROW(My_Audit!A328))</f>
        <v>X328</v>
      </c>
    </row>
    <row r="330" spans="1:1">
      <c r="A330" s="2" t="str">
        <f>_xlfn.TEXTJOIN("",TRUE,Input!$B$2,ROW(My_Audit!A329))</f>
        <v>X329</v>
      </c>
    </row>
    <row r="331" spans="1:1">
      <c r="A331" s="2" t="str">
        <f>_xlfn.TEXTJOIN("",TRUE,Input!$B$2,ROW(My_Audit!A330))</f>
        <v>X330</v>
      </c>
    </row>
    <row r="332" spans="1:1">
      <c r="A332" s="2" t="str">
        <f>_xlfn.TEXTJOIN("",TRUE,Input!$B$2,ROW(My_Audit!A331))</f>
        <v>X331</v>
      </c>
    </row>
    <row r="333" spans="1:1">
      <c r="A333" s="2" t="str">
        <f>_xlfn.TEXTJOIN("",TRUE,Input!$B$2,ROW(My_Audit!A332))</f>
        <v>X332</v>
      </c>
    </row>
    <row r="334" spans="1:1">
      <c r="A334" s="2" t="str">
        <f>_xlfn.TEXTJOIN("",TRUE,Input!$B$2,ROW(My_Audit!A333))</f>
        <v>X333</v>
      </c>
    </row>
    <row r="335" spans="1:1">
      <c r="A335" s="2" t="str">
        <f>_xlfn.TEXTJOIN("",TRUE,Input!$B$2,ROW(My_Audit!A334))</f>
        <v>X334</v>
      </c>
    </row>
    <row r="336" spans="1:1">
      <c r="A336" s="2" t="str">
        <f>_xlfn.TEXTJOIN("",TRUE,Input!$B$2,ROW(My_Audit!A335))</f>
        <v>X335</v>
      </c>
    </row>
    <row r="337" spans="1:1">
      <c r="A337" s="2" t="str">
        <f>_xlfn.TEXTJOIN("",TRUE,Input!$B$2,ROW(My_Audit!A336))</f>
        <v>X336</v>
      </c>
    </row>
    <row r="338" spans="1:1">
      <c r="A338" s="2" t="str">
        <f>_xlfn.TEXTJOIN("",TRUE,Input!$B$2,ROW(My_Audit!A337))</f>
        <v>X337</v>
      </c>
    </row>
    <row r="339" spans="1:1">
      <c r="A339" s="2" t="str">
        <f>_xlfn.TEXTJOIN("",TRUE,Input!$B$2,ROW(My_Audit!A338))</f>
        <v>X338</v>
      </c>
    </row>
    <row r="340" spans="1:1">
      <c r="A340" s="2" t="str">
        <f>_xlfn.TEXTJOIN("",TRUE,Input!$B$2,ROW(My_Audit!A339))</f>
        <v>X339</v>
      </c>
    </row>
    <row r="341" spans="1:1">
      <c r="A341" s="2" t="str">
        <f>_xlfn.TEXTJOIN("",TRUE,Input!$B$2,ROW(My_Audit!A340))</f>
        <v>X340</v>
      </c>
    </row>
    <row r="342" spans="1:1">
      <c r="A342" s="2" t="str">
        <f>_xlfn.TEXTJOIN("",TRUE,Input!$B$2,ROW(My_Audit!A341))</f>
        <v>X341</v>
      </c>
    </row>
    <row r="343" spans="1:1">
      <c r="A343" s="2" t="str">
        <f>_xlfn.TEXTJOIN("",TRUE,Input!$B$2,ROW(My_Audit!A342))</f>
        <v>X342</v>
      </c>
    </row>
    <row r="344" spans="1:1">
      <c r="A344" s="2" t="str">
        <f>_xlfn.TEXTJOIN("",TRUE,Input!$B$2,ROW(My_Audit!A343))</f>
        <v>X343</v>
      </c>
    </row>
    <row r="345" spans="1:1">
      <c r="A345" s="2" t="str">
        <f>_xlfn.TEXTJOIN("",TRUE,Input!$B$2,ROW(My_Audit!A344))</f>
        <v>X344</v>
      </c>
    </row>
    <row r="346" spans="1:1">
      <c r="A346" s="2" t="str">
        <f>_xlfn.TEXTJOIN("",TRUE,Input!$B$2,ROW(My_Audit!A345))</f>
        <v>X345</v>
      </c>
    </row>
    <row r="347" spans="1:1">
      <c r="A347" s="2" t="str">
        <f>_xlfn.TEXTJOIN("",TRUE,Input!$B$2,ROW(My_Audit!A346))</f>
        <v>X346</v>
      </c>
    </row>
    <row r="348" spans="1:1">
      <c r="A348" s="2" t="str">
        <f>_xlfn.TEXTJOIN("",TRUE,Input!$B$2,ROW(My_Audit!A347))</f>
        <v>X347</v>
      </c>
    </row>
    <row r="349" spans="1:1">
      <c r="A349" s="2" t="str">
        <f>_xlfn.TEXTJOIN("",TRUE,Input!$B$2,ROW(My_Audit!A348))</f>
        <v>X348</v>
      </c>
    </row>
    <row r="350" spans="1:1">
      <c r="A350" s="2" t="str">
        <f>_xlfn.TEXTJOIN("",TRUE,Input!$B$2,ROW(My_Audit!A349))</f>
        <v>X349</v>
      </c>
    </row>
    <row r="351" spans="1:1">
      <c r="A351" s="2" t="str">
        <f>_xlfn.TEXTJOIN("",TRUE,Input!$B$2,ROW(My_Audit!A350))</f>
        <v>X350</v>
      </c>
    </row>
    <row r="352" spans="1:1">
      <c r="A352" s="2" t="str">
        <f>_xlfn.TEXTJOIN("",TRUE,Input!$B$2,ROW(My_Audit!A351))</f>
        <v>X351</v>
      </c>
    </row>
    <row r="353" spans="1:1">
      <c r="A353" s="2" t="str">
        <f>_xlfn.TEXTJOIN("",TRUE,Input!$B$2,ROW(My_Audit!A352))</f>
        <v>X352</v>
      </c>
    </row>
    <row r="354" spans="1:1">
      <c r="A354" s="2" t="str">
        <f>_xlfn.TEXTJOIN("",TRUE,Input!$B$2,ROW(My_Audit!A353))</f>
        <v>X353</v>
      </c>
    </row>
    <row r="355" spans="1:1">
      <c r="A355" s="2" t="str">
        <f>_xlfn.TEXTJOIN("",TRUE,Input!$B$2,ROW(My_Audit!A354))</f>
        <v>X354</v>
      </c>
    </row>
    <row r="356" spans="1:1">
      <c r="A356" s="2" t="str">
        <f>_xlfn.TEXTJOIN("",TRUE,Input!$B$2,ROW(My_Audit!A355))</f>
        <v>X355</v>
      </c>
    </row>
    <row r="357" spans="1:1">
      <c r="A357" s="2" t="str">
        <f>_xlfn.TEXTJOIN("",TRUE,Input!$B$2,ROW(My_Audit!A356))</f>
        <v>X356</v>
      </c>
    </row>
    <row r="358" spans="1:1">
      <c r="A358" s="2" t="str">
        <f>_xlfn.TEXTJOIN("",TRUE,Input!$B$2,ROW(My_Audit!A357))</f>
        <v>X357</v>
      </c>
    </row>
    <row r="359" spans="1:1">
      <c r="A359" s="2" t="str">
        <f>_xlfn.TEXTJOIN("",TRUE,Input!$B$2,ROW(My_Audit!A358))</f>
        <v>X358</v>
      </c>
    </row>
    <row r="360" spans="1:1">
      <c r="A360" s="2" t="str">
        <f>_xlfn.TEXTJOIN("",TRUE,Input!$B$2,ROW(My_Audit!A359))</f>
        <v>X359</v>
      </c>
    </row>
    <row r="361" spans="1:1">
      <c r="A361" s="2" t="str">
        <f>_xlfn.TEXTJOIN("",TRUE,Input!$B$2,ROW(My_Audit!A360))</f>
        <v>X360</v>
      </c>
    </row>
    <row r="362" spans="1:1">
      <c r="A362" s="2" t="str">
        <f>_xlfn.TEXTJOIN("",TRUE,Input!$B$2,ROW(My_Audit!A361))</f>
        <v>X361</v>
      </c>
    </row>
    <row r="363" spans="1:1">
      <c r="A363" s="2" t="str">
        <f>_xlfn.TEXTJOIN("",TRUE,Input!$B$2,ROW(My_Audit!A362))</f>
        <v>X362</v>
      </c>
    </row>
    <row r="364" spans="1:1">
      <c r="A364" s="2" t="str">
        <f>_xlfn.TEXTJOIN("",TRUE,Input!$B$2,ROW(My_Audit!A363))</f>
        <v>X363</v>
      </c>
    </row>
    <row r="365" spans="1:1">
      <c r="A365" s="2" t="str">
        <f>_xlfn.TEXTJOIN("",TRUE,Input!$B$2,ROW(My_Audit!A364))</f>
        <v>X364</v>
      </c>
    </row>
    <row r="366" spans="1:1">
      <c r="A366" s="2" t="str">
        <f>_xlfn.TEXTJOIN("",TRUE,Input!$B$2,ROW(My_Audit!A365))</f>
        <v>X365</v>
      </c>
    </row>
    <row r="367" spans="1:1">
      <c r="A367" s="2" t="str">
        <f>_xlfn.TEXTJOIN("",TRUE,Input!$B$2,ROW(My_Audit!A366))</f>
        <v>X366</v>
      </c>
    </row>
    <row r="368" spans="1:1">
      <c r="A368" s="2" t="str">
        <f>_xlfn.TEXTJOIN("",TRUE,Input!$B$2,ROW(My_Audit!A367))</f>
        <v>X367</v>
      </c>
    </row>
    <row r="369" spans="1:1">
      <c r="A369" s="2" t="str">
        <f>_xlfn.TEXTJOIN("",TRUE,Input!$B$2,ROW(My_Audit!A368))</f>
        <v>X368</v>
      </c>
    </row>
    <row r="370" spans="1:1">
      <c r="A370" s="2" t="str">
        <f>_xlfn.TEXTJOIN("",TRUE,Input!$B$2,ROW(My_Audit!A369))</f>
        <v>X369</v>
      </c>
    </row>
    <row r="371" spans="1:1">
      <c r="A371" s="2" t="str">
        <f>_xlfn.TEXTJOIN("",TRUE,Input!$B$2,ROW(My_Audit!A370))</f>
        <v>X370</v>
      </c>
    </row>
    <row r="372" spans="1:1">
      <c r="A372" s="2" t="str">
        <f>_xlfn.TEXTJOIN("",TRUE,Input!$B$2,ROW(My_Audit!A371))</f>
        <v>X371</v>
      </c>
    </row>
    <row r="373" spans="1:1">
      <c r="A373" s="2" t="str">
        <f>_xlfn.TEXTJOIN("",TRUE,Input!$B$2,ROW(My_Audit!A372))</f>
        <v>X372</v>
      </c>
    </row>
    <row r="374" spans="1:1">
      <c r="A374" s="2" t="str">
        <f>_xlfn.TEXTJOIN("",TRUE,Input!$B$2,ROW(My_Audit!A373))</f>
        <v>X373</v>
      </c>
    </row>
    <row r="375" spans="1:1">
      <c r="A375" s="2" t="str">
        <f>_xlfn.TEXTJOIN("",TRUE,Input!$B$2,ROW(My_Audit!A374))</f>
        <v>X374</v>
      </c>
    </row>
    <row r="376" spans="1:1">
      <c r="A376" s="2" t="str">
        <f>_xlfn.TEXTJOIN("",TRUE,Input!$B$2,ROW(My_Audit!A375))</f>
        <v>X375</v>
      </c>
    </row>
    <row r="377" spans="1:1">
      <c r="A377" s="2" t="str">
        <f>_xlfn.TEXTJOIN("",TRUE,Input!$B$2,ROW(My_Audit!A376))</f>
        <v>X376</v>
      </c>
    </row>
    <row r="378" spans="1:1">
      <c r="A378" s="2" t="str">
        <f>_xlfn.TEXTJOIN("",TRUE,Input!$B$2,ROW(My_Audit!A377))</f>
        <v>X377</v>
      </c>
    </row>
    <row r="379" spans="1:1">
      <c r="A379" s="2" t="str">
        <f>_xlfn.TEXTJOIN("",TRUE,Input!$B$2,ROW(My_Audit!A378))</f>
        <v>X378</v>
      </c>
    </row>
    <row r="380" spans="1:1">
      <c r="A380" s="2" t="str">
        <f>_xlfn.TEXTJOIN("",TRUE,Input!$B$2,ROW(My_Audit!A379))</f>
        <v>X379</v>
      </c>
    </row>
    <row r="381" spans="1:1">
      <c r="A381" s="2" t="str">
        <f>_xlfn.TEXTJOIN("",TRUE,Input!$B$2,ROW(My_Audit!A380))</f>
        <v>X380</v>
      </c>
    </row>
    <row r="382" spans="1:1">
      <c r="A382" s="2" t="str">
        <f>_xlfn.TEXTJOIN("",TRUE,Input!$B$2,ROW(My_Audit!A381))</f>
        <v>X381</v>
      </c>
    </row>
    <row r="383" spans="1:1">
      <c r="A383" s="2" t="str">
        <f>_xlfn.TEXTJOIN("",TRUE,Input!$B$2,ROW(My_Audit!A382))</f>
        <v>X382</v>
      </c>
    </row>
    <row r="384" spans="1:1">
      <c r="A384" s="2" t="str">
        <f>_xlfn.TEXTJOIN("",TRUE,Input!$B$2,ROW(My_Audit!A383))</f>
        <v>X383</v>
      </c>
    </row>
    <row r="385" spans="1:1">
      <c r="A385" s="2" t="str">
        <f>_xlfn.TEXTJOIN("",TRUE,Input!$B$2,ROW(My_Audit!A384))</f>
        <v>X384</v>
      </c>
    </row>
    <row r="386" spans="1:1">
      <c r="A386" s="2" t="str">
        <f>_xlfn.TEXTJOIN("",TRUE,Input!$B$2,ROW(My_Audit!A385))</f>
        <v>X385</v>
      </c>
    </row>
    <row r="387" spans="1:1">
      <c r="A387" s="2" t="str">
        <f>_xlfn.TEXTJOIN("",TRUE,Input!$B$2,ROW(My_Audit!A386))</f>
        <v>X386</v>
      </c>
    </row>
    <row r="388" spans="1:1">
      <c r="A388" s="2" t="str">
        <f>_xlfn.TEXTJOIN("",TRUE,Input!$B$2,ROW(My_Audit!A387))</f>
        <v>X387</v>
      </c>
    </row>
    <row r="389" spans="1:1">
      <c r="A389" s="2" t="str">
        <f>_xlfn.TEXTJOIN("",TRUE,Input!$B$2,ROW(My_Audit!A388))</f>
        <v>X388</v>
      </c>
    </row>
    <row r="390" spans="1:1">
      <c r="A390" s="2" t="str">
        <f>_xlfn.TEXTJOIN("",TRUE,Input!$B$2,ROW(My_Audit!A389))</f>
        <v>X389</v>
      </c>
    </row>
    <row r="391" spans="1:1">
      <c r="A391" s="2" t="str">
        <f>_xlfn.TEXTJOIN("",TRUE,Input!$B$2,ROW(My_Audit!A390))</f>
        <v>X390</v>
      </c>
    </row>
    <row r="392" spans="1:1">
      <c r="A392" s="2" t="str">
        <f>_xlfn.TEXTJOIN("",TRUE,Input!$B$2,ROW(My_Audit!A391))</f>
        <v>X391</v>
      </c>
    </row>
    <row r="393" spans="1:1">
      <c r="A393" s="2" t="str">
        <f>_xlfn.TEXTJOIN("",TRUE,Input!$B$2,ROW(My_Audit!A392))</f>
        <v>X392</v>
      </c>
    </row>
    <row r="394" spans="1:1">
      <c r="A394" s="2" t="str">
        <f>_xlfn.TEXTJOIN("",TRUE,Input!$B$2,ROW(My_Audit!A393))</f>
        <v>X393</v>
      </c>
    </row>
    <row r="395" spans="1:1">
      <c r="A395" s="2" t="str">
        <f>_xlfn.TEXTJOIN("",TRUE,Input!$B$2,ROW(My_Audit!A394))</f>
        <v>X394</v>
      </c>
    </row>
    <row r="396" spans="1:1">
      <c r="A396" s="2" t="str">
        <f>_xlfn.TEXTJOIN("",TRUE,Input!$B$2,ROW(My_Audit!A395))</f>
        <v>X395</v>
      </c>
    </row>
    <row r="397" spans="1:1">
      <c r="A397" s="2" t="str">
        <f>_xlfn.TEXTJOIN("",TRUE,Input!$B$2,ROW(My_Audit!A396))</f>
        <v>X396</v>
      </c>
    </row>
    <row r="398" spans="1:1">
      <c r="A398" s="2" t="str">
        <f>_xlfn.TEXTJOIN("",TRUE,Input!$B$2,ROW(My_Audit!A397))</f>
        <v>X397</v>
      </c>
    </row>
    <row r="399" spans="1:1">
      <c r="A399" s="2" t="str">
        <f>_xlfn.TEXTJOIN("",TRUE,Input!$B$2,ROW(My_Audit!A398))</f>
        <v>X398</v>
      </c>
    </row>
    <row r="400" spans="1:1">
      <c r="A400" s="2" t="str">
        <f>_xlfn.TEXTJOIN("",TRUE,Input!$B$2,ROW(My_Audit!A399))</f>
        <v>X399</v>
      </c>
    </row>
    <row r="401" spans="1:1">
      <c r="A401" s="2" t="str">
        <f>_xlfn.TEXTJOIN("",TRUE,Input!$B$2,ROW(My_Audit!A400))</f>
        <v>X400</v>
      </c>
    </row>
    <row r="402" spans="1:1">
      <c r="A402" s="2" t="str">
        <f>_xlfn.TEXTJOIN("",TRUE,Input!$B$2,ROW(My_Audit!A401))</f>
        <v>X401</v>
      </c>
    </row>
    <row r="403" spans="1:1">
      <c r="A403" s="2" t="str">
        <f>_xlfn.TEXTJOIN("",TRUE,Input!$B$2,ROW(My_Audit!A402))</f>
        <v>X402</v>
      </c>
    </row>
    <row r="404" spans="1:1">
      <c r="A404" s="2" t="str">
        <f>_xlfn.TEXTJOIN("",TRUE,Input!$B$2,ROW(My_Audit!A403))</f>
        <v>X403</v>
      </c>
    </row>
    <row r="405" spans="1:1">
      <c r="A405" s="2" t="str">
        <f>_xlfn.TEXTJOIN("",TRUE,Input!$B$2,ROW(My_Audit!A404))</f>
        <v>X404</v>
      </c>
    </row>
    <row r="406" spans="1:1">
      <c r="A406" s="2" t="str">
        <f>_xlfn.TEXTJOIN("",TRUE,Input!$B$2,ROW(My_Audit!A405))</f>
        <v>X405</v>
      </c>
    </row>
    <row r="407" spans="1:1">
      <c r="A407" s="2" t="str">
        <f>_xlfn.TEXTJOIN("",TRUE,Input!$B$2,ROW(My_Audit!A406))</f>
        <v>X406</v>
      </c>
    </row>
    <row r="408" spans="1:1">
      <c r="A408" s="2" t="str">
        <f>_xlfn.TEXTJOIN("",TRUE,Input!$B$2,ROW(My_Audit!A407))</f>
        <v>X407</v>
      </c>
    </row>
    <row r="409" spans="1:1">
      <c r="A409" s="2" t="str">
        <f>_xlfn.TEXTJOIN("",TRUE,Input!$B$2,ROW(My_Audit!A408))</f>
        <v>X408</v>
      </c>
    </row>
    <row r="410" spans="1:1">
      <c r="A410" s="2" t="str">
        <f>_xlfn.TEXTJOIN("",TRUE,Input!$B$2,ROW(My_Audit!A409))</f>
        <v>X409</v>
      </c>
    </row>
    <row r="411" spans="1:1">
      <c r="A411" s="2" t="str">
        <f>_xlfn.TEXTJOIN("",TRUE,Input!$B$2,ROW(My_Audit!A410))</f>
        <v>X410</v>
      </c>
    </row>
    <row r="412" spans="1:1">
      <c r="A412" s="2" t="str">
        <f>_xlfn.TEXTJOIN("",TRUE,Input!$B$2,ROW(My_Audit!A411))</f>
        <v>X411</v>
      </c>
    </row>
    <row r="413" spans="1:1">
      <c r="A413" s="2" t="str">
        <f>_xlfn.TEXTJOIN("",TRUE,Input!$B$2,ROW(My_Audit!A412))</f>
        <v>X412</v>
      </c>
    </row>
    <row r="414" spans="1:1">
      <c r="A414" s="2" t="str">
        <f>_xlfn.TEXTJOIN("",TRUE,Input!$B$2,ROW(My_Audit!A413))</f>
        <v>X413</v>
      </c>
    </row>
    <row r="415" spans="1:1">
      <c r="A415" s="2" t="str">
        <f>_xlfn.TEXTJOIN("",TRUE,Input!$B$2,ROW(My_Audit!A414))</f>
        <v>X414</v>
      </c>
    </row>
    <row r="416" spans="1:1">
      <c r="A416" s="2" t="str">
        <f>_xlfn.TEXTJOIN("",TRUE,Input!$B$2,ROW(My_Audit!A415))</f>
        <v>X415</v>
      </c>
    </row>
    <row r="417" spans="1:1">
      <c r="A417" s="2" t="str">
        <f>_xlfn.TEXTJOIN("",TRUE,Input!$B$2,ROW(My_Audit!A416))</f>
        <v>X416</v>
      </c>
    </row>
    <row r="418" spans="1:1">
      <c r="A418" s="2" t="str">
        <f>_xlfn.TEXTJOIN("",TRUE,Input!$B$2,ROW(My_Audit!A417))</f>
        <v>X417</v>
      </c>
    </row>
    <row r="419" spans="1:1">
      <c r="A419" s="2" t="str">
        <f>_xlfn.TEXTJOIN("",TRUE,Input!$B$2,ROW(My_Audit!A418))</f>
        <v>X418</v>
      </c>
    </row>
    <row r="420" spans="1:1">
      <c r="A420" s="2" t="str">
        <f>_xlfn.TEXTJOIN("",TRUE,Input!$B$2,ROW(My_Audit!A419))</f>
        <v>X419</v>
      </c>
    </row>
    <row r="421" spans="1:1">
      <c r="A421" s="2" t="str">
        <f>_xlfn.TEXTJOIN("",TRUE,Input!$B$2,ROW(My_Audit!A420))</f>
        <v>X420</v>
      </c>
    </row>
    <row r="422" spans="1:1">
      <c r="A422" s="2" t="str">
        <f>_xlfn.TEXTJOIN("",TRUE,Input!$B$2,ROW(My_Audit!A421))</f>
        <v>X421</v>
      </c>
    </row>
    <row r="423" spans="1:1">
      <c r="A423" s="2" t="str">
        <f>_xlfn.TEXTJOIN("",TRUE,Input!$B$2,ROW(My_Audit!A422))</f>
        <v>X422</v>
      </c>
    </row>
    <row r="424" spans="1:1">
      <c r="A424" s="2" t="str">
        <f>_xlfn.TEXTJOIN("",TRUE,Input!$B$2,ROW(My_Audit!A423))</f>
        <v>X423</v>
      </c>
    </row>
    <row r="425" spans="1:1">
      <c r="A425" s="2" t="str">
        <f>_xlfn.TEXTJOIN("",TRUE,Input!$B$2,ROW(My_Audit!A424))</f>
        <v>X424</v>
      </c>
    </row>
    <row r="426" spans="1:1">
      <c r="A426" s="2" t="str">
        <f>_xlfn.TEXTJOIN("",TRUE,Input!$B$2,ROW(My_Audit!A425))</f>
        <v>X425</v>
      </c>
    </row>
    <row r="427" spans="1:1">
      <c r="A427" s="2" t="str">
        <f>_xlfn.TEXTJOIN("",TRUE,Input!$B$2,ROW(My_Audit!A426))</f>
        <v>X426</v>
      </c>
    </row>
    <row r="428" spans="1:1">
      <c r="A428" s="2" t="str">
        <f>_xlfn.TEXTJOIN("",TRUE,Input!$B$2,ROW(My_Audit!A427))</f>
        <v>X427</v>
      </c>
    </row>
    <row r="429" spans="1:1">
      <c r="A429" s="2" t="str">
        <f>_xlfn.TEXTJOIN("",TRUE,Input!$B$2,ROW(My_Audit!A428))</f>
        <v>X428</v>
      </c>
    </row>
    <row r="430" spans="1:1">
      <c r="A430" s="2" t="str">
        <f>_xlfn.TEXTJOIN("",TRUE,Input!$B$2,ROW(My_Audit!A429))</f>
        <v>X429</v>
      </c>
    </row>
    <row r="431" spans="1:1">
      <c r="A431" s="2" t="str">
        <f>_xlfn.TEXTJOIN("",TRUE,Input!$B$2,ROW(My_Audit!A430))</f>
        <v>X430</v>
      </c>
    </row>
    <row r="432" spans="1:1">
      <c r="A432" s="2" t="str">
        <f>_xlfn.TEXTJOIN("",TRUE,Input!$B$2,ROW(My_Audit!A431))</f>
        <v>X431</v>
      </c>
    </row>
    <row r="433" spans="1:1">
      <c r="A433" s="2" t="str">
        <f>_xlfn.TEXTJOIN("",TRUE,Input!$B$2,ROW(My_Audit!A432))</f>
        <v>X432</v>
      </c>
    </row>
    <row r="434" spans="1:1">
      <c r="A434" s="2" t="str">
        <f>_xlfn.TEXTJOIN("",TRUE,Input!$B$2,ROW(My_Audit!A433))</f>
        <v>X433</v>
      </c>
    </row>
    <row r="435" spans="1:1">
      <c r="A435" s="2" t="str">
        <f>_xlfn.TEXTJOIN("",TRUE,Input!$B$2,ROW(My_Audit!A434))</f>
        <v>X434</v>
      </c>
    </row>
    <row r="436" spans="1:1">
      <c r="A436" s="2" t="str">
        <f>_xlfn.TEXTJOIN("",TRUE,Input!$B$2,ROW(My_Audit!A435))</f>
        <v>X435</v>
      </c>
    </row>
    <row r="437" spans="1:1">
      <c r="A437" s="2" t="str">
        <f>_xlfn.TEXTJOIN("",TRUE,Input!$B$2,ROW(My_Audit!A436))</f>
        <v>X436</v>
      </c>
    </row>
    <row r="438" spans="1:1">
      <c r="A438" s="2" t="str">
        <f>_xlfn.TEXTJOIN("",TRUE,Input!$B$2,ROW(My_Audit!A437))</f>
        <v>X437</v>
      </c>
    </row>
    <row r="439" spans="1:1">
      <c r="A439" s="2" t="str">
        <f>_xlfn.TEXTJOIN("",TRUE,Input!$B$2,ROW(My_Audit!A438))</f>
        <v>X438</v>
      </c>
    </row>
    <row r="440" spans="1:1">
      <c r="A440" s="2" t="str">
        <f>_xlfn.TEXTJOIN("",TRUE,Input!$B$2,ROW(My_Audit!A439))</f>
        <v>X439</v>
      </c>
    </row>
    <row r="441" spans="1:1">
      <c r="A441" s="2" t="str">
        <f>_xlfn.TEXTJOIN("",TRUE,Input!$B$2,ROW(My_Audit!A440))</f>
        <v>X440</v>
      </c>
    </row>
    <row r="442" spans="1:1">
      <c r="A442" s="2" t="str">
        <f>_xlfn.TEXTJOIN("",TRUE,Input!$B$2,ROW(My_Audit!A441))</f>
        <v>X441</v>
      </c>
    </row>
    <row r="443" spans="1:1">
      <c r="A443" s="2" t="str">
        <f>_xlfn.TEXTJOIN("",TRUE,Input!$B$2,ROW(My_Audit!A442))</f>
        <v>X442</v>
      </c>
    </row>
    <row r="444" spans="1:1">
      <c r="A444" s="2" t="str">
        <f>_xlfn.TEXTJOIN("",TRUE,Input!$B$2,ROW(My_Audit!A443))</f>
        <v>X443</v>
      </c>
    </row>
    <row r="445" spans="1:1">
      <c r="A445" s="2" t="str">
        <f>_xlfn.TEXTJOIN("",TRUE,Input!$B$2,ROW(My_Audit!A444))</f>
        <v>X444</v>
      </c>
    </row>
    <row r="446" spans="1:1">
      <c r="A446" s="2" t="str">
        <f>_xlfn.TEXTJOIN("",TRUE,Input!$B$2,ROW(My_Audit!A445))</f>
        <v>X445</v>
      </c>
    </row>
    <row r="447" spans="1:1">
      <c r="A447" s="2" t="str">
        <f>_xlfn.TEXTJOIN("",TRUE,Input!$B$2,ROW(My_Audit!A446))</f>
        <v>X446</v>
      </c>
    </row>
    <row r="448" spans="1:1">
      <c r="A448" s="2" t="str">
        <f>_xlfn.TEXTJOIN("",TRUE,Input!$B$2,ROW(My_Audit!A447))</f>
        <v>X447</v>
      </c>
    </row>
    <row r="449" spans="1:1">
      <c r="A449" s="2" t="str">
        <f>_xlfn.TEXTJOIN("",TRUE,Input!$B$2,ROW(My_Audit!A448))</f>
        <v>X448</v>
      </c>
    </row>
    <row r="450" spans="1:1">
      <c r="A450" s="2" t="str">
        <f>_xlfn.TEXTJOIN("",TRUE,Input!$B$2,ROW(My_Audit!A449))</f>
        <v>X449</v>
      </c>
    </row>
    <row r="451" spans="1:1">
      <c r="A451" s="2" t="str">
        <f>_xlfn.TEXTJOIN("",TRUE,Input!$B$2,ROW(My_Audit!A450))</f>
        <v>X450</v>
      </c>
    </row>
    <row r="452" spans="1:1">
      <c r="A452" s="2" t="str">
        <f>_xlfn.TEXTJOIN("",TRUE,Input!$B$2,ROW(My_Audit!A451))</f>
        <v>X451</v>
      </c>
    </row>
    <row r="453" spans="1:1">
      <c r="A453" s="2" t="str">
        <f>_xlfn.TEXTJOIN("",TRUE,Input!$B$2,ROW(My_Audit!A452))</f>
        <v>X452</v>
      </c>
    </row>
    <row r="454" spans="1:1">
      <c r="A454" s="2" t="str">
        <f>_xlfn.TEXTJOIN("",TRUE,Input!$B$2,ROW(My_Audit!A453))</f>
        <v>X453</v>
      </c>
    </row>
    <row r="455" spans="1:1">
      <c r="A455" s="2" t="str">
        <f>_xlfn.TEXTJOIN("",TRUE,Input!$B$2,ROW(My_Audit!A454))</f>
        <v>X454</v>
      </c>
    </row>
    <row r="456" spans="1:1">
      <c r="A456" s="2" t="str">
        <f>_xlfn.TEXTJOIN("",TRUE,Input!$B$2,ROW(My_Audit!A455))</f>
        <v>X455</v>
      </c>
    </row>
    <row r="457" spans="1:1">
      <c r="A457" s="2" t="str">
        <f>_xlfn.TEXTJOIN("",TRUE,Input!$B$2,ROW(My_Audit!A456))</f>
        <v>X456</v>
      </c>
    </row>
    <row r="458" spans="1:1">
      <c r="A458" s="2" t="str">
        <f>_xlfn.TEXTJOIN("",TRUE,Input!$B$2,ROW(My_Audit!A457))</f>
        <v>X457</v>
      </c>
    </row>
    <row r="459" spans="1:1">
      <c r="A459" s="2" t="str">
        <f>_xlfn.TEXTJOIN("",TRUE,Input!$B$2,ROW(My_Audit!A458))</f>
        <v>X458</v>
      </c>
    </row>
    <row r="460" spans="1:1">
      <c r="A460" s="2" t="str">
        <f>_xlfn.TEXTJOIN("",TRUE,Input!$B$2,ROW(My_Audit!A459))</f>
        <v>X459</v>
      </c>
    </row>
    <row r="461" spans="1:1">
      <c r="A461" s="2" t="str">
        <f>_xlfn.TEXTJOIN("",TRUE,Input!$B$2,ROW(My_Audit!A460))</f>
        <v>X460</v>
      </c>
    </row>
    <row r="462" spans="1:1">
      <c r="A462" s="2" t="str">
        <f>_xlfn.TEXTJOIN("",TRUE,Input!$B$2,ROW(My_Audit!A461))</f>
        <v>X461</v>
      </c>
    </row>
    <row r="463" spans="1:1">
      <c r="A463" s="2" t="str">
        <f>_xlfn.TEXTJOIN("",TRUE,Input!$B$2,ROW(My_Audit!A462))</f>
        <v>X462</v>
      </c>
    </row>
    <row r="464" spans="1:1">
      <c r="A464" s="2" t="str">
        <f>_xlfn.TEXTJOIN("",TRUE,Input!$B$2,ROW(My_Audit!A463))</f>
        <v>X463</v>
      </c>
    </row>
    <row r="465" spans="1:1">
      <c r="A465" s="2" t="str">
        <f>_xlfn.TEXTJOIN("",TRUE,Input!$B$2,ROW(My_Audit!A464))</f>
        <v>X464</v>
      </c>
    </row>
    <row r="466" spans="1:1">
      <c r="A466" s="2" t="str">
        <f>_xlfn.TEXTJOIN("",TRUE,Input!$B$2,ROW(My_Audit!A465))</f>
        <v>X465</v>
      </c>
    </row>
    <row r="467" spans="1:1">
      <c r="A467" s="2" t="str">
        <f>_xlfn.TEXTJOIN("",TRUE,Input!$B$2,ROW(My_Audit!A466))</f>
        <v>X466</v>
      </c>
    </row>
    <row r="468" spans="1:1">
      <c r="A468" s="2" t="str">
        <f>_xlfn.TEXTJOIN("",TRUE,Input!$B$2,ROW(My_Audit!A467))</f>
        <v>X467</v>
      </c>
    </row>
    <row r="469" spans="1:1">
      <c r="A469" s="2" t="str">
        <f>_xlfn.TEXTJOIN("",TRUE,Input!$B$2,ROW(My_Audit!A468))</f>
        <v>X468</v>
      </c>
    </row>
    <row r="470" spans="1:1">
      <c r="A470" s="2" t="str">
        <f>_xlfn.TEXTJOIN("",TRUE,Input!$B$2,ROW(My_Audit!A469))</f>
        <v>X469</v>
      </c>
    </row>
    <row r="471" spans="1:1">
      <c r="A471" s="2" t="str">
        <f>_xlfn.TEXTJOIN("",TRUE,Input!$B$2,ROW(My_Audit!A470))</f>
        <v>X470</v>
      </c>
    </row>
    <row r="472" spans="1:1">
      <c r="A472" s="2" t="str">
        <f>_xlfn.TEXTJOIN("",TRUE,Input!$B$2,ROW(My_Audit!A471))</f>
        <v>X471</v>
      </c>
    </row>
    <row r="473" spans="1:1">
      <c r="A473" s="2" t="str">
        <f>_xlfn.TEXTJOIN("",TRUE,Input!$B$2,ROW(My_Audit!A472))</f>
        <v>X472</v>
      </c>
    </row>
    <row r="474" spans="1:1">
      <c r="A474" s="2" t="str">
        <f>_xlfn.TEXTJOIN("",TRUE,Input!$B$2,ROW(My_Audit!A473))</f>
        <v>X473</v>
      </c>
    </row>
    <row r="475" spans="1:1">
      <c r="A475" s="2" t="str">
        <f>_xlfn.TEXTJOIN("",TRUE,Input!$B$2,ROW(My_Audit!A474))</f>
        <v>X474</v>
      </c>
    </row>
    <row r="476" spans="1:1">
      <c r="A476" s="2" t="str">
        <f>_xlfn.TEXTJOIN("",TRUE,Input!$B$2,ROW(My_Audit!A475))</f>
        <v>X475</v>
      </c>
    </row>
    <row r="477" spans="1:1">
      <c r="A477" s="2" t="str">
        <f>_xlfn.TEXTJOIN("",TRUE,Input!$B$2,ROW(My_Audit!A476))</f>
        <v>X476</v>
      </c>
    </row>
    <row r="478" spans="1:1">
      <c r="A478" s="2" t="str">
        <f>_xlfn.TEXTJOIN("",TRUE,Input!$B$2,ROW(My_Audit!A477))</f>
        <v>X477</v>
      </c>
    </row>
    <row r="479" spans="1:1">
      <c r="A479" s="2" t="str">
        <f>_xlfn.TEXTJOIN("",TRUE,Input!$B$2,ROW(My_Audit!A478))</f>
        <v>X478</v>
      </c>
    </row>
    <row r="480" spans="1:1">
      <c r="A480" s="2" t="str">
        <f>_xlfn.TEXTJOIN("",TRUE,Input!$B$2,ROW(My_Audit!A479))</f>
        <v>X479</v>
      </c>
    </row>
    <row r="481" spans="1:1">
      <c r="A481" s="2" t="str">
        <f>_xlfn.TEXTJOIN("",TRUE,Input!$B$2,ROW(My_Audit!A480))</f>
        <v>X480</v>
      </c>
    </row>
    <row r="482" spans="1:1">
      <c r="A482" s="2" t="str">
        <f>_xlfn.TEXTJOIN("",TRUE,Input!$B$2,ROW(My_Audit!A481))</f>
        <v>X481</v>
      </c>
    </row>
    <row r="483" spans="1:1">
      <c r="A483" s="2" t="str">
        <f>_xlfn.TEXTJOIN("",TRUE,Input!$B$2,ROW(My_Audit!A482))</f>
        <v>X482</v>
      </c>
    </row>
    <row r="484" spans="1:1">
      <c r="A484" s="2" t="str">
        <f>_xlfn.TEXTJOIN("",TRUE,Input!$B$2,ROW(My_Audit!A483))</f>
        <v>X483</v>
      </c>
    </row>
    <row r="485" spans="1:1">
      <c r="A485" s="2" t="str">
        <f>_xlfn.TEXTJOIN("",TRUE,Input!$B$2,ROW(My_Audit!A484))</f>
        <v>X484</v>
      </c>
    </row>
    <row r="486" spans="1:1">
      <c r="A486" s="2" t="str">
        <f>_xlfn.TEXTJOIN("",TRUE,Input!$B$2,ROW(My_Audit!A485))</f>
        <v>X485</v>
      </c>
    </row>
    <row r="487" spans="1:1">
      <c r="A487" s="2" t="str">
        <f>_xlfn.TEXTJOIN("",TRUE,Input!$B$2,ROW(My_Audit!A486))</f>
        <v>X486</v>
      </c>
    </row>
    <row r="488" spans="1:1">
      <c r="A488" s="2" t="str">
        <f>_xlfn.TEXTJOIN("",TRUE,Input!$B$2,ROW(My_Audit!A487))</f>
        <v>X487</v>
      </c>
    </row>
    <row r="489" spans="1:1">
      <c r="A489" s="2" t="str">
        <f>_xlfn.TEXTJOIN("",TRUE,Input!$B$2,ROW(My_Audit!A488))</f>
        <v>X488</v>
      </c>
    </row>
    <row r="490" spans="1:1">
      <c r="A490" s="2" t="str">
        <f>_xlfn.TEXTJOIN("",TRUE,Input!$B$2,ROW(My_Audit!A489))</f>
        <v>X489</v>
      </c>
    </row>
    <row r="491" spans="1:1">
      <c r="A491" s="2" t="str">
        <f>_xlfn.TEXTJOIN("",TRUE,Input!$B$2,ROW(My_Audit!A490))</f>
        <v>X490</v>
      </c>
    </row>
    <row r="492" spans="1:1">
      <c r="A492" s="2" t="str">
        <f>_xlfn.TEXTJOIN("",TRUE,Input!$B$2,ROW(My_Audit!A491))</f>
        <v>X491</v>
      </c>
    </row>
    <row r="493" spans="1:1">
      <c r="A493" s="2" t="str">
        <f>_xlfn.TEXTJOIN("",TRUE,Input!$B$2,ROW(My_Audit!A492))</f>
        <v>X492</v>
      </c>
    </row>
    <row r="494" spans="1:1">
      <c r="A494" s="2" t="str">
        <f>_xlfn.TEXTJOIN("",TRUE,Input!$B$2,ROW(My_Audit!A493))</f>
        <v>X493</v>
      </c>
    </row>
    <row r="495" spans="1:1">
      <c r="A495" s="2" t="str">
        <f>_xlfn.TEXTJOIN("",TRUE,Input!$B$2,ROW(My_Audit!A494))</f>
        <v>X494</v>
      </c>
    </row>
    <row r="496" spans="1:1">
      <c r="A496" s="2" t="str">
        <f>_xlfn.TEXTJOIN("",TRUE,Input!$B$2,ROW(My_Audit!A495))</f>
        <v>X495</v>
      </c>
    </row>
    <row r="497" spans="1:1">
      <c r="A497" s="2" t="str">
        <f>_xlfn.TEXTJOIN("",TRUE,Input!$B$2,ROW(My_Audit!A496))</f>
        <v>X496</v>
      </c>
    </row>
    <row r="498" spans="1:1">
      <c r="A498" s="2" t="str">
        <f>_xlfn.TEXTJOIN("",TRUE,Input!$B$2,ROW(My_Audit!A497))</f>
        <v>X497</v>
      </c>
    </row>
    <row r="499" spans="1:1">
      <c r="A499" s="2" t="str">
        <f>_xlfn.TEXTJOIN("",TRUE,Input!$B$2,ROW(My_Audit!A498))</f>
        <v>X498</v>
      </c>
    </row>
    <row r="500" spans="1:1">
      <c r="A500" s="2" t="str">
        <f>_xlfn.TEXTJOIN("",TRUE,Input!$B$2,ROW(My_Audit!A499))</f>
        <v>X499</v>
      </c>
    </row>
    <row r="501" spans="1:1">
      <c r="A501" s="2" t="str">
        <f>_xlfn.TEXTJOIN("",TRUE,Input!$B$2,ROW(My_Audit!A500))</f>
        <v>X500</v>
      </c>
    </row>
    <row r="502" spans="1:1">
      <c r="A502" s="2" t="str">
        <f>_xlfn.TEXTJOIN("",TRUE,Input!$B$2,ROW(My_Audit!A501))</f>
        <v>X501</v>
      </c>
    </row>
    <row r="503" spans="1:1">
      <c r="A503" s="2" t="str">
        <f>_xlfn.TEXTJOIN("",TRUE,Input!$B$2,ROW(My_Audit!A502))</f>
        <v>X502</v>
      </c>
    </row>
    <row r="504" spans="1:1">
      <c r="A504" s="2" t="str">
        <f>_xlfn.TEXTJOIN("",TRUE,Input!$B$2,ROW(My_Audit!A503))</f>
        <v>X503</v>
      </c>
    </row>
    <row r="505" spans="1:1">
      <c r="A505" s="2" t="str">
        <f>_xlfn.TEXTJOIN("",TRUE,Input!$B$2,ROW(My_Audit!A504))</f>
        <v>X504</v>
      </c>
    </row>
    <row r="506" spans="1:1">
      <c r="A506" s="2" t="str">
        <f>_xlfn.TEXTJOIN("",TRUE,Input!$B$2,ROW(My_Audit!A505))</f>
        <v>X505</v>
      </c>
    </row>
    <row r="507" spans="1:1">
      <c r="A507" s="2" t="str">
        <f>_xlfn.TEXTJOIN("",TRUE,Input!$B$2,ROW(My_Audit!A506))</f>
        <v>X506</v>
      </c>
    </row>
    <row r="508" spans="1:1">
      <c r="A508" s="2" t="str">
        <f>_xlfn.TEXTJOIN("",TRUE,Input!$B$2,ROW(My_Audit!A507))</f>
        <v>X507</v>
      </c>
    </row>
    <row r="509" spans="1:1">
      <c r="A509" s="2" t="str">
        <f>_xlfn.TEXTJOIN("",TRUE,Input!$B$2,ROW(My_Audit!A508))</f>
        <v>X508</v>
      </c>
    </row>
    <row r="510" spans="1:1">
      <c r="A510" s="2" t="str">
        <f>_xlfn.TEXTJOIN("",TRUE,Input!$B$2,ROW(My_Audit!A509))</f>
        <v>X509</v>
      </c>
    </row>
    <row r="511" spans="1:1">
      <c r="A511" s="2" t="str">
        <f>_xlfn.TEXTJOIN("",TRUE,Input!$B$2,ROW(My_Audit!A510))</f>
        <v>X510</v>
      </c>
    </row>
    <row r="512" spans="1:1">
      <c r="A512" s="2" t="str">
        <f>_xlfn.TEXTJOIN("",TRUE,Input!$B$2,ROW(My_Audit!A511))</f>
        <v>X511</v>
      </c>
    </row>
    <row r="513" spans="1:1">
      <c r="A513" s="2" t="str">
        <f>_xlfn.TEXTJOIN("",TRUE,Input!$B$2,ROW(My_Audit!A512))</f>
        <v>X512</v>
      </c>
    </row>
    <row r="514" spans="1:1">
      <c r="A514" s="2" t="str">
        <f>_xlfn.TEXTJOIN("",TRUE,Input!$B$2,ROW(My_Audit!A513))</f>
        <v>X513</v>
      </c>
    </row>
    <row r="515" spans="1:1">
      <c r="A515" s="2" t="str">
        <f>_xlfn.TEXTJOIN("",TRUE,Input!$B$2,ROW(My_Audit!A514))</f>
        <v>X514</v>
      </c>
    </row>
    <row r="516" spans="1:1">
      <c r="A516" s="2" t="str">
        <f>_xlfn.TEXTJOIN("",TRUE,Input!$B$2,ROW(My_Audit!A515))</f>
        <v>X515</v>
      </c>
    </row>
    <row r="517" spans="1:1">
      <c r="A517" s="2" t="str">
        <f>_xlfn.TEXTJOIN("",TRUE,Input!$B$2,ROW(My_Audit!A516))</f>
        <v>X516</v>
      </c>
    </row>
    <row r="518" spans="1:1">
      <c r="A518" s="2" t="str">
        <f>_xlfn.TEXTJOIN("",TRUE,Input!$B$2,ROW(My_Audit!A517))</f>
        <v>X517</v>
      </c>
    </row>
    <row r="519" spans="1:1">
      <c r="A519" s="2" t="str">
        <f>_xlfn.TEXTJOIN("",TRUE,Input!$B$2,ROW(My_Audit!A518))</f>
        <v>X518</v>
      </c>
    </row>
    <row r="520" spans="1:1">
      <c r="A520" s="2" t="str">
        <f>_xlfn.TEXTJOIN("",TRUE,Input!$B$2,ROW(My_Audit!A519))</f>
        <v>X519</v>
      </c>
    </row>
    <row r="521" spans="1:1">
      <c r="A521" s="2" t="str">
        <f>_xlfn.TEXTJOIN("",TRUE,Input!$B$2,ROW(My_Audit!A520))</f>
        <v>X520</v>
      </c>
    </row>
    <row r="522" spans="1:1">
      <c r="A522" s="2" t="str">
        <f>_xlfn.TEXTJOIN("",TRUE,Input!$B$2,ROW(My_Audit!A521))</f>
        <v>X521</v>
      </c>
    </row>
    <row r="523" spans="1:1">
      <c r="A523" s="2" t="str">
        <f>_xlfn.TEXTJOIN("",TRUE,Input!$B$2,ROW(My_Audit!A522))</f>
        <v>X522</v>
      </c>
    </row>
    <row r="524" spans="1:1">
      <c r="A524" s="2" t="str">
        <f>_xlfn.TEXTJOIN("",TRUE,Input!$B$2,ROW(My_Audit!A523))</f>
        <v>X523</v>
      </c>
    </row>
    <row r="525" spans="1:1">
      <c r="A525" s="2" t="str">
        <f>_xlfn.TEXTJOIN("",TRUE,Input!$B$2,ROW(My_Audit!A524))</f>
        <v>X524</v>
      </c>
    </row>
    <row r="526" spans="1:1">
      <c r="A526" s="2" t="str">
        <f>_xlfn.TEXTJOIN("",TRUE,Input!$B$2,ROW(My_Audit!A525))</f>
        <v>X525</v>
      </c>
    </row>
    <row r="527" spans="1:1">
      <c r="A527" s="2" t="str">
        <f>_xlfn.TEXTJOIN("",TRUE,Input!$B$2,ROW(My_Audit!A526))</f>
        <v>X526</v>
      </c>
    </row>
    <row r="528" spans="1:1">
      <c r="A528" s="2" t="str">
        <f>_xlfn.TEXTJOIN("",TRUE,Input!$B$2,ROW(My_Audit!A527))</f>
        <v>X527</v>
      </c>
    </row>
    <row r="529" spans="1:1">
      <c r="A529" s="2" t="str">
        <f>_xlfn.TEXTJOIN("",TRUE,Input!$B$2,ROW(My_Audit!A528))</f>
        <v>X528</v>
      </c>
    </row>
    <row r="530" spans="1:1">
      <c r="A530" s="2" t="str">
        <f>_xlfn.TEXTJOIN("",TRUE,Input!$B$2,ROW(My_Audit!A529))</f>
        <v>X529</v>
      </c>
    </row>
    <row r="531" spans="1:1">
      <c r="A531" s="2" t="str">
        <f>_xlfn.TEXTJOIN("",TRUE,Input!$B$2,ROW(My_Audit!A530))</f>
        <v>X530</v>
      </c>
    </row>
    <row r="532" spans="1:1">
      <c r="A532" s="2" t="str">
        <f>_xlfn.TEXTJOIN("",TRUE,Input!$B$2,ROW(My_Audit!A531))</f>
        <v>X531</v>
      </c>
    </row>
    <row r="533" spans="1:1">
      <c r="A533" s="2" t="str">
        <f>_xlfn.TEXTJOIN("",TRUE,Input!$B$2,ROW(My_Audit!A532))</f>
        <v>X532</v>
      </c>
    </row>
    <row r="534" spans="1:1">
      <c r="A534" s="2" t="str">
        <f>_xlfn.TEXTJOIN("",TRUE,Input!$B$2,ROW(My_Audit!A533))</f>
        <v>X533</v>
      </c>
    </row>
    <row r="535" spans="1:1">
      <c r="A535" s="2" t="str">
        <f>_xlfn.TEXTJOIN("",TRUE,Input!$B$2,ROW(My_Audit!A534))</f>
        <v>X534</v>
      </c>
    </row>
    <row r="536" spans="1:1">
      <c r="A536" s="2" t="str">
        <f>_xlfn.TEXTJOIN("",TRUE,Input!$B$2,ROW(My_Audit!A535))</f>
        <v>X535</v>
      </c>
    </row>
    <row r="537" spans="1:1">
      <c r="A537" s="2" t="str">
        <f>_xlfn.TEXTJOIN("",TRUE,Input!$B$2,ROW(My_Audit!A536))</f>
        <v>X536</v>
      </c>
    </row>
    <row r="538" spans="1:1">
      <c r="A538" s="2" t="str">
        <f>_xlfn.TEXTJOIN("",TRUE,Input!$B$2,ROW(My_Audit!A537))</f>
        <v>X537</v>
      </c>
    </row>
    <row r="539" spans="1:1">
      <c r="A539" s="2" t="str">
        <f>_xlfn.TEXTJOIN("",TRUE,Input!$B$2,ROW(My_Audit!A538))</f>
        <v>X538</v>
      </c>
    </row>
    <row r="540" spans="1:1">
      <c r="A540" s="2" t="str">
        <f>_xlfn.TEXTJOIN("",TRUE,Input!$B$2,ROW(My_Audit!A539))</f>
        <v>X539</v>
      </c>
    </row>
    <row r="541" spans="1:1">
      <c r="A541" s="2" t="str">
        <f>_xlfn.TEXTJOIN("",TRUE,Input!$B$2,ROW(My_Audit!A540))</f>
        <v>X540</v>
      </c>
    </row>
    <row r="542" spans="1:1">
      <c r="A542" s="2" t="str">
        <f>_xlfn.TEXTJOIN("",TRUE,Input!$B$2,ROW(My_Audit!A541))</f>
        <v>X541</v>
      </c>
    </row>
    <row r="543" spans="1:1">
      <c r="A543" s="2" t="str">
        <f>_xlfn.TEXTJOIN("",TRUE,Input!$B$2,ROW(My_Audit!A542))</f>
        <v>X542</v>
      </c>
    </row>
    <row r="544" spans="1:1">
      <c r="A544" s="2" t="str">
        <f>_xlfn.TEXTJOIN("",TRUE,Input!$B$2,ROW(My_Audit!A543))</f>
        <v>X543</v>
      </c>
    </row>
    <row r="545" spans="1:1">
      <c r="A545" s="2" t="str">
        <f>_xlfn.TEXTJOIN("",TRUE,Input!$B$2,ROW(My_Audit!A544))</f>
        <v>X544</v>
      </c>
    </row>
    <row r="546" spans="1:1">
      <c r="A546" s="2" t="str">
        <f>_xlfn.TEXTJOIN("",TRUE,Input!$B$2,ROW(My_Audit!A545))</f>
        <v>X545</v>
      </c>
    </row>
    <row r="547" spans="1:1">
      <c r="A547" s="2" t="str">
        <f>_xlfn.TEXTJOIN("",TRUE,Input!$B$2,ROW(My_Audit!A546))</f>
        <v>X546</v>
      </c>
    </row>
    <row r="548" spans="1:1">
      <c r="A548" s="2" t="str">
        <f>_xlfn.TEXTJOIN("",TRUE,Input!$B$2,ROW(My_Audit!A547))</f>
        <v>X547</v>
      </c>
    </row>
    <row r="549" spans="1:1">
      <c r="A549" s="2" t="str">
        <f>_xlfn.TEXTJOIN("",TRUE,Input!$B$2,ROW(My_Audit!A548))</f>
        <v>X548</v>
      </c>
    </row>
    <row r="550" spans="1:1">
      <c r="A550" s="2" t="str">
        <f>_xlfn.TEXTJOIN("",TRUE,Input!$B$2,ROW(My_Audit!A549))</f>
        <v>X549</v>
      </c>
    </row>
    <row r="551" spans="1:1">
      <c r="A551" s="2" t="str">
        <f>_xlfn.TEXTJOIN("",TRUE,Input!$B$2,ROW(My_Audit!A550))</f>
        <v>X550</v>
      </c>
    </row>
    <row r="552" spans="1:1">
      <c r="A552" s="2" t="str">
        <f>_xlfn.TEXTJOIN("",TRUE,Input!$B$2,ROW(My_Audit!A551))</f>
        <v>X551</v>
      </c>
    </row>
    <row r="553" spans="1:1">
      <c r="A553" s="2" t="str">
        <f>_xlfn.TEXTJOIN("",TRUE,Input!$B$2,ROW(My_Audit!A552))</f>
        <v>X552</v>
      </c>
    </row>
    <row r="554" spans="1:1">
      <c r="A554" s="2" t="str">
        <f>_xlfn.TEXTJOIN("",TRUE,Input!$B$2,ROW(My_Audit!A553))</f>
        <v>X553</v>
      </c>
    </row>
    <row r="555" spans="1:1">
      <c r="A555" s="2" t="str">
        <f>_xlfn.TEXTJOIN("",TRUE,Input!$B$2,ROW(My_Audit!A554))</f>
        <v>X554</v>
      </c>
    </row>
    <row r="556" spans="1:1">
      <c r="A556" s="2" t="str">
        <f>_xlfn.TEXTJOIN("",TRUE,Input!$B$2,ROW(My_Audit!A555))</f>
        <v>X555</v>
      </c>
    </row>
    <row r="557" spans="1:1">
      <c r="A557" s="2" t="str">
        <f>_xlfn.TEXTJOIN("",TRUE,Input!$B$2,ROW(My_Audit!A556))</f>
        <v>X556</v>
      </c>
    </row>
    <row r="558" spans="1:1">
      <c r="A558" s="2" t="str">
        <f>_xlfn.TEXTJOIN("",TRUE,Input!$B$2,ROW(My_Audit!A557))</f>
        <v>X557</v>
      </c>
    </row>
    <row r="559" spans="1:1">
      <c r="A559" s="2" t="str">
        <f>_xlfn.TEXTJOIN("",TRUE,Input!$B$2,ROW(My_Audit!A558))</f>
        <v>X558</v>
      </c>
    </row>
    <row r="560" spans="1:1">
      <c r="A560" s="2" t="str">
        <f>_xlfn.TEXTJOIN("",TRUE,Input!$B$2,ROW(My_Audit!A559))</f>
        <v>X559</v>
      </c>
    </row>
    <row r="561" spans="1:1">
      <c r="A561" s="2" t="str">
        <f>_xlfn.TEXTJOIN("",TRUE,Input!$B$2,ROW(My_Audit!A560))</f>
        <v>X560</v>
      </c>
    </row>
    <row r="562" spans="1:1">
      <c r="A562" s="2" t="str">
        <f>_xlfn.TEXTJOIN("",TRUE,Input!$B$2,ROW(My_Audit!A561))</f>
        <v>X561</v>
      </c>
    </row>
    <row r="563" spans="1:1">
      <c r="A563" s="2" t="str">
        <f>_xlfn.TEXTJOIN("",TRUE,Input!$B$2,ROW(My_Audit!A562))</f>
        <v>X562</v>
      </c>
    </row>
    <row r="564" spans="1:1">
      <c r="A564" s="2" t="str">
        <f>_xlfn.TEXTJOIN("",TRUE,Input!$B$2,ROW(My_Audit!A563))</f>
        <v>X563</v>
      </c>
    </row>
    <row r="565" spans="1:1">
      <c r="A565" s="2" t="str">
        <f>_xlfn.TEXTJOIN("",TRUE,Input!$B$2,ROW(My_Audit!A564))</f>
        <v>X564</v>
      </c>
    </row>
    <row r="566" spans="1:1">
      <c r="A566" s="2" t="str">
        <f>_xlfn.TEXTJOIN("",TRUE,Input!$B$2,ROW(My_Audit!A565))</f>
        <v>X565</v>
      </c>
    </row>
    <row r="567" spans="1:1">
      <c r="A567" s="2" t="str">
        <f>_xlfn.TEXTJOIN("",TRUE,Input!$B$2,ROW(My_Audit!A566))</f>
        <v>X566</v>
      </c>
    </row>
    <row r="568" spans="1:1">
      <c r="A568" s="2" t="str">
        <f>_xlfn.TEXTJOIN("",TRUE,Input!$B$2,ROW(My_Audit!A567))</f>
        <v>X567</v>
      </c>
    </row>
    <row r="569" spans="1:1">
      <c r="A569" s="2" t="str">
        <f>_xlfn.TEXTJOIN("",TRUE,Input!$B$2,ROW(My_Audit!A568))</f>
        <v>X568</v>
      </c>
    </row>
    <row r="570" spans="1:1">
      <c r="A570" s="2" t="str">
        <f>_xlfn.TEXTJOIN("",TRUE,Input!$B$2,ROW(My_Audit!A569))</f>
        <v>X569</v>
      </c>
    </row>
    <row r="571" spans="1:1">
      <c r="A571" s="2" t="str">
        <f>_xlfn.TEXTJOIN("",TRUE,Input!$B$2,ROW(My_Audit!A570))</f>
        <v>X570</v>
      </c>
    </row>
    <row r="572" spans="1:1">
      <c r="A572" s="2" t="str">
        <f>_xlfn.TEXTJOIN("",TRUE,Input!$B$2,ROW(My_Audit!A571))</f>
        <v>X571</v>
      </c>
    </row>
    <row r="573" spans="1:1">
      <c r="A573" s="2" t="str">
        <f>_xlfn.TEXTJOIN("",TRUE,Input!$B$2,ROW(My_Audit!A572))</f>
        <v>X572</v>
      </c>
    </row>
    <row r="574" spans="1:1">
      <c r="A574" s="2" t="str">
        <f>_xlfn.TEXTJOIN("",TRUE,Input!$B$2,ROW(My_Audit!A573))</f>
        <v>X573</v>
      </c>
    </row>
    <row r="575" spans="1:1">
      <c r="A575" s="2" t="str">
        <f>_xlfn.TEXTJOIN("",TRUE,Input!$B$2,ROW(My_Audit!A574))</f>
        <v>X574</v>
      </c>
    </row>
    <row r="576" spans="1:1">
      <c r="A576" s="2" t="str">
        <f>_xlfn.TEXTJOIN("",TRUE,Input!$B$2,ROW(My_Audit!A575))</f>
        <v>X575</v>
      </c>
    </row>
    <row r="577" spans="1:1">
      <c r="A577" s="2" t="str">
        <f>_xlfn.TEXTJOIN("",TRUE,Input!$B$2,ROW(My_Audit!A576))</f>
        <v>X576</v>
      </c>
    </row>
    <row r="578" spans="1:1">
      <c r="A578" s="2" t="str">
        <f>_xlfn.TEXTJOIN("",TRUE,Input!$B$2,ROW(My_Audit!A577))</f>
        <v>X577</v>
      </c>
    </row>
    <row r="579" spans="1:1">
      <c r="A579" s="2" t="str">
        <f>_xlfn.TEXTJOIN("",TRUE,Input!$B$2,ROW(My_Audit!A578))</f>
        <v>X578</v>
      </c>
    </row>
    <row r="580" spans="1:1">
      <c r="A580" s="2" t="str">
        <f>_xlfn.TEXTJOIN("",TRUE,Input!$B$2,ROW(My_Audit!A579))</f>
        <v>X579</v>
      </c>
    </row>
    <row r="581" spans="1:1">
      <c r="A581" s="2" t="str">
        <f>_xlfn.TEXTJOIN("",TRUE,Input!$B$2,ROW(My_Audit!A580))</f>
        <v>X580</v>
      </c>
    </row>
    <row r="582" spans="1:1">
      <c r="A582" s="2" t="str">
        <f>_xlfn.TEXTJOIN("",TRUE,Input!$B$2,ROW(My_Audit!A581))</f>
        <v>X581</v>
      </c>
    </row>
    <row r="583" spans="1:1">
      <c r="A583" s="2" t="str">
        <f>_xlfn.TEXTJOIN("",TRUE,Input!$B$2,ROW(My_Audit!A582))</f>
        <v>X582</v>
      </c>
    </row>
    <row r="584" spans="1:1">
      <c r="A584" s="2" t="str">
        <f>_xlfn.TEXTJOIN("",TRUE,Input!$B$2,ROW(My_Audit!A583))</f>
        <v>X583</v>
      </c>
    </row>
    <row r="585" spans="1:1">
      <c r="A585" s="2" t="str">
        <f>_xlfn.TEXTJOIN("",TRUE,Input!$B$2,ROW(My_Audit!A584))</f>
        <v>X584</v>
      </c>
    </row>
    <row r="586" spans="1:1">
      <c r="A586" s="2" t="str">
        <f>_xlfn.TEXTJOIN("",TRUE,Input!$B$2,ROW(My_Audit!A585))</f>
        <v>X585</v>
      </c>
    </row>
    <row r="587" spans="1:1">
      <c r="A587" s="2" t="str">
        <f>_xlfn.TEXTJOIN("",TRUE,Input!$B$2,ROW(My_Audit!A586))</f>
        <v>X586</v>
      </c>
    </row>
    <row r="588" spans="1:1">
      <c r="A588" s="2" t="str">
        <f>_xlfn.TEXTJOIN("",TRUE,Input!$B$2,ROW(My_Audit!A587))</f>
        <v>X587</v>
      </c>
    </row>
    <row r="589" spans="1:1">
      <c r="A589" s="2" t="str">
        <f>_xlfn.TEXTJOIN("",TRUE,Input!$B$2,ROW(My_Audit!A588))</f>
        <v>X588</v>
      </c>
    </row>
    <row r="590" spans="1:1">
      <c r="A590" s="2" t="str">
        <f>_xlfn.TEXTJOIN("",TRUE,Input!$B$2,ROW(My_Audit!A589))</f>
        <v>X589</v>
      </c>
    </row>
    <row r="591" spans="1:1">
      <c r="A591" s="2" t="str">
        <f>_xlfn.TEXTJOIN("",TRUE,Input!$B$2,ROW(My_Audit!A590))</f>
        <v>X590</v>
      </c>
    </row>
    <row r="592" spans="1:1">
      <c r="A592" s="2" t="str">
        <f>_xlfn.TEXTJOIN("",TRUE,Input!$B$2,ROW(My_Audit!A591))</f>
        <v>X591</v>
      </c>
    </row>
    <row r="593" spans="1:1">
      <c r="A593" s="2" t="str">
        <f>_xlfn.TEXTJOIN("",TRUE,Input!$B$2,ROW(My_Audit!A592))</f>
        <v>X592</v>
      </c>
    </row>
    <row r="594" spans="1:1">
      <c r="A594" s="2" t="str">
        <f>_xlfn.TEXTJOIN("",TRUE,Input!$B$2,ROW(My_Audit!A593))</f>
        <v>X593</v>
      </c>
    </row>
    <row r="595" spans="1:1">
      <c r="A595" s="2" t="str">
        <f>_xlfn.TEXTJOIN("",TRUE,Input!$B$2,ROW(My_Audit!A594))</f>
        <v>X594</v>
      </c>
    </row>
    <row r="596" spans="1:1">
      <c r="A596" s="2" t="str">
        <f>_xlfn.TEXTJOIN("",TRUE,Input!$B$2,ROW(My_Audit!A595))</f>
        <v>X595</v>
      </c>
    </row>
    <row r="597" spans="1:1">
      <c r="A597" s="2" t="str">
        <f>_xlfn.TEXTJOIN("",TRUE,Input!$B$2,ROW(My_Audit!A596))</f>
        <v>X596</v>
      </c>
    </row>
    <row r="598" spans="1:1">
      <c r="A598" s="2" t="str">
        <f>_xlfn.TEXTJOIN("",TRUE,Input!$B$2,ROW(My_Audit!A597))</f>
        <v>X597</v>
      </c>
    </row>
    <row r="599" spans="1:1">
      <c r="A599" s="2" t="str">
        <f>_xlfn.TEXTJOIN("",TRUE,Input!$B$2,ROW(My_Audit!A598))</f>
        <v>X598</v>
      </c>
    </row>
    <row r="600" spans="1:1">
      <c r="A600" s="2" t="str">
        <f>_xlfn.TEXTJOIN("",TRUE,Input!$B$2,ROW(My_Audit!A599))</f>
        <v>X599</v>
      </c>
    </row>
    <row r="601" spans="1:1">
      <c r="A601" s="2" t="str">
        <f>_xlfn.TEXTJOIN("",TRUE,Input!$B$2,ROW(My_Audit!A600))</f>
        <v>X600</v>
      </c>
    </row>
    <row r="602" spans="1:1">
      <c r="A602" s="2" t="str">
        <f>_xlfn.TEXTJOIN("",TRUE,Input!$B$2,ROW(My_Audit!A601))</f>
        <v>X601</v>
      </c>
    </row>
    <row r="603" spans="1:1">
      <c r="A603" s="2" t="str">
        <f>_xlfn.TEXTJOIN("",TRUE,Input!$B$2,ROW(My_Audit!A602))</f>
        <v>X602</v>
      </c>
    </row>
    <row r="604" spans="1:1">
      <c r="A604" s="2" t="str">
        <f>_xlfn.TEXTJOIN("",TRUE,Input!$B$2,ROW(My_Audit!A603))</f>
        <v>X603</v>
      </c>
    </row>
    <row r="605" spans="1:1">
      <c r="A605" s="2" t="str">
        <f>_xlfn.TEXTJOIN("",TRUE,Input!$B$2,ROW(My_Audit!A604))</f>
        <v>X604</v>
      </c>
    </row>
    <row r="606" spans="1:1">
      <c r="A606" s="2" t="str">
        <f>_xlfn.TEXTJOIN("",TRUE,Input!$B$2,ROW(My_Audit!A605))</f>
        <v>X605</v>
      </c>
    </row>
    <row r="607" spans="1:1">
      <c r="A607" s="2" t="str">
        <f>_xlfn.TEXTJOIN("",TRUE,Input!$B$2,ROW(My_Audit!A606))</f>
        <v>X606</v>
      </c>
    </row>
    <row r="608" spans="1:1">
      <c r="A608" s="2" t="str">
        <f>_xlfn.TEXTJOIN("",TRUE,Input!$B$2,ROW(My_Audit!A607))</f>
        <v>X607</v>
      </c>
    </row>
    <row r="609" spans="1:1">
      <c r="A609" s="2" t="str">
        <f>_xlfn.TEXTJOIN("",TRUE,Input!$B$2,ROW(My_Audit!A608))</f>
        <v>X608</v>
      </c>
    </row>
    <row r="610" spans="1:1">
      <c r="A610" s="2" t="str">
        <f>_xlfn.TEXTJOIN("",TRUE,Input!$B$2,ROW(My_Audit!A609))</f>
        <v>X609</v>
      </c>
    </row>
    <row r="611" spans="1:1">
      <c r="A611" s="2" t="str">
        <f>_xlfn.TEXTJOIN("",TRUE,Input!$B$2,ROW(My_Audit!A610))</f>
        <v>X610</v>
      </c>
    </row>
    <row r="612" spans="1:1">
      <c r="A612" s="2" t="str">
        <f>_xlfn.TEXTJOIN("",TRUE,Input!$B$2,ROW(My_Audit!A611))</f>
        <v>X611</v>
      </c>
    </row>
    <row r="613" spans="1:1">
      <c r="A613" s="2" t="str">
        <f>_xlfn.TEXTJOIN("",TRUE,Input!$B$2,ROW(My_Audit!A612))</f>
        <v>X612</v>
      </c>
    </row>
    <row r="614" spans="1:1">
      <c r="A614" s="2" t="str">
        <f>_xlfn.TEXTJOIN("",TRUE,Input!$B$2,ROW(My_Audit!A613))</f>
        <v>X613</v>
      </c>
    </row>
    <row r="615" spans="1:1">
      <c r="A615" s="2" t="str">
        <f>_xlfn.TEXTJOIN("",TRUE,Input!$B$2,ROW(My_Audit!A614))</f>
        <v>X614</v>
      </c>
    </row>
    <row r="616" spans="1:1">
      <c r="A616" s="2" t="str">
        <f>_xlfn.TEXTJOIN("",TRUE,Input!$B$2,ROW(My_Audit!A615))</f>
        <v>X615</v>
      </c>
    </row>
    <row r="617" spans="1:1">
      <c r="A617" s="2" t="str">
        <f>_xlfn.TEXTJOIN("",TRUE,Input!$B$2,ROW(My_Audit!A616))</f>
        <v>X616</v>
      </c>
    </row>
    <row r="618" spans="1:1">
      <c r="A618" s="2" t="str">
        <f>_xlfn.TEXTJOIN("",TRUE,Input!$B$2,ROW(My_Audit!A617))</f>
        <v>X617</v>
      </c>
    </row>
    <row r="619" spans="1:1">
      <c r="A619" s="2" t="str">
        <f>_xlfn.TEXTJOIN("",TRUE,Input!$B$2,ROW(My_Audit!A618))</f>
        <v>X618</v>
      </c>
    </row>
    <row r="620" spans="1:1">
      <c r="A620" s="2" t="str">
        <f>_xlfn.TEXTJOIN("",TRUE,Input!$B$2,ROW(My_Audit!A619))</f>
        <v>X619</v>
      </c>
    </row>
    <row r="621" spans="1:1">
      <c r="A621" s="2" t="str">
        <f>_xlfn.TEXTJOIN("",TRUE,Input!$B$2,ROW(My_Audit!A620))</f>
        <v>X620</v>
      </c>
    </row>
    <row r="622" spans="1:1">
      <c r="A622" s="2" t="str">
        <f>_xlfn.TEXTJOIN("",TRUE,Input!$B$2,ROW(My_Audit!A621))</f>
        <v>X621</v>
      </c>
    </row>
    <row r="623" spans="1:1">
      <c r="A623" s="2" t="str">
        <f>_xlfn.TEXTJOIN("",TRUE,Input!$B$2,ROW(My_Audit!A622))</f>
        <v>X622</v>
      </c>
    </row>
    <row r="624" spans="1:1">
      <c r="A624" s="2" t="str">
        <f>_xlfn.TEXTJOIN("",TRUE,Input!$B$2,ROW(My_Audit!A623))</f>
        <v>X623</v>
      </c>
    </row>
    <row r="625" spans="1:1">
      <c r="A625" s="2" t="str">
        <f>_xlfn.TEXTJOIN("",TRUE,Input!$B$2,ROW(My_Audit!A624))</f>
        <v>X624</v>
      </c>
    </row>
    <row r="626" spans="1:1">
      <c r="A626" s="2" t="str">
        <f>_xlfn.TEXTJOIN("",TRUE,Input!$B$2,ROW(My_Audit!A625))</f>
        <v>X625</v>
      </c>
    </row>
    <row r="627" spans="1:1">
      <c r="A627" s="2" t="str">
        <f>_xlfn.TEXTJOIN("",TRUE,Input!$B$2,ROW(My_Audit!A626))</f>
        <v>X626</v>
      </c>
    </row>
    <row r="628" spans="1:1">
      <c r="A628" s="2" t="str">
        <f>_xlfn.TEXTJOIN("",TRUE,Input!$B$2,ROW(My_Audit!A627))</f>
        <v>X627</v>
      </c>
    </row>
    <row r="629" spans="1:1">
      <c r="A629" s="2" t="str">
        <f>_xlfn.TEXTJOIN("",TRUE,Input!$B$2,ROW(My_Audit!A628))</f>
        <v>X628</v>
      </c>
    </row>
    <row r="630" spans="1:1">
      <c r="A630" s="2" t="str">
        <f>_xlfn.TEXTJOIN("",TRUE,Input!$B$2,ROW(My_Audit!A629))</f>
        <v>X629</v>
      </c>
    </row>
    <row r="631" spans="1:1">
      <c r="A631" s="2" t="str">
        <f>_xlfn.TEXTJOIN("",TRUE,Input!$B$2,ROW(My_Audit!A630))</f>
        <v>X630</v>
      </c>
    </row>
    <row r="632" spans="1:1">
      <c r="A632" s="2" t="str">
        <f>_xlfn.TEXTJOIN("",TRUE,Input!$B$2,ROW(My_Audit!A631))</f>
        <v>X631</v>
      </c>
    </row>
    <row r="633" spans="1:1">
      <c r="A633" s="2" t="str">
        <f>_xlfn.TEXTJOIN("",TRUE,Input!$B$2,ROW(My_Audit!A632))</f>
        <v>X632</v>
      </c>
    </row>
    <row r="634" spans="1:1">
      <c r="A634" s="2" t="str">
        <f>_xlfn.TEXTJOIN("",TRUE,Input!$B$2,ROW(My_Audit!A633))</f>
        <v>X633</v>
      </c>
    </row>
    <row r="635" spans="1:1">
      <c r="A635" s="2" t="str">
        <f>_xlfn.TEXTJOIN("",TRUE,Input!$B$2,ROW(My_Audit!A634))</f>
        <v>X634</v>
      </c>
    </row>
    <row r="636" spans="1:1">
      <c r="A636" s="2" t="str">
        <f>_xlfn.TEXTJOIN("",TRUE,Input!$B$2,ROW(My_Audit!A635))</f>
        <v>X635</v>
      </c>
    </row>
    <row r="637" spans="1:1">
      <c r="A637" s="2" t="str">
        <f>_xlfn.TEXTJOIN("",TRUE,Input!$B$2,ROW(My_Audit!A636))</f>
        <v>X636</v>
      </c>
    </row>
    <row r="638" spans="1:1">
      <c r="A638" s="2" t="str">
        <f>_xlfn.TEXTJOIN("",TRUE,Input!$B$2,ROW(My_Audit!A637))</f>
        <v>X637</v>
      </c>
    </row>
    <row r="639" spans="1:1">
      <c r="A639" s="2" t="str">
        <f>_xlfn.TEXTJOIN("",TRUE,Input!$B$2,ROW(My_Audit!A638))</f>
        <v>X638</v>
      </c>
    </row>
    <row r="640" spans="1:1">
      <c r="A640" s="2" t="str">
        <f>_xlfn.TEXTJOIN("",TRUE,Input!$B$2,ROW(My_Audit!A639))</f>
        <v>X639</v>
      </c>
    </row>
    <row r="641" spans="1:1">
      <c r="A641" s="2" t="str">
        <f>_xlfn.TEXTJOIN("",TRUE,Input!$B$2,ROW(My_Audit!A640))</f>
        <v>X640</v>
      </c>
    </row>
    <row r="642" spans="1:1">
      <c r="A642" s="2" t="str">
        <f>_xlfn.TEXTJOIN("",TRUE,Input!$B$2,ROW(My_Audit!A641))</f>
        <v>X641</v>
      </c>
    </row>
    <row r="643" spans="1:1">
      <c r="A643" s="2" t="str">
        <f>_xlfn.TEXTJOIN("",TRUE,Input!$B$2,ROW(My_Audit!A642))</f>
        <v>X642</v>
      </c>
    </row>
    <row r="644" spans="1:1">
      <c r="A644" s="2" t="str">
        <f>_xlfn.TEXTJOIN("",TRUE,Input!$B$2,ROW(My_Audit!A643))</f>
        <v>X643</v>
      </c>
    </row>
    <row r="645" spans="1:1">
      <c r="A645" s="2" t="str">
        <f>_xlfn.TEXTJOIN("",TRUE,Input!$B$2,ROW(My_Audit!A644))</f>
        <v>X644</v>
      </c>
    </row>
    <row r="646" spans="1:1">
      <c r="A646" s="2" t="str">
        <f>_xlfn.TEXTJOIN("",TRUE,Input!$B$2,ROW(My_Audit!A645))</f>
        <v>X645</v>
      </c>
    </row>
    <row r="647" spans="1:1">
      <c r="A647" s="2" t="str">
        <f>_xlfn.TEXTJOIN("",TRUE,Input!$B$2,ROW(My_Audit!A646))</f>
        <v>X646</v>
      </c>
    </row>
    <row r="648" spans="1:1">
      <c r="A648" s="2" t="str">
        <f>_xlfn.TEXTJOIN("",TRUE,Input!$B$2,ROW(My_Audit!A647))</f>
        <v>X647</v>
      </c>
    </row>
    <row r="649" spans="1:1">
      <c r="A649" s="2" t="str">
        <f>_xlfn.TEXTJOIN("",TRUE,Input!$B$2,ROW(My_Audit!A648))</f>
        <v>X648</v>
      </c>
    </row>
    <row r="650" spans="1:1">
      <c r="A650" s="2" t="str">
        <f>_xlfn.TEXTJOIN("",TRUE,Input!$B$2,ROW(My_Audit!A649))</f>
        <v>X649</v>
      </c>
    </row>
    <row r="651" spans="1:1">
      <c r="A651" s="2" t="str">
        <f>_xlfn.TEXTJOIN("",TRUE,Input!$B$2,ROW(My_Audit!A650))</f>
        <v>X650</v>
      </c>
    </row>
    <row r="652" spans="1:1">
      <c r="A652" s="2" t="str">
        <f>_xlfn.TEXTJOIN("",TRUE,Input!$B$2,ROW(My_Audit!A651))</f>
        <v>X651</v>
      </c>
    </row>
    <row r="653" spans="1:1">
      <c r="A653" s="2" t="str">
        <f>_xlfn.TEXTJOIN("",TRUE,Input!$B$2,ROW(My_Audit!A652))</f>
        <v>X652</v>
      </c>
    </row>
    <row r="654" spans="1:1">
      <c r="A654" s="2" t="str">
        <f>_xlfn.TEXTJOIN("",TRUE,Input!$B$2,ROW(My_Audit!A653))</f>
        <v>X653</v>
      </c>
    </row>
    <row r="655" spans="1:1">
      <c r="A655" s="2" t="str">
        <f>_xlfn.TEXTJOIN("",TRUE,Input!$B$2,ROW(My_Audit!A654))</f>
        <v>X654</v>
      </c>
    </row>
    <row r="656" spans="1:1">
      <c r="A656" s="2" t="str">
        <f>_xlfn.TEXTJOIN("",TRUE,Input!$B$2,ROW(My_Audit!A655))</f>
        <v>X655</v>
      </c>
    </row>
    <row r="657" spans="1:1">
      <c r="A657" s="2" t="str">
        <f>_xlfn.TEXTJOIN("",TRUE,Input!$B$2,ROW(My_Audit!A656))</f>
        <v>X656</v>
      </c>
    </row>
    <row r="658" spans="1:1">
      <c r="A658" s="2" t="str">
        <f>_xlfn.TEXTJOIN("",TRUE,Input!$B$2,ROW(My_Audit!A657))</f>
        <v>X657</v>
      </c>
    </row>
    <row r="659" spans="1:1">
      <c r="A659" s="2" t="str">
        <f>_xlfn.TEXTJOIN("",TRUE,Input!$B$2,ROW(My_Audit!A658))</f>
        <v>X658</v>
      </c>
    </row>
    <row r="660" spans="1:1">
      <c r="A660" s="2" t="str">
        <f>_xlfn.TEXTJOIN("",TRUE,Input!$B$2,ROW(My_Audit!A659))</f>
        <v>X659</v>
      </c>
    </row>
    <row r="661" spans="1:1">
      <c r="A661" s="2" t="str">
        <f>_xlfn.TEXTJOIN("",TRUE,Input!$B$2,ROW(My_Audit!A660))</f>
        <v>X660</v>
      </c>
    </row>
    <row r="662" spans="1:1">
      <c r="A662" s="2" t="str">
        <f>_xlfn.TEXTJOIN("",TRUE,Input!$B$2,ROW(My_Audit!A661))</f>
        <v>X661</v>
      </c>
    </row>
    <row r="663" spans="1:1">
      <c r="A663" s="2" t="str">
        <f>_xlfn.TEXTJOIN("",TRUE,Input!$B$2,ROW(My_Audit!A662))</f>
        <v>X662</v>
      </c>
    </row>
    <row r="664" spans="1:1">
      <c r="A664" s="2" t="str">
        <f>_xlfn.TEXTJOIN("",TRUE,Input!$B$2,ROW(My_Audit!A663))</f>
        <v>X663</v>
      </c>
    </row>
    <row r="665" spans="1:1">
      <c r="A665" s="2" t="str">
        <f>_xlfn.TEXTJOIN("",TRUE,Input!$B$2,ROW(My_Audit!A664))</f>
        <v>X664</v>
      </c>
    </row>
    <row r="666" spans="1:1">
      <c r="A666" s="2" t="str">
        <f>_xlfn.TEXTJOIN("",TRUE,Input!$B$2,ROW(My_Audit!A665))</f>
        <v>X665</v>
      </c>
    </row>
    <row r="667" spans="1:1">
      <c r="A667" s="2" t="str">
        <f>_xlfn.TEXTJOIN("",TRUE,Input!$B$2,ROW(My_Audit!A666))</f>
        <v>X666</v>
      </c>
    </row>
    <row r="668" spans="1:1">
      <c r="A668" s="2" t="str">
        <f>_xlfn.TEXTJOIN("",TRUE,Input!$B$2,ROW(My_Audit!A667))</f>
        <v>X667</v>
      </c>
    </row>
    <row r="669" spans="1:1">
      <c r="A669" s="2" t="str">
        <f>_xlfn.TEXTJOIN("",TRUE,Input!$B$2,ROW(My_Audit!A668))</f>
        <v>X668</v>
      </c>
    </row>
    <row r="670" spans="1:1">
      <c r="A670" s="2" t="str">
        <f>_xlfn.TEXTJOIN("",TRUE,Input!$B$2,ROW(My_Audit!A669))</f>
        <v>X669</v>
      </c>
    </row>
    <row r="671" spans="1:1">
      <c r="A671" s="2" t="str">
        <f>_xlfn.TEXTJOIN("",TRUE,Input!$B$2,ROW(My_Audit!A670))</f>
        <v>X670</v>
      </c>
    </row>
    <row r="672" spans="1:1">
      <c r="A672" s="2" t="str">
        <f>_xlfn.TEXTJOIN("",TRUE,Input!$B$2,ROW(My_Audit!A671))</f>
        <v>X671</v>
      </c>
    </row>
    <row r="673" spans="1:1">
      <c r="A673" s="2" t="str">
        <f>_xlfn.TEXTJOIN("",TRUE,Input!$B$2,ROW(My_Audit!A672))</f>
        <v>X672</v>
      </c>
    </row>
    <row r="674" spans="1:1">
      <c r="A674" s="2" t="str">
        <f>_xlfn.TEXTJOIN("",TRUE,Input!$B$2,ROW(My_Audit!A673))</f>
        <v>X673</v>
      </c>
    </row>
    <row r="675" spans="1:1">
      <c r="A675" s="2" t="str">
        <f>_xlfn.TEXTJOIN("",TRUE,Input!$B$2,ROW(My_Audit!A674))</f>
        <v>X674</v>
      </c>
    </row>
    <row r="676" spans="1:1">
      <c r="A676" s="2" t="str">
        <f>_xlfn.TEXTJOIN("",TRUE,Input!$B$2,ROW(My_Audit!A675))</f>
        <v>X675</v>
      </c>
    </row>
    <row r="677" spans="1:1">
      <c r="A677" s="2" t="str">
        <f>_xlfn.TEXTJOIN("",TRUE,Input!$B$2,ROW(My_Audit!A676))</f>
        <v>X676</v>
      </c>
    </row>
    <row r="678" spans="1:1">
      <c r="A678" s="2" t="str">
        <f>_xlfn.TEXTJOIN("",TRUE,Input!$B$2,ROW(My_Audit!A677))</f>
        <v>X677</v>
      </c>
    </row>
    <row r="679" spans="1:1">
      <c r="A679" s="2" t="str">
        <f>_xlfn.TEXTJOIN("",TRUE,Input!$B$2,ROW(My_Audit!A678))</f>
        <v>X678</v>
      </c>
    </row>
    <row r="680" spans="1:1">
      <c r="A680" s="2" t="str">
        <f>_xlfn.TEXTJOIN("",TRUE,Input!$B$2,ROW(My_Audit!A679))</f>
        <v>X679</v>
      </c>
    </row>
    <row r="681" spans="1:1">
      <c r="A681" s="2" t="str">
        <f>_xlfn.TEXTJOIN("",TRUE,Input!$B$2,ROW(My_Audit!A680))</f>
        <v>X680</v>
      </c>
    </row>
    <row r="682" spans="1:1">
      <c r="A682" s="2" t="str">
        <f>_xlfn.TEXTJOIN("",TRUE,Input!$B$2,ROW(My_Audit!A681))</f>
        <v>X681</v>
      </c>
    </row>
    <row r="683" spans="1:1">
      <c r="A683" s="2" t="str">
        <f>_xlfn.TEXTJOIN("",TRUE,Input!$B$2,ROW(My_Audit!A682))</f>
        <v>X682</v>
      </c>
    </row>
    <row r="684" spans="1:1">
      <c r="A684" s="2" t="str">
        <f>_xlfn.TEXTJOIN("",TRUE,Input!$B$2,ROW(My_Audit!A683))</f>
        <v>X683</v>
      </c>
    </row>
    <row r="685" spans="1:1">
      <c r="A685" s="2" t="str">
        <f>_xlfn.TEXTJOIN("",TRUE,Input!$B$2,ROW(My_Audit!A684))</f>
        <v>X684</v>
      </c>
    </row>
    <row r="686" spans="1:1">
      <c r="A686" s="2" t="str">
        <f>_xlfn.TEXTJOIN("",TRUE,Input!$B$2,ROW(My_Audit!A685))</f>
        <v>X685</v>
      </c>
    </row>
    <row r="687" spans="1:1">
      <c r="A687" s="2" t="str">
        <f>_xlfn.TEXTJOIN("",TRUE,Input!$B$2,ROW(My_Audit!A686))</f>
        <v>X686</v>
      </c>
    </row>
    <row r="688" spans="1:1">
      <c r="A688" s="2" t="str">
        <f>_xlfn.TEXTJOIN("",TRUE,Input!$B$2,ROW(My_Audit!A687))</f>
        <v>X687</v>
      </c>
    </row>
    <row r="689" spans="1:1">
      <c r="A689" s="2" t="str">
        <f>_xlfn.TEXTJOIN("",TRUE,Input!$B$2,ROW(My_Audit!A688))</f>
        <v>X688</v>
      </c>
    </row>
    <row r="690" spans="1:1">
      <c r="A690" s="2" t="str">
        <f>_xlfn.TEXTJOIN("",TRUE,Input!$B$2,ROW(My_Audit!A689))</f>
        <v>X689</v>
      </c>
    </row>
    <row r="691" spans="1:1">
      <c r="A691" s="2" t="str">
        <f>_xlfn.TEXTJOIN("",TRUE,Input!$B$2,ROW(My_Audit!A690))</f>
        <v>X690</v>
      </c>
    </row>
    <row r="692" spans="1:1">
      <c r="A692" s="2" t="str">
        <f>_xlfn.TEXTJOIN("",TRUE,Input!$B$2,ROW(My_Audit!A691))</f>
        <v>X691</v>
      </c>
    </row>
    <row r="693" spans="1:1">
      <c r="A693" s="2" t="str">
        <f>_xlfn.TEXTJOIN("",TRUE,Input!$B$2,ROW(My_Audit!A692))</f>
        <v>X692</v>
      </c>
    </row>
    <row r="694" spans="1:1">
      <c r="A694" s="2" t="str">
        <f>_xlfn.TEXTJOIN("",TRUE,Input!$B$2,ROW(My_Audit!A693))</f>
        <v>X693</v>
      </c>
    </row>
    <row r="695" spans="1:1">
      <c r="A695" s="2" t="str">
        <f>_xlfn.TEXTJOIN("",TRUE,Input!$B$2,ROW(My_Audit!A694))</f>
        <v>X694</v>
      </c>
    </row>
    <row r="696" spans="1:1">
      <c r="A696" s="2" t="str">
        <f>_xlfn.TEXTJOIN("",TRUE,Input!$B$2,ROW(My_Audit!A695))</f>
        <v>X695</v>
      </c>
    </row>
    <row r="697" spans="1:1">
      <c r="A697" s="2" t="str">
        <f>_xlfn.TEXTJOIN("",TRUE,Input!$B$2,ROW(My_Audit!A696))</f>
        <v>X696</v>
      </c>
    </row>
    <row r="698" spans="1:1">
      <c r="A698" s="2" t="str">
        <f>_xlfn.TEXTJOIN("",TRUE,Input!$B$2,ROW(My_Audit!A697))</f>
        <v>X697</v>
      </c>
    </row>
    <row r="699" spans="1:1">
      <c r="A699" s="2" t="str">
        <f>_xlfn.TEXTJOIN("",TRUE,Input!$B$2,ROW(My_Audit!A698))</f>
        <v>X698</v>
      </c>
    </row>
    <row r="700" spans="1:1">
      <c r="A700" s="2" t="str">
        <f>_xlfn.TEXTJOIN("",TRUE,Input!$B$2,ROW(My_Audit!A699))</f>
        <v>X699</v>
      </c>
    </row>
    <row r="701" spans="1:1">
      <c r="A701" s="2" t="str">
        <f>_xlfn.TEXTJOIN("",TRUE,Input!$B$2,ROW(My_Audit!A700))</f>
        <v>X700</v>
      </c>
    </row>
    <row r="702" spans="1:1">
      <c r="A702" s="2" t="str">
        <f>_xlfn.TEXTJOIN("",TRUE,Input!$B$2,ROW(My_Audit!A701))</f>
        <v>X701</v>
      </c>
    </row>
    <row r="703" spans="1:1">
      <c r="A703" s="2" t="str">
        <f>_xlfn.TEXTJOIN("",TRUE,Input!$B$2,ROW(My_Audit!A702))</f>
        <v>X702</v>
      </c>
    </row>
    <row r="704" spans="1:1">
      <c r="A704" s="2" t="str">
        <f>_xlfn.TEXTJOIN("",TRUE,Input!$B$2,ROW(My_Audit!A703))</f>
        <v>X703</v>
      </c>
    </row>
    <row r="705" spans="1:1">
      <c r="A705" s="2" t="str">
        <f>_xlfn.TEXTJOIN("",TRUE,Input!$B$2,ROW(My_Audit!A704))</f>
        <v>X704</v>
      </c>
    </row>
    <row r="706" spans="1:1">
      <c r="A706" s="2" t="str">
        <f>_xlfn.TEXTJOIN("",TRUE,Input!$B$2,ROW(My_Audit!A705))</f>
        <v>X705</v>
      </c>
    </row>
    <row r="707" spans="1:1">
      <c r="A707" s="2" t="str">
        <f>_xlfn.TEXTJOIN("",TRUE,Input!$B$2,ROW(My_Audit!A706))</f>
        <v>X706</v>
      </c>
    </row>
    <row r="708" spans="1:1">
      <c r="A708" s="2" t="str">
        <f>_xlfn.TEXTJOIN("",TRUE,Input!$B$2,ROW(My_Audit!A707))</f>
        <v>X707</v>
      </c>
    </row>
    <row r="709" spans="1:1">
      <c r="A709" s="2" t="str">
        <f>_xlfn.TEXTJOIN("",TRUE,Input!$B$2,ROW(My_Audit!A708))</f>
        <v>X708</v>
      </c>
    </row>
    <row r="710" spans="1:1">
      <c r="A710" s="2" t="str">
        <f>_xlfn.TEXTJOIN("",TRUE,Input!$B$2,ROW(My_Audit!A709))</f>
        <v>X709</v>
      </c>
    </row>
    <row r="711" spans="1:1">
      <c r="A711" s="2" t="str">
        <f>_xlfn.TEXTJOIN("",TRUE,Input!$B$2,ROW(My_Audit!A710))</f>
        <v>X710</v>
      </c>
    </row>
    <row r="712" spans="1:1">
      <c r="A712" s="2" t="str">
        <f>_xlfn.TEXTJOIN("",TRUE,Input!$B$2,ROW(My_Audit!A711))</f>
        <v>X711</v>
      </c>
    </row>
    <row r="713" spans="1:1">
      <c r="A713" s="2" t="str">
        <f>_xlfn.TEXTJOIN("",TRUE,Input!$B$2,ROW(My_Audit!A712))</f>
        <v>X712</v>
      </c>
    </row>
    <row r="714" spans="1:1">
      <c r="A714" s="2" t="str">
        <f>_xlfn.TEXTJOIN("",TRUE,Input!$B$2,ROW(My_Audit!A713))</f>
        <v>X713</v>
      </c>
    </row>
    <row r="715" spans="1:1">
      <c r="A715" s="2" t="str">
        <f>_xlfn.TEXTJOIN("",TRUE,Input!$B$2,ROW(My_Audit!A714))</f>
        <v>X714</v>
      </c>
    </row>
    <row r="716" spans="1:1">
      <c r="A716" s="2" t="str">
        <f>_xlfn.TEXTJOIN("",TRUE,Input!$B$2,ROW(My_Audit!A715))</f>
        <v>X715</v>
      </c>
    </row>
    <row r="717" spans="1:1">
      <c r="A717" s="2" t="str">
        <f>_xlfn.TEXTJOIN("",TRUE,Input!$B$2,ROW(My_Audit!A716))</f>
        <v>X716</v>
      </c>
    </row>
    <row r="718" spans="1:1">
      <c r="A718" s="2" t="str">
        <f>_xlfn.TEXTJOIN("",TRUE,Input!$B$2,ROW(My_Audit!A717))</f>
        <v>X717</v>
      </c>
    </row>
    <row r="719" spans="1:1">
      <c r="A719" s="2" t="str">
        <f>_xlfn.TEXTJOIN("",TRUE,Input!$B$2,ROW(My_Audit!A718))</f>
        <v>X718</v>
      </c>
    </row>
    <row r="720" spans="1:1">
      <c r="A720" s="2" t="str">
        <f>_xlfn.TEXTJOIN("",TRUE,Input!$B$2,ROW(My_Audit!A719))</f>
        <v>X719</v>
      </c>
    </row>
    <row r="721" spans="1:1">
      <c r="A721" s="2" t="str">
        <f>_xlfn.TEXTJOIN("",TRUE,Input!$B$2,ROW(My_Audit!A720))</f>
        <v>X720</v>
      </c>
    </row>
    <row r="722" spans="1:1">
      <c r="A722" s="2" t="str">
        <f>_xlfn.TEXTJOIN("",TRUE,Input!$B$2,ROW(My_Audit!A721))</f>
        <v>X721</v>
      </c>
    </row>
    <row r="723" spans="1:1">
      <c r="A723" s="2" t="str">
        <f>_xlfn.TEXTJOIN("",TRUE,Input!$B$2,ROW(My_Audit!A722))</f>
        <v>X722</v>
      </c>
    </row>
    <row r="724" spans="1:1">
      <c r="A724" s="2" t="str">
        <f>_xlfn.TEXTJOIN("",TRUE,Input!$B$2,ROW(My_Audit!A723))</f>
        <v>X723</v>
      </c>
    </row>
    <row r="725" spans="1:1">
      <c r="A725" s="2" t="str">
        <f>_xlfn.TEXTJOIN("",TRUE,Input!$B$2,ROW(My_Audit!A724))</f>
        <v>X724</v>
      </c>
    </row>
    <row r="726" spans="1:1">
      <c r="A726" s="2" t="str">
        <f>_xlfn.TEXTJOIN("",TRUE,Input!$B$2,ROW(My_Audit!A725))</f>
        <v>X725</v>
      </c>
    </row>
    <row r="727" spans="1:1">
      <c r="A727" s="2" t="str">
        <f>_xlfn.TEXTJOIN("",TRUE,Input!$B$2,ROW(My_Audit!A726))</f>
        <v>X726</v>
      </c>
    </row>
    <row r="728" spans="1:1">
      <c r="A728" s="2" t="str">
        <f>_xlfn.TEXTJOIN("",TRUE,Input!$B$2,ROW(My_Audit!A727))</f>
        <v>X727</v>
      </c>
    </row>
    <row r="729" spans="1:1">
      <c r="A729" s="2" t="str">
        <f>_xlfn.TEXTJOIN("",TRUE,Input!$B$2,ROW(My_Audit!A728))</f>
        <v>X728</v>
      </c>
    </row>
    <row r="730" spans="1:1">
      <c r="A730" s="2" t="str">
        <f>_xlfn.TEXTJOIN("",TRUE,Input!$B$2,ROW(My_Audit!A729))</f>
        <v>X729</v>
      </c>
    </row>
    <row r="731" spans="1:1">
      <c r="A731" s="2" t="str">
        <f>_xlfn.TEXTJOIN("",TRUE,Input!$B$2,ROW(My_Audit!A730))</f>
        <v>X730</v>
      </c>
    </row>
    <row r="732" spans="1:1">
      <c r="A732" s="2" t="str">
        <f>_xlfn.TEXTJOIN("",TRUE,Input!$B$2,ROW(My_Audit!A731))</f>
        <v>X731</v>
      </c>
    </row>
    <row r="733" spans="1:1">
      <c r="A733" s="2" t="str">
        <f>_xlfn.TEXTJOIN("",TRUE,Input!$B$2,ROW(My_Audit!A732))</f>
        <v>X732</v>
      </c>
    </row>
    <row r="734" spans="1:1">
      <c r="A734" s="2" t="str">
        <f>_xlfn.TEXTJOIN("",TRUE,Input!$B$2,ROW(My_Audit!A733))</f>
        <v>X733</v>
      </c>
    </row>
    <row r="735" spans="1:1">
      <c r="A735" s="2" t="str">
        <f>_xlfn.TEXTJOIN("",TRUE,Input!$B$2,ROW(My_Audit!A734))</f>
        <v>X734</v>
      </c>
    </row>
    <row r="736" spans="1:1">
      <c r="A736" s="2" t="str">
        <f>_xlfn.TEXTJOIN("",TRUE,Input!$B$2,ROW(My_Audit!A735))</f>
        <v>X735</v>
      </c>
    </row>
    <row r="737" spans="1:1">
      <c r="A737" s="2" t="str">
        <f>_xlfn.TEXTJOIN("",TRUE,Input!$B$2,ROW(My_Audit!A736))</f>
        <v>X736</v>
      </c>
    </row>
    <row r="738" spans="1:1">
      <c r="A738" s="2" t="str">
        <f>_xlfn.TEXTJOIN("",TRUE,Input!$B$2,ROW(My_Audit!A737))</f>
        <v>X737</v>
      </c>
    </row>
    <row r="739" spans="1:1">
      <c r="A739" s="2" t="str">
        <f>_xlfn.TEXTJOIN("",TRUE,Input!$B$2,ROW(My_Audit!A738))</f>
        <v>X738</v>
      </c>
    </row>
    <row r="740" spans="1:1">
      <c r="A740" s="2" t="str">
        <f>_xlfn.TEXTJOIN("",TRUE,Input!$B$2,ROW(My_Audit!A739))</f>
        <v>X739</v>
      </c>
    </row>
    <row r="741" spans="1:1">
      <c r="A741" s="2" t="str">
        <f>_xlfn.TEXTJOIN("",TRUE,Input!$B$2,ROW(My_Audit!A740))</f>
        <v>X740</v>
      </c>
    </row>
    <row r="742" spans="1:1">
      <c r="A742" s="2" t="str">
        <f>_xlfn.TEXTJOIN("",TRUE,Input!$B$2,ROW(My_Audit!A741))</f>
        <v>X741</v>
      </c>
    </row>
    <row r="743" spans="1:1">
      <c r="A743" s="2" t="str">
        <f>_xlfn.TEXTJOIN("",TRUE,Input!$B$2,ROW(My_Audit!A742))</f>
        <v>X742</v>
      </c>
    </row>
    <row r="744" spans="1:1">
      <c r="A744" s="2" t="str">
        <f>_xlfn.TEXTJOIN("",TRUE,Input!$B$2,ROW(My_Audit!A743))</f>
        <v>X743</v>
      </c>
    </row>
    <row r="745" spans="1:1">
      <c r="A745" s="2" t="str">
        <f>_xlfn.TEXTJOIN("",TRUE,Input!$B$2,ROW(My_Audit!A744))</f>
        <v>X744</v>
      </c>
    </row>
    <row r="746" spans="1:1">
      <c r="A746" s="2" t="str">
        <f>_xlfn.TEXTJOIN("",TRUE,Input!$B$2,ROW(My_Audit!A745))</f>
        <v>X745</v>
      </c>
    </row>
    <row r="747" spans="1:1">
      <c r="A747" s="2" t="str">
        <f>_xlfn.TEXTJOIN("",TRUE,Input!$B$2,ROW(My_Audit!A746))</f>
        <v>X746</v>
      </c>
    </row>
    <row r="748" spans="1:1">
      <c r="A748" s="2" t="str">
        <f>_xlfn.TEXTJOIN("",TRUE,Input!$B$2,ROW(My_Audit!A747))</f>
        <v>X747</v>
      </c>
    </row>
    <row r="749" spans="1:1">
      <c r="A749" s="2" t="str">
        <f>_xlfn.TEXTJOIN("",TRUE,Input!$B$2,ROW(My_Audit!A748))</f>
        <v>X748</v>
      </c>
    </row>
    <row r="750" spans="1:1">
      <c r="A750" s="2" t="str">
        <f>_xlfn.TEXTJOIN("",TRUE,Input!$B$2,ROW(My_Audit!A749))</f>
        <v>X749</v>
      </c>
    </row>
    <row r="751" spans="1:1">
      <c r="A751" s="2" t="str">
        <f>_xlfn.TEXTJOIN("",TRUE,Input!$B$2,ROW(My_Audit!A750))</f>
        <v>X750</v>
      </c>
    </row>
    <row r="752" spans="1:1">
      <c r="A752" s="2" t="str">
        <f>_xlfn.TEXTJOIN("",TRUE,Input!$B$2,ROW(My_Audit!A751))</f>
        <v>X751</v>
      </c>
    </row>
    <row r="753" spans="1:1">
      <c r="A753" s="2" t="str">
        <f>_xlfn.TEXTJOIN("",TRUE,Input!$B$2,ROW(My_Audit!A752))</f>
        <v>X752</v>
      </c>
    </row>
    <row r="754" spans="1:1">
      <c r="A754" s="2" t="str">
        <f>_xlfn.TEXTJOIN("",TRUE,Input!$B$2,ROW(My_Audit!A753))</f>
        <v>X753</v>
      </c>
    </row>
    <row r="755" spans="1:1">
      <c r="A755" s="2" t="str">
        <f>_xlfn.TEXTJOIN("",TRUE,Input!$B$2,ROW(My_Audit!A754))</f>
        <v>X754</v>
      </c>
    </row>
    <row r="756" spans="1:1">
      <c r="A756" s="2" t="str">
        <f>_xlfn.TEXTJOIN("",TRUE,Input!$B$2,ROW(My_Audit!A755))</f>
        <v>X755</v>
      </c>
    </row>
    <row r="757" spans="1:1">
      <c r="A757" s="2" t="str">
        <f>_xlfn.TEXTJOIN("",TRUE,Input!$B$2,ROW(My_Audit!A756))</f>
        <v>X756</v>
      </c>
    </row>
    <row r="758" spans="1:1">
      <c r="A758" s="2" t="str">
        <f>_xlfn.TEXTJOIN("",TRUE,Input!$B$2,ROW(My_Audit!A757))</f>
        <v>X757</v>
      </c>
    </row>
    <row r="759" spans="1:1">
      <c r="A759" s="2" t="str">
        <f>_xlfn.TEXTJOIN("",TRUE,Input!$B$2,ROW(My_Audit!A758))</f>
        <v>X758</v>
      </c>
    </row>
    <row r="760" spans="1:1">
      <c r="A760" s="2" t="str">
        <f>_xlfn.TEXTJOIN("",TRUE,Input!$B$2,ROW(My_Audit!A759))</f>
        <v>X759</v>
      </c>
    </row>
    <row r="761" spans="1:1">
      <c r="A761" s="2" t="str">
        <f>_xlfn.TEXTJOIN("",TRUE,Input!$B$2,ROW(My_Audit!A760))</f>
        <v>X760</v>
      </c>
    </row>
    <row r="762" spans="1:1">
      <c r="A762" s="2" t="str">
        <f>_xlfn.TEXTJOIN("",TRUE,Input!$B$2,ROW(My_Audit!A761))</f>
        <v>X761</v>
      </c>
    </row>
    <row r="763" spans="1:1">
      <c r="A763" s="2" t="str">
        <f>_xlfn.TEXTJOIN("",TRUE,Input!$B$2,ROW(My_Audit!A762))</f>
        <v>X762</v>
      </c>
    </row>
    <row r="764" spans="1:1">
      <c r="A764" s="2" t="str">
        <f>_xlfn.TEXTJOIN("",TRUE,Input!$B$2,ROW(My_Audit!A763))</f>
        <v>X763</v>
      </c>
    </row>
    <row r="765" spans="1:1">
      <c r="A765" s="2" t="str">
        <f>_xlfn.TEXTJOIN("",TRUE,Input!$B$2,ROW(My_Audit!A764))</f>
        <v>X764</v>
      </c>
    </row>
    <row r="766" spans="1:1">
      <c r="A766" s="2" t="str">
        <f>_xlfn.TEXTJOIN("",TRUE,Input!$B$2,ROW(My_Audit!A765))</f>
        <v>X765</v>
      </c>
    </row>
    <row r="767" spans="1:1">
      <c r="A767" s="2" t="str">
        <f>_xlfn.TEXTJOIN("",TRUE,Input!$B$2,ROW(My_Audit!A766))</f>
        <v>X766</v>
      </c>
    </row>
    <row r="768" spans="1:1">
      <c r="A768" s="2" t="str">
        <f>_xlfn.TEXTJOIN("",TRUE,Input!$B$2,ROW(My_Audit!A767))</f>
        <v>X767</v>
      </c>
    </row>
    <row r="769" spans="1:1">
      <c r="A769" s="2" t="str">
        <f>_xlfn.TEXTJOIN("",TRUE,Input!$B$2,ROW(My_Audit!A768))</f>
        <v>X768</v>
      </c>
    </row>
    <row r="770" spans="1:1">
      <c r="A770" s="2" t="str">
        <f>_xlfn.TEXTJOIN("",TRUE,Input!$B$2,ROW(My_Audit!A769))</f>
        <v>X769</v>
      </c>
    </row>
    <row r="771" spans="1:1">
      <c r="A771" s="2" t="str">
        <f>_xlfn.TEXTJOIN("",TRUE,Input!$B$2,ROW(My_Audit!A770))</f>
        <v>X770</v>
      </c>
    </row>
    <row r="772" spans="1:1">
      <c r="A772" s="2" t="str">
        <f>_xlfn.TEXTJOIN("",TRUE,Input!$B$2,ROW(My_Audit!A771))</f>
        <v>X771</v>
      </c>
    </row>
    <row r="773" spans="1:1">
      <c r="A773" s="2" t="str">
        <f>_xlfn.TEXTJOIN("",TRUE,Input!$B$2,ROW(My_Audit!A772))</f>
        <v>X772</v>
      </c>
    </row>
    <row r="774" spans="1:1">
      <c r="A774" s="2" t="str">
        <f>_xlfn.TEXTJOIN("",TRUE,Input!$B$2,ROW(My_Audit!A773))</f>
        <v>X773</v>
      </c>
    </row>
    <row r="775" spans="1:1">
      <c r="A775" s="2" t="str">
        <f>_xlfn.TEXTJOIN("",TRUE,Input!$B$2,ROW(My_Audit!A774))</f>
        <v>X774</v>
      </c>
    </row>
    <row r="776" spans="1:1">
      <c r="A776" s="2" t="str">
        <f>_xlfn.TEXTJOIN("",TRUE,Input!$B$2,ROW(My_Audit!A775))</f>
        <v>X775</v>
      </c>
    </row>
    <row r="777" spans="1:1">
      <c r="A777" s="2" t="str">
        <f>_xlfn.TEXTJOIN("",TRUE,Input!$B$2,ROW(My_Audit!A776))</f>
        <v>X776</v>
      </c>
    </row>
    <row r="778" spans="1:1">
      <c r="A778" s="2" t="str">
        <f>_xlfn.TEXTJOIN("",TRUE,Input!$B$2,ROW(My_Audit!A777))</f>
        <v>X777</v>
      </c>
    </row>
    <row r="779" spans="1:1">
      <c r="A779" s="2" t="str">
        <f>_xlfn.TEXTJOIN("",TRUE,Input!$B$2,ROW(My_Audit!A778))</f>
        <v>X778</v>
      </c>
    </row>
    <row r="780" spans="1:1">
      <c r="A780" s="2" t="str">
        <f>_xlfn.TEXTJOIN("",TRUE,Input!$B$2,ROW(My_Audit!A779))</f>
        <v>X779</v>
      </c>
    </row>
    <row r="781" spans="1:1">
      <c r="A781" s="2" t="str">
        <f>_xlfn.TEXTJOIN("",TRUE,Input!$B$2,ROW(My_Audit!A780))</f>
        <v>X780</v>
      </c>
    </row>
    <row r="782" spans="1:1">
      <c r="A782" s="2" t="str">
        <f>_xlfn.TEXTJOIN("",TRUE,Input!$B$2,ROW(My_Audit!A781))</f>
        <v>X781</v>
      </c>
    </row>
    <row r="783" spans="1:1">
      <c r="A783" s="2" t="str">
        <f>_xlfn.TEXTJOIN("",TRUE,Input!$B$2,ROW(My_Audit!A782))</f>
        <v>X782</v>
      </c>
    </row>
    <row r="784" spans="1:1">
      <c r="A784" s="2" t="str">
        <f>_xlfn.TEXTJOIN("",TRUE,Input!$B$2,ROW(My_Audit!A783))</f>
        <v>X783</v>
      </c>
    </row>
    <row r="785" spans="1:1">
      <c r="A785" s="2" t="str">
        <f>_xlfn.TEXTJOIN("",TRUE,Input!$B$2,ROW(My_Audit!A784))</f>
        <v>X784</v>
      </c>
    </row>
    <row r="786" spans="1:1">
      <c r="A786" s="2" t="str">
        <f>_xlfn.TEXTJOIN("",TRUE,Input!$B$2,ROW(My_Audit!A785))</f>
        <v>X785</v>
      </c>
    </row>
    <row r="787" spans="1:1">
      <c r="A787" s="2" t="str">
        <f>_xlfn.TEXTJOIN("",TRUE,Input!$B$2,ROW(My_Audit!A786))</f>
        <v>X786</v>
      </c>
    </row>
    <row r="788" spans="1:1">
      <c r="A788" s="2" t="str">
        <f>_xlfn.TEXTJOIN("",TRUE,Input!$B$2,ROW(My_Audit!A787))</f>
        <v>X787</v>
      </c>
    </row>
    <row r="789" spans="1:1">
      <c r="A789" s="2" t="str">
        <f>_xlfn.TEXTJOIN("",TRUE,Input!$B$2,ROW(My_Audit!A788))</f>
        <v>X788</v>
      </c>
    </row>
    <row r="790" spans="1:1">
      <c r="A790" s="2" t="str">
        <f>_xlfn.TEXTJOIN("",TRUE,Input!$B$2,ROW(My_Audit!A789))</f>
        <v>X789</v>
      </c>
    </row>
    <row r="791" spans="1:1">
      <c r="A791" s="2" t="str">
        <f>_xlfn.TEXTJOIN("",TRUE,Input!$B$2,ROW(My_Audit!A790))</f>
        <v>X790</v>
      </c>
    </row>
    <row r="792" spans="1:1">
      <c r="A792" s="2" t="str">
        <f>_xlfn.TEXTJOIN("",TRUE,Input!$B$2,ROW(My_Audit!A791))</f>
        <v>X791</v>
      </c>
    </row>
    <row r="793" spans="1:1">
      <c r="A793" s="2" t="str">
        <f>_xlfn.TEXTJOIN("",TRUE,Input!$B$2,ROW(My_Audit!A792))</f>
        <v>X792</v>
      </c>
    </row>
    <row r="794" spans="1:1">
      <c r="A794" s="2" t="str">
        <f>_xlfn.TEXTJOIN("",TRUE,Input!$B$2,ROW(My_Audit!A793))</f>
        <v>X793</v>
      </c>
    </row>
    <row r="795" spans="1:1">
      <c r="A795" s="2" t="str">
        <f>_xlfn.TEXTJOIN("",TRUE,Input!$B$2,ROW(My_Audit!A794))</f>
        <v>X794</v>
      </c>
    </row>
    <row r="796" spans="1:1">
      <c r="A796" s="2" t="str">
        <f>_xlfn.TEXTJOIN("",TRUE,Input!$B$2,ROW(My_Audit!A795))</f>
        <v>X795</v>
      </c>
    </row>
    <row r="797" spans="1:1">
      <c r="A797" s="2" t="str">
        <f>_xlfn.TEXTJOIN("",TRUE,Input!$B$2,ROW(My_Audit!A796))</f>
        <v>X796</v>
      </c>
    </row>
    <row r="798" spans="1:1">
      <c r="A798" s="2" t="str">
        <f>_xlfn.TEXTJOIN("",TRUE,Input!$B$2,ROW(My_Audit!A797))</f>
        <v>X797</v>
      </c>
    </row>
    <row r="799" spans="1:1">
      <c r="A799" s="2" t="str">
        <f>_xlfn.TEXTJOIN("",TRUE,Input!$B$2,ROW(My_Audit!A798))</f>
        <v>X798</v>
      </c>
    </row>
    <row r="800" spans="1:1">
      <c r="A800" s="2" t="str">
        <f>_xlfn.TEXTJOIN("",TRUE,Input!$B$2,ROW(My_Audit!A799))</f>
        <v>X799</v>
      </c>
    </row>
    <row r="801" spans="1:1">
      <c r="A801" s="2" t="str">
        <f>_xlfn.TEXTJOIN("",TRUE,Input!$B$2,ROW(My_Audit!A800))</f>
        <v>X800</v>
      </c>
    </row>
    <row r="802" spans="1:1">
      <c r="A802" s="2" t="str">
        <f>_xlfn.TEXTJOIN("",TRUE,Input!$B$2,ROW(My_Audit!A801))</f>
        <v>X801</v>
      </c>
    </row>
    <row r="803" spans="1:1">
      <c r="A803" s="2" t="str">
        <f>_xlfn.TEXTJOIN("",TRUE,Input!$B$2,ROW(My_Audit!A802))</f>
        <v>X802</v>
      </c>
    </row>
    <row r="804" spans="1:1">
      <c r="A804" s="2" t="str">
        <f>_xlfn.TEXTJOIN("",TRUE,Input!$B$2,ROW(My_Audit!A803))</f>
        <v>X803</v>
      </c>
    </row>
    <row r="805" spans="1:1">
      <c r="A805" s="2" t="str">
        <f>_xlfn.TEXTJOIN("",TRUE,Input!$B$2,ROW(My_Audit!A804))</f>
        <v>X804</v>
      </c>
    </row>
    <row r="806" spans="1:1">
      <c r="A806" s="2" t="str">
        <f>_xlfn.TEXTJOIN("",TRUE,Input!$B$2,ROW(My_Audit!A805))</f>
        <v>X805</v>
      </c>
    </row>
    <row r="807" spans="1:1">
      <c r="A807" s="2" t="str">
        <f>_xlfn.TEXTJOIN("",TRUE,Input!$B$2,ROW(My_Audit!A806))</f>
        <v>X806</v>
      </c>
    </row>
    <row r="808" spans="1:1">
      <c r="A808" s="2" t="str">
        <f>_xlfn.TEXTJOIN("",TRUE,Input!$B$2,ROW(My_Audit!A807))</f>
        <v>X807</v>
      </c>
    </row>
    <row r="809" spans="1:1">
      <c r="A809" s="2" t="str">
        <f>_xlfn.TEXTJOIN("",TRUE,Input!$B$2,ROW(My_Audit!A808))</f>
        <v>X808</v>
      </c>
    </row>
    <row r="810" spans="1:1">
      <c r="A810" s="2" t="str">
        <f>_xlfn.TEXTJOIN("",TRUE,Input!$B$2,ROW(My_Audit!A809))</f>
        <v>X809</v>
      </c>
    </row>
    <row r="811" spans="1:1">
      <c r="A811" s="2" t="str">
        <f>_xlfn.TEXTJOIN("",TRUE,Input!$B$2,ROW(My_Audit!A810))</f>
        <v>X810</v>
      </c>
    </row>
    <row r="812" spans="1:1">
      <c r="A812" s="2" t="str">
        <f>_xlfn.TEXTJOIN("",TRUE,Input!$B$2,ROW(My_Audit!A811))</f>
        <v>X811</v>
      </c>
    </row>
    <row r="813" spans="1:1">
      <c r="A813" s="2" t="str">
        <f>_xlfn.TEXTJOIN("",TRUE,Input!$B$2,ROW(My_Audit!A812))</f>
        <v>X812</v>
      </c>
    </row>
    <row r="814" spans="1:1">
      <c r="A814" s="2" t="str">
        <f>_xlfn.TEXTJOIN("",TRUE,Input!$B$2,ROW(My_Audit!A813))</f>
        <v>X813</v>
      </c>
    </row>
    <row r="815" spans="1:1">
      <c r="A815" s="2" t="str">
        <f>_xlfn.TEXTJOIN("",TRUE,Input!$B$2,ROW(My_Audit!A814))</f>
        <v>X814</v>
      </c>
    </row>
    <row r="816" spans="1:1">
      <c r="A816" s="2" t="str">
        <f>_xlfn.TEXTJOIN("",TRUE,Input!$B$2,ROW(My_Audit!A815))</f>
        <v>X815</v>
      </c>
    </row>
    <row r="817" spans="1:1">
      <c r="A817" s="2" t="str">
        <f>_xlfn.TEXTJOIN("",TRUE,Input!$B$2,ROW(My_Audit!A816))</f>
        <v>X816</v>
      </c>
    </row>
    <row r="818" spans="1:1">
      <c r="A818" s="2" t="str">
        <f>_xlfn.TEXTJOIN("",TRUE,Input!$B$2,ROW(My_Audit!A817))</f>
        <v>X817</v>
      </c>
    </row>
    <row r="819" spans="1:1">
      <c r="A819" s="2" t="str">
        <f>_xlfn.TEXTJOIN("",TRUE,Input!$B$2,ROW(My_Audit!A818))</f>
        <v>X818</v>
      </c>
    </row>
    <row r="820" spans="1:1">
      <c r="A820" s="2" t="str">
        <f>_xlfn.TEXTJOIN("",TRUE,Input!$B$2,ROW(My_Audit!A819))</f>
        <v>X819</v>
      </c>
    </row>
    <row r="821" spans="1:1">
      <c r="A821" s="2" t="str">
        <f>_xlfn.TEXTJOIN("",TRUE,Input!$B$2,ROW(My_Audit!A820))</f>
        <v>X820</v>
      </c>
    </row>
    <row r="822" spans="1:1">
      <c r="A822" s="2" t="str">
        <f>_xlfn.TEXTJOIN("",TRUE,Input!$B$2,ROW(My_Audit!A821))</f>
        <v>X821</v>
      </c>
    </row>
    <row r="823" spans="1:1">
      <c r="A823" s="2" t="str">
        <f>_xlfn.TEXTJOIN("",TRUE,Input!$B$2,ROW(My_Audit!A822))</f>
        <v>X822</v>
      </c>
    </row>
    <row r="824" spans="1:1">
      <c r="A824" s="2" t="str">
        <f>_xlfn.TEXTJOIN("",TRUE,Input!$B$2,ROW(My_Audit!A823))</f>
        <v>X823</v>
      </c>
    </row>
    <row r="825" spans="1:1">
      <c r="A825" s="2" t="str">
        <f>_xlfn.TEXTJOIN("",TRUE,Input!$B$2,ROW(My_Audit!A824))</f>
        <v>X824</v>
      </c>
    </row>
    <row r="826" spans="1:1">
      <c r="A826" s="2" t="str">
        <f>_xlfn.TEXTJOIN("",TRUE,Input!$B$2,ROW(My_Audit!A825))</f>
        <v>X825</v>
      </c>
    </row>
    <row r="827" spans="1:1">
      <c r="A827" s="2" t="str">
        <f>_xlfn.TEXTJOIN("",TRUE,Input!$B$2,ROW(My_Audit!A826))</f>
        <v>X826</v>
      </c>
    </row>
    <row r="828" spans="1:1">
      <c r="A828" s="2" t="str">
        <f>_xlfn.TEXTJOIN("",TRUE,Input!$B$2,ROW(My_Audit!A827))</f>
        <v>X827</v>
      </c>
    </row>
    <row r="829" spans="1:1">
      <c r="A829" s="2" t="str">
        <f>_xlfn.TEXTJOIN("",TRUE,Input!$B$2,ROW(My_Audit!A828))</f>
        <v>X828</v>
      </c>
    </row>
    <row r="830" spans="1:1">
      <c r="A830" s="2" t="str">
        <f>_xlfn.TEXTJOIN("",TRUE,Input!$B$2,ROW(My_Audit!A829))</f>
        <v>X829</v>
      </c>
    </row>
    <row r="831" spans="1:1">
      <c r="A831" s="2" t="str">
        <f>_xlfn.TEXTJOIN("",TRUE,Input!$B$2,ROW(My_Audit!A830))</f>
        <v>X830</v>
      </c>
    </row>
    <row r="832" spans="1:1">
      <c r="A832" s="2" t="str">
        <f>_xlfn.TEXTJOIN("",TRUE,Input!$B$2,ROW(My_Audit!A831))</f>
        <v>X831</v>
      </c>
    </row>
    <row r="833" spans="1:1">
      <c r="A833" s="2" t="str">
        <f>_xlfn.TEXTJOIN("",TRUE,Input!$B$2,ROW(My_Audit!A832))</f>
        <v>X832</v>
      </c>
    </row>
    <row r="834" spans="1:1">
      <c r="A834" s="2" t="str">
        <f>_xlfn.TEXTJOIN("",TRUE,Input!$B$2,ROW(My_Audit!A833))</f>
        <v>X833</v>
      </c>
    </row>
    <row r="835" spans="1:1">
      <c r="A835" s="2" t="str">
        <f>_xlfn.TEXTJOIN("",TRUE,Input!$B$2,ROW(My_Audit!A834))</f>
        <v>X834</v>
      </c>
    </row>
    <row r="836" spans="1:1">
      <c r="A836" s="2" t="str">
        <f>_xlfn.TEXTJOIN("",TRUE,Input!$B$2,ROW(My_Audit!A835))</f>
        <v>X835</v>
      </c>
    </row>
    <row r="837" spans="1:1">
      <c r="A837" s="2" t="str">
        <f>_xlfn.TEXTJOIN("",TRUE,Input!$B$2,ROW(My_Audit!A836))</f>
        <v>X836</v>
      </c>
    </row>
    <row r="838" spans="1:1">
      <c r="A838" s="2" t="str">
        <f>_xlfn.TEXTJOIN("",TRUE,Input!$B$2,ROW(My_Audit!A837))</f>
        <v>X837</v>
      </c>
    </row>
    <row r="839" spans="1:1">
      <c r="A839" s="2" t="str">
        <f>_xlfn.TEXTJOIN("",TRUE,Input!$B$2,ROW(My_Audit!A838))</f>
        <v>X838</v>
      </c>
    </row>
    <row r="840" spans="1:1">
      <c r="A840" s="2" t="str">
        <f>_xlfn.TEXTJOIN("",TRUE,Input!$B$2,ROW(My_Audit!A839))</f>
        <v>X839</v>
      </c>
    </row>
    <row r="841" spans="1:1">
      <c r="A841" s="2" t="str">
        <f>_xlfn.TEXTJOIN("",TRUE,Input!$B$2,ROW(My_Audit!A840))</f>
        <v>X840</v>
      </c>
    </row>
    <row r="842" spans="1:1">
      <c r="A842" s="2" t="str">
        <f>_xlfn.TEXTJOIN("",TRUE,Input!$B$2,ROW(My_Audit!A841))</f>
        <v>X841</v>
      </c>
    </row>
    <row r="843" spans="1:1">
      <c r="A843" s="2" t="str">
        <f>_xlfn.TEXTJOIN("",TRUE,Input!$B$2,ROW(My_Audit!A842))</f>
        <v>X842</v>
      </c>
    </row>
    <row r="844" spans="1:1">
      <c r="A844" s="2" t="str">
        <f>_xlfn.TEXTJOIN("",TRUE,Input!$B$2,ROW(My_Audit!A843))</f>
        <v>X843</v>
      </c>
    </row>
    <row r="845" spans="1:1">
      <c r="A845" s="2" t="str">
        <f>_xlfn.TEXTJOIN("",TRUE,Input!$B$2,ROW(My_Audit!A844))</f>
        <v>X844</v>
      </c>
    </row>
    <row r="846" spans="1:1">
      <c r="A846" s="2" t="str">
        <f>_xlfn.TEXTJOIN("",TRUE,Input!$B$2,ROW(My_Audit!A845))</f>
        <v>X845</v>
      </c>
    </row>
    <row r="847" spans="1:1">
      <c r="A847" s="2" t="str">
        <f>_xlfn.TEXTJOIN("",TRUE,Input!$B$2,ROW(My_Audit!A846))</f>
        <v>X846</v>
      </c>
    </row>
    <row r="848" spans="1:1">
      <c r="A848" s="2" t="str">
        <f>_xlfn.TEXTJOIN("",TRUE,Input!$B$2,ROW(My_Audit!A847))</f>
        <v>X847</v>
      </c>
    </row>
    <row r="849" spans="1:1">
      <c r="A849" s="2" t="str">
        <f>_xlfn.TEXTJOIN("",TRUE,Input!$B$2,ROW(My_Audit!A848))</f>
        <v>X848</v>
      </c>
    </row>
    <row r="850" spans="1:1">
      <c r="A850" s="2" t="str">
        <f>_xlfn.TEXTJOIN("",TRUE,Input!$B$2,ROW(My_Audit!A849))</f>
        <v>X849</v>
      </c>
    </row>
    <row r="851" spans="1:1">
      <c r="A851" s="2" t="str">
        <f>_xlfn.TEXTJOIN("",TRUE,Input!$B$2,ROW(My_Audit!A850))</f>
        <v>X850</v>
      </c>
    </row>
    <row r="852" spans="1:1">
      <c r="A852" s="2" t="str">
        <f>_xlfn.TEXTJOIN("",TRUE,Input!$B$2,ROW(My_Audit!A851))</f>
        <v>X851</v>
      </c>
    </row>
    <row r="853" spans="1:1">
      <c r="A853" s="2" t="str">
        <f>_xlfn.TEXTJOIN("",TRUE,Input!$B$2,ROW(My_Audit!A852))</f>
        <v>X852</v>
      </c>
    </row>
    <row r="854" spans="1:1">
      <c r="A854" s="2" t="str">
        <f>_xlfn.TEXTJOIN("",TRUE,Input!$B$2,ROW(My_Audit!A853))</f>
        <v>X853</v>
      </c>
    </row>
    <row r="855" spans="1:1">
      <c r="A855" s="2" t="str">
        <f>_xlfn.TEXTJOIN("",TRUE,Input!$B$2,ROW(My_Audit!A854))</f>
        <v>X854</v>
      </c>
    </row>
    <row r="856" spans="1:1">
      <c r="A856" s="2" t="str">
        <f>_xlfn.TEXTJOIN("",TRUE,Input!$B$2,ROW(My_Audit!A855))</f>
        <v>X855</v>
      </c>
    </row>
    <row r="857" spans="1:1">
      <c r="A857" s="2" t="str">
        <f>_xlfn.TEXTJOIN("",TRUE,Input!$B$2,ROW(My_Audit!A856))</f>
        <v>X856</v>
      </c>
    </row>
    <row r="858" spans="1:1">
      <c r="A858" s="2" t="str">
        <f>_xlfn.TEXTJOIN("",TRUE,Input!$B$2,ROW(My_Audit!A857))</f>
        <v>X857</v>
      </c>
    </row>
    <row r="859" spans="1:1">
      <c r="A859" s="2" t="str">
        <f>_xlfn.TEXTJOIN("",TRUE,Input!$B$2,ROW(My_Audit!A858))</f>
        <v>X858</v>
      </c>
    </row>
    <row r="860" spans="1:1">
      <c r="A860" s="2" t="str">
        <f>_xlfn.TEXTJOIN("",TRUE,Input!$B$2,ROW(My_Audit!A859))</f>
        <v>X859</v>
      </c>
    </row>
    <row r="861" spans="1:1">
      <c r="A861" s="2" t="str">
        <f>_xlfn.TEXTJOIN("",TRUE,Input!$B$2,ROW(My_Audit!A860))</f>
        <v>X860</v>
      </c>
    </row>
    <row r="862" spans="1:1">
      <c r="A862" s="2" t="str">
        <f>_xlfn.TEXTJOIN("",TRUE,Input!$B$2,ROW(My_Audit!A861))</f>
        <v>X861</v>
      </c>
    </row>
    <row r="863" spans="1:1">
      <c r="A863" s="2" t="str">
        <f>_xlfn.TEXTJOIN("",TRUE,Input!$B$2,ROW(My_Audit!A862))</f>
        <v>X862</v>
      </c>
    </row>
    <row r="864" spans="1:1">
      <c r="A864" s="2" t="str">
        <f>_xlfn.TEXTJOIN("",TRUE,Input!$B$2,ROW(My_Audit!A863))</f>
        <v>X863</v>
      </c>
    </row>
    <row r="865" spans="1:1">
      <c r="A865" s="2" t="str">
        <f>_xlfn.TEXTJOIN("",TRUE,Input!$B$2,ROW(My_Audit!A864))</f>
        <v>X864</v>
      </c>
    </row>
    <row r="866" spans="1:1">
      <c r="A866" s="2" t="str">
        <f>_xlfn.TEXTJOIN("",TRUE,Input!$B$2,ROW(My_Audit!A865))</f>
        <v>X865</v>
      </c>
    </row>
    <row r="867" spans="1:1">
      <c r="A867" s="2" t="str">
        <f>_xlfn.TEXTJOIN("",TRUE,Input!$B$2,ROW(My_Audit!A866))</f>
        <v>X866</v>
      </c>
    </row>
    <row r="868" spans="1:1">
      <c r="A868" s="2" t="str">
        <f>_xlfn.TEXTJOIN("",TRUE,Input!$B$2,ROW(My_Audit!A867))</f>
        <v>X867</v>
      </c>
    </row>
    <row r="869" spans="1:1">
      <c r="A869" s="2" t="str">
        <f>_xlfn.TEXTJOIN("",TRUE,Input!$B$2,ROW(My_Audit!A868))</f>
        <v>X868</v>
      </c>
    </row>
    <row r="870" spans="1:1">
      <c r="A870" s="2" t="str">
        <f>_xlfn.TEXTJOIN("",TRUE,Input!$B$2,ROW(My_Audit!A869))</f>
        <v>X869</v>
      </c>
    </row>
    <row r="871" spans="1:1">
      <c r="A871" s="2" t="str">
        <f>_xlfn.TEXTJOIN("",TRUE,Input!$B$2,ROW(My_Audit!A870))</f>
        <v>X870</v>
      </c>
    </row>
    <row r="872" spans="1:1">
      <c r="A872" s="2" t="str">
        <f>_xlfn.TEXTJOIN("",TRUE,Input!$B$2,ROW(My_Audit!A871))</f>
        <v>X871</v>
      </c>
    </row>
    <row r="873" spans="1:1">
      <c r="A873" s="2" t="str">
        <f>_xlfn.TEXTJOIN("",TRUE,Input!$B$2,ROW(My_Audit!A872))</f>
        <v>X872</v>
      </c>
    </row>
    <row r="874" spans="1:1">
      <c r="A874" s="2" t="str">
        <f>_xlfn.TEXTJOIN("",TRUE,Input!$B$2,ROW(My_Audit!A873))</f>
        <v>X873</v>
      </c>
    </row>
    <row r="875" spans="1:1">
      <c r="A875" s="2" t="str">
        <f>_xlfn.TEXTJOIN("",TRUE,Input!$B$2,ROW(My_Audit!A874))</f>
        <v>X874</v>
      </c>
    </row>
    <row r="876" spans="1:1">
      <c r="A876" s="2" t="str">
        <f>_xlfn.TEXTJOIN("",TRUE,Input!$B$2,ROW(My_Audit!A875))</f>
        <v>X875</v>
      </c>
    </row>
    <row r="877" spans="1:1">
      <c r="A877" s="2" t="str">
        <f>_xlfn.TEXTJOIN("",TRUE,Input!$B$2,ROW(My_Audit!A876))</f>
        <v>X876</v>
      </c>
    </row>
    <row r="878" spans="1:1">
      <c r="A878" s="2" t="str">
        <f>_xlfn.TEXTJOIN("",TRUE,Input!$B$2,ROW(My_Audit!A877))</f>
        <v>X877</v>
      </c>
    </row>
    <row r="879" spans="1:1">
      <c r="A879" s="2" t="str">
        <f>_xlfn.TEXTJOIN("",TRUE,Input!$B$2,ROW(My_Audit!A878))</f>
        <v>X878</v>
      </c>
    </row>
    <row r="880" spans="1:1">
      <c r="A880" s="2" t="str">
        <f>_xlfn.TEXTJOIN("",TRUE,Input!$B$2,ROW(My_Audit!A879))</f>
        <v>X879</v>
      </c>
    </row>
    <row r="881" spans="1:1">
      <c r="A881" s="2" t="str">
        <f>_xlfn.TEXTJOIN("",TRUE,Input!$B$2,ROW(My_Audit!A880))</f>
        <v>X880</v>
      </c>
    </row>
    <row r="882" spans="1:1">
      <c r="A882" s="2" t="str">
        <f>_xlfn.TEXTJOIN("",TRUE,Input!$B$2,ROW(My_Audit!A881))</f>
        <v>X881</v>
      </c>
    </row>
    <row r="883" spans="1:1">
      <c r="A883" s="2" t="str">
        <f>_xlfn.TEXTJOIN("",TRUE,Input!$B$2,ROW(My_Audit!A882))</f>
        <v>X882</v>
      </c>
    </row>
    <row r="884" spans="1:1">
      <c r="A884" s="2" t="str">
        <f>_xlfn.TEXTJOIN("",TRUE,Input!$B$2,ROW(My_Audit!A883))</f>
        <v>X883</v>
      </c>
    </row>
    <row r="885" spans="1:1">
      <c r="A885" s="2" t="str">
        <f>_xlfn.TEXTJOIN("",TRUE,Input!$B$2,ROW(My_Audit!A884))</f>
        <v>X884</v>
      </c>
    </row>
    <row r="886" spans="1:1">
      <c r="A886" s="2" t="str">
        <f>_xlfn.TEXTJOIN("",TRUE,Input!$B$2,ROW(My_Audit!A885))</f>
        <v>X885</v>
      </c>
    </row>
    <row r="887" spans="1:1">
      <c r="A887" s="2" t="str">
        <f>_xlfn.TEXTJOIN("",TRUE,Input!$B$2,ROW(My_Audit!A886))</f>
        <v>X886</v>
      </c>
    </row>
    <row r="888" spans="1:1">
      <c r="A888" s="2" t="str">
        <f>_xlfn.TEXTJOIN("",TRUE,Input!$B$2,ROW(My_Audit!A887))</f>
        <v>X887</v>
      </c>
    </row>
    <row r="889" spans="1:1">
      <c r="A889" s="2" t="str">
        <f>_xlfn.TEXTJOIN("",TRUE,Input!$B$2,ROW(My_Audit!A888))</f>
        <v>X888</v>
      </c>
    </row>
    <row r="890" spans="1:1">
      <c r="A890" s="2" t="str">
        <f>_xlfn.TEXTJOIN("",TRUE,Input!$B$2,ROW(My_Audit!A889))</f>
        <v>X889</v>
      </c>
    </row>
    <row r="891" spans="1:1">
      <c r="A891" s="2" t="str">
        <f>_xlfn.TEXTJOIN("",TRUE,Input!$B$2,ROW(My_Audit!A890))</f>
        <v>X890</v>
      </c>
    </row>
    <row r="892" spans="1:1">
      <c r="A892" s="2" t="str">
        <f>_xlfn.TEXTJOIN("",TRUE,Input!$B$2,ROW(My_Audit!A891))</f>
        <v>X891</v>
      </c>
    </row>
    <row r="893" spans="1:1">
      <c r="A893" s="2" t="str">
        <f>_xlfn.TEXTJOIN("",TRUE,Input!$B$2,ROW(My_Audit!A892))</f>
        <v>X892</v>
      </c>
    </row>
    <row r="894" spans="1:1">
      <c r="A894" s="2" t="str">
        <f>_xlfn.TEXTJOIN("",TRUE,Input!$B$2,ROW(My_Audit!A893))</f>
        <v>X893</v>
      </c>
    </row>
    <row r="895" spans="1:1">
      <c r="A895" s="2" t="str">
        <f>_xlfn.TEXTJOIN("",TRUE,Input!$B$2,ROW(My_Audit!A894))</f>
        <v>X894</v>
      </c>
    </row>
    <row r="896" spans="1:1">
      <c r="A896" s="2" t="str">
        <f>_xlfn.TEXTJOIN("",TRUE,Input!$B$2,ROW(My_Audit!A895))</f>
        <v>X895</v>
      </c>
    </row>
    <row r="897" spans="1:1">
      <c r="A897" s="2" t="str">
        <f>_xlfn.TEXTJOIN("",TRUE,Input!$B$2,ROW(My_Audit!A896))</f>
        <v>X896</v>
      </c>
    </row>
    <row r="898" spans="1:1">
      <c r="A898" s="2" t="str">
        <f>_xlfn.TEXTJOIN("",TRUE,Input!$B$2,ROW(My_Audit!A897))</f>
        <v>X897</v>
      </c>
    </row>
    <row r="899" spans="1:1">
      <c r="A899" s="2" t="str">
        <f>_xlfn.TEXTJOIN("",TRUE,Input!$B$2,ROW(My_Audit!A898))</f>
        <v>X898</v>
      </c>
    </row>
    <row r="900" spans="1:1">
      <c r="A900" s="2" t="str">
        <f>_xlfn.TEXTJOIN("",TRUE,Input!$B$2,ROW(My_Audit!A899))</f>
        <v>X899</v>
      </c>
    </row>
    <row r="901" spans="1:1">
      <c r="A901" s="2" t="str">
        <f>_xlfn.TEXTJOIN("",TRUE,Input!$B$2,ROW(My_Audit!A900))</f>
        <v>X900</v>
      </c>
    </row>
    <row r="902" spans="1:1">
      <c r="A902" s="2" t="str">
        <f>_xlfn.TEXTJOIN("",TRUE,Input!$B$2,ROW(My_Audit!A901))</f>
        <v>X901</v>
      </c>
    </row>
    <row r="903" spans="1:1">
      <c r="A903" s="2" t="str">
        <f>_xlfn.TEXTJOIN("",TRUE,Input!$B$2,ROW(My_Audit!A902))</f>
        <v>X902</v>
      </c>
    </row>
    <row r="904" spans="1:1">
      <c r="A904" s="2" t="str">
        <f>_xlfn.TEXTJOIN("",TRUE,Input!$B$2,ROW(My_Audit!A903))</f>
        <v>X903</v>
      </c>
    </row>
    <row r="905" spans="1:1">
      <c r="A905" s="2" t="str">
        <f>_xlfn.TEXTJOIN("",TRUE,Input!$B$2,ROW(My_Audit!A904))</f>
        <v>X904</v>
      </c>
    </row>
    <row r="906" spans="1:1">
      <c r="A906" s="2" t="str">
        <f>_xlfn.TEXTJOIN("",TRUE,Input!$B$2,ROW(My_Audit!A905))</f>
        <v>X905</v>
      </c>
    </row>
    <row r="907" spans="1:1">
      <c r="A907" s="2" t="str">
        <f>_xlfn.TEXTJOIN("",TRUE,Input!$B$2,ROW(My_Audit!A906))</f>
        <v>X906</v>
      </c>
    </row>
    <row r="908" spans="1:1">
      <c r="A908" s="2" t="str">
        <f>_xlfn.TEXTJOIN("",TRUE,Input!$B$2,ROW(My_Audit!A907))</f>
        <v>X907</v>
      </c>
    </row>
    <row r="909" spans="1:1">
      <c r="A909" s="2" t="str">
        <f>_xlfn.TEXTJOIN("",TRUE,Input!$B$2,ROW(My_Audit!A908))</f>
        <v>X908</v>
      </c>
    </row>
    <row r="910" spans="1:1">
      <c r="A910" s="2" t="str">
        <f>_xlfn.TEXTJOIN("",TRUE,Input!$B$2,ROW(My_Audit!A909))</f>
        <v>X909</v>
      </c>
    </row>
    <row r="911" spans="1:1">
      <c r="A911" s="2" t="str">
        <f>_xlfn.TEXTJOIN("",TRUE,Input!$B$2,ROW(My_Audit!A910))</f>
        <v>X910</v>
      </c>
    </row>
    <row r="912" spans="1:1">
      <c r="A912" s="2" t="str">
        <f>_xlfn.TEXTJOIN("",TRUE,Input!$B$2,ROW(My_Audit!A911))</f>
        <v>X911</v>
      </c>
    </row>
    <row r="913" spans="1:1">
      <c r="A913" s="2" t="str">
        <f>_xlfn.TEXTJOIN("",TRUE,Input!$B$2,ROW(My_Audit!A912))</f>
        <v>X912</v>
      </c>
    </row>
    <row r="914" spans="1:1">
      <c r="A914" s="2" t="str">
        <f>_xlfn.TEXTJOIN("",TRUE,Input!$B$2,ROW(My_Audit!A913))</f>
        <v>X913</v>
      </c>
    </row>
    <row r="915" spans="1:1">
      <c r="A915" s="2" t="str">
        <f>_xlfn.TEXTJOIN("",TRUE,Input!$B$2,ROW(My_Audit!A914))</f>
        <v>X914</v>
      </c>
    </row>
    <row r="916" spans="1:1">
      <c r="A916" s="2" t="str">
        <f>_xlfn.TEXTJOIN("",TRUE,Input!$B$2,ROW(My_Audit!A915))</f>
        <v>X915</v>
      </c>
    </row>
    <row r="917" spans="1:1">
      <c r="A917" s="2" t="str">
        <f>_xlfn.TEXTJOIN("",TRUE,Input!$B$2,ROW(My_Audit!A916))</f>
        <v>X916</v>
      </c>
    </row>
    <row r="918" spans="1:1">
      <c r="A918" s="2" t="str">
        <f>_xlfn.TEXTJOIN("",TRUE,Input!$B$2,ROW(My_Audit!A917))</f>
        <v>X917</v>
      </c>
    </row>
    <row r="919" spans="1:1">
      <c r="A919" s="2" t="str">
        <f>_xlfn.TEXTJOIN("",TRUE,Input!$B$2,ROW(My_Audit!A918))</f>
        <v>X918</v>
      </c>
    </row>
    <row r="920" spans="1:1">
      <c r="A920" s="2" t="str">
        <f>_xlfn.TEXTJOIN("",TRUE,Input!$B$2,ROW(My_Audit!A919))</f>
        <v>X919</v>
      </c>
    </row>
    <row r="921" spans="1:1">
      <c r="A921" s="2" t="str">
        <f>_xlfn.TEXTJOIN("",TRUE,Input!$B$2,ROW(My_Audit!A920))</f>
        <v>X920</v>
      </c>
    </row>
    <row r="922" spans="1:1">
      <c r="A922" s="2" t="str">
        <f>_xlfn.TEXTJOIN("",TRUE,Input!$B$2,ROW(My_Audit!A921))</f>
        <v>X921</v>
      </c>
    </row>
    <row r="923" spans="1:1">
      <c r="A923" s="2" t="str">
        <f>_xlfn.TEXTJOIN("",TRUE,Input!$B$2,ROW(My_Audit!A922))</f>
        <v>X922</v>
      </c>
    </row>
    <row r="924" spans="1:1">
      <c r="A924" s="2" t="str">
        <f>_xlfn.TEXTJOIN("",TRUE,Input!$B$2,ROW(My_Audit!A923))</f>
        <v>X923</v>
      </c>
    </row>
    <row r="925" spans="1:1">
      <c r="A925" s="2" t="str">
        <f>_xlfn.TEXTJOIN("",TRUE,Input!$B$2,ROW(My_Audit!A924))</f>
        <v>X924</v>
      </c>
    </row>
    <row r="926" spans="1:1">
      <c r="A926" s="2" t="str">
        <f>_xlfn.TEXTJOIN("",TRUE,Input!$B$2,ROW(My_Audit!A925))</f>
        <v>X925</v>
      </c>
    </row>
    <row r="927" spans="1:1">
      <c r="A927" s="2" t="str">
        <f>_xlfn.TEXTJOIN("",TRUE,Input!$B$2,ROW(My_Audit!A926))</f>
        <v>X926</v>
      </c>
    </row>
    <row r="928" spans="1:1">
      <c r="A928" s="2" t="str">
        <f>_xlfn.TEXTJOIN("",TRUE,Input!$B$2,ROW(My_Audit!A927))</f>
        <v>X927</v>
      </c>
    </row>
    <row r="929" spans="1:1">
      <c r="A929" s="2" t="str">
        <f>_xlfn.TEXTJOIN("",TRUE,Input!$B$2,ROW(My_Audit!A928))</f>
        <v>X928</v>
      </c>
    </row>
    <row r="930" spans="1:1">
      <c r="A930" s="2" t="str">
        <f>_xlfn.TEXTJOIN("",TRUE,Input!$B$2,ROW(My_Audit!A929))</f>
        <v>X929</v>
      </c>
    </row>
    <row r="931" spans="1:1">
      <c r="A931" s="2" t="str">
        <f>_xlfn.TEXTJOIN("",TRUE,Input!$B$2,ROW(My_Audit!A930))</f>
        <v>X930</v>
      </c>
    </row>
    <row r="932" spans="1:1">
      <c r="A932" s="2" t="str">
        <f>_xlfn.TEXTJOIN("",TRUE,Input!$B$2,ROW(My_Audit!A931))</f>
        <v>X931</v>
      </c>
    </row>
    <row r="933" spans="1:1">
      <c r="A933" s="2" t="str">
        <f>_xlfn.TEXTJOIN("",TRUE,Input!$B$2,ROW(My_Audit!A932))</f>
        <v>X932</v>
      </c>
    </row>
    <row r="934" spans="1:1">
      <c r="A934" s="2" t="str">
        <f>_xlfn.TEXTJOIN("",TRUE,Input!$B$2,ROW(My_Audit!A933))</f>
        <v>X933</v>
      </c>
    </row>
    <row r="935" spans="1:1">
      <c r="A935" s="2" t="str">
        <f>_xlfn.TEXTJOIN("",TRUE,Input!$B$2,ROW(My_Audit!A934))</f>
        <v>X934</v>
      </c>
    </row>
    <row r="936" spans="1:1">
      <c r="A936" s="2" t="str">
        <f>_xlfn.TEXTJOIN("",TRUE,Input!$B$2,ROW(My_Audit!A935))</f>
        <v>X935</v>
      </c>
    </row>
    <row r="937" spans="1:1">
      <c r="A937" s="2" t="str">
        <f>_xlfn.TEXTJOIN("",TRUE,Input!$B$2,ROW(My_Audit!A936))</f>
        <v>X936</v>
      </c>
    </row>
    <row r="938" spans="1:1">
      <c r="A938" s="2" t="str">
        <f>_xlfn.TEXTJOIN("",TRUE,Input!$B$2,ROW(My_Audit!A937))</f>
        <v>X937</v>
      </c>
    </row>
    <row r="939" spans="1:1">
      <c r="A939" s="2" t="str">
        <f>_xlfn.TEXTJOIN("",TRUE,Input!$B$2,ROW(My_Audit!A938))</f>
        <v>X938</v>
      </c>
    </row>
    <row r="940" spans="1:1">
      <c r="A940" s="2" t="str">
        <f>_xlfn.TEXTJOIN("",TRUE,Input!$B$2,ROW(My_Audit!A939))</f>
        <v>X939</v>
      </c>
    </row>
    <row r="941" spans="1:1">
      <c r="A941" s="2" t="str">
        <f>_xlfn.TEXTJOIN("",TRUE,Input!$B$2,ROW(My_Audit!A940))</f>
        <v>X940</v>
      </c>
    </row>
    <row r="942" spans="1:1">
      <c r="A942" s="2" t="str">
        <f>_xlfn.TEXTJOIN("",TRUE,Input!$B$2,ROW(My_Audit!A941))</f>
        <v>X941</v>
      </c>
    </row>
    <row r="943" spans="1:1">
      <c r="A943" s="2" t="str">
        <f>_xlfn.TEXTJOIN("",TRUE,Input!$B$2,ROW(My_Audit!A942))</f>
        <v>X942</v>
      </c>
    </row>
    <row r="944" spans="1:1">
      <c r="A944" s="2" t="str">
        <f>_xlfn.TEXTJOIN("",TRUE,Input!$B$2,ROW(My_Audit!A943))</f>
        <v>X943</v>
      </c>
    </row>
    <row r="945" spans="1:1">
      <c r="A945" s="2" t="str">
        <f>_xlfn.TEXTJOIN("",TRUE,Input!$B$2,ROW(My_Audit!A944))</f>
        <v>X944</v>
      </c>
    </row>
    <row r="946" spans="1:1">
      <c r="A946" s="2" t="str">
        <f>_xlfn.TEXTJOIN("",TRUE,Input!$B$2,ROW(My_Audit!A945))</f>
        <v>X945</v>
      </c>
    </row>
    <row r="947" spans="1:1">
      <c r="A947" s="2" t="str">
        <f>_xlfn.TEXTJOIN("",TRUE,Input!$B$2,ROW(My_Audit!A946))</f>
        <v>X946</v>
      </c>
    </row>
    <row r="948" spans="1:1">
      <c r="A948" s="2" t="str">
        <f>_xlfn.TEXTJOIN("",TRUE,Input!$B$2,ROW(My_Audit!A947))</f>
        <v>X947</v>
      </c>
    </row>
    <row r="949" spans="1:1">
      <c r="A949" s="2" t="str">
        <f>_xlfn.TEXTJOIN("",TRUE,Input!$B$2,ROW(My_Audit!A948))</f>
        <v>X948</v>
      </c>
    </row>
    <row r="950" spans="1:1">
      <c r="A950" s="2" t="str">
        <f>_xlfn.TEXTJOIN("",TRUE,Input!$B$2,ROW(My_Audit!A949))</f>
        <v>X949</v>
      </c>
    </row>
    <row r="951" spans="1:1">
      <c r="A951" s="2" t="str">
        <f>_xlfn.TEXTJOIN("",TRUE,Input!$B$2,ROW(My_Audit!A950))</f>
        <v>X950</v>
      </c>
    </row>
    <row r="952" spans="1:1">
      <c r="A952" s="2" t="str">
        <f>_xlfn.TEXTJOIN("",TRUE,Input!$B$2,ROW(My_Audit!A951))</f>
        <v>X951</v>
      </c>
    </row>
    <row r="953" spans="1:1">
      <c r="A953" s="2" t="str">
        <f>_xlfn.TEXTJOIN("",TRUE,Input!$B$2,ROW(My_Audit!A952))</f>
        <v>X952</v>
      </c>
    </row>
    <row r="954" spans="1:1">
      <c r="A954" s="2" t="str">
        <f>_xlfn.TEXTJOIN("",TRUE,Input!$B$2,ROW(My_Audit!A953))</f>
        <v>X953</v>
      </c>
    </row>
    <row r="955" spans="1:1">
      <c r="A955" s="2" t="str">
        <f>_xlfn.TEXTJOIN("",TRUE,Input!$B$2,ROW(My_Audit!A954))</f>
        <v>X954</v>
      </c>
    </row>
    <row r="956" spans="1:1">
      <c r="A956" s="2" t="str">
        <f>_xlfn.TEXTJOIN("",TRUE,Input!$B$2,ROW(My_Audit!A955))</f>
        <v>X955</v>
      </c>
    </row>
    <row r="957" spans="1:1">
      <c r="A957" s="2" t="str">
        <f>_xlfn.TEXTJOIN("",TRUE,Input!$B$2,ROW(My_Audit!A956))</f>
        <v>X956</v>
      </c>
    </row>
    <row r="958" spans="1:1">
      <c r="A958" s="2" t="str">
        <f>_xlfn.TEXTJOIN("",TRUE,Input!$B$2,ROW(My_Audit!A957))</f>
        <v>X957</v>
      </c>
    </row>
    <row r="959" spans="1:1">
      <c r="A959" s="2" t="str">
        <f>_xlfn.TEXTJOIN("",TRUE,Input!$B$2,ROW(My_Audit!A958))</f>
        <v>X958</v>
      </c>
    </row>
    <row r="960" spans="1:1">
      <c r="A960" s="2" t="str">
        <f>_xlfn.TEXTJOIN("",TRUE,Input!$B$2,ROW(My_Audit!A959))</f>
        <v>X959</v>
      </c>
    </row>
    <row r="961" spans="1:1">
      <c r="A961" s="2" t="str">
        <f>_xlfn.TEXTJOIN("",TRUE,Input!$B$2,ROW(My_Audit!A960))</f>
        <v>X960</v>
      </c>
    </row>
    <row r="962" spans="1:1">
      <c r="A962" s="2" t="str">
        <f>_xlfn.TEXTJOIN("",TRUE,Input!$B$2,ROW(My_Audit!A961))</f>
        <v>X961</v>
      </c>
    </row>
    <row r="963" spans="1:1">
      <c r="A963" s="2" t="str">
        <f>_xlfn.TEXTJOIN("",TRUE,Input!$B$2,ROW(My_Audit!A962))</f>
        <v>X962</v>
      </c>
    </row>
    <row r="964" spans="1:1">
      <c r="A964" s="2" t="str">
        <f>_xlfn.TEXTJOIN("",TRUE,Input!$B$2,ROW(My_Audit!A963))</f>
        <v>X963</v>
      </c>
    </row>
    <row r="965" spans="1:1">
      <c r="A965" s="2" t="str">
        <f>_xlfn.TEXTJOIN("",TRUE,Input!$B$2,ROW(My_Audit!A964))</f>
        <v>X964</v>
      </c>
    </row>
    <row r="966" spans="1:1">
      <c r="A966" s="2" t="str">
        <f>_xlfn.TEXTJOIN("",TRUE,Input!$B$2,ROW(My_Audit!A965))</f>
        <v>X965</v>
      </c>
    </row>
    <row r="967" spans="1:1">
      <c r="A967" s="2" t="str">
        <f>_xlfn.TEXTJOIN("",TRUE,Input!$B$2,ROW(My_Audit!A966))</f>
        <v>X966</v>
      </c>
    </row>
    <row r="968" spans="1:1">
      <c r="A968" s="2" t="str">
        <f>_xlfn.TEXTJOIN("",TRUE,Input!$B$2,ROW(My_Audit!A967))</f>
        <v>X967</v>
      </c>
    </row>
    <row r="969" spans="1:1">
      <c r="A969" s="2" t="str">
        <f>_xlfn.TEXTJOIN("",TRUE,Input!$B$2,ROW(My_Audit!A968))</f>
        <v>X968</v>
      </c>
    </row>
    <row r="970" spans="1:1">
      <c r="A970" s="2" t="str">
        <f>_xlfn.TEXTJOIN("",TRUE,Input!$B$2,ROW(My_Audit!A969))</f>
        <v>X969</v>
      </c>
    </row>
    <row r="971" spans="1:1">
      <c r="A971" s="2" t="str">
        <f>_xlfn.TEXTJOIN("",TRUE,Input!$B$2,ROW(My_Audit!A970))</f>
        <v>X970</v>
      </c>
    </row>
    <row r="972" spans="1:1">
      <c r="A972" s="2" t="str">
        <f>_xlfn.TEXTJOIN("",TRUE,Input!$B$2,ROW(My_Audit!A971))</f>
        <v>X971</v>
      </c>
    </row>
    <row r="973" spans="1:1">
      <c r="A973" s="2" t="str">
        <f>_xlfn.TEXTJOIN("",TRUE,Input!$B$2,ROW(My_Audit!A972))</f>
        <v>X972</v>
      </c>
    </row>
    <row r="974" spans="1:1">
      <c r="A974" s="2" t="str">
        <f>_xlfn.TEXTJOIN("",TRUE,Input!$B$2,ROW(My_Audit!A973))</f>
        <v>X973</v>
      </c>
    </row>
    <row r="975" spans="1:1">
      <c r="A975" s="2" t="str">
        <f>_xlfn.TEXTJOIN("",TRUE,Input!$B$2,ROW(My_Audit!A974))</f>
        <v>X974</v>
      </c>
    </row>
    <row r="976" spans="1:1">
      <c r="A976" s="2" t="str">
        <f>_xlfn.TEXTJOIN("",TRUE,Input!$B$2,ROW(My_Audit!A975))</f>
        <v>X975</v>
      </c>
    </row>
    <row r="977" spans="1:1">
      <c r="A977" s="2" t="str">
        <f>_xlfn.TEXTJOIN("",TRUE,Input!$B$2,ROW(My_Audit!A976))</f>
        <v>X976</v>
      </c>
    </row>
    <row r="978" spans="1:1">
      <c r="A978" s="2" t="str">
        <f>_xlfn.TEXTJOIN("",TRUE,Input!$B$2,ROW(My_Audit!A977))</f>
        <v>X977</v>
      </c>
    </row>
    <row r="979" spans="1:1">
      <c r="A979" s="2" t="str">
        <f>_xlfn.TEXTJOIN("",TRUE,Input!$B$2,ROW(My_Audit!A978))</f>
        <v>X978</v>
      </c>
    </row>
    <row r="980" spans="1:1">
      <c r="A980" s="2" t="str">
        <f>_xlfn.TEXTJOIN("",TRUE,Input!$B$2,ROW(My_Audit!A979))</f>
        <v>X979</v>
      </c>
    </row>
    <row r="981" spans="1:1">
      <c r="A981" s="2" t="str">
        <f>_xlfn.TEXTJOIN("",TRUE,Input!$B$2,ROW(My_Audit!A980))</f>
        <v>X980</v>
      </c>
    </row>
    <row r="982" spans="1:1">
      <c r="A982" s="2" t="str">
        <f>_xlfn.TEXTJOIN("",TRUE,Input!$B$2,ROW(My_Audit!A981))</f>
        <v>X981</v>
      </c>
    </row>
    <row r="983" spans="1:1">
      <c r="A983" s="2" t="str">
        <f>_xlfn.TEXTJOIN("",TRUE,Input!$B$2,ROW(My_Audit!A982))</f>
        <v>X982</v>
      </c>
    </row>
    <row r="984" spans="1:1">
      <c r="A984" s="2" t="str">
        <f>_xlfn.TEXTJOIN("",TRUE,Input!$B$2,ROW(My_Audit!A983))</f>
        <v>X983</v>
      </c>
    </row>
    <row r="985" spans="1:1">
      <c r="A985" s="2" t="str">
        <f>_xlfn.TEXTJOIN("",TRUE,Input!$B$2,ROW(My_Audit!A984))</f>
        <v>X984</v>
      </c>
    </row>
    <row r="986" spans="1:1">
      <c r="A986" s="2" t="str">
        <f>_xlfn.TEXTJOIN("",TRUE,Input!$B$2,ROW(My_Audit!A985))</f>
        <v>X985</v>
      </c>
    </row>
    <row r="987" spans="1:1">
      <c r="A987" s="2" t="str">
        <f>_xlfn.TEXTJOIN("",TRUE,Input!$B$2,ROW(My_Audit!A986))</f>
        <v>X986</v>
      </c>
    </row>
    <row r="988" spans="1:1">
      <c r="A988" s="2" t="str">
        <f>_xlfn.TEXTJOIN("",TRUE,Input!$B$2,ROW(My_Audit!A987))</f>
        <v>X987</v>
      </c>
    </row>
    <row r="989" spans="1:1">
      <c r="A989" s="2" t="str">
        <f>_xlfn.TEXTJOIN("",TRUE,Input!$B$2,ROW(My_Audit!A988))</f>
        <v>X988</v>
      </c>
    </row>
    <row r="990" spans="1:1">
      <c r="A990" s="2" t="str">
        <f>_xlfn.TEXTJOIN("",TRUE,Input!$B$2,ROW(My_Audit!A989))</f>
        <v>X989</v>
      </c>
    </row>
    <row r="991" spans="1:1">
      <c r="A991" s="2" t="str">
        <f>_xlfn.TEXTJOIN("",TRUE,Input!$B$2,ROW(My_Audit!A990))</f>
        <v>X990</v>
      </c>
    </row>
    <row r="992" spans="1:1">
      <c r="A992" s="2" t="str">
        <f>_xlfn.TEXTJOIN("",TRUE,Input!$B$2,ROW(My_Audit!A991))</f>
        <v>X991</v>
      </c>
    </row>
    <row r="993" spans="1:1">
      <c r="A993" s="2" t="str">
        <f>_xlfn.TEXTJOIN("",TRUE,Input!$B$2,ROW(My_Audit!A992))</f>
        <v>X992</v>
      </c>
    </row>
    <row r="994" spans="1:1">
      <c r="A994" s="2" t="str">
        <f>_xlfn.TEXTJOIN("",TRUE,Input!$B$2,ROW(My_Audit!A993))</f>
        <v>X993</v>
      </c>
    </row>
    <row r="995" spans="1:1">
      <c r="A995" s="2" t="str">
        <f>_xlfn.TEXTJOIN("",TRUE,Input!$B$2,ROW(My_Audit!A994))</f>
        <v>X994</v>
      </c>
    </row>
    <row r="996" spans="1:1">
      <c r="A996" s="2" t="str">
        <f>_xlfn.TEXTJOIN("",TRUE,Input!$B$2,ROW(My_Audit!A995))</f>
        <v>X995</v>
      </c>
    </row>
    <row r="997" spans="1:1">
      <c r="A997" s="2" t="str">
        <f>_xlfn.TEXTJOIN("",TRUE,Input!$B$2,ROW(My_Audit!A996))</f>
        <v>X996</v>
      </c>
    </row>
    <row r="998" spans="1:1">
      <c r="A998" s="2" t="str">
        <f>_xlfn.TEXTJOIN("",TRUE,Input!$B$2,ROW(My_Audit!A997))</f>
        <v>X997</v>
      </c>
    </row>
    <row r="999" spans="1:1">
      <c r="A999" s="2" t="str">
        <f>_xlfn.TEXTJOIN("",TRUE,Input!$B$2,ROW(My_Audit!A998))</f>
        <v>X998</v>
      </c>
    </row>
    <row r="1000" spans="1:1">
      <c r="A1000" s="2" t="str">
        <f>_xlfn.TEXTJOIN("",TRUE,Input!$B$2,ROW(My_Audit!A999))</f>
        <v>X999</v>
      </c>
    </row>
    <row r="1001" spans="1:1">
      <c r="A1001" s="2" t="str">
        <f>_xlfn.TEXTJOIN("",TRUE,Input!$B$2,ROW(My_Audit!A1000))</f>
        <v>X1000</v>
      </c>
    </row>
    <row r="1002" spans="1:1">
      <c r="A1002" s="2" t="str">
        <f>_xlfn.TEXTJOIN("",TRUE,Input!$B$2,ROW(My_Audit!A1001))</f>
        <v>X1001</v>
      </c>
    </row>
    <row r="1003" spans="1:1">
      <c r="A1003" s="2" t="str">
        <f>_xlfn.TEXTJOIN("",TRUE,Input!$B$2,ROW(My_Audit!A1002))</f>
        <v>X1002</v>
      </c>
    </row>
    <row r="1004" spans="1:1">
      <c r="A1004" s="2" t="str">
        <f>_xlfn.TEXTJOIN("",TRUE,Input!$B$2,ROW(My_Audit!A1003))</f>
        <v>X1003</v>
      </c>
    </row>
    <row r="1005" spans="1:1">
      <c r="A1005" s="2" t="str">
        <f>_xlfn.TEXTJOIN("",TRUE,Input!$B$2,ROW(My_Audit!A1004))</f>
        <v>X1004</v>
      </c>
    </row>
    <row r="1006" spans="1:1">
      <c r="A1006" s="2" t="str">
        <f>_xlfn.TEXTJOIN("",TRUE,Input!$B$2,ROW(My_Audit!A1005))</f>
        <v>X1005</v>
      </c>
    </row>
    <row r="1007" spans="1:1">
      <c r="A1007" s="2" t="str">
        <f>_xlfn.TEXTJOIN("",TRUE,Input!$B$2,ROW(My_Audit!A1006))</f>
        <v>X1006</v>
      </c>
    </row>
    <row r="1008" spans="1:1">
      <c r="A1008" s="2" t="str">
        <f>_xlfn.TEXTJOIN("",TRUE,Input!$B$2,ROW(My_Audit!A1007))</f>
        <v>X1007</v>
      </c>
    </row>
    <row r="1009" spans="1:1">
      <c r="A1009" s="2" t="str">
        <f>_xlfn.TEXTJOIN("",TRUE,Input!$B$2,ROW(My_Audit!A1008))</f>
        <v>X1008</v>
      </c>
    </row>
    <row r="1010" spans="1:1">
      <c r="A1010" s="2" t="str">
        <f>_xlfn.TEXTJOIN("",TRUE,Input!$B$2,ROW(My_Audit!A1009))</f>
        <v>X1009</v>
      </c>
    </row>
    <row r="1011" spans="1:1">
      <c r="A1011" s="2" t="str">
        <f>_xlfn.TEXTJOIN("",TRUE,Input!$B$2,ROW(My_Audit!A1010))</f>
        <v>X1010</v>
      </c>
    </row>
    <row r="1012" spans="1:1">
      <c r="A1012" s="2" t="str">
        <f>_xlfn.TEXTJOIN("",TRUE,Input!$B$2,ROW(My_Audit!A1011))</f>
        <v>X1011</v>
      </c>
    </row>
    <row r="1013" spans="1:1">
      <c r="A1013" s="2" t="str">
        <f>_xlfn.TEXTJOIN("",TRUE,Input!$B$2,ROW(My_Audit!A1012))</f>
        <v>X1012</v>
      </c>
    </row>
    <row r="1014" spans="1:1">
      <c r="A1014" s="2" t="str">
        <f>_xlfn.TEXTJOIN("",TRUE,Input!$B$2,ROW(My_Audit!A1013))</f>
        <v>X1013</v>
      </c>
    </row>
    <row r="1015" spans="1:1">
      <c r="A1015" s="2" t="str">
        <f>_xlfn.TEXTJOIN("",TRUE,Input!$B$2,ROW(My_Audit!A1014))</f>
        <v>X1014</v>
      </c>
    </row>
    <row r="1016" spans="1:1">
      <c r="A1016" s="2" t="str">
        <f>_xlfn.TEXTJOIN("",TRUE,Input!$B$2,ROW(My_Audit!A1015))</f>
        <v>X1015</v>
      </c>
    </row>
    <row r="1017" spans="1:1">
      <c r="A1017" s="2" t="str">
        <f>_xlfn.TEXTJOIN("",TRUE,Input!$B$2,ROW(My_Audit!A1016))</f>
        <v>X1016</v>
      </c>
    </row>
    <row r="1018" spans="1:1">
      <c r="A1018" s="2" t="str">
        <f>_xlfn.TEXTJOIN("",TRUE,Input!$B$2,ROW(My_Audit!A1017))</f>
        <v>X1017</v>
      </c>
    </row>
    <row r="1019" spans="1:1">
      <c r="A1019" s="2" t="str">
        <f>_xlfn.TEXTJOIN("",TRUE,Input!$B$2,ROW(My_Audit!A1018))</f>
        <v>X1018</v>
      </c>
    </row>
    <row r="1020" spans="1:1">
      <c r="A1020" s="2" t="str">
        <f>_xlfn.TEXTJOIN("",TRUE,Input!$B$2,ROW(My_Audit!A1019))</f>
        <v>X1019</v>
      </c>
    </row>
    <row r="1021" spans="1:1">
      <c r="A1021" s="2" t="str">
        <f>_xlfn.TEXTJOIN("",TRUE,Input!$B$2,ROW(My_Audit!A1020))</f>
        <v>X1020</v>
      </c>
    </row>
    <row r="1022" spans="1:1">
      <c r="A1022" s="2" t="str">
        <f>_xlfn.TEXTJOIN("",TRUE,Input!$B$2,ROW(My_Audit!A1021))</f>
        <v>X1021</v>
      </c>
    </row>
    <row r="1023" spans="1:1">
      <c r="A1023" s="2" t="str">
        <f>_xlfn.TEXTJOIN("",TRUE,Input!$B$2,ROW(My_Audit!A1022))</f>
        <v>X1022</v>
      </c>
    </row>
    <row r="1024" spans="1:1">
      <c r="A1024" s="2" t="str">
        <f>_xlfn.TEXTJOIN("",TRUE,Input!$B$2,ROW(My_Audit!A1023))</f>
        <v>X1023</v>
      </c>
    </row>
    <row r="1025" spans="1:1">
      <c r="A1025" s="2" t="str">
        <f>_xlfn.TEXTJOIN("",TRUE,Input!$B$2,ROW(My_Audit!A1024))</f>
        <v>X1024</v>
      </c>
    </row>
    <row r="1026" spans="1:1">
      <c r="A1026" s="2" t="str">
        <f>_xlfn.TEXTJOIN("",TRUE,Input!$B$2,ROW(My_Audit!A1025))</f>
        <v>X1025</v>
      </c>
    </row>
    <row r="1027" spans="1:1">
      <c r="A1027" s="2" t="str">
        <f>_xlfn.TEXTJOIN("",TRUE,Input!$B$2,ROW(My_Audit!A1026))</f>
        <v>X1026</v>
      </c>
    </row>
    <row r="1028" spans="1:1">
      <c r="A1028" s="2" t="str">
        <f>_xlfn.TEXTJOIN("",TRUE,Input!$B$2,ROW(My_Audit!A1027))</f>
        <v>X1027</v>
      </c>
    </row>
    <row r="1029" spans="1:1">
      <c r="A1029" s="2" t="str">
        <f>_xlfn.TEXTJOIN("",TRUE,Input!$B$2,ROW(My_Audit!A1028))</f>
        <v>X1028</v>
      </c>
    </row>
    <row r="1030" spans="1:1">
      <c r="A1030" s="2" t="str">
        <f>_xlfn.TEXTJOIN("",TRUE,Input!$B$2,ROW(My_Audit!A1029))</f>
        <v>X1029</v>
      </c>
    </row>
    <row r="1031" spans="1:1">
      <c r="A1031" s="2" t="str">
        <f>_xlfn.TEXTJOIN("",TRUE,Input!$B$2,ROW(My_Audit!A1030))</f>
        <v>X1030</v>
      </c>
    </row>
    <row r="1032" spans="1:1">
      <c r="A1032" s="2" t="str">
        <f>_xlfn.TEXTJOIN("",TRUE,Input!$B$2,ROW(My_Audit!A1031))</f>
        <v>X1031</v>
      </c>
    </row>
    <row r="1033" spans="1:1">
      <c r="A1033" s="2" t="str">
        <f>_xlfn.TEXTJOIN("",TRUE,Input!$B$2,ROW(My_Audit!A1032))</f>
        <v>X1032</v>
      </c>
    </row>
    <row r="1034" spans="1:1">
      <c r="A1034" s="2" t="str">
        <f>_xlfn.TEXTJOIN("",TRUE,Input!$B$2,ROW(My_Audit!A1033))</f>
        <v>X1033</v>
      </c>
    </row>
    <row r="1035" spans="1:1">
      <c r="A1035" s="2" t="str">
        <f>_xlfn.TEXTJOIN("",TRUE,Input!$B$2,ROW(My_Audit!A1034))</f>
        <v>X1034</v>
      </c>
    </row>
    <row r="1036" spans="1:1">
      <c r="A1036" s="2" t="str">
        <f>_xlfn.TEXTJOIN("",TRUE,Input!$B$2,ROW(My_Audit!A1035))</f>
        <v>X1035</v>
      </c>
    </row>
    <row r="1037" spans="1:1">
      <c r="A1037" s="2" t="str">
        <f>_xlfn.TEXTJOIN("",TRUE,Input!$B$2,ROW(My_Audit!A1036))</f>
        <v>X1036</v>
      </c>
    </row>
    <row r="1038" spans="1:1">
      <c r="A1038" s="2" t="str">
        <f>_xlfn.TEXTJOIN("",TRUE,Input!$B$2,ROW(My_Audit!A1037))</f>
        <v>X1037</v>
      </c>
    </row>
    <row r="1039" spans="1:1">
      <c r="A1039" s="2" t="str">
        <f>_xlfn.TEXTJOIN("",TRUE,Input!$B$2,ROW(My_Audit!A1038))</f>
        <v>X1038</v>
      </c>
    </row>
    <row r="1040" spans="1:1">
      <c r="A1040" s="2" t="str">
        <f>_xlfn.TEXTJOIN("",TRUE,Input!$B$2,ROW(My_Audit!A1039))</f>
        <v>X1039</v>
      </c>
    </row>
    <row r="1041" spans="1:1">
      <c r="A1041" s="2" t="str">
        <f>_xlfn.TEXTJOIN("",TRUE,Input!$B$2,ROW(My_Audit!A1040))</f>
        <v>X1040</v>
      </c>
    </row>
    <row r="1042" spans="1:1">
      <c r="A1042" s="2" t="str">
        <f>_xlfn.TEXTJOIN("",TRUE,Input!$B$2,ROW(My_Audit!A1041))</f>
        <v>X1041</v>
      </c>
    </row>
    <row r="1043" spans="1:1">
      <c r="A1043" s="2" t="str">
        <f>_xlfn.TEXTJOIN("",TRUE,Input!$B$2,ROW(My_Audit!A1042))</f>
        <v>X1042</v>
      </c>
    </row>
    <row r="1044" spans="1:1">
      <c r="A1044" s="2" t="str">
        <f>_xlfn.TEXTJOIN("",TRUE,Input!$B$2,ROW(My_Audit!A1043))</f>
        <v>X1043</v>
      </c>
    </row>
    <row r="1045" spans="1:1">
      <c r="A1045" s="2" t="str">
        <f>_xlfn.TEXTJOIN("",TRUE,Input!$B$2,ROW(My_Audit!A1044))</f>
        <v>X1044</v>
      </c>
    </row>
    <row r="1046" spans="1:1">
      <c r="A1046" s="2" t="str">
        <f>_xlfn.TEXTJOIN("",TRUE,Input!$B$2,ROW(My_Audit!A1045))</f>
        <v>X1045</v>
      </c>
    </row>
    <row r="1047" spans="1:1">
      <c r="A1047" s="2" t="str">
        <f>_xlfn.TEXTJOIN("",TRUE,Input!$B$2,ROW(My_Audit!A1046))</f>
        <v>X1046</v>
      </c>
    </row>
    <row r="1048" spans="1:1">
      <c r="A1048" s="2" t="str">
        <f>_xlfn.TEXTJOIN("",TRUE,Input!$B$2,ROW(My_Audit!A1047))</f>
        <v>X1047</v>
      </c>
    </row>
    <row r="1049" spans="1:1">
      <c r="A1049" s="2" t="str">
        <f>_xlfn.TEXTJOIN("",TRUE,Input!$B$2,ROW(My_Audit!A1048))</f>
        <v>X1048</v>
      </c>
    </row>
    <row r="1050" spans="1:1">
      <c r="A1050" s="2" t="str">
        <f>_xlfn.TEXTJOIN("",TRUE,Input!$B$2,ROW(My_Audit!A1049))</f>
        <v>X1049</v>
      </c>
    </row>
    <row r="1051" spans="1:1">
      <c r="A1051" s="2" t="str">
        <f>_xlfn.TEXTJOIN("",TRUE,Input!$B$2,ROW(My_Audit!A1050))</f>
        <v>X1050</v>
      </c>
    </row>
    <row r="1052" spans="1:1">
      <c r="A1052" s="2" t="str">
        <f>_xlfn.TEXTJOIN("",TRUE,Input!$B$2,ROW(My_Audit!A1051))</f>
        <v>X1051</v>
      </c>
    </row>
    <row r="1053" spans="1:1">
      <c r="A1053" s="2" t="str">
        <f>_xlfn.TEXTJOIN("",TRUE,Input!$B$2,ROW(My_Audit!A1052))</f>
        <v>X1052</v>
      </c>
    </row>
    <row r="1054" spans="1:1">
      <c r="A1054" s="2" t="str">
        <f>_xlfn.TEXTJOIN("",TRUE,Input!$B$2,ROW(My_Audit!A1053))</f>
        <v>X1053</v>
      </c>
    </row>
    <row r="1055" spans="1:1">
      <c r="A1055" s="2" t="str">
        <f>_xlfn.TEXTJOIN("",TRUE,Input!$B$2,ROW(My_Audit!A1054))</f>
        <v>X1054</v>
      </c>
    </row>
    <row r="1056" spans="1:1">
      <c r="A1056" s="2" t="str">
        <f>_xlfn.TEXTJOIN("",TRUE,Input!$B$2,ROW(My_Audit!A1055))</f>
        <v>X1055</v>
      </c>
    </row>
    <row r="1057" spans="1:1">
      <c r="A1057" s="2" t="str">
        <f>_xlfn.TEXTJOIN("",TRUE,Input!$B$2,ROW(My_Audit!A1056))</f>
        <v>X1056</v>
      </c>
    </row>
    <row r="1058" spans="1:1">
      <c r="A1058" s="2" t="str">
        <f>_xlfn.TEXTJOIN("",TRUE,Input!$B$2,ROW(My_Audit!A1057))</f>
        <v>X1057</v>
      </c>
    </row>
    <row r="1059" spans="1:1">
      <c r="A1059" s="2" t="str">
        <f>_xlfn.TEXTJOIN("",TRUE,Input!$B$2,ROW(My_Audit!A1058))</f>
        <v>X1058</v>
      </c>
    </row>
    <row r="1060" spans="1:1">
      <c r="A1060" s="2" t="str">
        <f>_xlfn.TEXTJOIN("",TRUE,Input!$B$2,ROW(My_Audit!A1059))</f>
        <v>X1059</v>
      </c>
    </row>
    <row r="1061" spans="1:1">
      <c r="A1061" s="2" t="str">
        <f>_xlfn.TEXTJOIN("",TRUE,Input!$B$2,ROW(My_Audit!A1060))</f>
        <v>X1060</v>
      </c>
    </row>
    <row r="1062" spans="1:1">
      <c r="A1062" s="2" t="str">
        <f>_xlfn.TEXTJOIN("",TRUE,Input!$B$2,ROW(My_Audit!A1061))</f>
        <v>X1061</v>
      </c>
    </row>
    <row r="1063" spans="1:1">
      <c r="A1063" s="2" t="str">
        <f>_xlfn.TEXTJOIN("",TRUE,Input!$B$2,ROW(My_Audit!A1062))</f>
        <v>X1062</v>
      </c>
    </row>
    <row r="1064" spans="1:1">
      <c r="A1064" s="2" t="str">
        <f>_xlfn.TEXTJOIN("",TRUE,Input!$B$2,ROW(My_Audit!A1063))</f>
        <v>X1063</v>
      </c>
    </row>
    <row r="1065" spans="1:1">
      <c r="A1065" s="2" t="str">
        <f>_xlfn.TEXTJOIN("",TRUE,Input!$B$2,ROW(My_Audit!A1064))</f>
        <v>X1064</v>
      </c>
    </row>
    <row r="1066" spans="1:1">
      <c r="A1066" s="2" t="str">
        <f>_xlfn.TEXTJOIN("",TRUE,Input!$B$2,ROW(My_Audit!A1065))</f>
        <v>X1065</v>
      </c>
    </row>
    <row r="1067" spans="1:1">
      <c r="A1067" s="2" t="str">
        <f>_xlfn.TEXTJOIN("",TRUE,Input!$B$2,ROW(My_Audit!A1066))</f>
        <v>X1066</v>
      </c>
    </row>
    <row r="1068" spans="1:1">
      <c r="A1068" s="2" t="str">
        <f>_xlfn.TEXTJOIN("",TRUE,Input!$B$2,ROW(My_Audit!A1067))</f>
        <v>X1067</v>
      </c>
    </row>
    <row r="1069" spans="1:1">
      <c r="A1069" s="2" t="str">
        <f>_xlfn.TEXTJOIN("",TRUE,Input!$B$2,ROW(My_Audit!A1068))</f>
        <v>X1068</v>
      </c>
    </row>
    <row r="1070" spans="1:1">
      <c r="A1070" s="2" t="str">
        <f>_xlfn.TEXTJOIN("",TRUE,Input!$B$2,ROW(My_Audit!A1069))</f>
        <v>X1069</v>
      </c>
    </row>
    <row r="1071" spans="1:1">
      <c r="A1071" s="2" t="str">
        <f>_xlfn.TEXTJOIN("",TRUE,Input!$B$2,ROW(My_Audit!A1070))</f>
        <v>X1070</v>
      </c>
    </row>
    <row r="1072" spans="1:1">
      <c r="A1072" s="2" t="str">
        <f>_xlfn.TEXTJOIN("",TRUE,Input!$B$2,ROW(My_Audit!A1071))</f>
        <v>X1071</v>
      </c>
    </row>
    <row r="1073" spans="1:1">
      <c r="A1073" s="2" t="str">
        <f>_xlfn.TEXTJOIN("",TRUE,Input!$B$2,ROW(My_Audit!A1072))</f>
        <v>X1072</v>
      </c>
    </row>
    <row r="1074" spans="1:1">
      <c r="A1074" s="2" t="str">
        <f>_xlfn.TEXTJOIN("",TRUE,Input!$B$2,ROW(My_Audit!A1073))</f>
        <v>X1073</v>
      </c>
    </row>
    <row r="1075" spans="1:1">
      <c r="A1075" s="2" t="str">
        <f>_xlfn.TEXTJOIN("",TRUE,Input!$B$2,ROW(My_Audit!A1074))</f>
        <v>X1074</v>
      </c>
    </row>
    <row r="1076" spans="1:1">
      <c r="A1076" s="2" t="str">
        <f>_xlfn.TEXTJOIN("",TRUE,Input!$B$2,ROW(My_Audit!A1075))</f>
        <v>X1075</v>
      </c>
    </row>
    <row r="1077" spans="1:1">
      <c r="A1077" s="2" t="str">
        <f>_xlfn.TEXTJOIN("",TRUE,Input!$B$2,ROW(My_Audit!A1076))</f>
        <v>X1076</v>
      </c>
    </row>
    <row r="1078" spans="1:1">
      <c r="A1078" s="2" t="str">
        <f>_xlfn.TEXTJOIN("",TRUE,Input!$B$2,ROW(My_Audit!A1077))</f>
        <v>X1077</v>
      </c>
    </row>
    <row r="1079" spans="1:1">
      <c r="A1079" s="2" t="str">
        <f>_xlfn.TEXTJOIN("",TRUE,Input!$B$2,ROW(My_Audit!A1078))</f>
        <v>X1078</v>
      </c>
    </row>
    <row r="1080" spans="1:1">
      <c r="A1080" s="2" t="str">
        <f>_xlfn.TEXTJOIN("",TRUE,Input!$B$2,ROW(My_Audit!A1079))</f>
        <v>X1079</v>
      </c>
    </row>
    <row r="1081" spans="1:1">
      <c r="A1081" s="2" t="str">
        <f>_xlfn.TEXTJOIN("",TRUE,Input!$B$2,ROW(My_Audit!A1080))</f>
        <v>X1080</v>
      </c>
    </row>
    <row r="1082" spans="1:1">
      <c r="A1082" s="2" t="str">
        <f>_xlfn.TEXTJOIN("",TRUE,Input!$B$2,ROW(My_Audit!A1081))</f>
        <v>X1081</v>
      </c>
    </row>
    <row r="1083" spans="1:1">
      <c r="A1083" s="2" t="str">
        <f>_xlfn.TEXTJOIN("",TRUE,Input!$B$2,ROW(My_Audit!A1082))</f>
        <v>X1082</v>
      </c>
    </row>
    <row r="1084" spans="1:1">
      <c r="A1084" s="2" t="str">
        <f>_xlfn.TEXTJOIN("",TRUE,Input!$B$2,ROW(My_Audit!A1083))</f>
        <v>X1083</v>
      </c>
    </row>
    <row r="1085" spans="1:1">
      <c r="A1085" s="2" t="str">
        <f>_xlfn.TEXTJOIN("",TRUE,Input!$B$2,ROW(My_Audit!A1084))</f>
        <v>X1084</v>
      </c>
    </row>
    <row r="1086" spans="1:1">
      <c r="A1086" s="2" t="str">
        <f>_xlfn.TEXTJOIN("",TRUE,Input!$B$2,ROW(My_Audit!A1085))</f>
        <v>X1085</v>
      </c>
    </row>
    <row r="1087" spans="1:1">
      <c r="A1087" s="2" t="str">
        <f>_xlfn.TEXTJOIN("",TRUE,Input!$B$2,ROW(My_Audit!A1086))</f>
        <v>X1086</v>
      </c>
    </row>
    <row r="1088" spans="1:1">
      <c r="A1088" s="2" t="str">
        <f>_xlfn.TEXTJOIN("",TRUE,Input!$B$2,ROW(My_Audit!A1087))</f>
        <v>X1087</v>
      </c>
    </row>
    <row r="1089" spans="1:1">
      <c r="A1089" s="2" t="str">
        <f>_xlfn.TEXTJOIN("",TRUE,Input!$B$2,ROW(My_Audit!A1088))</f>
        <v>X1088</v>
      </c>
    </row>
    <row r="1090" spans="1:1">
      <c r="A1090" s="2" t="str">
        <f>_xlfn.TEXTJOIN("",TRUE,Input!$B$2,ROW(My_Audit!A1089))</f>
        <v>X1089</v>
      </c>
    </row>
    <row r="1091" spans="1:1">
      <c r="A1091" s="2" t="str">
        <f>_xlfn.TEXTJOIN("",TRUE,Input!$B$2,ROW(My_Audit!A1090))</f>
        <v>X1090</v>
      </c>
    </row>
    <row r="1092" spans="1:1">
      <c r="A1092" s="2" t="str">
        <f>_xlfn.TEXTJOIN("",TRUE,Input!$B$2,ROW(My_Audit!A1091))</f>
        <v>X1091</v>
      </c>
    </row>
    <row r="1093" spans="1:1">
      <c r="A1093" s="2" t="str">
        <f>_xlfn.TEXTJOIN("",TRUE,Input!$B$2,ROW(My_Audit!A1092))</f>
        <v>X1092</v>
      </c>
    </row>
    <row r="1094" spans="1:1">
      <c r="A1094" s="2" t="str">
        <f>_xlfn.TEXTJOIN("",TRUE,Input!$B$2,ROW(My_Audit!A1093))</f>
        <v>X1093</v>
      </c>
    </row>
    <row r="1095" spans="1:1">
      <c r="A1095" s="2" t="str">
        <f>_xlfn.TEXTJOIN("",TRUE,Input!$B$2,ROW(My_Audit!A1094))</f>
        <v>X1094</v>
      </c>
    </row>
    <row r="1096" spans="1:1">
      <c r="A1096" s="2" t="str">
        <f>_xlfn.TEXTJOIN("",TRUE,Input!$B$2,ROW(My_Audit!A1095))</f>
        <v>X1095</v>
      </c>
    </row>
    <row r="1097" spans="1:1">
      <c r="A1097" s="2" t="str">
        <f>_xlfn.TEXTJOIN("",TRUE,Input!$B$2,ROW(My_Audit!A1096))</f>
        <v>X1096</v>
      </c>
    </row>
    <row r="1098" spans="1:1">
      <c r="A1098" s="2" t="str">
        <f>_xlfn.TEXTJOIN("",TRUE,Input!$B$2,ROW(My_Audit!A1097))</f>
        <v>X1097</v>
      </c>
    </row>
    <row r="1099" spans="1:1">
      <c r="A1099" s="2" t="str">
        <f>_xlfn.TEXTJOIN("",TRUE,Input!$B$2,ROW(My_Audit!A1098))</f>
        <v>X1098</v>
      </c>
    </row>
    <row r="1100" spans="1:1">
      <c r="A1100" s="2" t="str">
        <f>_xlfn.TEXTJOIN("",TRUE,Input!$B$2,ROW(My_Audit!A1099))</f>
        <v>X1099</v>
      </c>
    </row>
    <row r="1101" spans="1:1">
      <c r="A1101" s="2" t="str">
        <f>_xlfn.TEXTJOIN("",TRUE,Input!$B$2,ROW(My_Audit!A1100))</f>
        <v>X1100</v>
      </c>
    </row>
    <row r="1102" spans="1:1">
      <c r="A1102" s="2" t="str">
        <f>_xlfn.TEXTJOIN("",TRUE,Input!$B$2,ROW(My_Audit!A1101))</f>
        <v>X1101</v>
      </c>
    </row>
    <row r="1103" spans="1:1">
      <c r="A1103" s="2" t="str">
        <f>_xlfn.TEXTJOIN("",TRUE,Input!$B$2,ROW(My_Audit!A1102))</f>
        <v>X1102</v>
      </c>
    </row>
    <row r="1104" spans="1:1">
      <c r="A1104" s="2" t="str">
        <f>_xlfn.TEXTJOIN("",TRUE,Input!$B$2,ROW(My_Audit!A1103))</f>
        <v>X1103</v>
      </c>
    </row>
    <row r="1105" spans="1:1">
      <c r="A1105" s="2" t="str">
        <f>_xlfn.TEXTJOIN("",TRUE,Input!$B$2,ROW(My_Audit!A1104))</f>
        <v>X1104</v>
      </c>
    </row>
    <row r="1106" spans="1:1">
      <c r="A1106" s="2" t="str">
        <f>_xlfn.TEXTJOIN("",TRUE,Input!$B$2,ROW(My_Audit!A1105))</f>
        <v>X1105</v>
      </c>
    </row>
    <row r="1107" spans="1:1">
      <c r="A1107" s="2" t="str">
        <f>_xlfn.TEXTJOIN("",TRUE,Input!$B$2,ROW(My_Audit!A1106))</f>
        <v>X1106</v>
      </c>
    </row>
    <row r="1108" spans="1:1">
      <c r="A1108" s="2" t="str">
        <f>_xlfn.TEXTJOIN("",TRUE,Input!$B$2,ROW(My_Audit!A1107))</f>
        <v>X1107</v>
      </c>
    </row>
    <row r="1109" spans="1:1">
      <c r="A1109" s="2" t="str">
        <f>_xlfn.TEXTJOIN("",TRUE,Input!$B$2,ROW(My_Audit!A1108))</f>
        <v>X1108</v>
      </c>
    </row>
    <row r="1110" spans="1:1">
      <c r="A1110" s="2" t="str">
        <f>_xlfn.TEXTJOIN("",TRUE,Input!$B$2,ROW(My_Audit!A1109))</f>
        <v>X1109</v>
      </c>
    </row>
    <row r="1111" spans="1:1">
      <c r="A1111" s="2" t="str">
        <f>_xlfn.TEXTJOIN("",TRUE,Input!$B$2,ROW(My_Audit!A1110))</f>
        <v>X1110</v>
      </c>
    </row>
    <row r="1112" spans="1:1">
      <c r="A1112" s="2" t="str">
        <f>_xlfn.TEXTJOIN("",TRUE,Input!$B$2,ROW(My_Audit!A1111))</f>
        <v>X1111</v>
      </c>
    </row>
    <row r="1113" spans="1:1">
      <c r="A1113" s="2" t="str">
        <f>_xlfn.TEXTJOIN("",TRUE,Input!$B$2,ROW(My_Audit!A1112))</f>
        <v>X1112</v>
      </c>
    </row>
    <row r="1114" spans="1:1">
      <c r="A1114" s="2" t="str">
        <f>_xlfn.TEXTJOIN("",TRUE,Input!$B$2,ROW(My_Audit!A1113))</f>
        <v>X1113</v>
      </c>
    </row>
    <row r="1115" spans="1:1">
      <c r="A1115" s="2" t="str">
        <f>_xlfn.TEXTJOIN("",TRUE,Input!$B$2,ROW(My_Audit!A1114))</f>
        <v>X1114</v>
      </c>
    </row>
    <row r="1116" spans="1:1">
      <c r="A1116" s="2" t="str">
        <f>_xlfn.TEXTJOIN("",TRUE,Input!$B$2,ROW(My_Audit!A1115))</f>
        <v>X1115</v>
      </c>
    </row>
    <row r="1117" spans="1:1">
      <c r="A1117" s="2" t="str">
        <f>_xlfn.TEXTJOIN("",TRUE,Input!$B$2,ROW(My_Audit!A1116))</f>
        <v>X1116</v>
      </c>
    </row>
    <row r="1118" spans="1:1">
      <c r="A1118" s="2" t="str">
        <f>_xlfn.TEXTJOIN("",TRUE,Input!$B$2,ROW(My_Audit!A1117))</f>
        <v>X1117</v>
      </c>
    </row>
    <row r="1119" spans="1:1">
      <c r="A1119" s="2" t="str">
        <f>_xlfn.TEXTJOIN("",TRUE,Input!$B$2,ROW(My_Audit!A1118))</f>
        <v>X1118</v>
      </c>
    </row>
    <row r="1120" spans="1:1">
      <c r="A1120" s="2" t="str">
        <f>_xlfn.TEXTJOIN("",TRUE,Input!$B$2,ROW(My_Audit!A1119))</f>
        <v>X1119</v>
      </c>
    </row>
    <row r="1121" spans="1:1">
      <c r="A1121" s="2" t="str">
        <f>_xlfn.TEXTJOIN("",TRUE,Input!$B$2,ROW(My_Audit!A1120))</f>
        <v>X1120</v>
      </c>
    </row>
    <row r="1122" spans="1:1">
      <c r="A1122" s="2" t="str">
        <f>_xlfn.TEXTJOIN("",TRUE,Input!$B$2,ROW(My_Audit!A1121))</f>
        <v>X1121</v>
      </c>
    </row>
    <row r="1123" spans="1:1">
      <c r="A1123" s="2" t="str">
        <f>_xlfn.TEXTJOIN("",TRUE,Input!$B$2,ROW(My_Audit!A1122))</f>
        <v>X1122</v>
      </c>
    </row>
    <row r="1124" spans="1:1">
      <c r="A1124" s="2" t="str">
        <f>_xlfn.TEXTJOIN("",TRUE,Input!$B$2,ROW(My_Audit!A1123))</f>
        <v>X1123</v>
      </c>
    </row>
    <row r="1125" spans="1:1">
      <c r="A1125" s="2" t="str">
        <f>_xlfn.TEXTJOIN("",TRUE,Input!$B$2,ROW(My_Audit!A1124))</f>
        <v>X1124</v>
      </c>
    </row>
    <row r="1126" spans="1:1">
      <c r="A1126" s="2" t="str">
        <f>_xlfn.TEXTJOIN("",TRUE,Input!$B$2,ROW(My_Audit!A1125))</f>
        <v>X1125</v>
      </c>
    </row>
    <row r="1127" spans="1:1">
      <c r="A1127" s="2" t="str">
        <f>_xlfn.TEXTJOIN("",TRUE,Input!$B$2,ROW(My_Audit!A1126))</f>
        <v>X1126</v>
      </c>
    </row>
    <row r="1128" spans="1:1">
      <c r="A1128" s="2" t="str">
        <f>_xlfn.TEXTJOIN("",TRUE,Input!$B$2,ROW(My_Audit!A1127))</f>
        <v>X1127</v>
      </c>
    </row>
    <row r="1129" spans="1:1">
      <c r="A1129" s="2" t="str">
        <f>_xlfn.TEXTJOIN("",TRUE,Input!$B$2,ROW(My_Audit!A1128))</f>
        <v>X1128</v>
      </c>
    </row>
    <row r="1130" spans="1:1">
      <c r="A1130" s="2" t="str">
        <f>_xlfn.TEXTJOIN("",TRUE,Input!$B$2,ROW(My_Audit!A1129))</f>
        <v>X1129</v>
      </c>
    </row>
    <row r="1131" spans="1:1">
      <c r="A1131" s="2" t="str">
        <f>_xlfn.TEXTJOIN("",TRUE,Input!$B$2,ROW(My_Audit!A1130))</f>
        <v>X1130</v>
      </c>
    </row>
    <row r="1132" spans="1:1">
      <c r="A1132" s="2" t="str">
        <f>_xlfn.TEXTJOIN("",TRUE,Input!$B$2,ROW(My_Audit!A1131))</f>
        <v>X1131</v>
      </c>
    </row>
    <row r="1133" spans="1:1">
      <c r="A1133" s="2" t="str">
        <f>_xlfn.TEXTJOIN("",TRUE,Input!$B$2,ROW(My_Audit!A1132))</f>
        <v>X1132</v>
      </c>
    </row>
    <row r="1134" spans="1:1">
      <c r="A1134" s="2" t="str">
        <f>_xlfn.TEXTJOIN("",TRUE,Input!$B$2,ROW(My_Audit!A1133))</f>
        <v>X1133</v>
      </c>
    </row>
    <row r="1135" spans="1:1">
      <c r="A1135" s="2" t="str">
        <f>_xlfn.TEXTJOIN("",TRUE,Input!$B$2,ROW(My_Audit!A1134))</f>
        <v>X1134</v>
      </c>
    </row>
    <row r="1136" spans="1:1">
      <c r="A1136" s="2" t="str">
        <f>_xlfn.TEXTJOIN("",TRUE,Input!$B$2,ROW(My_Audit!A1135))</f>
        <v>X1135</v>
      </c>
    </row>
    <row r="1137" spans="1:1">
      <c r="A1137" s="2" t="str">
        <f>_xlfn.TEXTJOIN("",TRUE,Input!$B$2,ROW(My_Audit!A1136))</f>
        <v>X1136</v>
      </c>
    </row>
    <row r="1138" spans="1:1">
      <c r="A1138" s="2" t="str">
        <f>_xlfn.TEXTJOIN("",TRUE,Input!$B$2,ROW(My_Audit!A1137))</f>
        <v>X1137</v>
      </c>
    </row>
    <row r="1139" spans="1:1">
      <c r="A1139" s="2" t="str">
        <f>_xlfn.TEXTJOIN("",TRUE,Input!$B$2,ROW(My_Audit!A1138))</f>
        <v>X1138</v>
      </c>
    </row>
    <row r="1140" spans="1:1">
      <c r="A1140" s="2" t="str">
        <f>_xlfn.TEXTJOIN("",TRUE,Input!$B$2,ROW(My_Audit!A1139))</f>
        <v>X1139</v>
      </c>
    </row>
    <row r="1141" spans="1:1">
      <c r="A1141" s="2" t="str">
        <f>_xlfn.TEXTJOIN("",TRUE,Input!$B$2,ROW(My_Audit!A1140))</f>
        <v>X1140</v>
      </c>
    </row>
    <row r="1142" spans="1:1">
      <c r="A1142" s="2" t="str">
        <f>_xlfn.TEXTJOIN("",TRUE,Input!$B$2,ROW(My_Audit!A1141))</f>
        <v>X1141</v>
      </c>
    </row>
    <row r="1143" spans="1:1">
      <c r="A1143" s="2" t="str">
        <f>_xlfn.TEXTJOIN("",TRUE,Input!$B$2,ROW(My_Audit!A1142))</f>
        <v>X1142</v>
      </c>
    </row>
    <row r="1144" spans="1:1">
      <c r="A1144" s="2" t="str">
        <f>_xlfn.TEXTJOIN("",TRUE,Input!$B$2,ROW(My_Audit!A1143))</f>
        <v>X1143</v>
      </c>
    </row>
    <row r="1145" spans="1:1">
      <c r="A1145" s="2" t="str">
        <f>_xlfn.TEXTJOIN("",TRUE,Input!$B$2,ROW(My_Audit!A1144))</f>
        <v>X1144</v>
      </c>
    </row>
    <row r="1146" spans="1:1">
      <c r="A1146" s="2" t="str">
        <f>_xlfn.TEXTJOIN("",TRUE,Input!$B$2,ROW(My_Audit!A1145))</f>
        <v>X1145</v>
      </c>
    </row>
    <row r="1147" spans="1:1">
      <c r="A1147" s="2" t="str">
        <f>_xlfn.TEXTJOIN("",TRUE,Input!$B$2,ROW(My_Audit!A1146))</f>
        <v>X1146</v>
      </c>
    </row>
    <row r="1148" spans="1:1">
      <c r="A1148" s="2" t="str">
        <f>_xlfn.TEXTJOIN("",TRUE,Input!$B$2,ROW(My_Audit!A1147))</f>
        <v>X1147</v>
      </c>
    </row>
    <row r="1149" spans="1:1">
      <c r="A1149" s="2" t="str">
        <f>_xlfn.TEXTJOIN("",TRUE,Input!$B$2,ROW(My_Audit!A1148))</f>
        <v>X1148</v>
      </c>
    </row>
    <row r="1150" spans="1:1">
      <c r="A1150" s="2" t="str">
        <f>_xlfn.TEXTJOIN("",TRUE,Input!$B$2,ROW(My_Audit!A1149))</f>
        <v>X1149</v>
      </c>
    </row>
    <row r="1151" spans="1:1">
      <c r="A1151" s="2" t="str">
        <f>_xlfn.TEXTJOIN("",TRUE,Input!$B$2,ROW(My_Audit!A1150))</f>
        <v>X1150</v>
      </c>
    </row>
    <row r="1152" spans="1:1">
      <c r="A1152" s="2" t="str">
        <f>_xlfn.TEXTJOIN("",TRUE,Input!$B$2,ROW(My_Audit!A1151))</f>
        <v>X1151</v>
      </c>
    </row>
    <row r="1153" spans="1:1">
      <c r="A1153" s="2" t="str">
        <f>_xlfn.TEXTJOIN("",TRUE,Input!$B$2,ROW(My_Audit!A1152))</f>
        <v>X1152</v>
      </c>
    </row>
    <row r="1154" spans="1:1">
      <c r="A1154" s="2" t="str">
        <f>_xlfn.TEXTJOIN("",TRUE,Input!$B$2,ROW(My_Audit!A1153))</f>
        <v>X1153</v>
      </c>
    </row>
    <row r="1155" spans="1:1">
      <c r="A1155" s="2" t="str">
        <f>_xlfn.TEXTJOIN("",TRUE,Input!$B$2,ROW(My_Audit!A1154))</f>
        <v>X1154</v>
      </c>
    </row>
    <row r="1156" spans="1:1">
      <c r="A1156" s="2" t="str">
        <f>_xlfn.TEXTJOIN("",TRUE,Input!$B$2,ROW(My_Audit!A1155))</f>
        <v>X1155</v>
      </c>
    </row>
    <row r="1157" spans="1:1">
      <c r="A1157" s="2" t="str">
        <f>_xlfn.TEXTJOIN("",TRUE,Input!$B$2,ROW(My_Audit!A1156))</f>
        <v>X1156</v>
      </c>
    </row>
    <row r="1158" spans="1:1">
      <c r="A1158" s="2" t="str">
        <f>_xlfn.TEXTJOIN("",TRUE,Input!$B$2,ROW(My_Audit!A1157))</f>
        <v>X1157</v>
      </c>
    </row>
    <row r="1159" spans="1:1">
      <c r="A1159" s="2" t="str">
        <f>_xlfn.TEXTJOIN("",TRUE,Input!$B$2,ROW(My_Audit!A1158))</f>
        <v>X1158</v>
      </c>
    </row>
    <row r="1160" spans="1:1">
      <c r="A1160" s="2" t="str">
        <f>_xlfn.TEXTJOIN("",TRUE,Input!$B$2,ROW(My_Audit!A1159))</f>
        <v>X1159</v>
      </c>
    </row>
    <row r="1161" spans="1:1">
      <c r="A1161" s="2" t="str">
        <f>_xlfn.TEXTJOIN("",TRUE,Input!$B$2,ROW(My_Audit!A1160))</f>
        <v>X1160</v>
      </c>
    </row>
    <row r="1162" spans="1:1">
      <c r="A1162" s="2" t="str">
        <f>_xlfn.TEXTJOIN("",TRUE,Input!$B$2,ROW(My_Audit!A1161))</f>
        <v>X1161</v>
      </c>
    </row>
    <row r="1163" spans="1:1">
      <c r="A1163" s="2" t="str">
        <f>_xlfn.TEXTJOIN("",TRUE,Input!$B$2,ROW(My_Audit!A1162))</f>
        <v>X1162</v>
      </c>
    </row>
    <row r="1164" spans="1:1">
      <c r="A1164" s="2" t="str">
        <f>_xlfn.TEXTJOIN("",TRUE,Input!$B$2,ROW(My_Audit!A1163))</f>
        <v>X1163</v>
      </c>
    </row>
    <row r="1165" spans="1:1">
      <c r="A1165" s="2" t="str">
        <f>_xlfn.TEXTJOIN("",TRUE,Input!$B$2,ROW(My_Audit!A1164))</f>
        <v>X1164</v>
      </c>
    </row>
    <row r="1166" spans="1:1">
      <c r="A1166" s="2" t="str">
        <f>_xlfn.TEXTJOIN("",TRUE,Input!$B$2,ROW(My_Audit!A1165))</f>
        <v>X1165</v>
      </c>
    </row>
    <row r="1167" spans="1:1">
      <c r="A1167" s="2" t="str">
        <f>_xlfn.TEXTJOIN("",TRUE,Input!$B$2,ROW(My_Audit!A1166))</f>
        <v>X1166</v>
      </c>
    </row>
    <row r="1168" spans="1:1">
      <c r="A1168" s="2" t="str">
        <f>_xlfn.TEXTJOIN("",TRUE,Input!$B$2,ROW(My_Audit!A1167))</f>
        <v>X1167</v>
      </c>
    </row>
    <row r="1169" spans="1:1">
      <c r="A1169" s="2" t="str">
        <f>_xlfn.TEXTJOIN("",TRUE,Input!$B$2,ROW(My_Audit!A1168))</f>
        <v>X1168</v>
      </c>
    </row>
    <row r="1170" spans="1:1">
      <c r="A1170" s="2" t="str">
        <f>_xlfn.TEXTJOIN("",TRUE,Input!$B$2,ROW(My_Audit!A1169))</f>
        <v>X1169</v>
      </c>
    </row>
    <row r="1171" spans="1:1">
      <c r="A1171" s="2" t="str">
        <f>_xlfn.TEXTJOIN("",TRUE,Input!$B$2,ROW(My_Audit!A1170))</f>
        <v>X1170</v>
      </c>
    </row>
    <row r="1172" spans="1:1">
      <c r="A1172" s="2" t="str">
        <f>_xlfn.TEXTJOIN("",TRUE,Input!$B$2,ROW(My_Audit!A1171))</f>
        <v>X1171</v>
      </c>
    </row>
    <row r="1173" spans="1:1">
      <c r="A1173" s="2" t="str">
        <f>_xlfn.TEXTJOIN("",TRUE,Input!$B$2,ROW(My_Audit!A1172))</f>
        <v>X1172</v>
      </c>
    </row>
    <row r="1174" spans="1:1">
      <c r="A1174" s="2" t="str">
        <f>_xlfn.TEXTJOIN("",TRUE,Input!$B$2,ROW(My_Audit!A1173))</f>
        <v>X1173</v>
      </c>
    </row>
    <row r="1175" spans="1:1">
      <c r="A1175" s="2" t="str">
        <f>_xlfn.TEXTJOIN("",TRUE,Input!$B$2,ROW(My_Audit!A1174))</f>
        <v>X1174</v>
      </c>
    </row>
    <row r="1176" spans="1:1">
      <c r="A1176" s="2" t="str">
        <f>_xlfn.TEXTJOIN("",TRUE,Input!$B$2,ROW(My_Audit!A1175))</f>
        <v>X1175</v>
      </c>
    </row>
    <row r="1177" spans="1:1">
      <c r="A1177" s="2" t="str">
        <f>_xlfn.TEXTJOIN("",TRUE,Input!$B$2,ROW(My_Audit!A1176))</f>
        <v>X1176</v>
      </c>
    </row>
    <row r="1178" spans="1:1">
      <c r="A1178" s="2" t="str">
        <f>_xlfn.TEXTJOIN("",TRUE,Input!$B$2,ROW(My_Audit!A1177))</f>
        <v>X1177</v>
      </c>
    </row>
    <row r="1179" spans="1:1">
      <c r="A1179" s="2" t="str">
        <f>_xlfn.TEXTJOIN("",TRUE,Input!$B$2,ROW(My_Audit!A1178))</f>
        <v>X1178</v>
      </c>
    </row>
    <row r="1180" spans="1:1">
      <c r="A1180" s="2" t="str">
        <f>_xlfn.TEXTJOIN("",TRUE,Input!$B$2,ROW(My_Audit!A1179))</f>
        <v>X1179</v>
      </c>
    </row>
    <row r="1181" spans="1:1">
      <c r="A1181" s="2" t="str">
        <f>_xlfn.TEXTJOIN("",TRUE,Input!$B$2,ROW(My_Audit!A1180))</f>
        <v>X1180</v>
      </c>
    </row>
    <row r="1182" spans="1:1">
      <c r="A1182" s="2" t="str">
        <f>_xlfn.TEXTJOIN("",TRUE,Input!$B$2,ROW(My_Audit!A1181))</f>
        <v>X1181</v>
      </c>
    </row>
    <row r="1183" spans="1:1">
      <c r="A1183" s="2" t="str">
        <f>_xlfn.TEXTJOIN("",TRUE,Input!$B$2,ROW(My_Audit!A1182))</f>
        <v>X1182</v>
      </c>
    </row>
    <row r="1184" spans="1:1">
      <c r="A1184" s="2" t="str">
        <f>_xlfn.TEXTJOIN("",TRUE,Input!$B$2,ROW(My_Audit!A1183))</f>
        <v>X1183</v>
      </c>
    </row>
    <row r="1185" spans="1:1">
      <c r="A1185" s="2" t="str">
        <f>_xlfn.TEXTJOIN("",TRUE,Input!$B$2,ROW(My_Audit!A1184))</f>
        <v>X1184</v>
      </c>
    </row>
    <row r="1186" spans="1:1">
      <c r="A1186" s="2" t="str">
        <f>_xlfn.TEXTJOIN("",TRUE,Input!$B$2,ROW(My_Audit!A1185))</f>
        <v>X1185</v>
      </c>
    </row>
    <row r="1187" spans="1:1">
      <c r="A1187" s="2" t="str">
        <f>_xlfn.TEXTJOIN("",TRUE,Input!$B$2,ROW(My_Audit!A1186))</f>
        <v>X1186</v>
      </c>
    </row>
    <row r="1188" spans="1:1">
      <c r="A1188" s="2" t="str">
        <f>_xlfn.TEXTJOIN("",TRUE,Input!$B$2,ROW(My_Audit!A1187))</f>
        <v>X1187</v>
      </c>
    </row>
    <row r="1189" spans="1:1">
      <c r="A1189" s="2" t="str">
        <f>_xlfn.TEXTJOIN("",TRUE,Input!$B$2,ROW(My_Audit!A1188))</f>
        <v>X1188</v>
      </c>
    </row>
    <row r="1190" spans="1:1">
      <c r="A1190" s="2" t="str">
        <f>_xlfn.TEXTJOIN("",TRUE,Input!$B$2,ROW(My_Audit!A1189))</f>
        <v>X1189</v>
      </c>
    </row>
    <row r="1191" spans="1:1">
      <c r="A1191" s="2" t="str">
        <f>_xlfn.TEXTJOIN("",TRUE,Input!$B$2,ROW(My_Audit!A1190))</f>
        <v>X1190</v>
      </c>
    </row>
    <row r="1192" spans="1:1">
      <c r="A1192" s="2" t="str">
        <f>_xlfn.TEXTJOIN("",TRUE,Input!$B$2,ROW(My_Audit!A1191))</f>
        <v>X1191</v>
      </c>
    </row>
    <row r="1193" spans="1:1">
      <c r="A1193" s="2" t="str">
        <f>_xlfn.TEXTJOIN("",TRUE,Input!$B$2,ROW(My_Audit!A1192))</f>
        <v>X1192</v>
      </c>
    </row>
    <row r="1194" spans="1:1">
      <c r="A1194" s="2" t="str">
        <f>_xlfn.TEXTJOIN("",TRUE,Input!$B$2,ROW(My_Audit!A1193))</f>
        <v>X1193</v>
      </c>
    </row>
    <row r="1195" spans="1:1">
      <c r="A1195" s="2" t="str">
        <f>_xlfn.TEXTJOIN("",TRUE,Input!$B$2,ROW(My_Audit!A1194))</f>
        <v>X1194</v>
      </c>
    </row>
    <row r="1196" spans="1:1">
      <c r="A1196" s="2" t="str">
        <f>_xlfn.TEXTJOIN("",TRUE,Input!$B$2,ROW(My_Audit!A1195))</f>
        <v>X1195</v>
      </c>
    </row>
    <row r="1197" spans="1:1">
      <c r="A1197" s="2" t="str">
        <f>_xlfn.TEXTJOIN("",TRUE,Input!$B$2,ROW(My_Audit!A1196))</f>
        <v>X1196</v>
      </c>
    </row>
    <row r="1198" spans="1:1">
      <c r="A1198" s="2" t="str">
        <f>_xlfn.TEXTJOIN("",TRUE,Input!$B$2,ROW(My_Audit!A1197))</f>
        <v>X1197</v>
      </c>
    </row>
    <row r="1199" spans="1:1">
      <c r="A1199" s="2" t="str">
        <f>_xlfn.TEXTJOIN("",TRUE,Input!$B$2,ROW(My_Audit!A1198))</f>
        <v>X1198</v>
      </c>
    </row>
    <row r="1200" spans="1:1">
      <c r="A1200" s="2" t="str">
        <f>_xlfn.TEXTJOIN("",TRUE,Input!$B$2,ROW(My_Audit!A1199))</f>
        <v>X1199</v>
      </c>
    </row>
    <row r="1201" spans="1:1">
      <c r="A1201" s="2" t="str">
        <f>_xlfn.TEXTJOIN("",TRUE,Input!$B$2,ROW(My_Audit!A1200))</f>
        <v>X1200</v>
      </c>
    </row>
    <row r="1202" spans="1:1">
      <c r="A1202" s="2" t="str">
        <f>_xlfn.TEXTJOIN("",TRUE,Input!$B$2,ROW(My_Audit!A1201))</f>
        <v>X1201</v>
      </c>
    </row>
    <row r="1203" spans="1:1">
      <c r="A1203" s="2" t="str">
        <f>_xlfn.TEXTJOIN("",TRUE,Input!$B$2,ROW(My_Audit!A1202))</f>
        <v>X1202</v>
      </c>
    </row>
    <row r="1204" spans="1:1">
      <c r="A1204" s="2" t="str">
        <f>_xlfn.TEXTJOIN("",TRUE,Input!$B$2,ROW(My_Audit!A1203))</f>
        <v>X1203</v>
      </c>
    </row>
    <row r="1205" spans="1:1">
      <c r="A1205" s="2" t="str">
        <f>_xlfn.TEXTJOIN("",TRUE,Input!$B$2,ROW(My_Audit!A1204))</f>
        <v>X1204</v>
      </c>
    </row>
    <row r="1206" spans="1:1">
      <c r="A1206" s="2" t="str">
        <f>_xlfn.TEXTJOIN("",TRUE,Input!$B$2,ROW(My_Audit!A1205))</f>
        <v>X1205</v>
      </c>
    </row>
    <row r="1207" spans="1:1">
      <c r="A1207" s="2" t="str">
        <f>_xlfn.TEXTJOIN("",TRUE,Input!$B$2,ROW(My_Audit!A1206))</f>
        <v>X1206</v>
      </c>
    </row>
    <row r="1208" spans="1:1">
      <c r="A1208" s="2" t="str">
        <f>_xlfn.TEXTJOIN("",TRUE,Input!$B$2,ROW(My_Audit!A1207))</f>
        <v>X1207</v>
      </c>
    </row>
    <row r="1209" spans="1:1">
      <c r="A1209" s="2" t="str">
        <f>_xlfn.TEXTJOIN("",TRUE,Input!$B$2,ROW(My_Audit!A1208))</f>
        <v>X1208</v>
      </c>
    </row>
    <row r="1210" spans="1:1">
      <c r="A1210" s="2" t="str">
        <f>_xlfn.TEXTJOIN("",TRUE,Input!$B$2,ROW(My_Audit!A1209))</f>
        <v>X1209</v>
      </c>
    </row>
    <row r="1211" spans="1:1">
      <c r="A1211" s="2" t="str">
        <f>_xlfn.TEXTJOIN("",TRUE,Input!$B$2,ROW(My_Audit!A1210))</f>
        <v>X1210</v>
      </c>
    </row>
    <row r="1212" spans="1:1">
      <c r="A1212" s="2" t="str">
        <f>_xlfn.TEXTJOIN("",TRUE,Input!$B$2,ROW(My_Audit!A1211))</f>
        <v>X1211</v>
      </c>
    </row>
    <row r="1213" spans="1:1">
      <c r="A1213" s="2" t="str">
        <f>_xlfn.TEXTJOIN("",TRUE,Input!$B$2,ROW(My_Audit!A1212))</f>
        <v>X1212</v>
      </c>
    </row>
    <row r="1214" spans="1:1">
      <c r="A1214" s="2" t="str">
        <f>_xlfn.TEXTJOIN("",TRUE,Input!$B$2,ROW(My_Audit!A1213))</f>
        <v>X1213</v>
      </c>
    </row>
    <row r="1215" spans="1:1">
      <c r="A1215" s="2" t="str">
        <f>_xlfn.TEXTJOIN("",TRUE,Input!$B$2,ROW(My_Audit!A1214))</f>
        <v>X1214</v>
      </c>
    </row>
    <row r="1216" spans="1:1">
      <c r="A1216" s="2" t="str">
        <f>_xlfn.TEXTJOIN("",TRUE,Input!$B$2,ROW(My_Audit!A1215))</f>
        <v>X1215</v>
      </c>
    </row>
    <row r="1217" spans="1:1">
      <c r="A1217" s="2" t="str">
        <f>_xlfn.TEXTJOIN("",TRUE,Input!$B$2,ROW(My_Audit!A1216))</f>
        <v>X1216</v>
      </c>
    </row>
    <row r="1218" spans="1:1">
      <c r="A1218" s="2" t="str">
        <f>_xlfn.TEXTJOIN("",TRUE,Input!$B$2,ROW(My_Audit!A1217))</f>
        <v>X1217</v>
      </c>
    </row>
    <row r="1219" spans="1:1">
      <c r="A1219" s="2" t="str">
        <f>_xlfn.TEXTJOIN("",TRUE,Input!$B$2,ROW(My_Audit!A1218))</f>
        <v>X1218</v>
      </c>
    </row>
    <row r="1220" spans="1:1">
      <c r="A1220" s="2" t="str">
        <f>_xlfn.TEXTJOIN("",TRUE,Input!$B$2,ROW(My_Audit!A1219))</f>
        <v>X1219</v>
      </c>
    </row>
    <row r="1221" spans="1:1">
      <c r="A1221" s="2" t="str">
        <f>_xlfn.TEXTJOIN("",TRUE,Input!$B$2,ROW(My_Audit!A1220))</f>
        <v>X1220</v>
      </c>
    </row>
    <row r="1222" spans="1:1">
      <c r="A1222" s="2" t="str">
        <f>_xlfn.TEXTJOIN("",TRUE,Input!$B$2,ROW(My_Audit!A1221))</f>
        <v>X1221</v>
      </c>
    </row>
    <row r="1223" spans="1:1">
      <c r="A1223" s="2" t="str">
        <f>_xlfn.TEXTJOIN("",TRUE,Input!$B$2,ROW(My_Audit!A1222))</f>
        <v>X1222</v>
      </c>
    </row>
    <row r="1224" spans="1:1">
      <c r="A1224" s="2" t="str">
        <f>_xlfn.TEXTJOIN("",TRUE,Input!$B$2,ROW(My_Audit!A1223))</f>
        <v>X1223</v>
      </c>
    </row>
    <row r="1225" spans="1:1">
      <c r="A1225" s="2" t="str">
        <f>_xlfn.TEXTJOIN("",TRUE,Input!$B$2,ROW(My_Audit!A1224))</f>
        <v>X1224</v>
      </c>
    </row>
    <row r="1226" spans="1:1">
      <c r="A1226" s="2" t="str">
        <f>_xlfn.TEXTJOIN("",TRUE,Input!$B$2,ROW(My_Audit!A1225))</f>
        <v>X1225</v>
      </c>
    </row>
    <row r="1227" spans="1:1">
      <c r="A1227" s="2" t="str">
        <f>_xlfn.TEXTJOIN("",TRUE,Input!$B$2,ROW(My_Audit!A1226))</f>
        <v>X1226</v>
      </c>
    </row>
    <row r="1228" spans="1:1">
      <c r="A1228" s="2" t="str">
        <f>_xlfn.TEXTJOIN("",TRUE,Input!$B$2,ROW(My_Audit!A1227))</f>
        <v>X1227</v>
      </c>
    </row>
    <row r="1229" spans="1:1">
      <c r="A1229" s="2" t="str">
        <f>_xlfn.TEXTJOIN("",TRUE,Input!$B$2,ROW(My_Audit!A1228))</f>
        <v>X1228</v>
      </c>
    </row>
    <row r="1230" spans="1:1">
      <c r="A1230" s="2" t="str">
        <f>_xlfn.TEXTJOIN("",TRUE,Input!$B$2,ROW(My_Audit!A1229))</f>
        <v>X1229</v>
      </c>
    </row>
    <row r="1231" spans="1:1">
      <c r="A1231" s="2" t="str">
        <f>_xlfn.TEXTJOIN("",TRUE,Input!$B$2,ROW(My_Audit!A1230))</f>
        <v>X1230</v>
      </c>
    </row>
    <row r="1232" spans="1:1">
      <c r="A1232" s="2" t="str">
        <f>_xlfn.TEXTJOIN("",TRUE,Input!$B$2,ROW(My_Audit!A1231))</f>
        <v>X1231</v>
      </c>
    </row>
    <row r="1233" spans="1:1">
      <c r="A1233" s="2" t="str">
        <f>_xlfn.TEXTJOIN("",TRUE,Input!$B$2,ROW(My_Audit!A1232))</f>
        <v>X1232</v>
      </c>
    </row>
    <row r="1234" spans="1:1">
      <c r="A1234" s="2" t="str">
        <f>_xlfn.TEXTJOIN("",TRUE,Input!$B$2,ROW(My_Audit!A1233))</f>
        <v>X1233</v>
      </c>
    </row>
    <row r="1235" spans="1:1">
      <c r="A1235" s="2" t="str">
        <f>_xlfn.TEXTJOIN("",TRUE,Input!$B$2,ROW(My_Audit!A1234))</f>
        <v>X1234</v>
      </c>
    </row>
    <row r="1236" spans="1:1">
      <c r="A1236" s="2" t="str">
        <f>_xlfn.TEXTJOIN("",TRUE,Input!$B$2,ROW(My_Audit!A1235))</f>
        <v>X1235</v>
      </c>
    </row>
    <row r="1237" spans="1:1">
      <c r="A1237" s="2" t="str">
        <f>_xlfn.TEXTJOIN("",TRUE,Input!$B$2,ROW(My_Audit!A1236))</f>
        <v>X1236</v>
      </c>
    </row>
    <row r="1238" spans="1:1">
      <c r="A1238" s="2" t="str">
        <f>_xlfn.TEXTJOIN("",TRUE,Input!$B$2,ROW(My_Audit!A1237))</f>
        <v>X1237</v>
      </c>
    </row>
    <row r="1239" spans="1:1">
      <c r="A1239" s="2" t="str">
        <f>_xlfn.TEXTJOIN("",TRUE,Input!$B$2,ROW(My_Audit!A1238))</f>
        <v>X1238</v>
      </c>
    </row>
    <row r="1240" spans="1:1">
      <c r="A1240" s="2" t="str">
        <f>_xlfn.TEXTJOIN("",TRUE,Input!$B$2,ROW(My_Audit!A1239))</f>
        <v>X1239</v>
      </c>
    </row>
    <row r="1241" spans="1:1">
      <c r="A1241" s="2" t="str">
        <f>_xlfn.TEXTJOIN("",TRUE,Input!$B$2,ROW(My_Audit!A1240))</f>
        <v>X1240</v>
      </c>
    </row>
    <row r="1242" spans="1:1">
      <c r="A1242" s="2" t="str">
        <f>_xlfn.TEXTJOIN("",TRUE,Input!$B$2,ROW(My_Audit!A1241))</f>
        <v>X1241</v>
      </c>
    </row>
    <row r="1243" spans="1:1">
      <c r="A1243" s="2" t="str">
        <f>_xlfn.TEXTJOIN("",TRUE,Input!$B$2,ROW(My_Audit!A1242))</f>
        <v>X1242</v>
      </c>
    </row>
    <row r="1244" spans="1:1">
      <c r="A1244" s="2" t="str">
        <f>_xlfn.TEXTJOIN("",TRUE,Input!$B$2,ROW(My_Audit!A1243))</f>
        <v>X1243</v>
      </c>
    </row>
    <row r="1245" spans="1:1">
      <c r="A1245" s="2" t="str">
        <f>_xlfn.TEXTJOIN("",TRUE,Input!$B$2,ROW(My_Audit!A1244))</f>
        <v>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520</v>
      </c>
      <c r="F1" s="38" t="s">
        <v>521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G23" sqref="G23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516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517</v>
      </c>
      <c r="M1" s="1" t="s">
        <v>12</v>
      </c>
      <c r="N1" s="1" t="s">
        <v>523</v>
      </c>
      <c r="O1" s="1" t="s">
        <v>13</v>
      </c>
      <c r="P1" s="1"/>
      <c r="Q1" s="1" t="s">
        <v>518</v>
      </c>
      <c r="R1" s="1" t="s">
        <v>519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A67" t="str">
        <f>_xlfn.TEXTJOIN("",TRUE,Input!$B$2,ROW(My_Audit!A66))</f>
        <v>X66</v>
      </c>
      <c r="P67" t="str">
        <f t="shared" ref="P67:P130" si="1">_xlfn.TEXTJOIN(", ",TRUE,N67,O67)</f>
        <v/>
      </c>
    </row>
    <row r="68" spans="1:16">
      <c r="A68" t="str">
        <f>_xlfn.TEXTJOIN("",TRUE,Input!$B$2,ROW(My_Audit!A67))</f>
        <v>X67</v>
      </c>
      <c r="P68" t="str">
        <f t="shared" si="1"/>
        <v/>
      </c>
    </row>
    <row r="69" spans="1:16">
      <c r="A69" t="str">
        <f>_xlfn.TEXTJOIN("",TRUE,Input!$B$2,ROW(My_Audit!A68))</f>
        <v>X68</v>
      </c>
      <c r="P69" t="str">
        <f t="shared" si="1"/>
        <v/>
      </c>
    </row>
    <row r="70" spans="1:16">
      <c r="A70" t="str">
        <f>_xlfn.TEXTJOIN("",TRUE,Input!$B$2,ROW(My_Audit!A69))</f>
        <v>X69</v>
      </c>
      <c r="P70" t="str">
        <f t="shared" si="1"/>
        <v/>
      </c>
    </row>
    <row r="71" spans="1:16">
      <c r="A71" t="str">
        <f>_xlfn.TEXTJOIN("",TRUE,Input!$B$2,ROW(My_Audit!A70))</f>
        <v>X70</v>
      </c>
      <c r="P71" t="str">
        <f t="shared" si="1"/>
        <v/>
      </c>
    </row>
    <row r="72" spans="1:16">
      <c r="A72" t="str">
        <f>_xlfn.TEXTJOIN("",TRUE,Input!$B$2,ROW(My_Audit!A71))</f>
        <v>X71</v>
      </c>
      <c r="P72" t="str">
        <f t="shared" si="1"/>
        <v/>
      </c>
    </row>
    <row r="73" spans="1:16">
      <c r="A73" t="str">
        <f>_xlfn.TEXTJOIN("",TRUE,Input!$B$2,ROW(My_Audit!A72))</f>
        <v>X72</v>
      </c>
      <c r="P73" t="str">
        <f t="shared" si="1"/>
        <v/>
      </c>
    </row>
    <row r="74" spans="1:16">
      <c r="A74" t="str">
        <f>_xlfn.TEXTJOIN("",TRUE,Input!$B$2,ROW(My_Audit!A73))</f>
        <v>X73</v>
      </c>
      <c r="P74" t="str">
        <f t="shared" si="1"/>
        <v/>
      </c>
    </row>
    <row r="75" spans="1:16">
      <c r="A75" t="str">
        <f>_xlfn.TEXTJOIN("",TRUE,Input!$B$2,ROW(My_Audit!A74))</f>
        <v>X74</v>
      </c>
      <c r="P75" t="str">
        <f t="shared" si="1"/>
        <v/>
      </c>
    </row>
    <row r="76" spans="1:16">
      <c r="A76" t="str">
        <f>_xlfn.TEXTJOIN("",TRUE,Input!$B$2,ROW(My_Audit!A75))</f>
        <v>X75</v>
      </c>
      <c r="P76" t="str">
        <f t="shared" si="1"/>
        <v/>
      </c>
    </row>
    <row r="77" spans="1:16">
      <c r="A77" t="str">
        <f>_xlfn.TEXTJOIN("",TRUE,Input!$B$2,ROW(My_Audit!A76))</f>
        <v>X76</v>
      </c>
      <c r="P77" t="str">
        <f t="shared" si="1"/>
        <v/>
      </c>
    </row>
    <row r="78" spans="1:16">
      <c r="A78" t="str">
        <f>_xlfn.TEXTJOIN("",TRUE,Input!$B$2,ROW(My_Audit!A77))</f>
        <v>X77</v>
      </c>
      <c r="P78" t="str">
        <f t="shared" si="1"/>
        <v/>
      </c>
    </row>
    <row r="79" spans="1:16">
      <c r="A79" t="str">
        <f>_xlfn.TEXTJOIN("",TRUE,Input!$B$2,ROW(My_Audit!A78))</f>
        <v>X78</v>
      </c>
      <c r="P79" t="str">
        <f t="shared" si="1"/>
        <v/>
      </c>
    </row>
    <row r="80" spans="1:16">
      <c r="A80" t="str">
        <f>_xlfn.TEXTJOIN("",TRUE,Input!$B$2,ROW(My_Audit!A79))</f>
        <v>X79</v>
      </c>
      <c r="P80" t="str">
        <f t="shared" si="1"/>
        <v/>
      </c>
    </row>
    <row r="81" spans="1:16">
      <c r="A81" t="str">
        <f>_xlfn.TEXTJOIN("",TRUE,Input!$B$2,ROW(My_Audit!A80))</f>
        <v>X80</v>
      </c>
      <c r="P81" t="str">
        <f t="shared" si="1"/>
        <v/>
      </c>
    </row>
    <row r="82" spans="1:16">
      <c r="A82" t="str">
        <f>_xlfn.TEXTJOIN("",TRUE,Input!$B$2,ROW(My_Audit!A81))</f>
        <v>X81</v>
      </c>
      <c r="P82" t="str">
        <f t="shared" si="1"/>
        <v/>
      </c>
    </row>
    <row r="83" spans="1:16">
      <c r="A83" t="str">
        <f>_xlfn.TEXTJOIN("",TRUE,Input!$B$2,ROW(My_Audit!A82))</f>
        <v>X82</v>
      </c>
      <c r="P83" t="str">
        <f t="shared" si="1"/>
        <v/>
      </c>
    </row>
    <row r="84" spans="1:16">
      <c r="A84" t="str">
        <f>_xlfn.TEXTJOIN("",TRUE,Input!$B$2,ROW(My_Audit!A83))</f>
        <v>X83</v>
      </c>
      <c r="P84" t="str">
        <f t="shared" si="1"/>
        <v/>
      </c>
    </row>
    <row r="85" spans="1:16">
      <c r="A85" t="str">
        <f>_xlfn.TEXTJOIN("",TRUE,Input!$B$2,ROW(My_Audit!A84))</f>
        <v>X84</v>
      </c>
      <c r="P85" t="str">
        <f t="shared" si="1"/>
        <v/>
      </c>
    </row>
    <row r="86" spans="1:16">
      <c r="A86" t="str">
        <f>_xlfn.TEXTJOIN("",TRUE,Input!$B$2,ROW(My_Audit!A85))</f>
        <v>X85</v>
      </c>
      <c r="P86" t="str">
        <f t="shared" si="1"/>
        <v/>
      </c>
    </row>
    <row r="87" spans="1:16">
      <c r="A87" t="str">
        <f>_xlfn.TEXTJOIN("",TRUE,Input!$B$2,ROW(My_Audit!A86))</f>
        <v>X86</v>
      </c>
      <c r="P87" t="str">
        <f t="shared" si="1"/>
        <v/>
      </c>
    </row>
    <row r="88" spans="1:16">
      <c r="A88" t="str">
        <f>_xlfn.TEXTJOIN("",TRUE,Input!$B$2,ROW(My_Audit!A87))</f>
        <v>X87</v>
      </c>
      <c r="P88" t="str">
        <f t="shared" si="1"/>
        <v/>
      </c>
    </row>
    <row r="89" spans="1:16">
      <c r="A89" t="str">
        <f>_xlfn.TEXTJOIN("",TRUE,Input!$B$2,ROW(My_Audit!A88))</f>
        <v>X88</v>
      </c>
      <c r="P89" t="str">
        <f t="shared" si="1"/>
        <v/>
      </c>
    </row>
    <row r="90" spans="1:16">
      <c r="A90" t="str">
        <f>_xlfn.TEXTJOIN("",TRUE,Input!$B$2,ROW(My_Audit!A89))</f>
        <v>X89</v>
      </c>
      <c r="P90" t="str">
        <f t="shared" si="1"/>
        <v/>
      </c>
    </row>
    <row r="91" spans="1:16">
      <c r="A91" t="str">
        <f>_xlfn.TEXTJOIN("",TRUE,Input!$B$2,ROW(My_Audit!A90))</f>
        <v>X90</v>
      </c>
      <c r="P91" t="str">
        <f t="shared" si="1"/>
        <v/>
      </c>
    </row>
    <row r="92" spans="1:16">
      <c r="A92" t="str">
        <f>_xlfn.TEXTJOIN("",TRUE,Input!$B$2,ROW(My_Audit!A91))</f>
        <v>X91</v>
      </c>
      <c r="P92" t="str">
        <f t="shared" si="1"/>
        <v/>
      </c>
    </row>
    <row r="93" spans="1:16">
      <c r="A93" t="str">
        <f>_xlfn.TEXTJOIN("",TRUE,Input!$B$2,ROW(My_Audit!A92))</f>
        <v>X92</v>
      </c>
      <c r="P93" t="str">
        <f t="shared" si="1"/>
        <v/>
      </c>
    </row>
    <row r="94" spans="1:16">
      <c r="A94" t="str">
        <f>_xlfn.TEXTJOIN("",TRUE,Input!$B$2,ROW(My_Audit!A93))</f>
        <v>X93</v>
      </c>
      <c r="P94" t="str">
        <f t="shared" si="1"/>
        <v/>
      </c>
    </row>
    <row r="95" spans="1:16">
      <c r="A95" t="str">
        <f>_xlfn.TEXTJOIN("",TRUE,Input!$B$2,ROW(My_Audit!A94))</f>
        <v>X94</v>
      </c>
      <c r="P95" t="str">
        <f t="shared" si="1"/>
        <v/>
      </c>
    </row>
    <row r="96" spans="1:16">
      <c r="A96" t="str">
        <f>_xlfn.TEXTJOIN("",TRUE,Input!$B$2,ROW(My_Audit!A95))</f>
        <v>X95</v>
      </c>
      <c r="P96" t="str">
        <f t="shared" si="1"/>
        <v/>
      </c>
    </row>
    <row r="97" spans="1:16">
      <c r="A97" t="str">
        <f>_xlfn.TEXTJOIN("",TRUE,Input!$B$2,ROW(My_Audit!A96))</f>
        <v>X96</v>
      </c>
      <c r="P97" t="str">
        <f t="shared" si="1"/>
        <v/>
      </c>
    </row>
    <row r="98" spans="1:16">
      <c r="A98" t="str">
        <f>_xlfn.TEXTJOIN("",TRUE,Input!$B$2,ROW(My_Audit!A97))</f>
        <v>X97</v>
      </c>
      <c r="P98" t="str">
        <f t="shared" si="1"/>
        <v/>
      </c>
    </row>
    <row r="99" spans="1:16">
      <c r="A99" t="str">
        <f>_xlfn.TEXTJOIN("",TRUE,Input!$B$2,ROW(My_Audit!A98))</f>
        <v>X98</v>
      </c>
      <c r="P99" t="str">
        <f t="shared" si="1"/>
        <v/>
      </c>
    </row>
    <row r="100" spans="1:16">
      <c r="A100" t="str">
        <f>_xlfn.TEXTJOIN("",TRUE,Input!$B$2,ROW(My_Audit!A99))</f>
        <v>X99</v>
      </c>
      <c r="P100" t="str">
        <f t="shared" si="1"/>
        <v/>
      </c>
    </row>
    <row r="101" spans="1:16">
      <c r="A101" t="str">
        <f>_xlfn.TEXTJOIN("",TRUE,Input!$B$2,ROW(My_Audit!A100))</f>
        <v>X100</v>
      </c>
      <c r="P101" t="str">
        <f t="shared" si="1"/>
        <v/>
      </c>
    </row>
    <row r="102" spans="1:16">
      <c r="A102" t="str">
        <f>_xlfn.TEXTJOIN("",TRUE,Input!$B$2,ROW(My_Audit!A101))</f>
        <v>X101</v>
      </c>
      <c r="P102" t="str">
        <f t="shared" si="1"/>
        <v/>
      </c>
    </row>
    <row r="103" spans="1:16">
      <c r="A103" t="str">
        <f>_xlfn.TEXTJOIN("",TRUE,Input!$B$2,ROW(My_Audit!A102))</f>
        <v>X102</v>
      </c>
      <c r="P103" t="str">
        <f t="shared" si="1"/>
        <v/>
      </c>
    </row>
    <row r="104" spans="1:16">
      <c r="A104" t="str">
        <f>_xlfn.TEXTJOIN("",TRUE,Input!$B$2,ROW(My_Audit!A103))</f>
        <v>X103</v>
      </c>
      <c r="P104" t="str">
        <f t="shared" si="1"/>
        <v/>
      </c>
    </row>
    <row r="105" spans="1:16">
      <c r="A105" t="str">
        <f>_xlfn.TEXTJOIN("",TRUE,Input!$B$2,ROW(My_Audit!A104))</f>
        <v>X104</v>
      </c>
      <c r="P105" t="str">
        <f t="shared" si="1"/>
        <v/>
      </c>
    </row>
    <row r="106" spans="1:16">
      <c r="A106" t="str">
        <f>_xlfn.TEXTJOIN("",TRUE,Input!$B$2,ROW(My_Audit!A105))</f>
        <v>X105</v>
      </c>
      <c r="P106" t="str">
        <f t="shared" si="1"/>
        <v/>
      </c>
    </row>
    <row r="107" spans="1:16">
      <c r="A107" t="str">
        <f>_xlfn.TEXTJOIN("",TRUE,Input!$B$2,ROW(My_Audit!A106))</f>
        <v>X106</v>
      </c>
      <c r="P107" t="str">
        <f t="shared" si="1"/>
        <v/>
      </c>
    </row>
    <row r="108" spans="1:16">
      <c r="A108" t="str">
        <f>_xlfn.TEXTJOIN("",TRUE,Input!$B$2,ROW(My_Audit!A107))</f>
        <v>X107</v>
      </c>
      <c r="P108" t="str">
        <f t="shared" si="1"/>
        <v/>
      </c>
    </row>
    <row r="109" spans="1:16">
      <c r="A109" t="str">
        <f>_xlfn.TEXTJOIN("",TRUE,Input!$B$2,ROW(My_Audit!A108))</f>
        <v>X108</v>
      </c>
      <c r="P109" t="str">
        <f t="shared" si="1"/>
        <v/>
      </c>
    </row>
    <row r="110" spans="1:16">
      <c r="A110" t="str">
        <f>_xlfn.TEXTJOIN("",TRUE,Input!$B$2,ROW(My_Audit!A109))</f>
        <v>X109</v>
      </c>
      <c r="P110" t="str">
        <f t="shared" si="1"/>
        <v/>
      </c>
    </row>
    <row r="111" spans="1:16">
      <c r="A111" t="str">
        <f>_xlfn.TEXTJOIN("",TRUE,Input!$B$2,ROW(My_Audit!A110))</f>
        <v>X110</v>
      </c>
      <c r="P111" t="str">
        <f t="shared" si="1"/>
        <v/>
      </c>
    </row>
    <row r="112" spans="1:16">
      <c r="A112" t="str">
        <f>_xlfn.TEXTJOIN("",TRUE,Input!$B$2,ROW(My_Audit!A111))</f>
        <v>X111</v>
      </c>
      <c r="P112" t="str">
        <f t="shared" si="1"/>
        <v/>
      </c>
    </row>
    <row r="113" spans="1:16">
      <c r="A113" t="str">
        <f>_xlfn.TEXTJOIN("",TRUE,Input!$B$2,ROW(My_Audit!A112))</f>
        <v>X112</v>
      </c>
      <c r="P113" t="str">
        <f t="shared" si="1"/>
        <v/>
      </c>
    </row>
    <row r="114" spans="1:16">
      <c r="A114" t="str">
        <f>_xlfn.TEXTJOIN("",TRUE,Input!$B$2,ROW(My_Audit!A113))</f>
        <v>X113</v>
      </c>
      <c r="P114" t="str">
        <f t="shared" si="1"/>
        <v/>
      </c>
    </row>
    <row r="115" spans="1:16">
      <c r="A115" t="str">
        <f>_xlfn.TEXTJOIN("",TRUE,Input!$B$2,ROW(My_Audit!A114))</f>
        <v>X114</v>
      </c>
      <c r="P115" t="str">
        <f t="shared" si="1"/>
        <v/>
      </c>
    </row>
    <row r="116" spans="1:16">
      <c r="A116" t="str">
        <f>_xlfn.TEXTJOIN("",TRUE,Input!$B$2,ROW(My_Audit!A115))</f>
        <v>X115</v>
      </c>
      <c r="P116" t="str">
        <f t="shared" si="1"/>
        <v/>
      </c>
    </row>
    <row r="117" spans="1:16">
      <c r="A117" t="str">
        <f>_xlfn.TEXTJOIN("",TRUE,Input!$B$2,ROW(My_Audit!A116))</f>
        <v>X116</v>
      </c>
      <c r="P117" t="str">
        <f t="shared" si="1"/>
        <v/>
      </c>
    </row>
    <row r="118" spans="1:16">
      <c r="A118" t="str">
        <f>_xlfn.TEXTJOIN("",TRUE,Input!$B$2,ROW(My_Audit!A117))</f>
        <v>X117</v>
      </c>
      <c r="P118" t="str">
        <f t="shared" si="1"/>
        <v/>
      </c>
    </row>
    <row r="119" spans="1:16">
      <c r="A119" t="str">
        <f>_xlfn.TEXTJOIN("",TRUE,Input!$B$2,ROW(My_Audit!A118))</f>
        <v>X118</v>
      </c>
      <c r="P119" t="str">
        <f t="shared" si="1"/>
        <v/>
      </c>
    </row>
    <row r="120" spans="1:16">
      <c r="A120" t="str">
        <f>_xlfn.TEXTJOIN("",TRUE,Input!$B$2,ROW(My_Audit!A119))</f>
        <v>X119</v>
      </c>
      <c r="P120" t="str">
        <f t="shared" si="1"/>
        <v/>
      </c>
    </row>
    <row r="121" spans="1:16">
      <c r="A121" t="str">
        <f>_xlfn.TEXTJOIN("",TRUE,Input!$B$2,ROW(My_Audit!A120))</f>
        <v>X120</v>
      </c>
      <c r="P121" t="str">
        <f t="shared" si="1"/>
        <v/>
      </c>
    </row>
    <row r="122" spans="1:16">
      <c r="A122" t="str">
        <f>_xlfn.TEXTJOIN("",TRUE,Input!$B$2,ROW(My_Audit!A121))</f>
        <v>X121</v>
      </c>
      <c r="P122" t="str">
        <f t="shared" si="1"/>
        <v/>
      </c>
    </row>
    <row r="123" spans="1:16">
      <c r="A123" t="str">
        <f>_xlfn.TEXTJOIN("",TRUE,Input!$B$2,ROW(My_Audit!A122))</f>
        <v>X122</v>
      </c>
      <c r="P123" t="str">
        <f t="shared" si="1"/>
        <v/>
      </c>
    </row>
    <row r="124" spans="1:16">
      <c r="A124" t="str">
        <f>_xlfn.TEXTJOIN("",TRUE,Input!$B$2,ROW(My_Audit!A123))</f>
        <v>X123</v>
      </c>
      <c r="P124" t="str">
        <f t="shared" si="1"/>
        <v/>
      </c>
    </row>
    <row r="125" spans="1:16">
      <c r="A125" t="str">
        <f>_xlfn.TEXTJOIN("",TRUE,Input!$B$2,ROW(My_Audit!A124))</f>
        <v>X124</v>
      </c>
      <c r="P125" t="str">
        <f t="shared" si="1"/>
        <v/>
      </c>
    </row>
    <row r="126" spans="1:16">
      <c r="A126" t="str">
        <f>_xlfn.TEXTJOIN("",TRUE,Input!$B$2,ROW(My_Audit!A125))</f>
        <v>X125</v>
      </c>
      <c r="P126" t="str">
        <f t="shared" si="1"/>
        <v/>
      </c>
    </row>
    <row r="127" spans="1:16">
      <c r="A127" t="str">
        <f>_xlfn.TEXTJOIN("",TRUE,Input!$B$2,ROW(My_Audit!A126))</f>
        <v>X126</v>
      </c>
      <c r="P127" t="str">
        <f t="shared" si="1"/>
        <v/>
      </c>
    </row>
    <row r="128" spans="1:16">
      <c r="A128" t="str">
        <f>_xlfn.TEXTJOIN("",TRUE,Input!$B$2,ROW(My_Audit!A127))</f>
        <v>X127</v>
      </c>
      <c r="P128" t="str">
        <f t="shared" si="1"/>
        <v/>
      </c>
    </row>
    <row r="129" spans="1:16">
      <c r="A129" t="str">
        <f>_xlfn.TEXTJOIN("",TRUE,Input!$B$2,ROW(My_Audit!A128))</f>
        <v>X128</v>
      </c>
      <c r="P129" t="str">
        <f t="shared" si="1"/>
        <v/>
      </c>
    </row>
    <row r="130" spans="1:16">
      <c r="A130" t="str">
        <f>_xlfn.TEXTJOIN("",TRUE,Input!$B$2,ROW(My_Audit!A129))</f>
        <v>X129</v>
      </c>
      <c r="P130" t="str">
        <f t="shared" si="1"/>
        <v/>
      </c>
    </row>
    <row r="131" spans="1:16">
      <c r="A131" t="str">
        <f>_xlfn.TEXTJOIN("",TRUE,Input!$B$2,ROW(My_Audit!A130))</f>
        <v>X130</v>
      </c>
      <c r="P131" t="str">
        <f t="shared" ref="P131:P194" si="2">_xlfn.TEXTJOIN(", ",TRUE,N131,O131)</f>
        <v/>
      </c>
    </row>
    <row r="132" spans="1:16">
      <c r="A132" t="str">
        <f>_xlfn.TEXTJOIN("",TRUE,Input!$B$2,ROW(My_Audit!A131))</f>
        <v>X131</v>
      </c>
      <c r="P132" t="str">
        <f t="shared" si="2"/>
        <v/>
      </c>
    </row>
    <row r="133" spans="1:16">
      <c r="A133" t="str">
        <f>_xlfn.TEXTJOIN("",TRUE,Input!$B$2,ROW(My_Audit!A132))</f>
        <v>X132</v>
      </c>
      <c r="P133" t="str">
        <f t="shared" si="2"/>
        <v/>
      </c>
    </row>
    <row r="134" spans="1:16">
      <c r="A134" t="str">
        <f>_xlfn.TEXTJOIN("",TRUE,Input!$B$2,ROW(My_Audit!A133))</f>
        <v>X133</v>
      </c>
      <c r="P134" t="str">
        <f t="shared" si="2"/>
        <v/>
      </c>
    </row>
    <row r="135" spans="1:16">
      <c r="A135" t="str">
        <f>_xlfn.TEXTJOIN("",TRUE,Input!$B$2,ROW(My_Audit!A134))</f>
        <v>X134</v>
      </c>
      <c r="P135" t="str">
        <f t="shared" si="2"/>
        <v/>
      </c>
    </row>
    <row r="136" spans="1:16">
      <c r="A136" t="str">
        <f>_xlfn.TEXTJOIN("",TRUE,Input!$B$2,ROW(My_Audit!A135))</f>
        <v>X135</v>
      </c>
      <c r="P136" t="str">
        <f t="shared" si="2"/>
        <v/>
      </c>
    </row>
    <row r="137" spans="1:16">
      <c r="A137" t="str">
        <f>_xlfn.TEXTJOIN("",TRUE,Input!$B$2,ROW(My_Audit!A136))</f>
        <v>X136</v>
      </c>
      <c r="P137" t="str">
        <f t="shared" si="2"/>
        <v/>
      </c>
    </row>
    <row r="138" spans="1:16">
      <c r="A138" t="str">
        <f>_xlfn.TEXTJOIN("",TRUE,Input!$B$2,ROW(My_Audit!A137))</f>
        <v>X137</v>
      </c>
      <c r="P138" t="str">
        <f t="shared" si="2"/>
        <v/>
      </c>
    </row>
    <row r="139" spans="1:16">
      <c r="A139" t="str">
        <f>_xlfn.TEXTJOIN("",TRUE,Input!$B$2,ROW(My_Audit!A138))</f>
        <v>X138</v>
      </c>
      <c r="P139" t="str">
        <f t="shared" si="2"/>
        <v/>
      </c>
    </row>
    <row r="140" spans="1:16">
      <c r="A140" t="str">
        <f>_xlfn.TEXTJOIN("",TRUE,Input!$B$2,ROW(My_Audit!A139))</f>
        <v>X139</v>
      </c>
      <c r="P140" t="str">
        <f t="shared" si="2"/>
        <v/>
      </c>
    </row>
    <row r="141" spans="1:16">
      <c r="A141" t="str">
        <f>_xlfn.TEXTJOIN("",TRUE,Input!$B$2,ROW(My_Audit!A140))</f>
        <v>X140</v>
      </c>
      <c r="P141" t="str">
        <f t="shared" si="2"/>
        <v/>
      </c>
    </row>
    <row r="142" spans="1:16">
      <c r="A142" t="str">
        <f>_xlfn.TEXTJOIN("",TRUE,Input!$B$2,ROW(My_Audit!A141))</f>
        <v>X141</v>
      </c>
      <c r="P142" t="str">
        <f t="shared" si="2"/>
        <v/>
      </c>
    </row>
    <row r="143" spans="1:16">
      <c r="A143" t="str">
        <f>_xlfn.TEXTJOIN("",TRUE,Input!$B$2,ROW(My_Audit!A142))</f>
        <v>X142</v>
      </c>
      <c r="P143" t="str">
        <f t="shared" si="2"/>
        <v/>
      </c>
    </row>
    <row r="144" spans="1:16">
      <c r="A144" t="str">
        <f>_xlfn.TEXTJOIN("",TRUE,Input!$B$2,ROW(My_Audit!A143))</f>
        <v>X143</v>
      </c>
      <c r="P144" t="str">
        <f t="shared" si="2"/>
        <v/>
      </c>
    </row>
    <row r="145" spans="1:16">
      <c r="A145" t="str">
        <f>_xlfn.TEXTJOIN("",TRUE,Input!$B$2,ROW(My_Audit!A144))</f>
        <v>X144</v>
      </c>
      <c r="P145" t="str">
        <f t="shared" si="2"/>
        <v/>
      </c>
    </row>
    <row r="146" spans="1:16">
      <c r="A146" t="str">
        <f>_xlfn.TEXTJOIN("",TRUE,Input!$B$2,ROW(My_Audit!A145))</f>
        <v>X145</v>
      </c>
      <c r="P146" t="str">
        <f t="shared" si="2"/>
        <v/>
      </c>
    </row>
    <row r="147" spans="1:16">
      <c r="A147" t="str">
        <f>_xlfn.TEXTJOIN("",TRUE,Input!$B$2,ROW(My_Audit!A146))</f>
        <v>X146</v>
      </c>
      <c r="P147" t="str">
        <f t="shared" si="2"/>
        <v/>
      </c>
    </row>
    <row r="148" spans="1:16">
      <c r="A148" t="str">
        <f>_xlfn.TEXTJOIN("",TRUE,Input!$B$2,ROW(My_Audit!A147))</f>
        <v>X147</v>
      </c>
      <c r="P148" t="str">
        <f t="shared" si="2"/>
        <v/>
      </c>
    </row>
    <row r="149" spans="1:16">
      <c r="A149" t="str">
        <f>_xlfn.TEXTJOIN("",TRUE,Input!$B$2,ROW(My_Audit!A148))</f>
        <v>X148</v>
      </c>
      <c r="P149" t="str">
        <f t="shared" si="2"/>
        <v/>
      </c>
    </row>
    <row r="150" spans="1:16">
      <c r="A150" t="str">
        <f>_xlfn.TEXTJOIN("",TRUE,Input!$B$2,ROW(My_Audit!A149))</f>
        <v>X149</v>
      </c>
      <c r="P150" t="str">
        <f t="shared" si="2"/>
        <v/>
      </c>
    </row>
    <row r="151" spans="1:16">
      <c r="A151" t="str">
        <f>_xlfn.TEXTJOIN("",TRUE,Input!$B$2,ROW(My_Audit!A150))</f>
        <v>X150</v>
      </c>
      <c r="P151" t="str">
        <f t="shared" si="2"/>
        <v/>
      </c>
    </row>
    <row r="152" spans="1:16">
      <c r="A152" t="str">
        <f>_xlfn.TEXTJOIN("",TRUE,Input!$B$2,ROW(My_Audit!A151))</f>
        <v>X151</v>
      </c>
      <c r="P152" t="str">
        <f t="shared" si="2"/>
        <v/>
      </c>
    </row>
    <row r="153" spans="1:16">
      <c r="A153" t="str">
        <f>_xlfn.TEXTJOIN("",TRUE,Input!$B$2,ROW(My_Audit!A152))</f>
        <v>X152</v>
      </c>
      <c r="P153" t="str">
        <f t="shared" si="2"/>
        <v/>
      </c>
    </row>
    <row r="154" spans="1:16">
      <c r="A154" t="str">
        <f>_xlfn.TEXTJOIN("",TRUE,Input!$B$2,ROW(My_Audit!A153))</f>
        <v>X153</v>
      </c>
      <c r="P154" t="str">
        <f t="shared" si="2"/>
        <v/>
      </c>
    </row>
    <row r="155" spans="1:16">
      <c r="A155" t="str">
        <f>_xlfn.TEXTJOIN("",TRUE,Input!$B$2,ROW(My_Audit!A154))</f>
        <v>X154</v>
      </c>
      <c r="P155" t="str">
        <f t="shared" si="2"/>
        <v/>
      </c>
    </row>
    <row r="156" spans="1:16">
      <c r="A156" t="str">
        <f>_xlfn.TEXTJOIN("",TRUE,Input!$B$2,ROW(My_Audit!A155))</f>
        <v>X155</v>
      </c>
      <c r="P156" t="str">
        <f t="shared" si="2"/>
        <v/>
      </c>
    </row>
    <row r="157" spans="1:16">
      <c r="A157" t="str">
        <f>_xlfn.TEXTJOIN("",TRUE,Input!$B$2,ROW(My_Audit!A156))</f>
        <v>X156</v>
      </c>
      <c r="P157" t="str">
        <f t="shared" si="2"/>
        <v/>
      </c>
    </row>
    <row r="158" spans="1:16">
      <c r="A158" t="str">
        <f>_xlfn.TEXTJOIN("",TRUE,Input!$B$2,ROW(My_Audit!A157))</f>
        <v>X157</v>
      </c>
      <c r="P158" t="str">
        <f t="shared" si="2"/>
        <v/>
      </c>
    </row>
    <row r="159" spans="1:16">
      <c r="A159" t="str">
        <f>_xlfn.TEXTJOIN("",TRUE,Input!$B$2,ROW(My_Audit!A158))</f>
        <v>X158</v>
      </c>
      <c r="P159" t="str">
        <f t="shared" si="2"/>
        <v/>
      </c>
    </row>
    <row r="160" spans="1:16">
      <c r="A160" t="str">
        <f>_xlfn.TEXTJOIN("",TRUE,Input!$B$2,ROW(My_Audit!A159))</f>
        <v>X159</v>
      </c>
      <c r="P160" t="str">
        <f t="shared" si="2"/>
        <v/>
      </c>
    </row>
    <row r="161" spans="1:16">
      <c r="A161" t="str">
        <f>_xlfn.TEXTJOIN("",TRUE,Input!$B$2,ROW(My_Audit!A160))</f>
        <v>X160</v>
      </c>
      <c r="P161" t="str">
        <f t="shared" si="2"/>
        <v/>
      </c>
    </row>
    <row r="162" spans="1:16">
      <c r="A162" t="str">
        <f>_xlfn.TEXTJOIN("",TRUE,Input!$B$2,ROW(My_Audit!A161))</f>
        <v>X161</v>
      </c>
      <c r="P162" t="str">
        <f t="shared" si="2"/>
        <v/>
      </c>
    </row>
    <row r="163" spans="1:16">
      <c r="A163" t="str">
        <f>_xlfn.TEXTJOIN("",TRUE,Input!$B$2,ROW(My_Audit!A162))</f>
        <v>X162</v>
      </c>
      <c r="P163" t="str">
        <f t="shared" si="2"/>
        <v/>
      </c>
    </row>
    <row r="164" spans="1:16">
      <c r="A164" t="str">
        <f>_xlfn.TEXTJOIN("",TRUE,Input!$B$2,ROW(My_Audit!A163))</f>
        <v>X163</v>
      </c>
      <c r="P164" t="str">
        <f t="shared" si="2"/>
        <v/>
      </c>
    </row>
    <row r="165" spans="1:16">
      <c r="A165" t="str">
        <f>_xlfn.TEXTJOIN("",TRUE,Input!$B$2,ROW(My_Audit!A164))</f>
        <v>X164</v>
      </c>
      <c r="P165" t="str">
        <f t="shared" si="2"/>
        <v/>
      </c>
    </row>
    <row r="166" spans="1:16">
      <c r="A166" t="str">
        <f>_xlfn.TEXTJOIN("",TRUE,Input!$B$2,ROW(My_Audit!A165))</f>
        <v>X165</v>
      </c>
      <c r="P166" t="str">
        <f t="shared" si="2"/>
        <v/>
      </c>
    </row>
    <row r="167" spans="1:16">
      <c r="A167" t="str">
        <f>_xlfn.TEXTJOIN("",TRUE,Input!$B$2,ROW(My_Audit!A166))</f>
        <v>X166</v>
      </c>
      <c r="P167" t="str">
        <f t="shared" si="2"/>
        <v/>
      </c>
    </row>
    <row r="168" spans="1:16">
      <c r="A168" t="str">
        <f>_xlfn.TEXTJOIN("",TRUE,Input!$B$2,ROW(My_Audit!A167))</f>
        <v>X167</v>
      </c>
      <c r="P168" t="str">
        <f t="shared" si="2"/>
        <v/>
      </c>
    </row>
    <row r="169" spans="1:16">
      <c r="A169" t="str">
        <f>_xlfn.TEXTJOIN("",TRUE,Input!$B$2,ROW(My_Audit!A168))</f>
        <v>X168</v>
      </c>
      <c r="P169" t="str">
        <f t="shared" si="2"/>
        <v/>
      </c>
    </row>
    <row r="170" spans="1:16">
      <c r="A170" t="str">
        <f>_xlfn.TEXTJOIN("",TRUE,Input!$B$2,ROW(My_Audit!A169))</f>
        <v>X169</v>
      </c>
      <c r="P170" t="str">
        <f t="shared" si="2"/>
        <v/>
      </c>
    </row>
    <row r="171" spans="1:16">
      <c r="A171" t="str">
        <f>_xlfn.TEXTJOIN("",TRUE,Input!$B$2,ROW(My_Audit!A170))</f>
        <v>X170</v>
      </c>
      <c r="P171" t="str">
        <f t="shared" si="2"/>
        <v/>
      </c>
    </row>
    <row r="172" spans="1:16">
      <c r="A172" t="str">
        <f>_xlfn.TEXTJOIN("",TRUE,Input!$B$2,ROW(My_Audit!A171))</f>
        <v>X171</v>
      </c>
      <c r="P172" t="str">
        <f t="shared" si="2"/>
        <v/>
      </c>
    </row>
    <row r="173" spans="1:16">
      <c r="A173" t="str">
        <f>_xlfn.TEXTJOIN("",TRUE,Input!$B$2,ROW(My_Audit!A172))</f>
        <v>X172</v>
      </c>
      <c r="P173" t="str">
        <f t="shared" si="2"/>
        <v/>
      </c>
    </row>
    <row r="174" spans="1:16">
      <c r="A174" t="str">
        <f>_xlfn.TEXTJOIN("",TRUE,Input!$B$2,ROW(My_Audit!A173))</f>
        <v>X173</v>
      </c>
      <c r="P174" t="str">
        <f t="shared" si="2"/>
        <v/>
      </c>
    </row>
    <row r="175" spans="1:16">
      <c r="A175" t="str">
        <f>_xlfn.TEXTJOIN("",TRUE,Input!$B$2,ROW(My_Audit!A174))</f>
        <v>X174</v>
      </c>
      <c r="P175" t="str">
        <f t="shared" si="2"/>
        <v/>
      </c>
    </row>
    <row r="176" spans="1:16">
      <c r="A176" t="str">
        <f>_xlfn.TEXTJOIN("",TRUE,Input!$B$2,ROW(My_Audit!A175))</f>
        <v>X175</v>
      </c>
      <c r="P176" t="str">
        <f t="shared" si="2"/>
        <v/>
      </c>
    </row>
    <row r="177" spans="1:16">
      <c r="A177" t="str">
        <f>_xlfn.TEXTJOIN("",TRUE,Input!$B$2,ROW(My_Audit!A176))</f>
        <v>X176</v>
      </c>
      <c r="P177" t="str">
        <f t="shared" si="2"/>
        <v/>
      </c>
    </row>
    <row r="178" spans="1:16">
      <c r="A178" t="str">
        <f>_xlfn.TEXTJOIN("",TRUE,Input!$B$2,ROW(My_Audit!A177))</f>
        <v>X177</v>
      </c>
      <c r="P178" t="str">
        <f t="shared" si="2"/>
        <v/>
      </c>
    </row>
    <row r="179" spans="1:16">
      <c r="A179" t="str">
        <f>_xlfn.TEXTJOIN("",TRUE,Input!$B$2,ROW(My_Audit!A178))</f>
        <v>X178</v>
      </c>
      <c r="P179" t="str">
        <f t="shared" si="2"/>
        <v/>
      </c>
    </row>
    <row r="180" spans="1:16">
      <c r="A180" t="str">
        <f>_xlfn.TEXTJOIN("",TRUE,Input!$B$2,ROW(My_Audit!A179))</f>
        <v>X179</v>
      </c>
      <c r="P180" t="str">
        <f t="shared" si="2"/>
        <v/>
      </c>
    </row>
    <row r="181" spans="1:16">
      <c r="A181" t="str">
        <f>_xlfn.TEXTJOIN("",TRUE,Input!$B$2,ROW(My_Audit!A180))</f>
        <v>X180</v>
      </c>
      <c r="P181" t="str">
        <f t="shared" si="2"/>
        <v/>
      </c>
    </row>
    <row r="182" spans="1:16">
      <c r="A182" t="str">
        <f>_xlfn.TEXTJOIN("",TRUE,Input!$B$2,ROW(My_Audit!A181))</f>
        <v>X181</v>
      </c>
      <c r="P182" t="str">
        <f t="shared" si="2"/>
        <v/>
      </c>
    </row>
    <row r="183" spans="1:16">
      <c r="A183" t="str">
        <f>_xlfn.TEXTJOIN("",TRUE,Input!$B$2,ROW(My_Audit!A182))</f>
        <v>X182</v>
      </c>
      <c r="P183" t="str">
        <f t="shared" si="2"/>
        <v/>
      </c>
    </row>
    <row r="184" spans="1:16">
      <c r="A184" t="str">
        <f>_xlfn.TEXTJOIN("",TRUE,Input!$B$2,ROW(My_Audit!A183))</f>
        <v>X183</v>
      </c>
      <c r="P184" t="str">
        <f t="shared" si="2"/>
        <v/>
      </c>
    </row>
    <row r="185" spans="1:16">
      <c r="A185" t="str">
        <f>_xlfn.TEXTJOIN("",TRUE,Input!$B$2,ROW(My_Audit!A184))</f>
        <v>X184</v>
      </c>
      <c r="P185" t="str">
        <f t="shared" si="2"/>
        <v/>
      </c>
    </row>
    <row r="186" spans="1:16">
      <c r="A186" t="str">
        <f>_xlfn.TEXTJOIN("",TRUE,Input!$B$2,ROW(My_Audit!A185))</f>
        <v>X185</v>
      </c>
      <c r="P186" t="str">
        <f t="shared" si="2"/>
        <v/>
      </c>
    </row>
    <row r="187" spans="1:16">
      <c r="A187" t="str">
        <f>_xlfn.TEXTJOIN("",TRUE,Input!$B$2,ROW(My_Audit!A186))</f>
        <v>X186</v>
      </c>
      <c r="P187" t="str">
        <f t="shared" si="2"/>
        <v/>
      </c>
    </row>
    <row r="188" spans="1:16">
      <c r="A188" t="str">
        <f>_xlfn.TEXTJOIN("",TRUE,Input!$B$2,ROW(My_Audit!A187))</f>
        <v>X187</v>
      </c>
      <c r="P188" t="str">
        <f t="shared" si="2"/>
        <v/>
      </c>
    </row>
    <row r="189" spans="1:16">
      <c r="A189" t="str">
        <f>_xlfn.TEXTJOIN("",TRUE,Input!$B$2,ROW(My_Audit!A188))</f>
        <v>X188</v>
      </c>
      <c r="P189" t="str">
        <f t="shared" si="2"/>
        <v/>
      </c>
    </row>
    <row r="190" spans="1:16">
      <c r="A190" t="str">
        <f>_xlfn.TEXTJOIN("",TRUE,Input!$B$2,ROW(My_Audit!A189))</f>
        <v>X189</v>
      </c>
      <c r="P190" t="str">
        <f t="shared" si="2"/>
        <v/>
      </c>
    </row>
    <row r="191" spans="1:16">
      <c r="P191" t="str">
        <f t="shared" si="2"/>
        <v/>
      </c>
    </row>
    <row r="192" spans="1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A7" sqref="A7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3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  <c r="T1" t="s">
        <v>533</v>
      </c>
      <c r="U1" t="s">
        <v>534</v>
      </c>
      <c r="V1" t="s">
        <v>535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</row>
    <row r="2" spans="1:33">
      <c r="A2" s="36" t="s">
        <v>536</v>
      </c>
      <c r="B2" s="36" t="s">
        <v>540</v>
      </c>
      <c r="C2" s="36" t="s">
        <v>537</v>
      </c>
      <c r="Y2"/>
      <c r="AD2" s="3"/>
    </row>
    <row r="3" spans="1:33">
      <c r="B3" s="40" t="s">
        <v>22</v>
      </c>
      <c r="C3" s="41" t="s">
        <v>23</v>
      </c>
      <c r="Y3"/>
      <c r="AD3" s="3"/>
    </row>
    <row r="4" spans="1:33">
      <c r="B4" s="40"/>
      <c r="C4" s="41"/>
      <c r="Y4"/>
      <c r="AD4" s="3"/>
    </row>
    <row r="5" spans="1:33">
      <c r="B5" s="40"/>
      <c r="C5" s="41"/>
      <c r="Y5"/>
    </row>
    <row r="6" spans="1:33">
      <c r="B6" s="40"/>
      <c r="C6" s="41"/>
      <c r="Y6"/>
      <c r="AD6" s="3"/>
    </row>
    <row r="7" spans="1:33">
      <c r="B7" s="40"/>
      <c r="C7" s="41"/>
      <c r="Y7"/>
      <c r="AD7" s="3"/>
    </row>
    <row r="8" spans="1:33">
      <c r="B8" s="40"/>
      <c r="C8" s="41"/>
      <c r="Y8"/>
      <c r="AD8" s="3"/>
    </row>
    <row r="9" spans="1:33">
      <c r="B9" s="40"/>
      <c r="C9" s="41"/>
      <c r="Y9"/>
      <c r="AD9" s="3"/>
    </row>
    <row r="10" spans="1:33">
      <c r="B10" s="40"/>
      <c r="C10" s="41"/>
      <c r="Y10"/>
    </row>
    <row r="11" spans="1:33">
      <c r="B11" s="40"/>
      <c r="C11" s="41"/>
      <c r="Y11"/>
      <c r="AD11" s="3"/>
    </row>
    <row r="12" spans="1:33">
      <c r="B12" s="40"/>
      <c r="C12" s="41"/>
      <c r="Y12"/>
    </row>
    <row r="13" spans="1:33">
      <c r="B13" s="40"/>
      <c r="C13" s="41"/>
      <c r="Y13"/>
      <c r="AG13" s="4"/>
    </row>
    <row r="14" spans="1:33">
      <c r="B14" s="40"/>
      <c r="C14" s="41"/>
      <c r="Y14"/>
      <c r="AD14" s="3"/>
    </row>
    <row r="15" spans="1:33">
      <c r="B15" s="40"/>
      <c r="C15" s="41"/>
      <c r="Y15"/>
    </row>
    <row r="16" spans="1:33">
      <c r="B16" s="40"/>
      <c r="C16" s="41"/>
      <c r="Y16"/>
      <c r="AD16" s="3"/>
    </row>
    <row r="17" spans="2:38">
      <c r="B17" s="40"/>
      <c r="C17" s="41"/>
      <c r="Y17"/>
    </row>
    <row r="18" spans="2:38">
      <c r="B18" s="40"/>
      <c r="C18" s="41"/>
      <c r="Y18"/>
      <c r="AD18" s="3"/>
    </row>
    <row r="19" spans="2:38">
      <c r="B19" s="40"/>
      <c r="C19" s="41"/>
      <c r="Y19"/>
      <c r="AD19" s="3"/>
    </row>
    <row r="20" spans="2:38">
      <c r="B20" s="40"/>
      <c r="C20" s="41"/>
      <c r="Y20"/>
      <c r="AD20" s="3"/>
    </row>
    <row r="21" spans="2:38">
      <c r="B21" s="40"/>
      <c r="C21" s="41"/>
      <c r="Y21"/>
      <c r="AD21" s="3"/>
    </row>
    <row r="22" spans="2:38">
      <c r="B22" s="40"/>
      <c r="C22" s="41"/>
      <c r="Y22"/>
      <c r="AD22" s="3"/>
    </row>
    <row r="23" spans="2:38">
      <c r="B23" s="40"/>
      <c r="C23" s="41"/>
      <c r="Y23"/>
      <c r="AD23" s="3"/>
    </row>
    <row r="24" spans="2:38">
      <c r="B24" s="40"/>
      <c r="C24" s="41"/>
      <c r="Y24"/>
      <c r="AD24" s="3"/>
    </row>
    <row r="25" spans="2:38">
      <c r="B25" s="40"/>
      <c r="C25" s="41"/>
      <c r="Y25"/>
      <c r="AD25" s="3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B5" sqref="B5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324</v>
      </c>
      <c r="B1" s="31" t="s">
        <v>323</v>
      </c>
      <c r="G1" s="33" t="s">
        <v>59</v>
      </c>
      <c r="H1" s="12" t="s">
        <v>320</v>
      </c>
      <c r="I1" s="1" t="s">
        <v>14</v>
      </c>
      <c r="J1" s="12" t="s">
        <v>325</v>
      </c>
      <c r="K1" s="12" t="s">
        <v>326</v>
      </c>
      <c r="L1" s="12" t="s">
        <v>327</v>
      </c>
      <c r="M1" s="12" t="s">
        <v>328</v>
      </c>
      <c r="N1" s="1" t="s">
        <v>15</v>
      </c>
    </row>
    <row r="2" spans="1:14" ht="15.75" thickTop="1">
      <c r="A2" s="31" t="s">
        <v>321</v>
      </c>
      <c r="B2" t="s">
        <v>322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322</v>
      </c>
      <c r="B3" s="43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20" sqref="Z2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Comment9</v>
      </c>
      <c r="T1" t="str">
        <v>CPU model</v>
      </c>
      <c r="U1" t="str">
        <v>Memory capacity</v>
      </c>
      <c r="V1" t="str">
        <v>Memory type</v>
      </c>
      <c r="W1" t="str">
        <v>Disk capacity</v>
      </c>
      <c r="X1" t="str">
        <v>Disk interface type</v>
      </c>
      <c r="Y1" t="str">
        <v>Disk serial</v>
      </c>
      <c r="Z1" t="str">
        <v>Disk model</v>
      </c>
      <c r="AA1" t="str">
        <v>Erasure start time</v>
      </c>
      <c r="AB1" t="str">
        <v>Battery test comment</v>
      </c>
      <c r="AC1" t="s">
        <v>50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260"/>
  <sheetViews>
    <sheetView zoomScaleNormal="100" workbookViewId="0">
      <pane ySplit="1" topLeftCell="A2" activePane="bottomLeft" state="frozen"/>
      <selection activeCell="E1" sqref="E1"/>
      <selection pane="bottomLeft" activeCell="A20" sqref="A20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317</v>
      </c>
      <c r="N1" s="12" t="s">
        <v>318</v>
      </c>
      <c r="O1" s="12" t="s">
        <v>319</v>
      </c>
      <c r="P1" s="1" t="s">
        <v>10</v>
      </c>
      <c r="Q1" s="1" t="s">
        <v>11</v>
      </c>
      <c r="R1" s="1" t="s">
        <v>12</v>
      </c>
      <c r="S1" s="12" t="s">
        <v>330</v>
      </c>
      <c r="T1" s="12" t="s">
        <v>329</v>
      </c>
      <c r="U1" s="42" t="s">
        <v>19</v>
      </c>
      <c r="V1" s="42"/>
      <c r="W1" s="42"/>
      <c r="X1" s="42"/>
      <c r="Y1" s="42"/>
      <c r="Z1" s="42"/>
      <c r="AA1" s="12"/>
      <c r="AB1" s="12"/>
      <c r="AC1" s="12"/>
      <c r="AD1" s="1" t="s">
        <v>13</v>
      </c>
      <c r="AE1" s="1" t="s">
        <v>14</v>
      </c>
      <c r="AF1" s="1" t="s">
        <v>15</v>
      </c>
      <c r="AG1" s="1" t="s">
        <v>16</v>
      </c>
      <c r="AH1" s="1" t="s">
        <v>17</v>
      </c>
      <c r="AI1" s="1" t="s">
        <v>18</v>
      </c>
      <c r="AJ1" s="1" t="s">
        <v>19</v>
      </c>
      <c r="AK1" s="1" t="s">
        <v>20</v>
      </c>
      <c r="AL1" s="1" t="s">
        <v>21</v>
      </c>
    </row>
    <row r="2" spans="1:38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e">
        <f>INDEX(Input!$D$2:$AD$500,
       MATCH(B2, Input!$J$2:$J$500, 0),
       MATCH("Disk Capacity", Input!$D$1:$AD$1, 0))</f>
        <v>#N/A</v>
      </c>
      <c r="S2" s="13" t="e">
        <f>_xlfn.LET(_xlpm.Result,INDEX(Input!$D$2:$AD$500,
       MATCH(B2, Input!$J$2:$J$500, 0),
       MATCH("Capacity", Input!$D$1:$AD$1, 0)),IF(_xlpm.Result="","",_xlpm.Result))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IFERROR(IF(_xlfn.XLOOKUP(B2,Input!J:J,Input!N:V)=0,"",
          _xlfn.XLOOKUP(B2,Input!J:J,Input!N:V)),"")</f>
        <v/>
      </c>
      <c r="AD2" t="str">
        <f>_xlfn.TEXTJOIN(", ",TRUE,T2,U2,V2,W2,X2,Y2,Z2)</f>
        <v/>
      </c>
      <c r="AE2" t="str">
        <f>_xlfn.XLOOKUP(B:B,Disk_Pivot!G:G,Disk_Pivot!I:I)</f>
        <v>No</v>
      </c>
      <c r="AF2" t="str">
        <f>_xlfn.XLOOKUP(B2,Disk_Pivot!G:G,Disk_Pivot!N:N)</f>
        <v/>
      </c>
    </row>
    <row r="3" spans="1:38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e">
        <f>INDEX(Input!$D$2:$AD$500,
       MATCH(B3, Input!$J$2:$J$500, 0),
       MATCH("Disk Capacity", Input!$D$1:$AD$1, 0))</f>
        <v>#N/A</v>
      </c>
      <c r="S3" s="13" t="e">
        <f>_xlfn.LET(_xlpm.Result,INDEX(Input!$D$2:$AD$500,
       MATCH(B3, Input!$J$2:$J$500, 0),
       MATCH("Capacity", Input!$D$1:$AD$1, 0)),IF(_xlpm.Result="","",_xlpm.Result))</f>
        <v>#N/A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C3">IFERROR(IF(_xlfn.XLOOKUP(B3,Input!J:J,Input!N:V)=0,"",
          _xlfn.XLOOKUP(B3,Input!J:J,Input!N:V)),"")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/>
      </c>
      <c r="AC3" s="13" t="str">
        <v/>
      </c>
      <c r="AD3" t="str">
        <f t="shared" ref="AD3:AD66" si="2">_xlfn.TEXTJOIN(", ",TRUE,T3,U3,V3,W3,X3,Y3,Z3)</f>
        <v/>
      </c>
      <c r="AE3" t="str">
        <f>_xlfn.XLOOKUP(B:B,Disk_Pivot!G:G,Disk_Pivot!I:I)</f>
        <v>No</v>
      </c>
      <c r="AF3" t="str">
        <f>_xlfn.XLOOKUP(B3,Disk_Pivot!G:G,Disk_Pivot!N:N)</f>
        <v/>
      </c>
    </row>
    <row r="4" spans="1:38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e">
        <f>INDEX(Input!$D$2:$AD$500,
       MATCH(B4, Input!$J$2:$J$500, 0),
       MATCH("Disk Capacity", Input!$D$1:$AD$1, 0))</f>
        <v>#N/A</v>
      </c>
      <c r="S4" s="13" t="e">
        <f>_xlfn.LET(_xlpm.Result,INDEX(Input!$D$2:$AD$500,
       MATCH(B4, Input!$J$2:$J$500, 0),
       MATCH("Capacity", Input!$D$1:$AD$1, 0)),IF(_xlpm.Result="","",_xlpm.Result))</f>
        <v>#N/A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AC4">IFERROR(IF(_xlfn.XLOOKUP(B4,Input!J:J,Input!N:V)=0,"",
          _xlfn.XLOOKUP(B4,Input!J:J,Input!N:V)),"")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s="13" t="str">
        <v/>
      </c>
      <c r="AD4" t="str">
        <f t="shared" si="2"/>
        <v/>
      </c>
      <c r="AE4" t="str">
        <f>_xlfn.XLOOKUP(B:B,Disk_Pivot!G:G,Disk_Pivot!I:I)</f>
        <v>No</v>
      </c>
      <c r="AF4" t="str">
        <f>_xlfn.XLOOKUP(B4,Disk_Pivot!G:G,Disk_Pivot!N:N)</f>
        <v/>
      </c>
    </row>
    <row r="5" spans="1:38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e">
        <f>INDEX(Input!$D$2:$AD$500,
       MATCH(B5, Input!$J$2:$J$500, 0),
       MATCH("Disk Capacity", Input!$D$1:$AD$1, 0))</f>
        <v>#N/A</v>
      </c>
      <c r="S5" s="13" t="e">
        <f>_xlfn.LET(_xlpm.Result,INDEX(Input!$D$2:$AD$500,
       MATCH(B5, Input!$J$2:$J$500, 0),
       MATCH("Capacity", Input!$D$1:$AD$1, 0)),IF(_xlpm.Result="","",_xlpm.Result))</f>
        <v>#N/A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C5">IFERROR(IF(_xlfn.XLOOKUP(B5,Input!J:J,Input!N:V)=0,"",
          _xlfn.XLOOKUP(B5,Input!J:J,Input!N:V)),"")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/>
      </c>
      <c r="AB5" s="13" t="str">
        <v/>
      </c>
      <c r="AC5" s="13" t="str">
        <v/>
      </c>
      <c r="AD5" t="str">
        <f t="shared" si="2"/>
        <v/>
      </c>
      <c r="AE5" t="str">
        <f>_xlfn.XLOOKUP(B:B,Disk_Pivot!G:G,Disk_Pivot!I:I)</f>
        <v>No</v>
      </c>
      <c r="AF5" t="str">
        <f>_xlfn.XLOOKUP(B5,Disk_Pivot!G:G,Disk_Pivot!N:N)</f>
        <v/>
      </c>
    </row>
    <row r="6" spans="1:38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e">
        <f>INDEX(Input!$D$2:$AD$500,
       MATCH(B6, Input!$J$2:$J$500, 0),
       MATCH("Disk Capacity", Input!$D$1:$AD$1, 0))</f>
        <v>#N/A</v>
      </c>
      <c r="S6" s="13" t="e">
        <f>_xlfn.LET(_xlpm.Result,INDEX(Input!$D$2:$AD$500,
       MATCH(B6, Input!$J$2:$J$500, 0),
       MATCH("Capacity", Input!$D$1:$AD$1, 0)),IF(_xlpm.Result="","",_xlpm.Result))</f>
        <v>#N/A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C6">IFERROR(IF(_xlfn.XLOOKUP(B6,Input!J:J,Input!N:V)=0,"",
          _xlfn.XLOOKUP(B6,Input!J:J,Input!N:V)),"")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s="13" t="str">
        <v/>
      </c>
      <c r="AB6" s="13" t="str">
        <v/>
      </c>
      <c r="AC6" s="13" t="str">
        <v/>
      </c>
      <c r="AD6" t="str">
        <f t="shared" si="2"/>
        <v/>
      </c>
      <c r="AE6" t="str">
        <f>_xlfn.XLOOKUP(B:B,Disk_Pivot!G:G,Disk_Pivot!I:I)</f>
        <v>No</v>
      </c>
      <c r="AF6" t="str">
        <f>_xlfn.XLOOKUP(B6,Disk_Pivot!G:G,Disk_Pivot!N:N)</f>
        <v/>
      </c>
    </row>
    <row r="7" spans="1:38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e">
        <f>INDEX(Input!$D$2:$AD$500,
       MATCH(B7, Input!$J$2:$J$500, 0),
       MATCH("Disk Capacity", Input!$D$1:$AD$1, 0))</f>
        <v>#N/A</v>
      </c>
      <c r="S7" s="13" t="e">
        <f>_xlfn.LET(_xlpm.Result,INDEX(Input!$D$2:$AD$500,
       MATCH(B7, Input!$J$2:$J$500, 0),
       MATCH("Capacity", Input!$D$1:$AD$1, 0)),IF(_xlpm.Result="","",_xlpm.Result))</f>
        <v>#N/A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C7">IFERROR(IF(_xlfn.XLOOKUP(B7,Input!J:J,Input!N:V)=0,"",
          _xlfn.XLOOKUP(B7,Input!J:J,Input!N:V)),"")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s="13" t="str">
        <v/>
      </c>
      <c r="AB7" s="13" t="str">
        <v/>
      </c>
      <c r="AC7" s="13" t="str">
        <v/>
      </c>
      <c r="AD7" t="str">
        <f t="shared" si="2"/>
        <v/>
      </c>
      <c r="AE7" t="str">
        <f>_xlfn.XLOOKUP(B:B,Disk_Pivot!G:G,Disk_Pivot!I:I)</f>
        <v>No</v>
      </c>
      <c r="AF7" t="str">
        <f>_xlfn.XLOOKUP(B7,Disk_Pivot!G:G,Disk_Pivot!N:N)</f>
        <v/>
      </c>
    </row>
    <row r="8" spans="1:38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INDEX(Input!$D$2:$AD$500,
       MATCH(B8, Input!$J$2:$J$500, 0),
       MATCH("Disk Capacity", Input!$D$1:$AD$1, 0))</f>
        <v>#N/A</v>
      </c>
      <c r="S8" s="13" t="e">
        <f>_xlfn.LET(_xlpm.Result,INDEX(Input!$D$2:$AD$500,
       MATCH(B8, Input!$J$2:$J$500, 0),
       MATCH("Capacity", Input!$D$1:$AD$1,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AC8">IFERROR(IF(_xlfn.XLOOKUP(B8,Input!J:J,Input!N:V)=0,"",
          _xlfn.XLOOKUP(B8,Input!J:J,Input!N:V)),"")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s="13" t="str">
        <v/>
      </c>
      <c r="AB8" s="13" t="str">
        <v/>
      </c>
      <c r="AC8" s="13" t="str">
        <v/>
      </c>
      <c r="AD8" t="str">
        <f t="shared" si="2"/>
        <v/>
      </c>
      <c r="AE8" t="str">
        <f>_xlfn.XLOOKUP(B:B,Disk_Pivot!G:G,Disk_Pivot!I:I)</f>
        <v>No</v>
      </c>
      <c r="AF8" t="str">
        <f>_xlfn.XLOOKUP(B8,Disk_Pivot!G:G,Disk_Pivot!N:N)</f>
        <v/>
      </c>
    </row>
    <row r="9" spans="1:38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INDEX(Input!$D$2:$AD$500,
       MATCH(B9, Input!$J$2:$J$500, 0),
       MATCH("Disk Capacity", Input!$D$1:$AD$1, 0))</f>
        <v>#N/A</v>
      </c>
      <c r="S9" s="13" t="e">
        <f>_xlfn.LET(_xlpm.Result,INDEX(Input!$D$2:$AD$500,
       MATCH(B9, Input!$J$2:$J$500, 0),
       MATCH("Capacity", Input!$D$1:$AD$1,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C9">IFERROR(IF(_xlfn.XLOOKUP(B9,Input!J:J,Input!N:V)=0,"",
          _xlfn.XLOOKUP(B9,Input!J:J,Input!N:V)),"")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s="13" t="str">
        <v/>
      </c>
      <c r="AD9" t="str">
        <f t="shared" si="2"/>
        <v/>
      </c>
      <c r="AE9" t="str">
        <f>_xlfn.XLOOKUP(B:B,Disk_Pivot!G:G,Disk_Pivot!I:I)</f>
        <v>No</v>
      </c>
      <c r="AF9" t="str">
        <f>_xlfn.XLOOKUP(B9,Disk_Pivot!G:G,Disk_Pivot!N:N)</f>
        <v/>
      </c>
    </row>
    <row r="10" spans="1:38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INDEX(Input!$D$2:$AD$500,
       MATCH(B10, Input!$J$2:$J$500, 0),
       MATCH("Disk Capacity", Input!$D$1:$AD$1, 0))</f>
        <v>#N/A</v>
      </c>
      <c r="S10" s="13" t="e">
        <f>_xlfn.LET(_xlpm.Result,INDEX(Input!$D$2:$AD$500,
       MATCH(B10, Input!$J$2:$J$500, 0),
       MATCH("Capacity", Input!$D$1:$AD$1,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C10">IFERROR(IF(_xlfn.XLOOKUP(B10,Input!J:J,Input!N:V)=0,"",
          _xlfn.XLOOKUP(B10,Input!J:J,Input!N:V)),"")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s="13" t="str">
        <v/>
      </c>
      <c r="AD10" t="str">
        <f t="shared" si="2"/>
        <v/>
      </c>
      <c r="AE10" t="str">
        <f>_xlfn.XLOOKUP(B:B,Disk_Pivot!G:G,Disk_Pivot!I:I)</f>
        <v>No</v>
      </c>
      <c r="AF10" t="str">
        <f>_xlfn.XLOOKUP(B10,Disk_Pivot!G:G,Disk_Pivot!N:N)</f>
        <v/>
      </c>
    </row>
    <row r="11" spans="1:38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INDEX(Input!$D$2:$AD$500,
       MATCH(B11, Input!$J$2:$J$500, 0),
       MATCH("Disk Capacity", Input!$D$1:$AD$1, 0))</f>
        <v>#N/A</v>
      </c>
      <c r="S11" s="13" t="e">
        <f>_xlfn.LET(_xlpm.Result,INDEX(Input!$D$2:$AD$500,
       MATCH(B11, Input!$J$2:$J$500, 0),
       MATCH("Capacity", Input!$D$1:$AD$1,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C11">IFERROR(IF(_xlfn.XLOOKUP(B11,Input!J:J,Input!N:V)=0,"",
          _xlfn.XLOOKUP(B11,Input!J:J,Input!N:V)),"")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s="13" t="str">
        <v/>
      </c>
      <c r="AD11" t="str">
        <f t="shared" si="2"/>
        <v/>
      </c>
      <c r="AE11" t="str">
        <f>_xlfn.XLOOKUP(B:B,Disk_Pivot!G:G,Disk_Pivot!I:I)</f>
        <v>No</v>
      </c>
      <c r="AF11" t="str">
        <f>_xlfn.XLOOKUP(B11,Disk_Pivot!G:G,Disk_Pivot!N:N)</f>
        <v/>
      </c>
    </row>
    <row r="12" spans="1:38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INDEX(Input!$D$2:$AD$500,
       MATCH(B12, Input!$J$2:$J$500, 0),
       MATCH("Disk Capacity", Input!$D$1:$AD$1, 0))</f>
        <v>#N/A</v>
      </c>
      <c r="S12" s="13" t="e">
        <f>_xlfn.LET(_xlpm.Result,INDEX(Input!$D$2:$AD$500,
       MATCH(B12, Input!$J$2:$J$500, 0),
       MATCH("Capacity", Input!$D$1:$AD$1,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C12">IFERROR(IF(_xlfn.XLOOKUP(B12,Input!J:J,Input!N:V)=0,"",
          _xlfn.XLOOKUP(B12,Input!J:J,Input!N:V)),"")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s="13" t="str">
        <v/>
      </c>
      <c r="AD12" t="str">
        <f t="shared" si="2"/>
        <v/>
      </c>
      <c r="AE12" t="str">
        <f>_xlfn.XLOOKUP(B:B,Disk_Pivot!G:G,Disk_Pivot!I:I)</f>
        <v>No</v>
      </c>
      <c r="AF12" t="str">
        <f>_xlfn.XLOOKUP(B12,Disk_Pivot!G:G,Disk_Pivot!N:N)</f>
        <v/>
      </c>
    </row>
    <row r="13" spans="1:38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INDEX(Input!$D$2:$AD$500,
       MATCH(B13, Input!$J$2:$J$500, 0),
       MATCH("Disk Capacity", Input!$D$1:$AD$1, 0))</f>
        <v>#N/A</v>
      </c>
      <c r="S13" s="13" t="e">
        <f>_xlfn.LET(_xlpm.Result,INDEX(Input!$D$2:$AD$500,
       MATCH(B13, Input!$J$2:$J$500, 0),
       MATCH("Capacity", Input!$D$1:$AD$1,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C13">IFERROR(IF(_xlfn.XLOOKUP(B13,Input!J:J,Input!N:V)=0,"",
          _xlfn.XLOOKUP(B13,Input!J:J,Input!N:V)),"")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s="13" t="str">
        <v/>
      </c>
      <c r="AD13" t="str">
        <f t="shared" si="2"/>
        <v/>
      </c>
      <c r="AE13" t="str">
        <f>_xlfn.XLOOKUP(B:B,Disk_Pivot!G:G,Disk_Pivot!I:I)</f>
        <v>No</v>
      </c>
      <c r="AF13" t="str">
        <f>_xlfn.XLOOKUP(B13,Disk_Pivot!G:G,Disk_Pivot!N:N)</f>
        <v/>
      </c>
    </row>
    <row r="14" spans="1:38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INDEX(Input!$D$2:$AD$500,
       MATCH(B14, Input!$J$2:$J$500, 0),
       MATCH("Disk Capacity", Input!$D$1:$AD$1, 0))</f>
        <v>#N/A</v>
      </c>
      <c r="S14" s="13" t="e">
        <f>_xlfn.LET(_xlpm.Result,INDEX(Input!$D$2:$AD$500,
       MATCH(B14, Input!$J$2:$J$500, 0),
       MATCH("Capacity", Input!$D$1:$AD$1,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C14">IFERROR(IF(_xlfn.XLOOKUP(B14,Input!J:J,Input!N:V)=0,"",
          _xlfn.XLOOKUP(B14,Input!J:J,Input!N:V)),"")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s="13" t="str">
        <v/>
      </c>
      <c r="AD14" t="str">
        <f t="shared" si="2"/>
        <v/>
      </c>
      <c r="AE14" t="str">
        <f>_xlfn.XLOOKUP(B:B,Disk_Pivot!G:G,Disk_Pivot!I:I)</f>
        <v>No</v>
      </c>
      <c r="AF14" t="str">
        <f>_xlfn.XLOOKUP(B14,Disk_Pivot!G:G,Disk_Pivot!N:N)</f>
        <v/>
      </c>
    </row>
    <row r="15" spans="1:38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INDEX(Input!$D$2:$AD$500,
       MATCH(B15, Input!$J$2:$J$500, 0),
       MATCH("Disk Capacity", Input!$D$1:$AD$1, 0))</f>
        <v>#N/A</v>
      </c>
      <c r="S15" s="13" t="e">
        <f>_xlfn.LET(_xlpm.Result,INDEX(Input!$D$2:$AD$500,
       MATCH(B15, Input!$J$2:$J$500, 0),
       MATCH("Capacity", Input!$D$1:$AD$1,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C15">IFERROR(IF(_xlfn.XLOOKUP(B15,Input!J:J,Input!N:V)=0,"",
          _xlfn.XLOOKUP(B15,Input!J:J,Input!N:V)),"")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s="13" t="str">
        <v/>
      </c>
      <c r="AD15" t="str">
        <f t="shared" si="2"/>
        <v/>
      </c>
      <c r="AE15" t="str">
        <f>_xlfn.XLOOKUP(B:B,Disk_Pivot!G:G,Disk_Pivot!I:I)</f>
        <v>No</v>
      </c>
      <c r="AF15" t="str">
        <f>_xlfn.XLOOKUP(B15,Disk_Pivot!G:G,Disk_Pivot!N:N)</f>
        <v/>
      </c>
    </row>
    <row r="16" spans="1:38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INDEX(Input!$D$2:$AD$500,
       MATCH(B16, Input!$J$2:$J$500, 0),
       MATCH("Disk Capacity", Input!$D$1:$AD$1, 0))</f>
        <v>#N/A</v>
      </c>
      <c r="S16" s="13" t="e">
        <f>_xlfn.LET(_xlpm.Result,INDEX(Input!$D$2:$AD$500,
       MATCH(B16, Input!$J$2:$J$500, 0),
       MATCH("Capacity", Input!$D$1:$AD$1,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C16">IFERROR(IF(_xlfn.XLOOKUP(B16,Input!J:J,Input!N:V)=0,"",
          _xlfn.XLOOKUP(B16,Input!J:J,Input!N:V)),"")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s="13" t="str">
        <v/>
      </c>
      <c r="AD16" t="str">
        <f t="shared" si="2"/>
        <v/>
      </c>
      <c r="AE16" t="str">
        <f>_xlfn.XLOOKUP(B:B,Disk_Pivot!G:G,Disk_Pivot!I:I)</f>
        <v>No</v>
      </c>
      <c r="AF16" t="str">
        <f>_xlfn.XLOOKUP(B16,Disk_Pivot!G:G,Disk_Pivot!N:N)</f>
        <v/>
      </c>
    </row>
    <row r="17" spans="1:32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INDEX(Input!$D$2:$AD$500,
       MATCH(B17, Input!$J$2:$J$500, 0),
       MATCH("Disk Capacity", Input!$D$1:$AD$1, 0))</f>
        <v>#N/A</v>
      </c>
      <c r="S17" s="13" t="e">
        <f>_xlfn.LET(_xlpm.Result,INDEX(Input!$D$2:$AD$500,
       MATCH(B17, Input!$J$2:$J$500, 0),
       MATCH("Capacity", Input!$D$1:$AD$1,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C17">IFERROR(IF(_xlfn.XLOOKUP(B17,Input!J:J,Input!N:V)=0,"",
          _xlfn.XLOOKUP(B17,Input!J:J,Input!N:V)),"")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s="13" t="str">
        <v/>
      </c>
      <c r="AD17" t="str">
        <f t="shared" si="2"/>
        <v/>
      </c>
      <c r="AE17" t="str">
        <f>_xlfn.XLOOKUP(B:B,Disk_Pivot!G:G,Disk_Pivot!I:I)</f>
        <v>No</v>
      </c>
      <c r="AF17" t="str">
        <f>_xlfn.XLOOKUP(B17,Disk_Pivot!G:G,Disk_Pivot!N:N)</f>
        <v/>
      </c>
    </row>
    <row r="18" spans="1:32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INDEX(Input!$D$2:$AD$500,
       MATCH(B18, Input!$J$2:$J$500, 0),
       MATCH("Disk Capacity", Input!$D$1:$AD$1, 0))</f>
        <v>#N/A</v>
      </c>
      <c r="S18" s="13" t="e">
        <f>_xlfn.LET(_xlpm.Result,INDEX(Input!$D$2:$AD$500,
       MATCH(B18, Input!$J$2:$J$500, 0),
       MATCH("Capacity", Input!$D$1:$AD$1,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C18">IFERROR(IF(_xlfn.XLOOKUP(B18,Input!J:J,Input!N:V)=0,"",
          _xlfn.XLOOKUP(B18,Input!J:J,Input!N:V)),"")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s="13" t="str">
        <v/>
      </c>
      <c r="AD18" t="str">
        <f t="shared" si="2"/>
        <v/>
      </c>
      <c r="AE18" t="str">
        <f>_xlfn.XLOOKUP(B:B,Disk_Pivot!G:G,Disk_Pivot!I:I)</f>
        <v>No</v>
      </c>
      <c r="AF18" t="str">
        <f>_xlfn.XLOOKUP(B18,Disk_Pivot!G:G,Disk_Pivot!N:N)</f>
        <v/>
      </c>
    </row>
    <row r="19" spans="1:32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INDEX(Input!$D$2:$AD$500,
       MATCH(B19, Input!$J$2:$J$500, 0),
       MATCH("Disk Capacity", Input!$D$1:$AD$1, 0))</f>
        <v>#N/A</v>
      </c>
      <c r="S19" s="13" t="e">
        <f>_xlfn.LET(_xlpm.Result,INDEX(Input!$D$2:$AD$500,
       MATCH(B19, Input!$J$2:$J$500, 0),
       MATCH("Capacity", Input!$D$1:$AD$1,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C19">IFERROR(IF(_xlfn.XLOOKUP(B19,Input!J:J,Input!N:V)=0,"",
          _xlfn.XLOOKUP(B19,Input!J:J,Input!N:V)),"")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s="13" t="str">
        <v/>
      </c>
      <c r="AD19" t="str">
        <f t="shared" si="2"/>
        <v/>
      </c>
      <c r="AE19" t="str">
        <f>_xlfn.XLOOKUP(B:B,Disk_Pivot!G:G,Disk_Pivot!I:I)</f>
        <v>No</v>
      </c>
      <c r="AF19" t="str">
        <f>_xlfn.XLOOKUP(B19,Disk_Pivot!G:G,Disk_Pivot!N:N)</f>
        <v/>
      </c>
    </row>
    <row r="20" spans="1:32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INDEX(Input!$D$2:$AD$500,
       MATCH(B20, Input!$J$2:$J$500, 0),
       MATCH("Disk Capacity", Input!$D$1:$AD$1, 0))</f>
        <v>#N/A</v>
      </c>
      <c r="S20" s="13" t="e">
        <f>_xlfn.LET(_xlpm.Result,INDEX(Input!$D$2:$AD$500,
       MATCH(B20, Input!$J$2:$J$500, 0),
       MATCH("Capacity", Input!$D$1:$AD$1,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C20">IFERROR(IF(_xlfn.XLOOKUP(B20,Input!J:J,Input!N:V)=0,"",
          _xlfn.XLOOKUP(B20,Input!J:J,Input!N:V)),"")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s="13" t="str">
        <v/>
      </c>
      <c r="AD20" t="str">
        <f t="shared" si="2"/>
        <v/>
      </c>
      <c r="AE20" t="str">
        <f>_xlfn.XLOOKUP(B:B,Disk_Pivot!G:G,Disk_Pivot!I:I)</f>
        <v>No</v>
      </c>
      <c r="AF20" t="str">
        <f>_xlfn.XLOOKUP(B20,Disk_Pivot!G:G,Disk_Pivot!N:N)</f>
        <v/>
      </c>
    </row>
    <row r="21" spans="1:32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INDEX(Input!$D$2:$AD$500,
       MATCH(B21, Input!$J$2:$J$500, 0),
       MATCH("Disk Capacity", Input!$D$1:$AD$1, 0))</f>
        <v>#N/A</v>
      </c>
      <c r="S21" s="13" t="e">
        <f>_xlfn.LET(_xlpm.Result,INDEX(Input!$D$2:$AD$500,
       MATCH(B21, Input!$J$2:$J$500, 0),
       MATCH("Capacity", Input!$D$1:$AD$1,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C21">IFERROR(IF(_xlfn.XLOOKUP(B21,Input!J:J,Input!N:V)=0,"",
          _xlfn.XLOOKUP(B21,Input!J:J,Input!N:V)),"")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s="13" t="str">
        <v/>
      </c>
      <c r="AD21" t="str">
        <f t="shared" si="2"/>
        <v/>
      </c>
      <c r="AE21" t="str">
        <f>_xlfn.XLOOKUP(B:B,Disk_Pivot!G:G,Disk_Pivot!I:I)</f>
        <v>No</v>
      </c>
      <c r="AF21" t="str">
        <f>_xlfn.XLOOKUP(B21,Disk_Pivot!G:G,Disk_Pivot!N:N)</f>
        <v/>
      </c>
    </row>
    <row r="22" spans="1:32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INDEX(Input!$D$2:$AD$500,
       MATCH(B22, Input!$J$2:$J$500, 0),
       MATCH("Disk Capacity", Input!$D$1:$AD$1, 0))</f>
        <v>#N/A</v>
      </c>
      <c r="S22" s="13" t="e">
        <f>_xlfn.LET(_xlpm.Result,INDEX(Input!$D$2:$AD$500,
       MATCH(B22, Input!$J$2:$J$500, 0),
       MATCH("Capacity", Input!$D$1:$AD$1,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C22">IFERROR(IF(_xlfn.XLOOKUP(B22,Input!J:J,Input!N:V)=0,"",
          _xlfn.XLOOKUP(B22,Input!J:J,Input!N:V)),"")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s="13" t="str">
        <v/>
      </c>
      <c r="AD22" t="str">
        <f t="shared" si="2"/>
        <v/>
      </c>
      <c r="AE22" t="str">
        <f>_xlfn.XLOOKUP(B:B,Disk_Pivot!G:G,Disk_Pivot!I:I)</f>
        <v>No</v>
      </c>
      <c r="AF22" t="str">
        <f>_xlfn.XLOOKUP(B22,Disk_Pivot!G:G,Disk_Pivot!N:N)</f>
        <v/>
      </c>
    </row>
    <row r="23" spans="1:32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INDEX(Input!$D$2:$AD$500,
       MATCH(B23, Input!$J$2:$J$500, 0),
       MATCH("Disk Capacity", Input!$D$1:$AD$1, 0))</f>
        <v>#N/A</v>
      </c>
      <c r="S23" s="13" t="e">
        <f>_xlfn.LET(_xlpm.Result,INDEX(Input!$D$2:$AD$500,
       MATCH(B23, Input!$J$2:$J$500, 0),
       MATCH("Capacity", Input!$D$1:$AD$1,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C23">IFERROR(IF(_xlfn.XLOOKUP(B23,Input!J:J,Input!N:V)=0,"",
          _xlfn.XLOOKUP(B23,Input!J:J,Input!N:V)),"")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s="13" t="str">
        <v/>
      </c>
      <c r="AD23" t="str">
        <f t="shared" si="2"/>
        <v/>
      </c>
      <c r="AE23" t="str">
        <f>_xlfn.XLOOKUP(B:B,Disk_Pivot!G:G,Disk_Pivot!I:I)</f>
        <v>No</v>
      </c>
      <c r="AF23" t="str">
        <f>_xlfn.XLOOKUP(B23,Disk_Pivot!G:G,Disk_Pivot!N:N)</f>
        <v/>
      </c>
    </row>
    <row r="24" spans="1:32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INDEX(Input!$D$2:$AD$500,
       MATCH(B24, Input!$J$2:$J$500, 0),
       MATCH("Disk Capacity", Input!$D$1:$AD$1, 0))</f>
        <v>#N/A</v>
      </c>
      <c r="S24" s="13" t="e">
        <f>_xlfn.LET(_xlpm.Result,INDEX(Input!$D$2:$AD$500,
       MATCH(B24, Input!$J$2:$J$500, 0),
       MATCH("Capacity", Input!$D$1:$AD$1,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C24">IFERROR(IF(_xlfn.XLOOKUP(B24,Input!J:J,Input!N:V)=0,"",
          _xlfn.XLOOKUP(B24,Input!J:J,Input!N:V)),"")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s="13" t="str">
        <v/>
      </c>
      <c r="AD24" t="str">
        <f t="shared" si="2"/>
        <v/>
      </c>
      <c r="AE24" t="str">
        <f>_xlfn.XLOOKUP(B:B,Disk_Pivot!G:G,Disk_Pivot!I:I)</f>
        <v>No</v>
      </c>
      <c r="AF24" t="str">
        <f>_xlfn.XLOOKUP(B24,Disk_Pivot!G:G,Disk_Pivot!N:N)</f>
        <v/>
      </c>
    </row>
    <row r="25" spans="1:32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INDEX(Input!$D$2:$AD$500,
       MATCH(B25, Input!$J$2:$J$500, 0),
       MATCH("Disk Capacity", Input!$D$1:$AD$1, 0))</f>
        <v>#N/A</v>
      </c>
      <c r="S25" s="13" t="e">
        <f>_xlfn.LET(_xlpm.Result,INDEX(Input!$D$2:$AD$500,
       MATCH(B25, Input!$J$2:$J$500, 0),
       MATCH("Capacity", Input!$D$1:$AD$1,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C25">IFERROR(IF(_xlfn.XLOOKUP(B25,Input!J:J,Input!N:V)=0,"",
          _xlfn.XLOOKUP(B25,Input!J:J,Input!N:V)),"")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s="13" t="str">
        <v/>
      </c>
      <c r="AD25" t="str">
        <f t="shared" si="2"/>
        <v/>
      </c>
      <c r="AE25" t="str">
        <f>_xlfn.XLOOKUP(B:B,Disk_Pivot!G:G,Disk_Pivot!I:I)</f>
        <v>No</v>
      </c>
      <c r="AF25" t="str">
        <f>_xlfn.XLOOKUP(B25,Disk_Pivot!G:G,Disk_Pivot!N:N)</f>
        <v/>
      </c>
    </row>
    <row r="26" spans="1:32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INDEX(Input!$D$2:$AD$500,
       MATCH(B26, Input!$J$2:$J$500, 0),
       MATCH("Disk Capacity", Input!$D$1:$AD$1, 0))</f>
        <v>#N/A</v>
      </c>
      <c r="S26" s="13" t="e">
        <f>_xlfn.LET(_xlpm.Result,INDEX(Input!$D$2:$AD$500,
       MATCH(B26, Input!$J$2:$J$500, 0),
       MATCH("Capacity", Input!$D$1:$AD$1,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C26">IFERROR(IF(_xlfn.XLOOKUP(B26,Input!J:J,Input!N:V)=0,"",
          _xlfn.XLOOKUP(B26,Input!J:J,Input!N:V)),"")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s="13" t="str">
        <v/>
      </c>
      <c r="AD26" t="str">
        <f t="shared" si="2"/>
        <v/>
      </c>
      <c r="AE26" t="str">
        <f>_xlfn.XLOOKUP(B:B,Disk_Pivot!G:G,Disk_Pivot!I:I)</f>
        <v>No</v>
      </c>
      <c r="AF26" t="str">
        <f>_xlfn.XLOOKUP(B26,Disk_Pivot!G:G,Disk_Pivot!N:N)</f>
        <v/>
      </c>
    </row>
    <row r="27" spans="1:32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INDEX(Input!$D$2:$AD$500,
       MATCH(B27, Input!$J$2:$J$500, 0),
       MATCH("Disk Capacity", Input!$D$1:$AD$1, 0))</f>
        <v>#N/A</v>
      </c>
      <c r="S27" s="13" t="e">
        <f>_xlfn.LET(_xlpm.Result,INDEX(Input!$D$2:$AD$500,
       MATCH(B27, Input!$J$2:$J$500, 0),
       MATCH("Capacity", Input!$D$1:$AD$1,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C27">IFERROR(IF(_xlfn.XLOOKUP(B27,Input!J:J,Input!N:V)=0,"",
          _xlfn.XLOOKUP(B27,Input!J:J,Input!N:V)),"")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s="13" t="str">
        <v/>
      </c>
      <c r="AD27" t="str">
        <f t="shared" si="2"/>
        <v/>
      </c>
      <c r="AE27" t="str">
        <f>_xlfn.XLOOKUP(B:B,Disk_Pivot!G:G,Disk_Pivot!I:I)</f>
        <v>No</v>
      </c>
      <c r="AF27" t="str">
        <f>_xlfn.XLOOKUP(B27,Disk_Pivot!G:G,Disk_Pivot!N:N)</f>
        <v/>
      </c>
    </row>
    <row r="28" spans="1:32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INDEX(Input!$D$2:$AD$500,
       MATCH(B28, Input!$J$2:$J$500, 0),
       MATCH("Disk Capacity", Input!$D$1:$AD$1, 0))</f>
        <v>#N/A</v>
      </c>
      <c r="S28" s="13" t="e">
        <f>_xlfn.LET(_xlpm.Result,INDEX(Input!$D$2:$AD$500,
       MATCH(B28, Input!$J$2:$J$500, 0),
       MATCH("Capacity", Input!$D$1:$AD$1,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C28">IFERROR(IF(_xlfn.XLOOKUP(B28,Input!J:J,Input!N:V)=0,"",
          _xlfn.XLOOKUP(B28,Input!J:J,Input!N:V)),"")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s="13" t="str">
        <v/>
      </c>
      <c r="AD28" t="str">
        <f t="shared" si="2"/>
        <v/>
      </c>
      <c r="AE28" t="str">
        <f>_xlfn.XLOOKUP(B:B,Disk_Pivot!G:G,Disk_Pivot!I:I)</f>
        <v>No</v>
      </c>
      <c r="AF28" t="str">
        <f>_xlfn.XLOOKUP(B28,Disk_Pivot!G:G,Disk_Pivot!N:N)</f>
        <v/>
      </c>
    </row>
    <row r="29" spans="1:32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INDEX(Input!$D$2:$AD$500,
       MATCH(B29, Input!$J$2:$J$500, 0),
       MATCH("Disk Capacity", Input!$D$1:$AD$1, 0))</f>
        <v>#N/A</v>
      </c>
      <c r="S29" s="13" t="e">
        <f>_xlfn.LET(_xlpm.Result,INDEX(Input!$D$2:$AD$500,
       MATCH(B29, Input!$J$2:$J$500, 0),
       MATCH("Capacity", Input!$D$1:$AD$1,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C29">IFERROR(IF(_xlfn.XLOOKUP(B29,Input!J:J,Input!N:V)=0,"",
          _xlfn.XLOOKUP(B29,Input!J:J,Input!N:V)),"")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s="13" t="str">
        <v/>
      </c>
      <c r="AD29" t="str">
        <f t="shared" si="2"/>
        <v/>
      </c>
      <c r="AE29" t="str">
        <f>_xlfn.XLOOKUP(B:B,Disk_Pivot!G:G,Disk_Pivot!I:I)</f>
        <v>No</v>
      </c>
      <c r="AF29" t="str">
        <f>_xlfn.XLOOKUP(B29,Disk_Pivot!G:G,Disk_Pivot!N:N)</f>
        <v/>
      </c>
    </row>
    <row r="30" spans="1:32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INDEX(Input!$D$2:$AD$500,
       MATCH(B30, Input!$J$2:$J$500, 0),
       MATCH("Disk Capacity", Input!$D$1:$AD$1, 0))</f>
        <v>#N/A</v>
      </c>
      <c r="S30" s="13" t="e">
        <f>_xlfn.LET(_xlpm.Result,INDEX(Input!$D$2:$AD$500,
       MATCH(B30, Input!$J$2:$J$500, 0),
       MATCH("Capacity", Input!$D$1:$AD$1,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C30">IFERROR(IF(_xlfn.XLOOKUP(B30,Input!J:J,Input!N:V)=0,"",
          _xlfn.XLOOKUP(B30,Input!J:J,Input!N:V)),"")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s="13" t="str">
        <v/>
      </c>
      <c r="AD30" t="str">
        <f t="shared" si="2"/>
        <v/>
      </c>
      <c r="AE30" t="str">
        <f>_xlfn.XLOOKUP(B:B,Disk_Pivot!G:G,Disk_Pivot!I:I)</f>
        <v>No</v>
      </c>
      <c r="AF30" t="str">
        <f>_xlfn.XLOOKUP(B30,Disk_Pivot!G:G,Disk_Pivot!N:N)</f>
        <v/>
      </c>
    </row>
    <row r="31" spans="1:32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INDEX(Input!$D$2:$AD$500,
       MATCH(B31, Input!$J$2:$J$500, 0),
       MATCH("Disk Capacity", Input!$D$1:$AD$1, 0))</f>
        <v>#N/A</v>
      </c>
      <c r="S31" s="13" t="e">
        <f>_xlfn.LET(_xlpm.Result,INDEX(Input!$D$2:$AD$500,
       MATCH(B31, Input!$J$2:$J$500, 0),
       MATCH("Capacity", Input!$D$1:$AD$1,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C31">IFERROR(IF(_xlfn.XLOOKUP(B31,Input!J:J,Input!N:V)=0,"",
          _xlfn.XLOOKUP(B31,Input!J:J,Input!N:V)),"")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s="13" t="str">
        <v/>
      </c>
      <c r="AD31" t="str">
        <f t="shared" si="2"/>
        <v/>
      </c>
      <c r="AE31" t="str">
        <f>_xlfn.XLOOKUP(B:B,Disk_Pivot!G:G,Disk_Pivot!I:I)</f>
        <v>No</v>
      </c>
      <c r="AF31" t="str">
        <f>_xlfn.XLOOKUP(B31,Disk_Pivot!G:G,Disk_Pivot!N:N)</f>
        <v/>
      </c>
    </row>
    <row r="32" spans="1:32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INDEX(Input!$D$2:$AD$500,
       MATCH(B32, Input!$J$2:$J$500, 0),
       MATCH("Disk Capacity", Input!$D$1:$AD$1, 0))</f>
        <v>#N/A</v>
      </c>
      <c r="S32" s="13" t="e">
        <f>_xlfn.LET(_xlpm.Result,INDEX(Input!$D$2:$AD$500,
       MATCH(B32, Input!$J$2:$J$500, 0),
       MATCH("Capacity", Input!$D$1:$AD$1,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C32">IFERROR(IF(_xlfn.XLOOKUP(B32,Input!J:J,Input!N:V)=0,"",
          _xlfn.XLOOKUP(B32,Input!J:J,Input!N:V)),"")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s="13" t="str">
        <v/>
      </c>
      <c r="AD32" t="str">
        <f t="shared" si="2"/>
        <v/>
      </c>
      <c r="AE32" t="str">
        <f>_xlfn.XLOOKUP(B:B,Disk_Pivot!G:G,Disk_Pivot!I:I)</f>
        <v>No</v>
      </c>
      <c r="AF32" t="str">
        <f>_xlfn.XLOOKUP(B32,Disk_Pivot!G:G,Disk_Pivot!N:N)</f>
        <v/>
      </c>
    </row>
    <row r="33" spans="1:32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INDEX(Input!$D$2:$AD$500,
       MATCH(B33, Input!$J$2:$J$500, 0),
       MATCH("Disk Capacity", Input!$D$1:$AD$1, 0))</f>
        <v>#N/A</v>
      </c>
      <c r="S33" s="13" t="e">
        <f>_xlfn.LET(_xlpm.Result,INDEX(Input!$D$2:$AD$500,
       MATCH(B33, Input!$J$2:$J$500, 0),
       MATCH("Capacity", Input!$D$1:$AD$1,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C33">IFERROR(IF(_xlfn.XLOOKUP(B33,Input!J:J,Input!N:V)=0,"",
          _xlfn.XLOOKUP(B33,Input!J:J,Input!N:V)),"")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s="13" t="str">
        <v/>
      </c>
      <c r="AD33" t="str">
        <f t="shared" si="2"/>
        <v/>
      </c>
      <c r="AE33" t="str">
        <f>_xlfn.XLOOKUP(B:B,Disk_Pivot!G:G,Disk_Pivot!I:I)</f>
        <v>No</v>
      </c>
      <c r="AF33" t="str">
        <f>_xlfn.XLOOKUP(B33,Disk_Pivot!G:G,Disk_Pivot!N:N)</f>
        <v/>
      </c>
    </row>
    <row r="34" spans="1:32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INDEX(Input!$D$2:$AD$500,
       MATCH(B34, Input!$J$2:$J$500, 0),
       MATCH("Disk Capacity", Input!$D$1:$AD$1, 0))</f>
        <v>#N/A</v>
      </c>
      <c r="S34" s="13" t="e">
        <f>_xlfn.LET(_xlpm.Result,INDEX(Input!$D$2:$AD$500,
       MATCH(B34, Input!$J$2:$J$500, 0),
       MATCH("Capacity", Input!$D$1:$AD$1,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C34">IFERROR(IF(_xlfn.XLOOKUP(B34,Input!J:J,Input!N:V)=0,"",
          _xlfn.XLOOKUP(B34,Input!J:J,Input!N:V)),"")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s="13" t="str">
        <v/>
      </c>
      <c r="AD34" t="str">
        <f t="shared" si="2"/>
        <v/>
      </c>
      <c r="AE34" t="str">
        <f>_xlfn.XLOOKUP(B:B,Disk_Pivot!G:G,Disk_Pivot!I:I)</f>
        <v>No</v>
      </c>
      <c r="AF34" t="str">
        <f>_xlfn.XLOOKUP(B34,Disk_Pivot!G:G,Disk_Pivot!N:N)</f>
        <v/>
      </c>
    </row>
    <row r="35" spans="1:32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INDEX(Input!$D$2:$AD$500,
       MATCH(B35, Input!$J$2:$J$500, 0),
       MATCH("Disk Capacity", Input!$D$1:$AD$1, 0))</f>
        <v>#N/A</v>
      </c>
      <c r="S35" s="13" t="e">
        <f>_xlfn.LET(_xlpm.Result,INDEX(Input!$D$2:$AD$500,
       MATCH(B35, Input!$J$2:$J$500, 0),
       MATCH("Capacity", Input!$D$1:$AD$1,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C35">IFERROR(IF(_xlfn.XLOOKUP(B35,Input!J:J,Input!N:V)=0,"",
          _xlfn.XLOOKUP(B35,Input!J:J,Input!N:V)),"")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s="13" t="str">
        <v/>
      </c>
      <c r="AD35" t="str">
        <f t="shared" si="2"/>
        <v/>
      </c>
      <c r="AE35" t="str">
        <f>_xlfn.XLOOKUP(B:B,Disk_Pivot!G:G,Disk_Pivot!I:I)</f>
        <v>No</v>
      </c>
      <c r="AF35" t="str">
        <f>_xlfn.XLOOKUP(B35,Disk_Pivot!G:G,Disk_Pivot!N:N)</f>
        <v/>
      </c>
    </row>
    <row r="36" spans="1:32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INDEX(Input!$D$2:$AD$500,
       MATCH(B36, Input!$J$2:$J$500, 0),
       MATCH("Disk Capacity", Input!$D$1:$AD$1, 0))</f>
        <v>#N/A</v>
      </c>
      <c r="S36" s="13" t="e">
        <f>_xlfn.LET(_xlpm.Result,INDEX(Input!$D$2:$AD$500,
       MATCH(B36, Input!$J$2:$J$500, 0),
       MATCH("Capacity", Input!$D$1:$AD$1,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C36">IFERROR(IF(_xlfn.XLOOKUP(B36,Input!J:J,Input!N:V)=0,"",
          _xlfn.XLOOKUP(B36,Input!J:J,Input!N:V)),"")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s="13" t="str">
        <v/>
      </c>
      <c r="AD36" t="str">
        <f t="shared" si="2"/>
        <v/>
      </c>
      <c r="AE36" t="str">
        <f>_xlfn.XLOOKUP(B:B,Disk_Pivot!G:G,Disk_Pivot!I:I)</f>
        <v>No</v>
      </c>
      <c r="AF36" t="str">
        <f>_xlfn.XLOOKUP(B36,Disk_Pivot!G:G,Disk_Pivot!N:N)</f>
        <v/>
      </c>
    </row>
    <row r="37" spans="1:32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INDEX(Input!$D$2:$AD$500,
       MATCH(B37, Input!$J$2:$J$500, 0),
       MATCH("Disk Capacity", Input!$D$1:$AD$1, 0))</f>
        <v>#N/A</v>
      </c>
      <c r="S37" s="13" t="e">
        <f>_xlfn.LET(_xlpm.Result,INDEX(Input!$D$2:$AD$500,
       MATCH(B37, Input!$J$2:$J$500, 0),
       MATCH("Capacity", Input!$D$1:$AD$1,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C37">IFERROR(IF(_xlfn.XLOOKUP(B37,Input!J:J,Input!N:V)=0,"",
          _xlfn.XLOOKUP(B37,Input!J:J,Input!N:V)),"")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s="13" t="str">
        <v/>
      </c>
      <c r="AD37" t="str">
        <f t="shared" si="2"/>
        <v/>
      </c>
      <c r="AE37" t="str">
        <f>_xlfn.XLOOKUP(B:B,Disk_Pivot!G:G,Disk_Pivot!I:I)</f>
        <v>No</v>
      </c>
      <c r="AF37" t="str">
        <f>_xlfn.XLOOKUP(B37,Disk_Pivot!G:G,Disk_Pivot!N:N)</f>
        <v/>
      </c>
    </row>
    <row r="38" spans="1:32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INDEX(Input!$D$2:$AD$500,
       MATCH(B38, Input!$J$2:$J$500, 0),
       MATCH("Disk Capacity", Input!$D$1:$AD$1, 0))</f>
        <v>#N/A</v>
      </c>
      <c r="S38" s="13" t="e">
        <f>_xlfn.LET(_xlpm.Result,INDEX(Input!$D$2:$AD$500,
       MATCH(B38, Input!$J$2:$J$500, 0),
       MATCH("Capacity", Input!$D$1:$AD$1,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C38">IFERROR(IF(_xlfn.XLOOKUP(B38,Input!J:J,Input!N:V)=0,"",
          _xlfn.XLOOKUP(B38,Input!J:J,Input!N:V)),"")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s="13" t="str">
        <v/>
      </c>
      <c r="AD38" t="str">
        <f t="shared" si="2"/>
        <v/>
      </c>
      <c r="AE38" t="str">
        <f>_xlfn.XLOOKUP(B:B,Disk_Pivot!G:G,Disk_Pivot!I:I)</f>
        <v>No</v>
      </c>
      <c r="AF38" t="str">
        <f>_xlfn.XLOOKUP(B38,Disk_Pivot!G:G,Disk_Pivot!N:N)</f>
        <v/>
      </c>
    </row>
    <row r="39" spans="1:32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INDEX(Input!$D$2:$AD$500,
       MATCH(B39, Input!$J$2:$J$500, 0),
       MATCH("Disk Capacity", Input!$D$1:$AD$1, 0))</f>
        <v>#N/A</v>
      </c>
      <c r="S39" s="13" t="e">
        <f>_xlfn.LET(_xlpm.Result,INDEX(Input!$D$2:$AD$500,
       MATCH(B39, Input!$J$2:$J$500, 0),
       MATCH("Capacity", Input!$D$1:$AD$1,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C39">IFERROR(IF(_xlfn.XLOOKUP(B39,Input!J:J,Input!N:V)=0,"",
          _xlfn.XLOOKUP(B39,Input!J:J,Input!N:V)),"")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s="13" t="str">
        <v/>
      </c>
      <c r="AD39" t="str">
        <f t="shared" si="2"/>
        <v/>
      </c>
      <c r="AE39" t="str">
        <f>_xlfn.XLOOKUP(B:B,Disk_Pivot!G:G,Disk_Pivot!I:I)</f>
        <v>No</v>
      </c>
      <c r="AF39" t="str">
        <f>_xlfn.XLOOKUP(B39,Disk_Pivot!G:G,Disk_Pivot!N:N)</f>
        <v/>
      </c>
    </row>
    <row r="40" spans="1:32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INDEX(Input!$D$2:$AD$500,
       MATCH(B40, Input!$J$2:$J$500, 0),
       MATCH("Disk Capacity", Input!$D$1:$AD$1, 0))</f>
        <v>#N/A</v>
      </c>
      <c r="S40" s="13" t="e">
        <f>_xlfn.LET(_xlpm.Result,INDEX(Input!$D$2:$AD$500,
       MATCH(B40, Input!$J$2:$J$500, 0),
       MATCH("Capacity", Input!$D$1:$AD$1,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C40">IFERROR(IF(_xlfn.XLOOKUP(B40,Input!J:J,Input!N:V)=0,"",
          _xlfn.XLOOKUP(B40,Input!J:J,Input!N:V)),"")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s="13" t="str">
        <v/>
      </c>
      <c r="AD40" t="str">
        <f t="shared" si="2"/>
        <v/>
      </c>
      <c r="AE40" t="str">
        <f>_xlfn.XLOOKUP(B:B,Disk_Pivot!G:G,Disk_Pivot!I:I)</f>
        <v>No</v>
      </c>
      <c r="AF40" t="str">
        <f>_xlfn.XLOOKUP(B40,Disk_Pivot!G:G,Disk_Pivot!N:N)</f>
        <v/>
      </c>
    </row>
    <row r="41" spans="1:32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INDEX(Input!$D$2:$AD$500,
       MATCH(B41, Input!$J$2:$J$500, 0),
       MATCH("Disk Capacity", Input!$D$1:$AD$1, 0))</f>
        <v>#N/A</v>
      </c>
      <c r="S41" s="13" t="e">
        <f>_xlfn.LET(_xlpm.Result,INDEX(Input!$D$2:$AD$500,
       MATCH(B41, Input!$J$2:$J$500, 0),
       MATCH("Capacity", Input!$D$1:$AD$1,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C41">IFERROR(IF(_xlfn.XLOOKUP(B41,Input!J:J,Input!N:V)=0,"",
          _xlfn.XLOOKUP(B41,Input!J:J,Input!N:V)),"")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s="13" t="str">
        <v/>
      </c>
      <c r="AD41" t="str">
        <f t="shared" si="2"/>
        <v/>
      </c>
      <c r="AE41" t="str">
        <f>_xlfn.XLOOKUP(B:B,Disk_Pivot!G:G,Disk_Pivot!I:I)</f>
        <v>No</v>
      </c>
      <c r="AF41" t="str">
        <f>_xlfn.XLOOKUP(B41,Disk_Pivot!G:G,Disk_Pivot!N:N)</f>
        <v/>
      </c>
    </row>
    <row r="42" spans="1:32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INDEX(Input!$D$2:$AD$500,
       MATCH(B42, Input!$J$2:$J$500, 0),
       MATCH("Disk Capacity", Input!$D$1:$AD$1, 0))</f>
        <v>#N/A</v>
      </c>
      <c r="S42" s="13" t="e">
        <f>_xlfn.LET(_xlpm.Result,INDEX(Input!$D$2:$AD$500,
       MATCH(B42, Input!$J$2:$J$500, 0),
       MATCH("Capacity", Input!$D$1:$AD$1,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C42">IFERROR(IF(_xlfn.XLOOKUP(B42,Input!J:J,Input!N:V)=0,"",
          _xlfn.XLOOKUP(B42,Input!J:J,Input!N:V)),"")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s="13" t="str">
        <v/>
      </c>
      <c r="AD42" t="str">
        <f t="shared" si="2"/>
        <v/>
      </c>
      <c r="AE42" t="str">
        <f>_xlfn.XLOOKUP(B:B,Disk_Pivot!G:G,Disk_Pivot!I:I)</f>
        <v>No</v>
      </c>
      <c r="AF42" t="str">
        <f>_xlfn.XLOOKUP(B42,Disk_Pivot!G:G,Disk_Pivot!N:N)</f>
        <v/>
      </c>
    </row>
    <row r="43" spans="1:32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INDEX(Input!$D$2:$AD$500,
       MATCH(B43, Input!$J$2:$J$500, 0),
       MATCH("Disk Capacity", Input!$D$1:$AD$1, 0))</f>
        <v>#N/A</v>
      </c>
      <c r="S43" s="13" t="e">
        <f>_xlfn.LET(_xlpm.Result,INDEX(Input!$D$2:$AD$500,
       MATCH(B43, Input!$J$2:$J$500, 0),
       MATCH("Capacity", Input!$D$1:$AD$1,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C43">IFERROR(IF(_xlfn.XLOOKUP(B43,Input!J:J,Input!N:V)=0,"",
          _xlfn.XLOOKUP(B43,Input!J:J,Input!N:V)),"")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s="13" t="str">
        <v/>
      </c>
      <c r="AD43" t="str">
        <f t="shared" si="2"/>
        <v/>
      </c>
      <c r="AE43" t="str">
        <f>_xlfn.XLOOKUP(B:B,Disk_Pivot!G:G,Disk_Pivot!I:I)</f>
        <v>No</v>
      </c>
      <c r="AF43" t="str">
        <f>_xlfn.XLOOKUP(B43,Disk_Pivot!G:G,Disk_Pivot!N:N)</f>
        <v/>
      </c>
    </row>
    <row r="44" spans="1:32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INDEX(Input!$D$2:$AD$500,
       MATCH(B44, Input!$J$2:$J$500, 0),
       MATCH("Disk Capacity", Input!$D$1:$AD$1, 0))</f>
        <v>#N/A</v>
      </c>
      <c r="S44" s="13" t="e">
        <f>_xlfn.LET(_xlpm.Result,INDEX(Input!$D$2:$AD$500,
       MATCH(B44, Input!$J$2:$J$500, 0),
       MATCH("Capacity", Input!$D$1:$AD$1,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C44">IFERROR(IF(_xlfn.XLOOKUP(B44,Input!J:J,Input!N:V)=0,"",
          _xlfn.XLOOKUP(B44,Input!J:J,Input!N:V)),"")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s="13" t="str">
        <v/>
      </c>
      <c r="AD44" t="str">
        <f t="shared" si="2"/>
        <v/>
      </c>
      <c r="AE44" t="str">
        <f>_xlfn.XLOOKUP(B:B,Disk_Pivot!G:G,Disk_Pivot!I:I)</f>
        <v>No</v>
      </c>
      <c r="AF44" t="str">
        <f>_xlfn.XLOOKUP(B44,Disk_Pivot!G:G,Disk_Pivot!N:N)</f>
        <v/>
      </c>
    </row>
    <row r="45" spans="1:32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INDEX(Input!$D$2:$AD$500,
       MATCH(B45, Input!$J$2:$J$500, 0),
       MATCH("Disk Capacity", Input!$D$1:$AD$1, 0))</f>
        <v>#N/A</v>
      </c>
      <c r="S45" s="13" t="e">
        <f>_xlfn.LET(_xlpm.Result,INDEX(Input!$D$2:$AD$500,
       MATCH(B45, Input!$J$2:$J$500, 0),
       MATCH("Capacity", Input!$D$1:$AD$1,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C45">IFERROR(IF(_xlfn.XLOOKUP(B45,Input!J:J,Input!N:V)=0,"",
          _xlfn.XLOOKUP(B45,Input!J:J,Input!N:V)),"")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s="13" t="str">
        <v/>
      </c>
      <c r="AD45" t="str">
        <f t="shared" si="2"/>
        <v/>
      </c>
      <c r="AE45" t="str">
        <f>_xlfn.XLOOKUP(B:B,Disk_Pivot!G:G,Disk_Pivot!I:I)</f>
        <v>No</v>
      </c>
      <c r="AF45" t="str">
        <f>_xlfn.XLOOKUP(B45,Disk_Pivot!G:G,Disk_Pivot!N:N)</f>
        <v/>
      </c>
    </row>
    <row r="46" spans="1:32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INDEX(Input!$D$2:$AD$500,
       MATCH(B46, Input!$J$2:$J$500, 0),
       MATCH("Disk Capacity", Input!$D$1:$AD$1, 0))</f>
        <v>#N/A</v>
      </c>
      <c r="S46" s="13" t="e">
        <f>_xlfn.LET(_xlpm.Result,INDEX(Input!$D$2:$AD$500,
       MATCH(B46, Input!$J$2:$J$500, 0),
       MATCH("Capacity", Input!$D$1:$AD$1,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C46">IFERROR(IF(_xlfn.XLOOKUP(B46,Input!J:J,Input!N:V)=0,"",
          _xlfn.XLOOKUP(B46,Input!J:J,Input!N:V)),"")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s="13" t="str">
        <v/>
      </c>
      <c r="AD46" t="str">
        <f t="shared" si="2"/>
        <v/>
      </c>
      <c r="AE46" t="str">
        <f>_xlfn.XLOOKUP(B:B,Disk_Pivot!G:G,Disk_Pivot!I:I)</f>
        <v>No</v>
      </c>
      <c r="AF46" t="str">
        <f>_xlfn.XLOOKUP(B46,Disk_Pivot!G:G,Disk_Pivot!N:N)</f>
        <v/>
      </c>
    </row>
    <row r="47" spans="1:32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INDEX(Input!$D$2:$AD$500,
       MATCH(B47, Input!$J$2:$J$500, 0),
       MATCH("Disk Capacity", Input!$D$1:$AD$1, 0))</f>
        <v>#N/A</v>
      </c>
      <c r="S47" s="13" t="str">
        <f>_xlfn.LET(_xlpm.Result,_xlfn.XLOOKUP(B47,Input!J:J,Input!AD:AD),IF(_xlpm.Result="","",_xlpm.Result))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C47">IFERROR(IF(_xlfn.XLOOKUP(B47,Input!J:J,Input!N:V)=0,"",
          _xlfn.XLOOKUP(B47,Input!J:J,Input!N:V)),"")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s="13" t="str">
        <v/>
      </c>
      <c r="AD47" t="str">
        <f t="shared" si="2"/>
        <v/>
      </c>
      <c r="AE47" t="str">
        <f>_xlfn.XLOOKUP(B:B,Disk_Pivot!G:G,Disk_Pivot!I:I)</f>
        <v>No</v>
      </c>
      <c r="AF47" t="str">
        <f>_xlfn.XLOOKUP(B47,Disk_Pivot!G:G,Disk_Pivot!N:N)</f>
        <v/>
      </c>
    </row>
    <row r="48" spans="1:32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INDEX(Input!$D$2:$AD$500,
       MATCH(B48, Input!$J$2:$J$500, 0),
       MATCH("Disk Capacity", Input!$D$1:$AD$1, 0))</f>
        <v>#N/A</v>
      </c>
      <c r="S48" s="13" t="str">
        <f>_xlfn.LET(_xlpm.Result,_xlfn.XLOOKUP(B48,Input!J:J,Input!AD:AD),IF(_xlpm.Result="","",_xlpm.Result))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C48">IFERROR(IF(_xlfn.XLOOKUP(B48,Input!J:J,Input!N:V)=0,"",
          _xlfn.XLOOKUP(B48,Input!J:J,Input!N:V)),"")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s="13" t="str">
        <v/>
      </c>
      <c r="AD48" t="str">
        <f t="shared" si="2"/>
        <v/>
      </c>
      <c r="AE48" t="str">
        <f>_xlfn.XLOOKUP(B:B,Disk_Pivot!G:G,Disk_Pivot!I:I)</f>
        <v>No</v>
      </c>
      <c r="AF48" t="str">
        <f>_xlfn.XLOOKUP(B48,Disk_Pivot!G:G,Disk_Pivot!N:N)</f>
        <v/>
      </c>
    </row>
    <row r="49" spans="1:32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INDEX(Input!$D$2:$AD$500,
       MATCH(B49, Input!$J$2:$J$500, 0),
       MATCH("Disk Capacity", Input!$D$1:$AD$1, 0))</f>
        <v>#N/A</v>
      </c>
      <c r="S49" s="13" t="str">
        <f>_xlfn.LET(_xlpm.Result,_xlfn.XLOOKUP(B49,Input!J:J,Input!AD:AD),IF(_xlpm.Result="","",_xlpm.Result))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C49">IFERROR(IF(_xlfn.XLOOKUP(B49,Input!J:J,Input!N:V)=0,"",
          _xlfn.XLOOKUP(B49,Input!J:J,Input!N:V)),"")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s="13" t="str">
        <v/>
      </c>
      <c r="AD49" t="str">
        <f t="shared" si="2"/>
        <v/>
      </c>
      <c r="AE49" t="str">
        <f>_xlfn.XLOOKUP(B:B,Disk_Pivot!G:G,Disk_Pivot!I:I)</f>
        <v>No</v>
      </c>
      <c r="AF49" t="str">
        <f>_xlfn.XLOOKUP(B49,Disk_Pivot!G:G,Disk_Pivot!N:N)</f>
        <v/>
      </c>
    </row>
    <row r="50" spans="1:32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INDEX(Input!$D$2:$AD$500,
       MATCH(B50, Input!$J$2:$J$500, 0),
       MATCH("Disk Capacity", Input!$D$1:$AD$1, 0))</f>
        <v>#N/A</v>
      </c>
      <c r="S50" s="13" t="str">
        <f>_xlfn.LET(_xlpm.Result,_xlfn.XLOOKUP(B50,Input!J:J,Input!AD:AD),IF(_xlpm.Result="","",_xlpm.Result))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C50">IFERROR(IF(_xlfn.XLOOKUP(B50,Input!J:J,Input!N:V)=0,"",
          _xlfn.XLOOKUP(B50,Input!J:J,Input!N:V)),"")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s="13" t="str">
        <v/>
      </c>
      <c r="AD50" t="str">
        <f t="shared" si="2"/>
        <v/>
      </c>
      <c r="AE50" t="str">
        <f>_xlfn.XLOOKUP(B:B,Disk_Pivot!G:G,Disk_Pivot!I:I)</f>
        <v>No</v>
      </c>
      <c r="AF50" t="str">
        <f>_xlfn.XLOOKUP(B50,Disk_Pivot!G:G,Disk_Pivot!N:N)</f>
        <v/>
      </c>
    </row>
    <row r="51" spans="1:32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INDEX(Input!$D$2:$AD$500,
       MATCH(B51, Input!$J$2:$J$500, 0),
       MATCH("Disk Capacity", Input!$D$1:$AD$1, 0))</f>
        <v>#N/A</v>
      </c>
      <c r="S51" s="13" t="str">
        <f>_xlfn.LET(_xlpm.Result,_xlfn.XLOOKUP(B51,Input!J:J,Input!AD:AD),IF(_xlpm.Result="","",_xlpm.Result))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C51">IFERROR(IF(_xlfn.XLOOKUP(B51,Input!J:J,Input!N:V)=0,"",
          _xlfn.XLOOKUP(B51,Input!J:J,Input!N:V)),"")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s="13" t="str">
        <v/>
      </c>
      <c r="AD51" t="str">
        <f t="shared" si="2"/>
        <v/>
      </c>
      <c r="AE51" t="str">
        <f>_xlfn.XLOOKUP(B:B,Disk_Pivot!G:G,Disk_Pivot!I:I)</f>
        <v>No</v>
      </c>
      <c r="AF51" t="str">
        <f>_xlfn.XLOOKUP(B51,Disk_Pivot!G:G,Disk_Pivot!N:N)</f>
        <v/>
      </c>
    </row>
    <row r="52" spans="1:32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INDEX(Input!$D$2:$AD$500,
       MATCH(B52, Input!$J$2:$J$500, 0),
       MATCH("Disk Capacity", Input!$D$1:$AD$1, 0))</f>
        <v>#N/A</v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C52">IFERROR(IF(_xlfn.XLOOKUP(B52,Input!J:J,Input!N:V)=0,"",
          _xlfn.XLOOKUP(B52,Input!J:J,Input!N:V)),"")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s="13" t="str">
        <v/>
      </c>
      <c r="AD52" t="str">
        <f t="shared" si="2"/>
        <v/>
      </c>
      <c r="AE52" t="str">
        <f>_xlfn.XLOOKUP(B:B,Disk_Pivot!G:G,Disk_Pivot!I:I)</f>
        <v>No</v>
      </c>
      <c r="AF52" t="str">
        <f>_xlfn.XLOOKUP(B52,Disk_Pivot!G:G,Disk_Pivot!N:N)</f>
        <v/>
      </c>
    </row>
    <row r="53" spans="1:32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INDEX(Input!$D$2:$AD$500,
       MATCH(B53, Input!$J$2:$J$500, 0),
       MATCH("Disk Capacity", Input!$D$1:$AD$1, 0))</f>
        <v>#N/A</v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C53">IFERROR(IF(_xlfn.XLOOKUP(B53,Input!J:J,Input!N:V)=0,"",
          _xlfn.XLOOKUP(B53,Input!J:J,Input!N:V)),"")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s="13" t="str">
        <v/>
      </c>
      <c r="AD53" t="str">
        <f t="shared" si="2"/>
        <v/>
      </c>
      <c r="AE53" t="str">
        <f>_xlfn.XLOOKUP(B:B,Disk_Pivot!G:G,Disk_Pivot!I:I)</f>
        <v>No</v>
      </c>
      <c r="AF53" t="str">
        <f>_xlfn.XLOOKUP(B53,Disk_Pivot!G:G,Disk_Pivot!N:N)</f>
        <v/>
      </c>
    </row>
    <row r="54" spans="1:32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INDEX(Input!$D$2:$AD$500,
       MATCH(B54, Input!$J$2:$J$500, 0),
       MATCH("Disk Capacity", Input!$D$1:$AD$1, 0))</f>
        <v>#N/A</v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C54">IFERROR(IF(_xlfn.XLOOKUP(B54,Input!J:J,Input!N:V)=0,"",
          _xlfn.XLOOKUP(B54,Input!J:J,Input!N:V)),"")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s="13" t="str">
        <v/>
      </c>
      <c r="AD54" t="str">
        <f t="shared" si="2"/>
        <v/>
      </c>
      <c r="AE54" t="str">
        <f>_xlfn.XLOOKUP(B:B,Disk_Pivot!G:G,Disk_Pivot!I:I)</f>
        <v>No</v>
      </c>
      <c r="AF54" t="str">
        <f>_xlfn.XLOOKUP(B54,Disk_Pivot!G:G,Disk_Pivot!N:N)</f>
        <v/>
      </c>
    </row>
    <row r="55" spans="1:32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INDEX(Input!$D$2:$AD$500,
       MATCH(B55, Input!$J$2:$J$500, 0),
       MATCH("Disk Capacity", Input!$D$1:$AD$1, 0))</f>
        <v>#N/A</v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C55">IFERROR(IF(_xlfn.XLOOKUP(B55,Input!J:J,Input!N:V)=0,"",
          _xlfn.XLOOKUP(B55,Input!J:J,Input!N:V)),"")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s="13" t="str">
        <v/>
      </c>
      <c r="AD55" t="str">
        <f t="shared" si="2"/>
        <v/>
      </c>
      <c r="AE55" t="str">
        <f>_xlfn.XLOOKUP(B:B,Disk_Pivot!G:G,Disk_Pivot!I:I)</f>
        <v>No</v>
      </c>
      <c r="AF55" t="str">
        <f>_xlfn.XLOOKUP(B55,Disk_Pivot!G:G,Disk_Pivot!N:N)</f>
        <v/>
      </c>
    </row>
    <row r="56" spans="1:32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INDEX(Input!$D$2:$AD$500,
       MATCH(B56, Input!$J$2:$J$500, 0),
       MATCH("Disk Capacity", Input!$D$1:$AD$1, 0))</f>
        <v>#N/A</v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C56">IFERROR(IF(_xlfn.XLOOKUP(B56,Input!J:J,Input!N:V)=0,"",
          _xlfn.XLOOKUP(B56,Input!J:J,Input!N:V)),"")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s="13" t="str">
        <v/>
      </c>
      <c r="AD56" t="str">
        <f t="shared" si="2"/>
        <v/>
      </c>
      <c r="AE56" t="str">
        <f>_xlfn.XLOOKUP(B:B,Disk_Pivot!G:G,Disk_Pivot!I:I)</f>
        <v>No</v>
      </c>
      <c r="AF56" t="str">
        <f>_xlfn.XLOOKUP(B56,Disk_Pivot!G:G,Disk_Pivot!N:N)</f>
        <v/>
      </c>
    </row>
    <row r="57" spans="1:32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INDEX(Input!$D$2:$AD$500,
       MATCH(B57, Input!$J$2:$J$500, 0),
       MATCH("Disk Capacity", Input!$D$1:$AD$1, 0))</f>
        <v>#N/A</v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C57">IFERROR(IF(_xlfn.XLOOKUP(B57,Input!J:J,Input!N:V)=0,"",
          _xlfn.XLOOKUP(B57,Input!J:J,Input!N:V)),"")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s="13" t="str">
        <v/>
      </c>
      <c r="AD57" t="str">
        <f t="shared" si="2"/>
        <v/>
      </c>
      <c r="AE57" t="str">
        <f>_xlfn.XLOOKUP(B:B,Disk_Pivot!G:G,Disk_Pivot!I:I)</f>
        <v>No</v>
      </c>
      <c r="AF57" t="str">
        <f>_xlfn.XLOOKUP(B57,Disk_Pivot!G:G,Disk_Pivot!N:N)</f>
        <v/>
      </c>
    </row>
    <row r="58" spans="1:32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INDEX(Input!$D$2:$AD$500,
       MATCH(B58, Input!$J$2:$J$500, 0),
       MATCH("Disk Capacity", Input!$D$1:$AD$1, 0))</f>
        <v>#N/A</v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C58">IFERROR(IF(_xlfn.XLOOKUP(B58,Input!J:J,Input!N:V)=0,"",
          _xlfn.XLOOKUP(B58,Input!J:J,Input!N:V)),"")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s="13" t="str">
        <v/>
      </c>
      <c r="AD58" t="str">
        <f t="shared" si="2"/>
        <v/>
      </c>
      <c r="AE58" t="str">
        <f>_xlfn.XLOOKUP(B:B,Disk_Pivot!G:G,Disk_Pivot!I:I)</f>
        <v>No</v>
      </c>
      <c r="AF58" t="str">
        <f>_xlfn.XLOOKUP(B58,Disk_Pivot!G:G,Disk_Pivot!N:N)</f>
        <v/>
      </c>
    </row>
    <row r="59" spans="1:32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INDEX(Input!$D$2:$AD$500,
       MATCH(B59, Input!$J$2:$J$500, 0),
       MATCH("Disk Capacity", Input!$D$1:$AD$1, 0))</f>
        <v>#N/A</v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C59">IFERROR(IF(_xlfn.XLOOKUP(B59,Input!J:J,Input!N:V)=0,"",
          _xlfn.XLOOKUP(B59,Input!J:J,Input!N:V)),"")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s="13" t="str">
        <v/>
      </c>
      <c r="AD59" t="str">
        <f t="shared" si="2"/>
        <v/>
      </c>
      <c r="AE59" t="str">
        <f>_xlfn.XLOOKUP(B:B,Disk_Pivot!G:G,Disk_Pivot!I:I)</f>
        <v>No</v>
      </c>
      <c r="AF59" t="str">
        <f>_xlfn.XLOOKUP(B59,Disk_Pivot!G:G,Disk_Pivot!N:N)</f>
        <v/>
      </c>
    </row>
    <row r="60" spans="1:32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INDEX(Input!$D$2:$AD$500,
       MATCH(B60, Input!$J$2:$J$500, 0),
       MATCH("Disk Capacity", Input!$D$1:$AD$1, 0))</f>
        <v>#N/A</v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C60">IFERROR(IF(_xlfn.XLOOKUP(B60,Input!J:J,Input!N:V)=0,"",
          _xlfn.XLOOKUP(B60,Input!J:J,Input!N:V)),"")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s="13" t="str">
        <v/>
      </c>
      <c r="AD60" t="str">
        <f t="shared" si="2"/>
        <v/>
      </c>
      <c r="AE60" t="str">
        <f>_xlfn.XLOOKUP(B:B,Disk_Pivot!G:G,Disk_Pivot!I:I)</f>
        <v>No</v>
      </c>
      <c r="AF60" t="str">
        <f>_xlfn.XLOOKUP(B60,Disk_Pivot!G:G,Disk_Pivot!N:N)</f>
        <v/>
      </c>
    </row>
    <row r="61" spans="1:32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INDEX(Input!$D$2:$AD$500,
       MATCH(B61, Input!$J$2:$J$500, 0),
       MATCH("Disk Capacity", Input!$D$1:$AD$1, 0))</f>
        <v>#N/A</v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C61">IFERROR(IF(_xlfn.XLOOKUP(B61,Input!J:J,Input!N:V)=0,"",
          _xlfn.XLOOKUP(B61,Input!J:J,Input!N:V)),"")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s="13" t="str">
        <v/>
      </c>
      <c r="AD61" t="str">
        <f t="shared" si="2"/>
        <v/>
      </c>
      <c r="AE61" t="str">
        <f>_xlfn.XLOOKUP(B:B,Disk_Pivot!G:G,Disk_Pivot!I:I)</f>
        <v>No</v>
      </c>
      <c r="AF61" t="str">
        <f>_xlfn.XLOOKUP(B61,Disk_Pivot!G:G,Disk_Pivot!N:N)</f>
        <v/>
      </c>
    </row>
    <row r="62" spans="1:32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INDEX(Input!$D$2:$AD$500,
       MATCH(B62, Input!$J$2:$J$500, 0),
       MATCH("Disk Capacity", Input!$D$1:$AD$1, 0))</f>
        <v>#N/A</v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C62">IFERROR(IF(_xlfn.XLOOKUP(B62,Input!J:J,Input!N:V)=0,"",
          _xlfn.XLOOKUP(B62,Input!J:J,Input!N:V)),"")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s="13" t="str">
        <v/>
      </c>
      <c r="AD62" t="str">
        <f t="shared" si="2"/>
        <v/>
      </c>
      <c r="AE62" t="str">
        <f>_xlfn.XLOOKUP(B:B,Disk_Pivot!G:G,Disk_Pivot!I:I)</f>
        <v>No</v>
      </c>
      <c r="AF62" t="str">
        <f>_xlfn.XLOOKUP(B62,Disk_Pivot!G:G,Disk_Pivot!N:N)</f>
        <v/>
      </c>
    </row>
    <row r="63" spans="1:32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INDEX(Input!$D$2:$AD$500,
       MATCH(B63, Input!$J$2:$J$500, 0),
       MATCH("Disk Capacity", Input!$D$1:$AD$1, 0))</f>
        <v>#N/A</v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C63">IFERROR(IF(_xlfn.XLOOKUP(B63,Input!J:J,Input!N:V)=0,"",
          _xlfn.XLOOKUP(B63,Input!J:J,Input!N:V)),"")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s="13" t="str">
        <v/>
      </c>
      <c r="AD63" t="str">
        <f t="shared" si="2"/>
        <v/>
      </c>
      <c r="AE63" t="str">
        <f>_xlfn.XLOOKUP(B:B,Disk_Pivot!G:G,Disk_Pivot!I:I)</f>
        <v>No</v>
      </c>
      <c r="AF63" t="str">
        <f>_xlfn.XLOOKUP(B63,Disk_Pivot!G:G,Disk_Pivot!N:N)</f>
        <v/>
      </c>
    </row>
    <row r="64" spans="1:32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INDEX(Input!$D$2:$AD$500,
       MATCH(B64, Input!$J$2:$J$500, 0),
       MATCH("Disk Capacity", Input!$D$1:$AD$1, 0))</f>
        <v>#N/A</v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C64">IFERROR(IF(_xlfn.XLOOKUP(B64,Input!J:J,Input!N:V)=0,"",
          _xlfn.XLOOKUP(B64,Input!J:J,Input!N:V)),"")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s="13" t="str">
        <v/>
      </c>
      <c r="AD64" t="str">
        <f t="shared" si="2"/>
        <v/>
      </c>
      <c r="AE64" t="str">
        <f>_xlfn.XLOOKUP(B:B,Disk_Pivot!G:G,Disk_Pivot!I:I)</f>
        <v>No</v>
      </c>
      <c r="AF64" t="str">
        <f>_xlfn.XLOOKUP(B64,Disk_Pivot!G:G,Disk_Pivot!N:N)</f>
        <v/>
      </c>
    </row>
    <row r="65" spans="1:32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INDEX(Input!$D$2:$AD$500,
       MATCH(B65, Input!$J$2:$J$500, 0),
       MATCH("Disk Capacity", Input!$D$1:$AD$1, 0))</f>
        <v>#N/A</v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C65">IFERROR(IF(_xlfn.XLOOKUP(B65,Input!J:J,Input!N:V)=0,"",
          _xlfn.XLOOKUP(B65,Input!J:J,Input!N:V)),"")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s="13" t="str">
        <v/>
      </c>
      <c r="AD65" t="str">
        <f t="shared" si="2"/>
        <v/>
      </c>
      <c r="AE65" t="str">
        <f>_xlfn.XLOOKUP(B:B,Disk_Pivot!G:G,Disk_Pivot!I:I)</f>
        <v>No</v>
      </c>
      <c r="AF65" t="str">
        <f>_xlfn.XLOOKUP(B65,Disk_Pivot!G:G,Disk_Pivot!N:N)</f>
        <v/>
      </c>
    </row>
    <row r="66" spans="1:32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INDEX(Input!$D$2:$AD$500,
       MATCH(B66, Input!$J$2:$J$500, 0),
       MATCH("Disk Capacity", Input!$D$1:$AD$1, 0))</f>
        <v>#N/A</v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C66">IFERROR(IF(_xlfn.XLOOKUP(B66,Input!J:J,Input!N:V)=0,"",
          _xlfn.XLOOKUP(B66,Input!J:J,Input!N:V)),"")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s="13" t="str">
        <v/>
      </c>
      <c r="AD66" t="str">
        <f t="shared" si="2"/>
        <v/>
      </c>
      <c r="AE66" t="str">
        <f>_xlfn.XLOOKUP(B:B,Disk_Pivot!G:G,Disk_Pivot!I:I)</f>
        <v>No</v>
      </c>
      <c r="AF66" t="str">
        <f>_xlfn.XLOOKUP(B66,Disk_Pivot!G:G,Disk_Pivot!N:N)</f>
        <v/>
      </c>
    </row>
    <row r="67" spans="1:32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INDEX(Input!$D$2:$AD$500,
       MATCH(B67, Input!$J$2:$J$500, 0),
       MATCH("Disk Capacity", Input!$D$1:$AD$1, 0))</f>
        <v>#N/A</v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C67">IFERROR(IF(_xlfn.XLOOKUP(B67,Input!J:J,Input!N:V)=0,"",
          _xlfn.XLOOKUP(B67,Input!J:J,Input!N:V)),"")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s="13" t="str">
        <v/>
      </c>
      <c r="AD67" t="str">
        <f t="shared" ref="AD67:AD130" si="5">_xlfn.TEXTJOIN(", ",TRUE,T67,U67,V67,W67,X67,Y67,Z67)</f>
        <v/>
      </c>
      <c r="AE67" t="str">
        <f>_xlfn.XLOOKUP(B:B,Disk_Pivot!G:G,Disk_Pivot!I:I)</f>
        <v>No</v>
      </c>
      <c r="AF67" t="str">
        <f>_xlfn.XLOOKUP(B67,Disk_Pivot!G:G,Disk_Pivot!N:N)</f>
        <v/>
      </c>
    </row>
    <row r="68" spans="1:32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INDEX(Input!$D$2:$AD$500,
       MATCH(B68, Input!$J$2:$J$500, 0),
       MATCH("Disk Capacity", Input!$D$1:$AD$1, 0))</f>
        <v>#N/A</v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C68">IFERROR(IF(_xlfn.XLOOKUP(B68,Input!J:J,Input!N:V)=0,"",
          _xlfn.XLOOKUP(B68,Input!J:J,Input!N:V)),"")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s="13" t="str">
        <v/>
      </c>
      <c r="AD68" t="str">
        <f t="shared" si="5"/>
        <v/>
      </c>
      <c r="AE68" t="str">
        <f>_xlfn.XLOOKUP(B:B,Disk_Pivot!G:G,Disk_Pivot!I:I)</f>
        <v>No</v>
      </c>
      <c r="AF68" t="str">
        <f>_xlfn.XLOOKUP(B68,Disk_Pivot!G:G,Disk_Pivot!N:N)</f>
        <v/>
      </c>
    </row>
    <row r="69" spans="1:32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INDEX(Input!$D$2:$AD$500,
       MATCH(B69, Input!$J$2:$J$500, 0),
       MATCH("Disk Capacity", Input!$D$1:$AD$1, 0))</f>
        <v>#N/A</v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C69">IFERROR(IF(_xlfn.XLOOKUP(B69,Input!J:J,Input!N:V)=0,"",
          _xlfn.XLOOKUP(B69,Input!J:J,Input!N:V)),"")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s="13" t="str">
        <v/>
      </c>
      <c r="AD69" t="str">
        <f t="shared" si="5"/>
        <v/>
      </c>
      <c r="AE69" t="str">
        <f>_xlfn.XLOOKUP(B:B,Disk_Pivot!G:G,Disk_Pivot!I:I)</f>
        <v>No</v>
      </c>
      <c r="AF69" t="str">
        <f>_xlfn.XLOOKUP(B69,Disk_Pivot!G:G,Disk_Pivot!N:N)</f>
        <v/>
      </c>
    </row>
    <row r="70" spans="1:32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INDEX(Input!$D$2:$AD$500,
       MATCH(B70, Input!$J$2:$J$500, 0),
       MATCH("Disk Capacity", Input!$D$1:$AD$1, 0))</f>
        <v>#N/A</v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C70">IFERROR(IF(_xlfn.XLOOKUP(B70,Input!J:J,Input!N:V)=0,"",
          _xlfn.XLOOKUP(B70,Input!J:J,Input!N:V)),"")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s="13" t="str">
        <v/>
      </c>
      <c r="AD70" t="str">
        <f t="shared" si="5"/>
        <v/>
      </c>
      <c r="AE70" t="str">
        <f>_xlfn.XLOOKUP(B:B,Disk_Pivot!G:G,Disk_Pivot!I:I)</f>
        <v>No</v>
      </c>
      <c r="AF70" t="str">
        <f>_xlfn.XLOOKUP(B70,Disk_Pivot!G:G,Disk_Pivot!N:N)</f>
        <v/>
      </c>
    </row>
    <row r="71" spans="1:32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INDEX(Input!$D$2:$AD$500,
       MATCH(B71, Input!$J$2:$J$500, 0),
       MATCH("Disk Capacity", Input!$D$1:$AD$1, 0))</f>
        <v>#N/A</v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C71">IFERROR(IF(_xlfn.XLOOKUP(B71,Input!J:J,Input!N:V)=0,"",
          _xlfn.XLOOKUP(B71,Input!J:J,Input!N:V)),"")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s="13" t="str">
        <v/>
      </c>
      <c r="AD71" t="str">
        <f t="shared" si="5"/>
        <v/>
      </c>
      <c r="AE71" t="str">
        <f>_xlfn.XLOOKUP(B:B,Disk_Pivot!G:G,Disk_Pivot!I:I)</f>
        <v>No</v>
      </c>
      <c r="AF71" t="str">
        <f>_xlfn.XLOOKUP(B71,Disk_Pivot!G:G,Disk_Pivot!N:N)</f>
        <v/>
      </c>
    </row>
    <row r="72" spans="1:32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INDEX(Input!$D$2:$AD$500,
       MATCH(B72, Input!$J$2:$J$500, 0),
       MATCH("Disk Capacity", Input!$D$1:$AD$1, 0))</f>
        <v>#N/A</v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C72">IFERROR(IF(_xlfn.XLOOKUP(B72,Input!J:J,Input!N:V)=0,"",
          _xlfn.XLOOKUP(B72,Input!J:J,Input!N:V)),"")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s="13" t="str">
        <v/>
      </c>
      <c r="AD72" t="str">
        <f t="shared" si="5"/>
        <v/>
      </c>
      <c r="AE72" t="str">
        <f>_xlfn.XLOOKUP(B:B,Disk_Pivot!G:G,Disk_Pivot!I:I)</f>
        <v>No</v>
      </c>
      <c r="AF72" t="str">
        <f>_xlfn.XLOOKUP(B72,Disk_Pivot!G:G,Disk_Pivot!N:N)</f>
        <v/>
      </c>
    </row>
    <row r="73" spans="1:32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INDEX(Input!$D$2:$AD$500,
       MATCH(B73, Input!$J$2:$J$500, 0),
       MATCH("Disk Capacity", Input!$D$1:$AD$1, 0))</f>
        <v>#N/A</v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C73">IFERROR(IF(_xlfn.XLOOKUP(B73,Input!J:J,Input!N:V)=0,"",
          _xlfn.XLOOKUP(B73,Input!J:J,Input!N:V)),"")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s="13" t="str">
        <v/>
      </c>
      <c r="AD73" t="str">
        <f t="shared" si="5"/>
        <v/>
      </c>
      <c r="AE73" t="str">
        <f>_xlfn.XLOOKUP(B:B,Disk_Pivot!G:G,Disk_Pivot!I:I)</f>
        <v>No</v>
      </c>
      <c r="AF73" t="str">
        <f>_xlfn.XLOOKUP(B73,Disk_Pivot!G:G,Disk_Pivot!N:N)</f>
        <v/>
      </c>
    </row>
    <row r="74" spans="1:32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INDEX(Input!$D$2:$AD$500,
       MATCH(B74, Input!$J$2:$J$500, 0),
       MATCH("Disk Capacity", Input!$D$1:$AD$1, 0))</f>
        <v>#N/A</v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C74">IFERROR(IF(_xlfn.XLOOKUP(B74,Input!J:J,Input!N:V)=0,"",
          _xlfn.XLOOKUP(B74,Input!J:J,Input!N:V)),"")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s="13" t="str">
        <v/>
      </c>
      <c r="AD74" t="str">
        <f t="shared" si="5"/>
        <v/>
      </c>
      <c r="AE74" t="str">
        <f>_xlfn.XLOOKUP(B:B,Disk_Pivot!G:G,Disk_Pivot!I:I)</f>
        <v>No</v>
      </c>
      <c r="AF74" t="str">
        <f>_xlfn.XLOOKUP(B74,Disk_Pivot!G:G,Disk_Pivot!N:N)</f>
        <v/>
      </c>
    </row>
    <row r="75" spans="1:32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INDEX(Input!$D$2:$AD$500,
       MATCH(B75, Input!$J$2:$J$500, 0),
       MATCH("Disk Capacity", Input!$D$1:$AD$1, 0))</f>
        <v>#N/A</v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C75">IFERROR(IF(_xlfn.XLOOKUP(B75,Input!J:J,Input!N:V)=0,"",
          _xlfn.XLOOKUP(B75,Input!J:J,Input!N:V)),"")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s="13" t="str">
        <v/>
      </c>
      <c r="AD75" t="str">
        <f t="shared" si="5"/>
        <v/>
      </c>
      <c r="AE75" t="str">
        <f>_xlfn.XLOOKUP(B:B,Disk_Pivot!G:G,Disk_Pivot!I:I)</f>
        <v>No</v>
      </c>
      <c r="AF75" t="str">
        <f>_xlfn.XLOOKUP(B75,Disk_Pivot!G:G,Disk_Pivot!N:N)</f>
        <v/>
      </c>
    </row>
    <row r="76" spans="1:32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INDEX(Input!$D$2:$AD$500,
       MATCH(B76, Input!$J$2:$J$500, 0),
       MATCH("Disk Capacity", Input!$D$1:$AD$1, 0))</f>
        <v>#N/A</v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C76">IFERROR(IF(_xlfn.XLOOKUP(B76,Input!J:J,Input!N:V)=0,"",
          _xlfn.XLOOKUP(B76,Input!J:J,Input!N:V)),"")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s="13" t="str">
        <v/>
      </c>
      <c r="AD76" t="str">
        <f t="shared" si="5"/>
        <v/>
      </c>
      <c r="AE76" t="str">
        <f>_xlfn.XLOOKUP(B:B,Disk_Pivot!G:G,Disk_Pivot!I:I)</f>
        <v>No</v>
      </c>
      <c r="AF76" t="str">
        <f>_xlfn.XLOOKUP(B76,Disk_Pivot!G:G,Disk_Pivot!N:N)</f>
        <v/>
      </c>
    </row>
    <row r="77" spans="1:32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INDEX(Input!$D$2:$AD$500,
       MATCH(B77, Input!$J$2:$J$500, 0),
       MATCH("Disk Capacity", Input!$D$1:$AD$1, 0))</f>
        <v>#N/A</v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C77">IFERROR(IF(_xlfn.XLOOKUP(B77,Input!J:J,Input!N:V)=0,"",
          _xlfn.XLOOKUP(B77,Input!J:J,Input!N:V)),"")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s="13" t="str">
        <v/>
      </c>
      <c r="AD77" t="str">
        <f t="shared" si="5"/>
        <v/>
      </c>
      <c r="AE77" t="str">
        <f>_xlfn.XLOOKUP(B:B,Disk_Pivot!G:G,Disk_Pivot!I:I)</f>
        <v>No</v>
      </c>
      <c r="AF77" t="str">
        <f>_xlfn.XLOOKUP(B77,Disk_Pivot!G:G,Disk_Pivot!N:N)</f>
        <v/>
      </c>
    </row>
    <row r="78" spans="1:32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INDEX(Input!$D$2:$AD$500,
       MATCH(B78, Input!$J$2:$J$500, 0),
       MATCH("Disk Capacity", Input!$D$1:$AD$1, 0))</f>
        <v>#N/A</v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C78">IFERROR(IF(_xlfn.XLOOKUP(B78,Input!J:J,Input!N:V)=0,"",
          _xlfn.XLOOKUP(B78,Input!J:J,Input!N:V)),"")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s="13" t="str">
        <v/>
      </c>
      <c r="AD78" t="str">
        <f t="shared" si="5"/>
        <v/>
      </c>
      <c r="AE78" t="str">
        <f>_xlfn.XLOOKUP(B:B,Disk_Pivot!G:G,Disk_Pivot!I:I)</f>
        <v>No</v>
      </c>
      <c r="AF78" t="str">
        <f>_xlfn.XLOOKUP(B78,Disk_Pivot!G:G,Disk_Pivot!N:N)</f>
        <v/>
      </c>
    </row>
    <row r="79" spans="1:32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INDEX(Input!$D$2:$AD$500,
       MATCH(B79, Input!$J$2:$J$500, 0),
       MATCH("Disk Capacity", Input!$D$1:$AD$1, 0))</f>
        <v>#N/A</v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C79">IFERROR(IF(_xlfn.XLOOKUP(B79,Input!J:J,Input!N:V)=0,"",
          _xlfn.XLOOKUP(B79,Input!J:J,Input!N:V)),"")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s="13" t="str">
        <v/>
      </c>
      <c r="AD79" t="str">
        <f t="shared" si="5"/>
        <v/>
      </c>
      <c r="AE79" t="str">
        <f>_xlfn.XLOOKUP(B:B,Disk_Pivot!G:G,Disk_Pivot!I:I)</f>
        <v>No</v>
      </c>
      <c r="AF79" t="str">
        <f>_xlfn.XLOOKUP(B79,Disk_Pivot!G:G,Disk_Pivot!N:N)</f>
        <v/>
      </c>
    </row>
    <row r="80" spans="1:32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INDEX(Input!$D$2:$AD$500,
       MATCH(B80, Input!$J$2:$J$500, 0),
       MATCH("Disk Capacity", Input!$D$1:$AD$1, 0))</f>
        <v>#N/A</v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C80">IFERROR(IF(_xlfn.XLOOKUP(B80,Input!J:J,Input!N:V)=0,"",
          _xlfn.XLOOKUP(B80,Input!J:J,Input!N:V)),"")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s="13" t="str">
        <v/>
      </c>
      <c r="AD80" t="str">
        <f t="shared" si="5"/>
        <v/>
      </c>
      <c r="AE80" t="str">
        <f>_xlfn.XLOOKUP(B:B,Disk_Pivot!G:G,Disk_Pivot!I:I)</f>
        <v>No</v>
      </c>
      <c r="AF80" t="str">
        <f>_xlfn.XLOOKUP(B80,Disk_Pivot!G:G,Disk_Pivot!N:N)</f>
        <v/>
      </c>
    </row>
    <row r="81" spans="1:32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INDEX(Input!$D$2:$AD$500,
       MATCH(B81, Input!$J$2:$J$500, 0),
       MATCH("Disk Capacity", Input!$D$1:$AD$1, 0))</f>
        <v>#N/A</v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C81">IFERROR(IF(_xlfn.XLOOKUP(B81,Input!J:J,Input!N:V)=0,"",
          _xlfn.XLOOKUP(B81,Input!J:J,Input!N:V)),"")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s="13" t="str">
        <v/>
      </c>
      <c r="AD81" t="str">
        <f t="shared" si="5"/>
        <v/>
      </c>
      <c r="AE81" t="str">
        <f>_xlfn.XLOOKUP(B:B,Disk_Pivot!G:G,Disk_Pivot!I:I)</f>
        <v>No</v>
      </c>
      <c r="AF81" t="str">
        <f>_xlfn.XLOOKUP(B81,Disk_Pivot!G:G,Disk_Pivot!N:N)</f>
        <v/>
      </c>
    </row>
    <row r="82" spans="1:32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INDEX(Input!$D$2:$AD$500,
       MATCH(B82, Input!$J$2:$J$500, 0),
       MATCH("Disk Capacity", Input!$D$1:$AD$1, 0))</f>
        <v>#N/A</v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C82">IFERROR(IF(_xlfn.XLOOKUP(B82,Input!J:J,Input!N:V)=0,"",
          _xlfn.XLOOKUP(B82,Input!J:J,Input!N:V)),"")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s="13" t="str">
        <v/>
      </c>
      <c r="AD82" t="str">
        <f t="shared" si="5"/>
        <v/>
      </c>
      <c r="AE82" t="str">
        <f>_xlfn.XLOOKUP(B:B,Disk_Pivot!G:G,Disk_Pivot!I:I)</f>
        <v>No</v>
      </c>
      <c r="AF82" t="str">
        <f>_xlfn.XLOOKUP(B82,Disk_Pivot!G:G,Disk_Pivot!N:N)</f>
        <v/>
      </c>
    </row>
    <row r="83" spans="1:32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INDEX(Input!$D$2:$AD$500,
       MATCH(B83, Input!$J$2:$J$500, 0),
       MATCH("Disk Capacity", Input!$D$1:$AD$1, 0))</f>
        <v>#N/A</v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C83">IFERROR(IF(_xlfn.XLOOKUP(B83,Input!J:J,Input!N:V)=0,"",
          _xlfn.XLOOKUP(B83,Input!J:J,Input!N:V)),"")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s="13" t="str">
        <v/>
      </c>
      <c r="AD83" t="str">
        <f t="shared" si="5"/>
        <v/>
      </c>
      <c r="AE83" t="str">
        <f>_xlfn.XLOOKUP(B:B,Disk_Pivot!G:G,Disk_Pivot!I:I)</f>
        <v>No</v>
      </c>
      <c r="AF83" t="str">
        <f>_xlfn.XLOOKUP(B83,Disk_Pivot!G:G,Disk_Pivot!N:N)</f>
        <v/>
      </c>
    </row>
    <row r="84" spans="1:32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INDEX(Input!$D$2:$AD$500,
       MATCH(B84, Input!$J$2:$J$500, 0),
       MATCH("Disk Capacity", Input!$D$1:$AD$1, 0))</f>
        <v>#N/A</v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C84">IFERROR(IF(_xlfn.XLOOKUP(B84,Input!J:J,Input!N:V)=0,"",
          _xlfn.XLOOKUP(B84,Input!J:J,Input!N:V)),"")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s="13" t="str">
        <v/>
      </c>
      <c r="AD84" t="str">
        <f t="shared" si="5"/>
        <v/>
      </c>
      <c r="AE84" t="str">
        <f>_xlfn.XLOOKUP(B:B,Disk_Pivot!G:G,Disk_Pivot!I:I)</f>
        <v>No</v>
      </c>
      <c r="AF84" t="str">
        <f>_xlfn.XLOOKUP(B84,Disk_Pivot!G:G,Disk_Pivot!N:N)</f>
        <v/>
      </c>
    </row>
    <row r="85" spans="1:32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INDEX(Input!$D$2:$AD$500,
       MATCH(B85, Input!$J$2:$J$500, 0),
       MATCH("Disk Capacity", Input!$D$1:$AD$1, 0))</f>
        <v>#N/A</v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C85">IFERROR(IF(_xlfn.XLOOKUP(B85,Input!J:J,Input!N:V)=0,"",
          _xlfn.XLOOKUP(B85,Input!J:J,Input!N:V)),"")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s="13" t="str">
        <v/>
      </c>
      <c r="AD85" t="str">
        <f t="shared" si="5"/>
        <v/>
      </c>
      <c r="AE85" t="str">
        <f>_xlfn.XLOOKUP(B:B,Disk_Pivot!G:G,Disk_Pivot!I:I)</f>
        <v>No</v>
      </c>
      <c r="AF85" t="str">
        <f>_xlfn.XLOOKUP(B85,Disk_Pivot!G:G,Disk_Pivot!N:N)</f>
        <v/>
      </c>
    </row>
    <row r="86" spans="1:32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INDEX(Input!$D$2:$AD$500,
       MATCH(B86, Input!$J$2:$J$500, 0),
       MATCH("Disk Capacity", Input!$D$1:$AD$1, 0))</f>
        <v>#N/A</v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C86">IFERROR(IF(_xlfn.XLOOKUP(B86,Input!J:J,Input!N:V)=0,"",
          _xlfn.XLOOKUP(B86,Input!J:J,Input!N:V)),"")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s="13" t="str">
        <v/>
      </c>
      <c r="AD86" t="str">
        <f t="shared" si="5"/>
        <v/>
      </c>
      <c r="AE86" t="str">
        <f>_xlfn.XLOOKUP(B:B,Disk_Pivot!G:G,Disk_Pivot!I:I)</f>
        <v>No</v>
      </c>
      <c r="AF86" t="str">
        <f>_xlfn.XLOOKUP(B86,Disk_Pivot!G:G,Disk_Pivot!N:N)</f>
        <v/>
      </c>
    </row>
    <row r="87" spans="1:32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INDEX(Input!$D$2:$AD$500,
       MATCH(B87, Input!$J$2:$J$500, 0),
       MATCH("Disk Capacity", Input!$D$1:$AD$1, 0))</f>
        <v>#N/A</v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C87">IFERROR(IF(_xlfn.XLOOKUP(B87,Input!J:J,Input!N:V)=0,"",
          _xlfn.XLOOKUP(B87,Input!J:J,Input!N:V)),"")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s="13" t="str">
        <v/>
      </c>
      <c r="AD87" t="str">
        <f t="shared" si="5"/>
        <v/>
      </c>
      <c r="AE87" t="str">
        <f>_xlfn.XLOOKUP(B:B,Disk_Pivot!G:G,Disk_Pivot!I:I)</f>
        <v>No</v>
      </c>
      <c r="AF87" t="str">
        <f>_xlfn.XLOOKUP(B87,Disk_Pivot!G:G,Disk_Pivot!N:N)</f>
        <v/>
      </c>
    </row>
    <row r="88" spans="1:32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INDEX(Input!$D$2:$AD$500,
       MATCH(B88, Input!$J$2:$J$500, 0),
       MATCH("Disk Capacity", Input!$D$1:$AD$1, 0))</f>
        <v>#N/A</v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C88">IFERROR(IF(_xlfn.XLOOKUP(B88,Input!J:J,Input!N:V)=0,"",
          _xlfn.XLOOKUP(B88,Input!J:J,Input!N:V)),"")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s="13" t="str">
        <v/>
      </c>
      <c r="AD88" t="str">
        <f t="shared" si="5"/>
        <v/>
      </c>
      <c r="AE88" t="str">
        <f>_xlfn.XLOOKUP(B:B,Disk_Pivot!G:G,Disk_Pivot!I:I)</f>
        <v>No</v>
      </c>
      <c r="AF88" t="str">
        <f>_xlfn.XLOOKUP(B88,Disk_Pivot!G:G,Disk_Pivot!N:N)</f>
        <v/>
      </c>
    </row>
    <row r="89" spans="1:32">
      <c r="A89" t="str">
        <f>_xlfn.TEXTJOIN("",TRUE,_xlfn.XLOOKUP(B89,Input!J:J,Input!G:G,"",0,1),_xlfn.XLOOKUP(B89,Input!J:J,Input!H:H,"",0,1))</f>
        <v/>
      </c>
      <c r="F89">
        <f>_xlfn.XLOOKUP(H89,Models!B:B,Models!F:F,"")</f>
        <v>0</v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Q89" t="e">
        <f>INDEX(Input!$D$2:$AD$500,
       MATCH(B89, Input!$J$2:$J$500, 0),
       MATCH("Disk Capacity", Input!$D$1:$AD$1, 0))</f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C89">IFERROR(IF(_xlfn.XLOOKUP(B89,Input!J:J,Input!N:V)=0,"",
          _xlfn.XLOOKUP(B89,Input!J:J,Input!N:V)),"")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s="13" t="str">
        <v/>
      </c>
      <c r="AD89" t="str">
        <f t="shared" si="5"/>
        <v/>
      </c>
      <c r="AE89" t="str">
        <f>_xlfn.XLOOKUP(B:B,Disk_Pivot!G:G,Disk_Pivot!I:I)</f>
        <v>No</v>
      </c>
      <c r="AF89" t="str">
        <f>_xlfn.XLOOKUP(B89,Disk_Pivot!G:G,Disk_Pivot!N:N)</f>
        <v/>
      </c>
    </row>
    <row r="90" spans="1:32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Q90" t="e">
        <f>INDEX(Input!$D$2:$AD$500,
       MATCH(B90, Input!$J$2:$J$500, 0),
       MATCH("Disk Capacity", Input!$D$1:$AD$1, 0))</f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C90">IFERROR(IF(_xlfn.XLOOKUP(B90,Input!J:J,Input!N:V)=0,"",
          _xlfn.XLOOKUP(B90,Input!J:J,Input!N:V)),"")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s="13" t="str">
        <v/>
      </c>
      <c r="AD90" t="str">
        <f t="shared" si="5"/>
        <v/>
      </c>
      <c r="AE90" t="str">
        <f>_xlfn.XLOOKUP(B:B,Disk_Pivot!G:G,Disk_Pivot!I:I)</f>
        <v>No</v>
      </c>
      <c r="AF90" t="str">
        <f>_xlfn.XLOOKUP(B90,Disk_Pivot!G:G,Disk_Pivot!N:N)</f>
        <v/>
      </c>
    </row>
    <row r="91" spans="1:32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Q91" t="e">
        <f>INDEX(Input!$D$2:$AD$500,
       MATCH(B91, Input!$J$2:$J$500, 0),
       MATCH("Disk Capacity", Input!$D$1:$AD$1, 0))</f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C91">IFERROR(IF(_xlfn.XLOOKUP(B91,Input!J:J,Input!N:V)=0,"",
          _xlfn.XLOOKUP(B91,Input!J:J,Input!N:V)),"")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s="13" t="str">
        <v/>
      </c>
      <c r="AD91" t="str">
        <f t="shared" si="5"/>
        <v/>
      </c>
      <c r="AE91" t="str">
        <f>_xlfn.XLOOKUP(B:B,Disk_Pivot!G:G,Disk_Pivot!I:I)</f>
        <v>No</v>
      </c>
      <c r="AF91" t="str">
        <f>_xlfn.XLOOKUP(B91,Disk_Pivot!G:G,Disk_Pivot!N:N)</f>
        <v/>
      </c>
    </row>
    <row r="92" spans="1:32">
      <c r="F92">
        <f>_xlfn.XLOOKUP(H92,Models!B:B,Models!F:F,"")</f>
        <v>0</v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Q92" t="e">
        <f>INDEX(Input!$D$2:$AD$500,
       MATCH(B92, Input!$J$2:$J$500, 0),
       MATCH("Disk Capacity", Input!$D$1:$AD$1, 0))</f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C92">IFERROR(IF(_xlfn.XLOOKUP(B92,Input!J:J,Input!N:V)=0,"",
          _xlfn.XLOOKUP(B92,Input!J:J,Input!N:V)),"")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s="13" t="str">
        <v/>
      </c>
      <c r="AD92" t="str">
        <f t="shared" si="5"/>
        <v/>
      </c>
      <c r="AE92" t="str">
        <f>_xlfn.XLOOKUP(B:B,Disk_Pivot!G:G,Disk_Pivot!I:I)</f>
        <v>No</v>
      </c>
      <c r="AF92" t="str">
        <f>_xlfn.XLOOKUP(B92,Disk_Pivot!G:G,Disk_Pivot!N:N)</f>
        <v/>
      </c>
    </row>
    <row r="93" spans="1:32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Q93" t="e">
        <f>INDEX(Input!$D$2:$AD$500,
       MATCH(B93, Input!$J$2:$J$500, 0),
       MATCH("Disk Capacity", Input!$D$1:$AD$1, 0))</f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C93">IFERROR(IF(_xlfn.XLOOKUP(B93,Input!J:J,Input!N:V)=0,"",
          _xlfn.XLOOKUP(B93,Input!J:J,Input!N:V)),"")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s="13" t="str">
        <v/>
      </c>
      <c r="AD93" t="str">
        <f t="shared" si="5"/>
        <v/>
      </c>
      <c r="AE93" t="str">
        <f>_xlfn.XLOOKUP(B:B,Disk_Pivot!G:G,Disk_Pivot!I:I)</f>
        <v>No</v>
      </c>
      <c r="AF93" t="str">
        <f>_xlfn.XLOOKUP(B93,Disk_Pivot!G:G,Disk_Pivot!N:N)</f>
        <v/>
      </c>
    </row>
    <row r="94" spans="1:32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Q94" t="e">
        <f>INDEX(Input!$D$2:$AD$500,
       MATCH(B94, Input!$J$2:$J$500, 0),
       MATCH("Disk Capacity", Input!$D$1:$AD$1, 0))</f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C94">IFERROR(IF(_xlfn.XLOOKUP(B94,Input!J:J,Input!N:V)=0,"",
          _xlfn.XLOOKUP(B94,Input!J:J,Input!N:V)),"")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s="13" t="str">
        <v/>
      </c>
      <c r="AD94" t="str">
        <f t="shared" si="5"/>
        <v/>
      </c>
      <c r="AE94" t="str">
        <f>_xlfn.XLOOKUP(B:B,Disk_Pivot!G:G,Disk_Pivot!I:I)</f>
        <v>No</v>
      </c>
      <c r="AF94" t="str">
        <f>_xlfn.XLOOKUP(B94,Disk_Pivot!G:G,Disk_Pivot!N:N)</f>
        <v/>
      </c>
    </row>
    <row r="95" spans="1:32">
      <c r="F95">
        <f>_xlfn.XLOOKUP(H95,Models!B:B,Models!F:F,"")</f>
        <v>0</v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Q95" t="e">
        <f>INDEX(Input!$D$2:$AD$500,
       MATCH(B95, Input!$J$2:$J$500, 0),
       MATCH("Disk Capacity", Input!$D$1:$AD$1, 0))</f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C95">IFERROR(IF(_xlfn.XLOOKUP(B95,Input!J:J,Input!N:V)=0,"",
          _xlfn.XLOOKUP(B95,Input!J:J,Input!N:V)),"")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s="13" t="str">
        <v/>
      </c>
      <c r="AD95" t="str">
        <f t="shared" si="5"/>
        <v/>
      </c>
      <c r="AE95" t="str">
        <f>_xlfn.XLOOKUP(B:B,Disk_Pivot!G:G,Disk_Pivot!I:I)</f>
        <v>No</v>
      </c>
      <c r="AF95" t="str">
        <f>_xlfn.XLOOKUP(B95,Disk_Pivot!G:G,Disk_Pivot!N:N)</f>
        <v/>
      </c>
    </row>
    <row r="96" spans="1:32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Q96" t="e">
        <f>INDEX(Input!$D$2:$AD$500,
       MATCH(B96, Input!$J$2:$J$500, 0),
       MATCH("Disk Capacity", Input!$D$1:$AD$1, 0))</f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C96">IFERROR(IF(_xlfn.XLOOKUP(B96,Input!J:J,Input!N:V)=0,"",
          _xlfn.XLOOKUP(B96,Input!J:J,Input!N:V)),"")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s="13" t="str">
        <v/>
      </c>
      <c r="AD96" t="str">
        <f t="shared" si="5"/>
        <v/>
      </c>
      <c r="AE96" t="str">
        <f>_xlfn.XLOOKUP(B:B,Disk_Pivot!G:G,Disk_Pivot!I:I)</f>
        <v>No</v>
      </c>
      <c r="AF96" t="str">
        <f>_xlfn.XLOOKUP(B96,Disk_Pivot!G:G,Disk_Pivot!N:N)</f>
        <v/>
      </c>
    </row>
    <row r="97" spans="6:32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Q97" t="e">
        <f>INDEX(Input!$D$2:$AD$500,
       MATCH(B97, Input!$J$2:$J$500, 0),
       MATCH("Disk Capacity", Input!$D$1:$AD$1, 0))</f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C97">IFERROR(IF(_xlfn.XLOOKUP(B97,Input!J:J,Input!N:V)=0,"",
          _xlfn.XLOOKUP(B97,Input!J:J,Input!N:V)),"")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s="13" t="str">
        <v/>
      </c>
      <c r="AD97" t="str">
        <f t="shared" si="5"/>
        <v/>
      </c>
      <c r="AE97" t="str">
        <f>_xlfn.XLOOKUP(B:B,Disk_Pivot!G:G,Disk_Pivot!I:I)</f>
        <v>No</v>
      </c>
      <c r="AF97" t="str">
        <f>_xlfn.XLOOKUP(B97,Disk_Pivot!G:G,Disk_Pivot!N:N)</f>
        <v/>
      </c>
    </row>
    <row r="98" spans="6:32">
      <c r="F98">
        <f>_xlfn.XLOOKUP(H98,Models!B:B,Models!F:F,"")</f>
        <v>0</v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Q98" t="e">
        <f>INDEX(Input!$D$2:$AD$500,
       MATCH(B98, Input!$J$2:$J$500, 0),
       MATCH("Disk Capacity", Input!$D$1:$AD$1, 0))</f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C98">IFERROR(IF(_xlfn.XLOOKUP(B98,Input!J:J,Input!N:V)=0,"",
          _xlfn.XLOOKUP(B98,Input!J:J,Input!N:V)),"")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s="13" t="str">
        <v/>
      </c>
      <c r="AD98" t="str">
        <f t="shared" si="5"/>
        <v/>
      </c>
      <c r="AE98" t="str">
        <f>_xlfn.XLOOKUP(B:B,Disk_Pivot!G:G,Disk_Pivot!I:I)</f>
        <v>No</v>
      </c>
      <c r="AF98" t="str">
        <f>_xlfn.XLOOKUP(B98,Disk_Pivot!G:G,Disk_Pivot!N:N)</f>
        <v/>
      </c>
    </row>
    <row r="99" spans="6:32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Q99" t="e">
        <f>INDEX(Input!$D$2:$AD$500,
       MATCH(B99, Input!$J$2:$J$500, 0),
       MATCH("Disk Capacity", Input!$D$1:$AD$1, 0))</f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C99">IFERROR(IF(_xlfn.XLOOKUP(B99,Input!J:J,Input!N:V)=0,"",
          _xlfn.XLOOKUP(B99,Input!J:J,Input!N:V)),"")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s="13" t="str">
        <v/>
      </c>
      <c r="AD99" t="str">
        <f t="shared" si="5"/>
        <v/>
      </c>
      <c r="AE99" t="str">
        <f>_xlfn.XLOOKUP(B:B,Disk_Pivot!G:G,Disk_Pivot!I:I)</f>
        <v>No</v>
      </c>
      <c r="AF99" t="str">
        <f>_xlfn.XLOOKUP(B99,Disk_Pivot!G:G,Disk_Pivot!N:N)</f>
        <v/>
      </c>
    </row>
    <row r="100" spans="6:32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Q100" t="e">
        <f>INDEX(Input!$D$2:$AD$500,
       MATCH(B100, Input!$J$2:$J$500, 0),
       MATCH("Disk Capacity", Input!$D$1:$AD$1, 0))</f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C100">IFERROR(IF(_xlfn.XLOOKUP(B100,Input!J:J,Input!N:V)=0,"",
          _xlfn.XLOOKUP(B100,Input!J:J,Input!N:V)),"")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s="13" t="str">
        <v/>
      </c>
      <c r="AD100" t="str">
        <f t="shared" si="5"/>
        <v/>
      </c>
      <c r="AE100" t="str">
        <f>_xlfn.XLOOKUP(B:B,Disk_Pivot!G:G,Disk_Pivot!I:I)</f>
        <v>No</v>
      </c>
      <c r="AF100" t="str">
        <f>_xlfn.XLOOKUP(B100,Disk_Pivot!G:G,Disk_Pivot!N:N)</f>
        <v/>
      </c>
    </row>
    <row r="101" spans="6:32">
      <c r="F101">
        <f>_xlfn.XLOOKUP(H101,Models!B:B,Models!F:F,"")</f>
        <v>0</v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Q101" t="e">
        <f>INDEX(Input!$D$2:$AD$500,
       MATCH(B101, Input!$J$2:$J$500, 0),
       MATCH("Disk Capacity", Input!$D$1:$AD$1, 0))</f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C101">IFERROR(IF(_xlfn.XLOOKUP(B101,Input!J:J,Input!N:V)=0,"",
          _xlfn.XLOOKUP(B101,Input!J:J,Input!N:V)),"")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s="13" t="str">
        <v/>
      </c>
      <c r="AD101" t="str">
        <f t="shared" si="5"/>
        <v/>
      </c>
      <c r="AE101" t="str">
        <f>_xlfn.XLOOKUP(B:B,Disk_Pivot!G:G,Disk_Pivot!I:I)</f>
        <v>No</v>
      </c>
      <c r="AF101" t="str">
        <f>_xlfn.XLOOKUP(B101,Disk_Pivot!G:G,Disk_Pivot!N:N)</f>
        <v/>
      </c>
    </row>
    <row r="102" spans="6:32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Q102" t="e">
        <f>INDEX(Input!$D$2:$AD$500,
       MATCH(B102, Input!$J$2:$J$500, 0),
       MATCH("Disk Capacity", Input!$D$1:$AD$1, 0))</f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C102">IFERROR(IF(_xlfn.XLOOKUP(B102,Input!J:J,Input!N:V)=0,"",
          _xlfn.XLOOKUP(B102,Input!J:J,Input!N:V)),"")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s="13" t="str">
        <v/>
      </c>
      <c r="AD102" t="str">
        <f t="shared" si="5"/>
        <v/>
      </c>
      <c r="AE102" t="str">
        <f>_xlfn.XLOOKUP(B:B,Disk_Pivot!G:G,Disk_Pivot!I:I)</f>
        <v>No</v>
      </c>
      <c r="AF102" t="str">
        <f>_xlfn.XLOOKUP(B102,Disk_Pivot!G:G,Disk_Pivot!N:N)</f>
        <v/>
      </c>
    </row>
    <row r="103" spans="6:32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Q103" t="e">
        <f>INDEX(Input!$D$2:$AD$500,
       MATCH(B103, Input!$J$2:$J$500, 0),
       MATCH("Disk Capacity", Input!$D$1:$AD$1, 0))</f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C103">IFERROR(IF(_xlfn.XLOOKUP(B103,Input!J:J,Input!N:V)=0,"",
          _xlfn.XLOOKUP(B103,Input!J:J,Input!N:V)),"")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s="13" t="str">
        <v/>
      </c>
      <c r="AD103" t="str">
        <f t="shared" si="5"/>
        <v/>
      </c>
      <c r="AE103" t="str">
        <f>_xlfn.XLOOKUP(B:B,Disk_Pivot!G:G,Disk_Pivot!I:I)</f>
        <v>No</v>
      </c>
      <c r="AF103" t="str">
        <f>_xlfn.XLOOKUP(B103,Disk_Pivot!G:G,Disk_Pivot!N:N)</f>
        <v/>
      </c>
    </row>
    <row r="104" spans="6:32">
      <c r="F104">
        <f>_xlfn.XLOOKUP(H104,Models!B:B,Models!F:F,"")</f>
        <v>0</v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Q104" t="e">
        <f>INDEX(Input!$D$2:$AD$500,
       MATCH(B104, Input!$J$2:$J$500, 0),
       MATCH("Disk Capacity", Input!$D$1:$AD$1, 0))</f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C104">IFERROR(IF(_xlfn.XLOOKUP(B104,Input!J:J,Input!N:V)=0,"",
          _xlfn.XLOOKUP(B104,Input!J:J,Input!N:V)),"")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s="13" t="str">
        <v/>
      </c>
      <c r="AD104" t="str">
        <f t="shared" si="5"/>
        <v/>
      </c>
      <c r="AE104" t="str">
        <f>_xlfn.XLOOKUP(B:B,Disk_Pivot!G:G,Disk_Pivot!I:I)</f>
        <v>No</v>
      </c>
      <c r="AF104" t="str">
        <f>_xlfn.XLOOKUP(B104,Disk_Pivot!G:G,Disk_Pivot!N:N)</f>
        <v/>
      </c>
    </row>
    <row r="105" spans="6:32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Q105" t="e">
        <f>INDEX(Input!$D$2:$AD$500,
       MATCH(B105, Input!$J$2:$J$500, 0),
       MATCH("Disk Capacity", Input!$D$1:$AD$1, 0))</f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C105">IFERROR(IF(_xlfn.XLOOKUP(B105,Input!J:J,Input!N:V)=0,"",
          _xlfn.XLOOKUP(B105,Input!J:J,Input!N:V)),"")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s="13" t="str">
        <v/>
      </c>
      <c r="AD105" t="str">
        <f t="shared" si="5"/>
        <v/>
      </c>
      <c r="AE105" t="str">
        <f>_xlfn.XLOOKUP(B:B,Disk_Pivot!G:G,Disk_Pivot!I:I)</f>
        <v>No</v>
      </c>
      <c r="AF105" t="str">
        <f>_xlfn.XLOOKUP(B105,Disk_Pivot!G:G,Disk_Pivot!N:N)</f>
        <v/>
      </c>
    </row>
    <row r="106" spans="6:32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Q106" t="e">
        <f>INDEX(Input!$D$2:$AD$500,
       MATCH(B106, Input!$J$2:$J$500, 0),
       MATCH("Disk Capacity", Input!$D$1:$AD$1, 0))</f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C106">IFERROR(IF(_xlfn.XLOOKUP(B106,Input!J:J,Input!N:V)=0,"",
          _xlfn.XLOOKUP(B106,Input!J:J,Input!N:V)),"")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s="13" t="str">
        <v/>
      </c>
      <c r="AD106" t="str">
        <f t="shared" si="5"/>
        <v/>
      </c>
      <c r="AE106" t="str">
        <f>_xlfn.XLOOKUP(B:B,Disk_Pivot!G:G,Disk_Pivot!I:I)</f>
        <v>No</v>
      </c>
      <c r="AF106" t="str">
        <f>_xlfn.XLOOKUP(B106,Disk_Pivot!G:G,Disk_Pivot!N:N)</f>
        <v/>
      </c>
    </row>
    <row r="107" spans="6:32">
      <c r="F107">
        <f>_xlfn.XLOOKUP(H107,Models!B:B,Models!F:F,"")</f>
        <v>0</v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Q107" t="e">
        <f>INDEX(Input!$D$2:$AD$500,
       MATCH(B107, Input!$J$2:$J$500, 0),
       MATCH("Disk Capacity", Input!$D$1:$AD$1, 0))</f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C107">IFERROR(IF(_xlfn.XLOOKUP(B107,Input!J:J,Input!N:V)=0,"",
          _xlfn.XLOOKUP(B107,Input!J:J,Input!N:V)),"")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s="13" t="str">
        <v/>
      </c>
      <c r="AD107" t="str">
        <f t="shared" si="5"/>
        <v/>
      </c>
      <c r="AE107" t="str">
        <f>_xlfn.XLOOKUP(B:B,Disk_Pivot!G:G,Disk_Pivot!I:I)</f>
        <v>No</v>
      </c>
      <c r="AF107" t="str">
        <f>_xlfn.XLOOKUP(B107,Disk_Pivot!G:G,Disk_Pivot!N:N)</f>
        <v/>
      </c>
    </row>
    <row r="108" spans="6:32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Q108" t="e">
        <f>INDEX(Input!$D$2:$AD$500,
       MATCH(B108, Input!$J$2:$J$500, 0),
       MATCH("Disk Capacity", Input!$D$1:$AD$1, 0))</f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C108">IFERROR(IF(_xlfn.XLOOKUP(B108,Input!J:J,Input!N:V)=0,"",
          _xlfn.XLOOKUP(B108,Input!J:J,Input!N:V)),"")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s="13" t="str">
        <v/>
      </c>
      <c r="AD108" t="str">
        <f t="shared" si="5"/>
        <v/>
      </c>
      <c r="AE108" t="str">
        <f>_xlfn.XLOOKUP(B:B,Disk_Pivot!G:G,Disk_Pivot!I:I)</f>
        <v>No</v>
      </c>
      <c r="AF108" t="str">
        <f>_xlfn.XLOOKUP(B108,Disk_Pivot!G:G,Disk_Pivot!N:N)</f>
        <v/>
      </c>
    </row>
    <row r="109" spans="6:32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Q109" t="e">
        <f>INDEX(Input!$D$2:$AD$500,
       MATCH(B109, Input!$J$2:$J$500, 0),
       MATCH("Disk Capacity", Input!$D$1:$AD$1, 0))</f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C109">IFERROR(IF(_xlfn.XLOOKUP(B109,Input!J:J,Input!N:V)=0,"",
          _xlfn.XLOOKUP(B109,Input!J:J,Input!N:V)),"")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s="13" t="str">
        <v/>
      </c>
      <c r="AD109" t="str">
        <f t="shared" si="5"/>
        <v/>
      </c>
      <c r="AE109" t="str">
        <f>_xlfn.XLOOKUP(B:B,Disk_Pivot!G:G,Disk_Pivot!I:I)</f>
        <v>No</v>
      </c>
      <c r="AF109" t="str">
        <f>_xlfn.XLOOKUP(B109,Disk_Pivot!G:G,Disk_Pivot!N:N)</f>
        <v/>
      </c>
    </row>
    <row r="110" spans="6:32">
      <c r="F110">
        <f>_xlfn.XLOOKUP(H110,Models!B:B,Models!F:F,"")</f>
        <v>0</v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Q110" t="e">
        <f>INDEX(Input!$D$2:$AD$500,
       MATCH(B110, Input!$J$2:$J$500, 0),
       MATCH("Disk Capacity", Input!$D$1:$AD$1, 0))</f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C110">IFERROR(IF(_xlfn.XLOOKUP(B110,Input!J:J,Input!N:V)=0,"",
          _xlfn.XLOOKUP(B110,Input!J:J,Input!N:V)),"")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s="13" t="str">
        <v/>
      </c>
      <c r="AD110" t="str">
        <f t="shared" si="5"/>
        <v/>
      </c>
      <c r="AE110" t="str">
        <f>_xlfn.XLOOKUP(B:B,Disk_Pivot!G:G,Disk_Pivot!I:I)</f>
        <v>No</v>
      </c>
      <c r="AF110" t="str">
        <f>_xlfn.XLOOKUP(B110,Disk_Pivot!G:G,Disk_Pivot!N:N)</f>
        <v/>
      </c>
    </row>
    <row r="111" spans="6:32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Q111" t="e">
        <f>INDEX(Input!$D$2:$AD$500,
       MATCH(B111, Input!$J$2:$J$500, 0),
       MATCH("Disk Capacity", Input!$D$1:$AD$1, 0))</f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C111">IFERROR(IF(_xlfn.XLOOKUP(B111,Input!J:J,Input!N:V)=0,"",
          _xlfn.XLOOKUP(B111,Input!J:J,Input!N:V)),"")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s="13" t="str">
        <v/>
      </c>
      <c r="AD111" t="str">
        <f t="shared" si="5"/>
        <v/>
      </c>
      <c r="AE111" t="str">
        <f>_xlfn.XLOOKUP(B:B,Disk_Pivot!G:G,Disk_Pivot!I:I)</f>
        <v>No</v>
      </c>
      <c r="AF111" t="str">
        <f>_xlfn.XLOOKUP(B111,Disk_Pivot!G:G,Disk_Pivot!N:N)</f>
        <v/>
      </c>
    </row>
    <row r="112" spans="6:32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Q112" t="e">
        <f>INDEX(Input!$D$2:$AD$500,
       MATCH(B112, Input!$J$2:$J$500, 0),
       MATCH("Disk Capacity", Input!$D$1:$AD$1, 0))</f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C112">IFERROR(IF(_xlfn.XLOOKUP(B112,Input!J:J,Input!N:V)=0,"",
          _xlfn.XLOOKUP(B112,Input!J:J,Input!N:V)),"")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s="13" t="str">
        <v/>
      </c>
      <c r="AD112" t="str">
        <f t="shared" si="5"/>
        <v/>
      </c>
      <c r="AE112" t="str">
        <f>_xlfn.XLOOKUP(B:B,Disk_Pivot!G:G,Disk_Pivot!I:I)</f>
        <v>No</v>
      </c>
      <c r="AF112" t="str">
        <f>_xlfn.XLOOKUP(B112,Disk_Pivot!G:G,Disk_Pivot!N:N)</f>
        <v/>
      </c>
    </row>
    <row r="113" spans="6:32">
      <c r="F113">
        <f>_xlfn.XLOOKUP(H113,Models!B:B,Models!F:F,"")</f>
        <v>0</v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Q113" t="e">
        <f>INDEX(Input!$D$2:$AD$500,
       MATCH(B113, Input!$J$2:$J$500, 0),
       MATCH("Disk Capacity", Input!$D$1:$AD$1, 0))</f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C113">IFERROR(IF(_xlfn.XLOOKUP(B113,Input!J:J,Input!N:V)=0,"",
          _xlfn.XLOOKUP(B113,Input!J:J,Input!N:V)),"")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s="13" t="str">
        <v/>
      </c>
      <c r="AD113" t="str">
        <f t="shared" si="5"/>
        <v/>
      </c>
      <c r="AE113" t="str">
        <f>_xlfn.XLOOKUP(B:B,Disk_Pivot!G:G,Disk_Pivot!I:I)</f>
        <v>No</v>
      </c>
      <c r="AF113" t="str">
        <f>_xlfn.XLOOKUP(B113,Disk_Pivot!G:G,Disk_Pivot!N:N)</f>
        <v/>
      </c>
    </row>
    <row r="114" spans="6:32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Q114" t="e">
        <f>INDEX(Input!$D$2:$AD$500,
       MATCH(B114, Input!$J$2:$J$500, 0),
       MATCH("Disk Capacity", Input!$D$1:$AD$1, 0))</f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C114">IFERROR(IF(_xlfn.XLOOKUP(B114,Input!J:J,Input!N:V)=0,"",
          _xlfn.XLOOKUP(B114,Input!J:J,Input!N:V)),"")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s="13" t="str">
        <v/>
      </c>
      <c r="AD114" t="str">
        <f t="shared" si="5"/>
        <v/>
      </c>
      <c r="AE114" t="str">
        <f>_xlfn.XLOOKUP(B:B,Disk_Pivot!G:G,Disk_Pivot!I:I)</f>
        <v>No</v>
      </c>
      <c r="AF114" t="str">
        <f>_xlfn.XLOOKUP(B114,Disk_Pivot!G:G,Disk_Pivot!N:N)</f>
        <v/>
      </c>
    </row>
    <row r="115" spans="6:32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Q115" t="e">
        <f>INDEX(Input!$D$2:$AD$500,
       MATCH(B115, Input!$J$2:$J$500, 0),
       MATCH("Disk Capacity", Input!$D$1:$AD$1, 0))</f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C115">IFERROR(IF(_xlfn.XLOOKUP(B115,Input!J:J,Input!N:V)=0,"",
          _xlfn.XLOOKUP(B115,Input!J:J,Input!N:V)),"")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s="13" t="str">
        <v/>
      </c>
      <c r="AD115" t="str">
        <f t="shared" si="5"/>
        <v/>
      </c>
      <c r="AE115" t="str">
        <f>_xlfn.XLOOKUP(B:B,Disk_Pivot!G:G,Disk_Pivot!I:I)</f>
        <v>No</v>
      </c>
      <c r="AF115" t="str">
        <f>_xlfn.XLOOKUP(B115,Disk_Pivot!G:G,Disk_Pivot!N:N)</f>
        <v/>
      </c>
    </row>
    <row r="116" spans="6:32">
      <c r="F116">
        <f>_xlfn.XLOOKUP(H116,Models!B:B,Models!F:F,"")</f>
        <v>0</v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Q116" t="e">
        <f>INDEX(Input!$D$2:$AD$500,
       MATCH(B116, Input!$J$2:$J$500, 0),
       MATCH("Disk Capacity", Input!$D$1:$AD$1, 0))</f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C116">IFERROR(IF(_xlfn.XLOOKUP(B116,Input!J:J,Input!N:V)=0,"",
          _xlfn.XLOOKUP(B116,Input!J:J,Input!N:V)),"")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s="13" t="str">
        <v/>
      </c>
      <c r="AD116" t="str">
        <f t="shared" si="5"/>
        <v/>
      </c>
      <c r="AE116" t="str">
        <f>_xlfn.XLOOKUP(B:B,Disk_Pivot!G:G,Disk_Pivot!I:I)</f>
        <v>No</v>
      </c>
      <c r="AF116" t="str">
        <f>_xlfn.XLOOKUP(B116,Disk_Pivot!G:G,Disk_Pivot!N:N)</f>
        <v/>
      </c>
    </row>
    <row r="117" spans="6:32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Q117" t="e">
        <f>INDEX(Input!$D$2:$AD$500,
       MATCH(B117, Input!$J$2:$J$500, 0),
       MATCH("Disk Capacity", Input!$D$1:$AD$1, 0))</f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C117">IFERROR(IF(_xlfn.XLOOKUP(B117,Input!J:J,Input!N:V)=0,"",
          _xlfn.XLOOKUP(B117,Input!J:J,Input!N:V)),"")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s="13" t="str">
        <v/>
      </c>
      <c r="AD117" t="str">
        <f t="shared" si="5"/>
        <v/>
      </c>
      <c r="AE117" t="str">
        <f>_xlfn.XLOOKUP(B:B,Disk_Pivot!G:G,Disk_Pivot!I:I)</f>
        <v>No</v>
      </c>
      <c r="AF117" t="str">
        <f>_xlfn.XLOOKUP(B117,Disk_Pivot!G:G,Disk_Pivot!N:N)</f>
        <v/>
      </c>
    </row>
    <row r="118" spans="6:32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Q118" t="e">
        <f>INDEX(Input!$D$2:$AD$500,
       MATCH(B118, Input!$J$2:$J$500, 0),
       MATCH("Disk Capacity", Input!$D$1:$AD$1, 0))</f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C118">IFERROR(IF(_xlfn.XLOOKUP(B118,Input!J:J,Input!N:V)=0,"",
          _xlfn.XLOOKUP(B118,Input!J:J,Input!N:V)),"")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s="13" t="str">
        <v/>
      </c>
      <c r="AD118" t="str">
        <f t="shared" si="5"/>
        <v/>
      </c>
      <c r="AE118" t="str">
        <f>_xlfn.XLOOKUP(B:B,Disk_Pivot!G:G,Disk_Pivot!I:I)</f>
        <v>No</v>
      </c>
      <c r="AF118" t="str">
        <f>_xlfn.XLOOKUP(B118,Disk_Pivot!G:G,Disk_Pivot!N:N)</f>
        <v/>
      </c>
    </row>
    <row r="119" spans="6:32">
      <c r="F119">
        <f>_xlfn.XLOOKUP(H119,Models!B:B,Models!F:F,"")</f>
        <v>0</v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Q119" t="e">
        <f>INDEX(Input!$D$2:$AD$500,
       MATCH(B119, Input!$J$2:$J$500, 0),
       MATCH("Disk Capacity", Input!$D$1:$AD$1, 0))</f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C119">IFERROR(IF(_xlfn.XLOOKUP(B119,Input!J:J,Input!N:V)=0,"",
          _xlfn.XLOOKUP(B119,Input!J:J,Input!N:V)),"")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s="13" t="str">
        <v/>
      </c>
      <c r="AD119" t="str">
        <f t="shared" si="5"/>
        <v/>
      </c>
      <c r="AE119" t="str">
        <f>_xlfn.XLOOKUP(B:B,Disk_Pivot!G:G,Disk_Pivot!I:I)</f>
        <v>No</v>
      </c>
      <c r="AF119" t="str">
        <f>_xlfn.XLOOKUP(B119,Disk_Pivot!G:G,Disk_Pivot!N:N)</f>
        <v/>
      </c>
    </row>
    <row r="120" spans="6:32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Q120" t="e">
        <f>INDEX(Input!$D$2:$AD$500,
       MATCH(B120, Input!$J$2:$J$500, 0),
       MATCH("Disk Capacity", Input!$D$1:$AD$1, 0))</f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C120">IFERROR(IF(_xlfn.XLOOKUP(B120,Input!J:J,Input!N:V)=0,"",
          _xlfn.XLOOKUP(B120,Input!J:J,Input!N:V)),"")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s="13" t="str">
        <v/>
      </c>
      <c r="AD120" t="str">
        <f t="shared" si="5"/>
        <v/>
      </c>
      <c r="AE120" t="str">
        <f>_xlfn.XLOOKUP(B:B,Disk_Pivot!G:G,Disk_Pivot!I:I)</f>
        <v>No</v>
      </c>
      <c r="AF120" t="str">
        <f>_xlfn.XLOOKUP(B120,Disk_Pivot!G:G,Disk_Pivot!N:N)</f>
        <v/>
      </c>
    </row>
    <row r="121" spans="6:32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Q121" t="e">
        <f>INDEX(Input!$D$2:$AD$500,
       MATCH(B121, Input!$J$2:$J$500, 0),
       MATCH("Disk Capacity", Input!$D$1:$AD$1, 0))</f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C121">IFERROR(IF(_xlfn.XLOOKUP(B121,Input!J:J,Input!N:V)=0,"",
          _xlfn.XLOOKUP(B121,Input!J:J,Input!N:V)),"")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s="13" t="str">
        <v/>
      </c>
      <c r="AD121" t="str">
        <f t="shared" si="5"/>
        <v/>
      </c>
      <c r="AE121" t="str">
        <f>_xlfn.XLOOKUP(B:B,Disk_Pivot!G:G,Disk_Pivot!I:I)</f>
        <v>No</v>
      </c>
      <c r="AF121" t="str">
        <f>_xlfn.XLOOKUP(B121,Disk_Pivot!G:G,Disk_Pivot!N:N)</f>
        <v/>
      </c>
    </row>
    <row r="122" spans="6:32">
      <c r="F122">
        <f>_xlfn.XLOOKUP(H122,Models!B:B,Models!F:F,"")</f>
        <v>0</v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Q122" t="e">
        <f>INDEX(Input!$D$2:$AD$500,
       MATCH(B122, Input!$J$2:$J$500, 0),
       MATCH("Disk Capacity", Input!$D$1:$AD$1, 0))</f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C122">IFERROR(IF(_xlfn.XLOOKUP(B122,Input!J:J,Input!N:V)=0,"",
          _xlfn.XLOOKUP(B122,Input!J:J,Input!N:V)),"")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s="13" t="str">
        <v/>
      </c>
      <c r="AD122" t="str">
        <f t="shared" si="5"/>
        <v/>
      </c>
      <c r="AE122" t="str">
        <f>_xlfn.XLOOKUP(B:B,Disk_Pivot!G:G,Disk_Pivot!I:I)</f>
        <v>No</v>
      </c>
      <c r="AF122" t="str">
        <f>_xlfn.XLOOKUP(B122,Disk_Pivot!G:G,Disk_Pivot!N:N)</f>
        <v/>
      </c>
    </row>
    <row r="123" spans="6:32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Q123" t="e">
        <f>INDEX(Input!$D$2:$AD$500,
       MATCH(B123, Input!$J$2:$J$500, 0),
       MATCH("Disk Capacity", Input!$D$1:$AD$1, 0))</f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C123">IFERROR(IF(_xlfn.XLOOKUP(B123,Input!J:J,Input!N:V)=0,"",
          _xlfn.XLOOKUP(B123,Input!J:J,Input!N:V)),"")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s="13" t="str">
        <v/>
      </c>
      <c r="AD123" t="str">
        <f t="shared" si="5"/>
        <v/>
      </c>
      <c r="AE123" t="str">
        <f>_xlfn.XLOOKUP(B:B,Disk_Pivot!G:G,Disk_Pivot!I:I)</f>
        <v>No</v>
      </c>
      <c r="AF123" t="str">
        <f>_xlfn.XLOOKUP(B123,Disk_Pivot!G:G,Disk_Pivot!N:N)</f>
        <v/>
      </c>
    </row>
    <row r="124" spans="6:32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Q124" t="e">
        <f>INDEX(Input!$D$2:$AD$500,
       MATCH(B124, Input!$J$2:$J$500, 0),
       MATCH("Disk Capacity", Input!$D$1:$AD$1, 0))</f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C124">IFERROR(IF(_xlfn.XLOOKUP(B124,Input!J:J,Input!N:V)=0,"",
          _xlfn.XLOOKUP(B124,Input!J:J,Input!N:V)),"")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s="13" t="str">
        <v/>
      </c>
      <c r="AD124" t="str">
        <f t="shared" si="5"/>
        <v/>
      </c>
      <c r="AE124" t="str">
        <f>_xlfn.XLOOKUP(B:B,Disk_Pivot!G:G,Disk_Pivot!I:I)</f>
        <v>No</v>
      </c>
      <c r="AF124" t="str">
        <f>_xlfn.XLOOKUP(B124,Disk_Pivot!G:G,Disk_Pivot!N:N)</f>
        <v/>
      </c>
    </row>
    <row r="125" spans="6:32">
      <c r="F125">
        <f>_xlfn.XLOOKUP(H125,Models!B:B,Models!F:F,"")</f>
        <v>0</v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Q125" t="e">
        <f>INDEX(Input!$D$2:$AD$500,
       MATCH(B125, Input!$J$2:$J$500, 0),
       MATCH("Disk Capacity", Input!$D$1:$AD$1, 0))</f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C125">IFERROR(IF(_xlfn.XLOOKUP(B125,Input!J:J,Input!N:V)=0,"",
          _xlfn.XLOOKUP(B125,Input!J:J,Input!N:V)),"")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s="13" t="str">
        <v/>
      </c>
      <c r="AD125" t="str">
        <f t="shared" si="5"/>
        <v/>
      </c>
      <c r="AE125" t="str">
        <f>_xlfn.XLOOKUP(B:B,Disk_Pivot!G:G,Disk_Pivot!I:I)</f>
        <v>No</v>
      </c>
      <c r="AF125" t="str">
        <f>_xlfn.XLOOKUP(B125,Disk_Pivot!G:G,Disk_Pivot!N:N)</f>
        <v/>
      </c>
    </row>
    <row r="126" spans="6:32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Q126" t="e">
        <f>INDEX(Input!$D$2:$AD$500,
       MATCH(B126, Input!$J$2:$J$500, 0),
       MATCH("Disk Capacity", Input!$D$1:$AD$1, 0))</f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C126">IFERROR(IF(_xlfn.XLOOKUP(B126,Input!J:J,Input!N:V)=0,"",
          _xlfn.XLOOKUP(B126,Input!J:J,Input!N:V)),"")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s="13" t="str">
        <v/>
      </c>
      <c r="AD126" t="str">
        <f t="shared" si="5"/>
        <v/>
      </c>
      <c r="AE126" t="str">
        <f>_xlfn.XLOOKUP(B:B,Disk_Pivot!G:G,Disk_Pivot!I:I)</f>
        <v>No</v>
      </c>
      <c r="AF126" t="str">
        <f>_xlfn.XLOOKUP(B126,Disk_Pivot!G:G,Disk_Pivot!N:N)</f>
        <v/>
      </c>
    </row>
    <row r="127" spans="6:32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Q127" t="e">
        <f>INDEX(Input!$D$2:$AD$500,
       MATCH(B127, Input!$J$2:$J$500, 0),
       MATCH("Disk Capacity", Input!$D$1:$AD$1, 0))</f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C127">IFERROR(IF(_xlfn.XLOOKUP(B127,Input!J:J,Input!N:V)=0,"",
          _xlfn.XLOOKUP(B127,Input!J:J,Input!N:V)),"")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s="13" t="str">
        <v/>
      </c>
      <c r="AD127" t="str">
        <f t="shared" si="5"/>
        <v/>
      </c>
      <c r="AE127" t="str">
        <f>_xlfn.XLOOKUP(B:B,Disk_Pivot!G:G,Disk_Pivot!I:I)</f>
        <v>No</v>
      </c>
      <c r="AF127" t="str">
        <f>_xlfn.XLOOKUP(B127,Disk_Pivot!G:G,Disk_Pivot!N:N)</f>
        <v/>
      </c>
    </row>
    <row r="128" spans="6:32">
      <c r="F128">
        <f>_xlfn.XLOOKUP(H128,Models!B:B,Models!F:F,"")</f>
        <v>0</v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Q128" t="e">
        <f>INDEX(Input!$D$2:$AD$500,
       MATCH(B128, Input!$J$2:$J$500, 0),
       MATCH("Disk Capacity", Input!$D$1:$AD$1, 0))</f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C128">IFERROR(IF(_xlfn.XLOOKUP(B128,Input!J:J,Input!N:V)=0,"",
          _xlfn.XLOOKUP(B128,Input!J:J,Input!N:V)),"")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s="13" t="str">
        <v/>
      </c>
      <c r="AD128" t="str">
        <f t="shared" si="5"/>
        <v/>
      </c>
      <c r="AE128" t="str">
        <f>_xlfn.XLOOKUP(B:B,Disk_Pivot!G:G,Disk_Pivot!I:I)</f>
        <v>No</v>
      </c>
      <c r="AF128" t="str">
        <f>_xlfn.XLOOKUP(B128,Disk_Pivot!G:G,Disk_Pivot!N:N)</f>
        <v/>
      </c>
    </row>
    <row r="129" spans="6:32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Q129" t="e">
        <f>INDEX(Input!$D$2:$AD$500,
       MATCH(B129, Input!$J$2:$J$500, 0),
       MATCH("Disk Capacity", Input!$D$1:$AD$1, 0))</f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C129">IFERROR(IF(_xlfn.XLOOKUP(B129,Input!J:J,Input!N:V)=0,"",
          _xlfn.XLOOKUP(B129,Input!J:J,Input!N:V)),"")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s="13" t="str">
        <v/>
      </c>
      <c r="AD129" t="str">
        <f t="shared" si="5"/>
        <v/>
      </c>
      <c r="AE129" t="str">
        <f>_xlfn.XLOOKUP(B:B,Disk_Pivot!G:G,Disk_Pivot!I:I)</f>
        <v>No</v>
      </c>
      <c r="AF129" t="str">
        <f>_xlfn.XLOOKUP(B129,Disk_Pivot!G:G,Disk_Pivot!N:N)</f>
        <v/>
      </c>
    </row>
    <row r="130" spans="6:32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Q130" t="e">
        <f>INDEX(Input!$D$2:$AD$500,
       MATCH(B130, Input!$J$2:$J$500, 0),
       MATCH("Disk Capacity", Input!$D$1:$AD$1, 0))</f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C130">IFERROR(IF(_xlfn.XLOOKUP(B130,Input!J:J,Input!N:V)=0,"",
          _xlfn.XLOOKUP(B130,Input!J:J,Input!N:V)),"")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s="13" t="str">
        <v/>
      </c>
      <c r="AD130" t="str">
        <f t="shared" si="5"/>
        <v/>
      </c>
      <c r="AE130" t="str">
        <f>_xlfn.XLOOKUP(B:B,Disk_Pivot!G:G,Disk_Pivot!I:I)</f>
        <v>No</v>
      </c>
      <c r="AF130" t="str">
        <f>_xlfn.XLOOKUP(B130,Disk_Pivot!G:G,Disk_Pivot!N:N)</f>
        <v/>
      </c>
    </row>
    <row r="131" spans="6:32">
      <c r="F131">
        <f>_xlfn.XLOOKUP(H131,Models!B:B,Models!F:F,"")</f>
        <v>0</v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INDEX(Input!$D$2:$AD$500,
       MATCH(B131, Input!$J$2:$J$500, 0),
       MATCH("Disk Capacity", Input!$D$1:$AD$1, 0))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C131">IFERROR(IF(_xlfn.XLOOKUP(B131,Input!J:J,Input!N:V)=0,"",
          _xlfn.XLOOKUP(B131,Input!J:J,Input!N:V)),"")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s="13" t="str">
        <v/>
      </c>
      <c r="AD131" t="str">
        <f t="shared" ref="AD131:AD194" si="8">_xlfn.TEXTJOIN(", ",TRUE,T131,U131,V131,W131,X131,Y131,Z131)</f>
        <v/>
      </c>
      <c r="AE131" t="str">
        <f>_xlfn.XLOOKUP(B:B,Disk_Pivot!G:G,Disk_Pivot!I:I)</f>
        <v>No</v>
      </c>
      <c r="AF131" t="str">
        <f>_xlfn.XLOOKUP(B131,Disk_Pivot!G:G,Disk_Pivot!N:N)</f>
        <v/>
      </c>
    </row>
    <row r="132" spans="6:32">
      <c r="F132">
        <f>_xlfn.XLOOKUP(H132,Models!B:B,Models!F:F,"")</f>
        <v>0</v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Q132" t="e">
        <f>INDEX(Input!$D$2:$AD$500,
       MATCH(B132, Input!$J$2:$J$500, 0),
       MATCH("Disk Capacity", Input!$D$1:$AD$1, 0))</f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C132">IFERROR(IF(_xlfn.XLOOKUP(B132,Input!J:J,Input!N:V)=0,"",
          _xlfn.XLOOKUP(B132,Input!J:J,Input!N:V)),"")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s="13" t="str">
        <v/>
      </c>
      <c r="AD132" t="str">
        <f t="shared" si="8"/>
        <v/>
      </c>
      <c r="AE132" t="str">
        <f>_xlfn.XLOOKUP(B:B,Disk_Pivot!G:G,Disk_Pivot!I:I)</f>
        <v>No</v>
      </c>
      <c r="AF132" t="str">
        <f>_xlfn.XLOOKUP(B132,Disk_Pivot!G:G,Disk_Pivot!N:N)</f>
        <v/>
      </c>
    </row>
    <row r="133" spans="6:32">
      <c r="F133" t="str">
        <f>_xlfn.XLOOKUP(H133,Models!B:B,Models!F:F,"")</f>
        <v/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Q133" t="e">
        <f>INDEX(Input!$D$2:$AD$500,
       MATCH(B133, Input!$J$2:$J$500, 0),
       MATCH("Disk Capacity", Input!$D$1:$AD$1, 0))</f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C133">IFERROR(IF(_xlfn.XLOOKUP(B133,Input!J:J,Input!N:V)=0,"",
          _xlfn.XLOOKUP(B133,Input!J:J,Input!N:V)),"")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s="13" t="str">
        <v/>
      </c>
      <c r="AD133" t="str">
        <f t="shared" si="8"/>
        <v/>
      </c>
      <c r="AE133" t="str">
        <f>_xlfn.XLOOKUP(B:B,Disk_Pivot!G:G,Disk_Pivot!I:I)</f>
        <v>No</v>
      </c>
      <c r="AF133" t="str">
        <f>_xlfn.XLOOKUP(B133,Disk_Pivot!G:G,Disk_Pivot!N:N)</f>
        <v/>
      </c>
    </row>
    <row r="134" spans="6:32">
      <c r="F134">
        <f>_xlfn.XLOOKUP(H134,Models!B:B,Models!F:F,"")</f>
        <v>0</v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Q134" t="e">
        <f>INDEX(Input!$D$2:$AD$500,
       MATCH(B134, Input!$J$2:$J$500, 0),
       MATCH("Disk Capacity", Input!$D$1:$AD$1, 0))</f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C134">IFERROR(IF(_xlfn.XLOOKUP(B134,Input!J:J,Input!N:V)=0,"",
          _xlfn.XLOOKUP(B134,Input!J:J,Input!N:V)),"")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s="13" t="str">
        <v/>
      </c>
      <c r="AD134" t="str">
        <f t="shared" si="8"/>
        <v/>
      </c>
      <c r="AE134" t="str">
        <f>_xlfn.XLOOKUP(B:B,Disk_Pivot!G:G,Disk_Pivot!I:I)</f>
        <v>No</v>
      </c>
      <c r="AF134" t="str">
        <f>_xlfn.XLOOKUP(B134,Disk_Pivot!G:G,Disk_Pivot!N:N)</f>
        <v/>
      </c>
    </row>
    <row r="135" spans="6:32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Q135" t="e">
        <f>INDEX(Input!$D$2:$AD$500,
       MATCH(B135, Input!$J$2:$J$500, 0),
       MATCH("Disk Capacity", Input!$D$1:$AD$1, 0))</f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C135">IFERROR(IF(_xlfn.XLOOKUP(B135,Input!J:J,Input!N:V)=0,"",
          _xlfn.XLOOKUP(B135,Input!J:J,Input!N:V)),"")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s="13" t="str">
        <v/>
      </c>
      <c r="AD135" t="str">
        <f t="shared" si="8"/>
        <v/>
      </c>
      <c r="AE135" t="str">
        <f>_xlfn.XLOOKUP(B:B,Disk_Pivot!G:G,Disk_Pivot!I:I)</f>
        <v>No</v>
      </c>
      <c r="AF135" t="str">
        <f>_xlfn.XLOOKUP(B135,Disk_Pivot!G:G,Disk_Pivot!N:N)</f>
        <v/>
      </c>
    </row>
    <row r="136" spans="6:32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Q136" t="e">
        <f>INDEX(Input!$D$2:$AD$500,
       MATCH(B136, Input!$J$2:$J$500, 0),
       MATCH("Disk Capacity", Input!$D$1:$AD$1, 0))</f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C136">IFERROR(IF(_xlfn.XLOOKUP(B136,Input!J:J,Input!N:V)=0,"",
          _xlfn.XLOOKUP(B136,Input!J:J,Input!N:V)),"")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s="13" t="str">
        <v/>
      </c>
      <c r="AD136" t="str">
        <f t="shared" si="8"/>
        <v/>
      </c>
      <c r="AE136" t="str">
        <f>_xlfn.XLOOKUP(B:B,Disk_Pivot!G:G,Disk_Pivot!I:I)</f>
        <v>No</v>
      </c>
      <c r="AF136" t="str">
        <f>_xlfn.XLOOKUP(B136,Disk_Pivot!G:G,Disk_Pivot!N:N)</f>
        <v/>
      </c>
    </row>
    <row r="137" spans="6:32">
      <c r="F137">
        <f>_xlfn.XLOOKUP(H137,Models!B:B,Models!F:F,"")</f>
        <v>0</v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Q137" t="e">
        <f>INDEX(Input!$D$2:$AD$500,
       MATCH(B137, Input!$J$2:$J$500, 0),
       MATCH("Disk Capacity", Input!$D$1:$AD$1, 0))</f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C137">IFERROR(IF(_xlfn.XLOOKUP(B137,Input!J:J,Input!N:V)=0,"",
          _xlfn.XLOOKUP(B137,Input!J:J,Input!N:V)),"")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s="13" t="str">
        <v/>
      </c>
      <c r="AD137" t="str">
        <f t="shared" si="8"/>
        <v/>
      </c>
      <c r="AE137" t="str">
        <f>_xlfn.XLOOKUP(B:B,Disk_Pivot!G:G,Disk_Pivot!I:I)</f>
        <v>No</v>
      </c>
      <c r="AF137" t="str">
        <f>_xlfn.XLOOKUP(B137,Disk_Pivot!G:G,Disk_Pivot!N:N)</f>
        <v/>
      </c>
    </row>
    <row r="138" spans="6:32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Q138" t="e">
        <f>INDEX(Input!$D$2:$AD$500,
       MATCH(B138, Input!$J$2:$J$500, 0),
       MATCH("Disk Capacity", Input!$D$1:$AD$1, 0))</f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C138">IFERROR(IF(_xlfn.XLOOKUP(B138,Input!J:J,Input!N:V)=0,"",
          _xlfn.XLOOKUP(B138,Input!J:J,Input!N:V)),"")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s="13" t="str">
        <v/>
      </c>
      <c r="AD138" t="str">
        <f t="shared" si="8"/>
        <v/>
      </c>
      <c r="AE138" t="str">
        <f>_xlfn.XLOOKUP(B:B,Disk_Pivot!G:G,Disk_Pivot!I:I)</f>
        <v>No</v>
      </c>
      <c r="AF138" t="str">
        <f>_xlfn.XLOOKUP(B138,Disk_Pivot!G:G,Disk_Pivot!N:N)</f>
        <v/>
      </c>
    </row>
    <row r="139" spans="6:32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Q139" t="e">
        <f>INDEX(Input!$D$2:$AD$500,
       MATCH(B139, Input!$J$2:$J$500, 0),
       MATCH("Disk Capacity", Input!$D$1:$AD$1, 0))</f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C139">IFERROR(IF(_xlfn.XLOOKUP(B139,Input!J:J,Input!N:V)=0,"",
          _xlfn.XLOOKUP(B139,Input!J:J,Input!N:V)),"")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s="13" t="str">
        <v/>
      </c>
      <c r="AD139" t="str">
        <f t="shared" si="8"/>
        <v/>
      </c>
      <c r="AE139" t="str">
        <f>_xlfn.XLOOKUP(B:B,Disk_Pivot!G:G,Disk_Pivot!I:I)</f>
        <v>No</v>
      </c>
      <c r="AF139" t="str">
        <f>_xlfn.XLOOKUP(B139,Disk_Pivot!G:G,Disk_Pivot!N:N)</f>
        <v/>
      </c>
    </row>
    <row r="140" spans="6:32">
      <c r="F140">
        <f>_xlfn.XLOOKUP(H140,Models!B:B,Models!F:F,"")</f>
        <v>0</v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Q140" t="e">
        <f>INDEX(Input!$D$2:$AD$500,
       MATCH(B140, Input!$J$2:$J$500, 0),
       MATCH("Disk Capacity", Input!$D$1:$AD$1, 0))</f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C140">IFERROR(IF(_xlfn.XLOOKUP(B140,Input!J:J,Input!N:V)=0,"",
          _xlfn.XLOOKUP(B140,Input!J:J,Input!N:V)),"")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s="13" t="str">
        <v/>
      </c>
      <c r="AD140" t="str">
        <f t="shared" si="8"/>
        <v/>
      </c>
      <c r="AE140" t="str">
        <f>_xlfn.XLOOKUP(B:B,Disk_Pivot!G:G,Disk_Pivot!I:I)</f>
        <v>No</v>
      </c>
      <c r="AF140" t="str">
        <f>_xlfn.XLOOKUP(B140,Disk_Pivot!G:G,Disk_Pivot!N:N)</f>
        <v/>
      </c>
    </row>
    <row r="141" spans="6:32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Q141" t="e">
        <f>INDEX(Input!$D$2:$AD$500,
       MATCH(B141, Input!$J$2:$J$500, 0),
       MATCH("Disk Capacity", Input!$D$1:$AD$1, 0))</f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C141">IFERROR(IF(_xlfn.XLOOKUP(B141,Input!J:J,Input!N:V)=0,"",
          _xlfn.XLOOKUP(B141,Input!J:J,Input!N:V)),"")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s="13" t="str">
        <v/>
      </c>
      <c r="AD141" t="str">
        <f t="shared" si="8"/>
        <v/>
      </c>
      <c r="AE141" t="str">
        <f>_xlfn.XLOOKUP(B:B,Disk_Pivot!G:G,Disk_Pivot!I:I)</f>
        <v>No</v>
      </c>
      <c r="AF141" t="str">
        <f>_xlfn.XLOOKUP(B141,Disk_Pivot!G:G,Disk_Pivot!N:N)</f>
        <v/>
      </c>
    </row>
    <row r="142" spans="6:32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Q142" t="e">
        <f>INDEX(Input!$D$2:$AD$500,
       MATCH(B142, Input!$J$2:$J$500, 0),
       MATCH("Disk Capacity", Input!$D$1:$AD$1, 0))</f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C142">IFERROR(IF(_xlfn.XLOOKUP(B142,Input!J:J,Input!N:V)=0,"",
          _xlfn.XLOOKUP(B142,Input!J:J,Input!N:V)),"")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s="13" t="str">
        <v/>
      </c>
      <c r="AD142" t="str">
        <f t="shared" si="8"/>
        <v/>
      </c>
      <c r="AE142" t="str">
        <f>_xlfn.XLOOKUP(B:B,Disk_Pivot!G:G,Disk_Pivot!I:I)</f>
        <v>No</v>
      </c>
      <c r="AF142" t="str">
        <f>_xlfn.XLOOKUP(B142,Disk_Pivot!G:G,Disk_Pivot!N:N)</f>
        <v/>
      </c>
    </row>
    <row r="143" spans="6:32">
      <c r="F143">
        <f>_xlfn.XLOOKUP(H143,Models!B:B,Models!F:F,"")</f>
        <v>0</v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Q143" t="e">
        <f>INDEX(Input!$D$2:$AD$500,
       MATCH(B143, Input!$J$2:$J$500, 0),
       MATCH("Disk Capacity", Input!$D$1:$AD$1, 0))</f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C143">IFERROR(IF(_xlfn.XLOOKUP(B143,Input!J:J,Input!N:V)=0,"",
          _xlfn.XLOOKUP(B143,Input!J:J,Input!N:V)),"")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s="13" t="str">
        <v/>
      </c>
      <c r="AD143" t="str">
        <f t="shared" si="8"/>
        <v/>
      </c>
      <c r="AE143" t="str">
        <f>_xlfn.XLOOKUP(B:B,Disk_Pivot!G:G,Disk_Pivot!I:I)</f>
        <v>No</v>
      </c>
      <c r="AF143" t="str">
        <f>_xlfn.XLOOKUP(B143,Disk_Pivot!G:G,Disk_Pivot!N:N)</f>
        <v/>
      </c>
    </row>
    <row r="144" spans="6:32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Q144" t="e">
        <f>INDEX(Input!$D$2:$AD$500,
       MATCH(B144, Input!$J$2:$J$500, 0),
       MATCH("Disk Capacity", Input!$D$1:$AD$1, 0))</f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C144">IFERROR(IF(_xlfn.XLOOKUP(B144,Input!J:J,Input!N:V)=0,"",
          _xlfn.XLOOKUP(B144,Input!J:J,Input!N:V)),"")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s="13" t="str">
        <v/>
      </c>
      <c r="AD144" t="str">
        <f t="shared" si="8"/>
        <v/>
      </c>
      <c r="AE144" t="str">
        <f>_xlfn.XLOOKUP(B:B,Disk_Pivot!G:G,Disk_Pivot!I:I)</f>
        <v>No</v>
      </c>
      <c r="AF144" t="str">
        <f>_xlfn.XLOOKUP(B144,Disk_Pivot!G:G,Disk_Pivot!N:N)</f>
        <v/>
      </c>
    </row>
    <row r="145" spans="6:32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Q145" t="e">
        <f>INDEX(Input!$D$2:$AD$500,
       MATCH(B145, Input!$J$2:$J$500, 0),
       MATCH("Disk Capacity", Input!$D$1:$AD$1, 0))</f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C145">IFERROR(IF(_xlfn.XLOOKUP(B145,Input!J:J,Input!N:V)=0,"",
          _xlfn.XLOOKUP(B145,Input!J:J,Input!N:V)),"")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s="13" t="str">
        <v/>
      </c>
      <c r="AD145" t="str">
        <f t="shared" si="8"/>
        <v/>
      </c>
      <c r="AE145" t="str">
        <f>_xlfn.XLOOKUP(B:B,Disk_Pivot!G:G,Disk_Pivot!I:I)</f>
        <v>No</v>
      </c>
      <c r="AF145" t="str">
        <f>_xlfn.XLOOKUP(B145,Disk_Pivot!G:G,Disk_Pivot!N:N)</f>
        <v/>
      </c>
    </row>
    <row r="146" spans="6:32">
      <c r="F146">
        <f>_xlfn.XLOOKUP(H146,Models!B:B,Models!F:F,"")</f>
        <v>0</v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Q146" t="e">
        <f>INDEX(Input!$D$2:$AD$500,
       MATCH(B146, Input!$J$2:$J$500, 0),
       MATCH("Disk Capacity", Input!$D$1:$AD$1, 0))</f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C146">IFERROR(IF(_xlfn.XLOOKUP(B146,Input!J:J,Input!N:V)=0,"",
          _xlfn.XLOOKUP(B146,Input!J:J,Input!N:V)),"")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s="13" t="str">
        <v/>
      </c>
      <c r="AD146" t="str">
        <f t="shared" si="8"/>
        <v/>
      </c>
      <c r="AE146" t="str">
        <f>_xlfn.XLOOKUP(B:B,Disk_Pivot!G:G,Disk_Pivot!I:I)</f>
        <v>No</v>
      </c>
      <c r="AF146" t="str">
        <f>_xlfn.XLOOKUP(B146,Disk_Pivot!G:G,Disk_Pivot!N:N)</f>
        <v/>
      </c>
    </row>
    <row r="147" spans="6:32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Q147" t="e">
        <f>INDEX(Input!$D$2:$AD$500,
       MATCH(B147, Input!$J$2:$J$500, 0),
       MATCH("Disk Capacity", Input!$D$1:$AD$1, 0))</f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C147">IFERROR(IF(_xlfn.XLOOKUP(B147,Input!J:J,Input!N:V)=0,"",
          _xlfn.XLOOKUP(B147,Input!J:J,Input!N:V)),"")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s="13" t="str">
        <v/>
      </c>
      <c r="AD147" t="str">
        <f t="shared" si="8"/>
        <v/>
      </c>
      <c r="AE147" t="str">
        <f>_xlfn.XLOOKUP(B:B,Disk_Pivot!G:G,Disk_Pivot!I:I)</f>
        <v>No</v>
      </c>
      <c r="AF147" t="str">
        <f>_xlfn.XLOOKUP(B147,Disk_Pivot!G:G,Disk_Pivot!N:N)</f>
        <v/>
      </c>
    </row>
    <row r="148" spans="6:32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Q148" t="e">
        <f>INDEX(Input!$D$2:$AD$500,
       MATCH(B148, Input!$J$2:$J$500, 0),
       MATCH("Disk Capacity", Input!$D$1:$AD$1, 0))</f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C148">IFERROR(IF(_xlfn.XLOOKUP(B148,Input!J:J,Input!N:V)=0,"",
          _xlfn.XLOOKUP(B148,Input!J:J,Input!N:V)),"")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s="13" t="str">
        <v/>
      </c>
      <c r="AD148" t="str">
        <f t="shared" si="8"/>
        <v/>
      </c>
      <c r="AE148" t="str">
        <f>_xlfn.XLOOKUP(B:B,Disk_Pivot!G:G,Disk_Pivot!I:I)</f>
        <v>No</v>
      </c>
      <c r="AF148" t="str">
        <f>_xlfn.XLOOKUP(B148,Disk_Pivot!G:G,Disk_Pivot!N:N)</f>
        <v/>
      </c>
    </row>
    <row r="149" spans="6:32">
      <c r="F149">
        <f>_xlfn.XLOOKUP(H149,Models!B:B,Models!F:F,"")</f>
        <v>0</v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Q149" t="e">
        <f>INDEX(Input!$D$2:$AD$500,
       MATCH(B149, Input!$J$2:$J$500, 0),
       MATCH("Disk Capacity", Input!$D$1:$AD$1, 0))</f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C149">IFERROR(IF(_xlfn.XLOOKUP(B149,Input!J:J,Input!N:V)=0,"",
          _xlfn.XLOOKUP(B149,Input!J:J,Input!N:V)),"")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s="13" t="str">
        <v/>
      </c>
      <c r="AD149" t="str">
        <f t="shared" si="8"/>
        <v/>
      </c>
      <c r="AE149" t="str">
        <f>_xlfn.XLOOKUP(B:B,Disk_Pivot!G:G,Disk_Pivot!I:I)</f>
        <v>No</v>
      </c>
      <c r="AF149" t="str">
        <f>_xlfn.XLOOKUP(B149,Disk_Pivot!G:G,Disk_Pivot!N:N)</f>
        <v/>
      </c>
    </row>
    <row r="150" spans="6:32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Q150" t="e">
        <f>INDEX(Input!$D$2:$AD$500,
       MATCH(B150, Input!$J$2:$J$500, 0),
       MATCH("Disk Capacity", Input!$D$1:$AD$1, 0))</f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C150">IFERROR(IF(_xlfn.XLOOKUP(B150,Input!J:J,Input!N:V)=0,"",
          _xlfn.XLOOKUP(B150,Input!J:J,Input!N:V)),"")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s="13" t="str">
        <v/>
      </c>
      <c r="AD150" t="str">
        <f t="shared" si="8"/>
        <v/>
      </c>
      <c r="AE150" t="str">
        <f>_xlfn.XLOOKUP(B:B,Disk_Pivot!G:G,Disk_Pivot!I:I)</f>
        <v>No</v>
      </c>
      <c r="AF150" t="str">
        <f>_xlfn.XLOOKUP(B150,Disk_Pivot!G:G,Disk_Pivot!N:N)</f>
        <v/>
      </c>
    </row>
    <row r="151" spans="6:32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Q151" t="e">
        <f>INDEX(Input!$D$2:$AD$500,
       MATCH(B151, Input!$J$2:$J$500, 0),
       MATCH("Disk Capacity", Input!$D$1:$AD$1, 0))</f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C151">IFERROR(IF(_xlfn.XLOOKUP(B151,Input!J:J,Input!N:V)=0,"",
          _xlfn.XLOOKUP(B151,Input!J:J,Input!N:V)),"")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s="13" t="str">
        <v/>
      </c>
      <c r="AD151" t="str">
        <f t="shared" si="8"/>
        <v/>
      </c>
      <c r="AE151" t="str">
        <f>_xlfn.XLOOKUP(B:B,Disk_Pivot!G:G,Disk_Pivot!I:I)</f>
        <v>No</v>
      </c>
      <c r="AF151" t="str">
        <f>_xlfn.XLOOKUP(B151,Disk_Pivot!G:G,Disk_Pivot!N:N)</f>
        <v/>
      </c>
    </row>
    <row r="152" spans="6:32">
      <c r="F152">
        <f>_xlfn.XLOOKUP(H152,Models!B:B,Models!F:F,"")</f>
        <v>0</v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Q152" t="e">
        <f>INDEX(Input!$D$2:$AD$500,
       MATCH(B152, Input!$J$2:$J$500, 0),
       MATCH("Disk Capacity", Input!$D$1:$AD$1, 0))</f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C152">IFERROR(IF(_xlfn.XLOOKUP(B152,Input!J:J,Input!N:V)=0,"",
          _xlfn.XLOOKUP(B152,Input!J:J,Input!N:V)),"")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s="13" t="str">
        <v/>
      </c>
      <c r="AD152" t="str">
        <f t="shared" si="8"/>
        <v/>
      </c>
      <c r="AE152" t="str">
        <f>_xlfn.XLOOKUP(B:B,Disk_Pivot!G:G,Disk_Pivot!I:I)</f>
        <v>No</v>
      </c>
      <c r="AF152" t="str">
        <f>_xlfn.XLOOKUP(B152,Disk_Pivot!G:G,Disk_Pivot!N:N)</f>
        <v/>
      </c>
    </row>
    <row r="153" spans="6:32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Q153" t="e">
        <f>INDEX(Input!$D$2:$AD$500,
       MATCH(B153, Input!$J$2:$J$500, 0),
       MATCH("Disk Capacity", Input!$D$1:$AD$1, 0))</f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C153">IFERROR(IF(_xlfn.XLOOKUP(B153,Input!J:J,Input!N:V)=0,"",
          _xlfn.XLOOKUP(B153,Input!J:J,Input!N:V)),"")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s="13" t="str">
        <v/>
      </c>
      <c r="AD153" t="str">
        <f t="shared" si="8"/>
        <v/>
      </c>
      <c r="AE153" t="str">
        <f>_xlfn.XLOOKUP(B:B,Disk_Pivot!G:G,Disk_Pivot!I:I)</f>
        <v>No</v>
      </c>
      <c r="AF153" t="str">
        <f>_xlfn.XLOOKUP(B153,Disk_Pivot!G:G,Disk_Pivot!N:N)</f>
        <v/>
      </c>
    </row>
    <row r="154" spans="6:32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Q154" t="e">
        <f>INDEX(Input!$D$2:$AD$500,
       MATCH(B154, Input!$J$2:$J$500, 0),
       MATCH("Disk Capacity", Input!$D$1:$AD$1, 0))</f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C154">IFERROR(IF(_xlfn.XLOOKUP(B154,Input!J:J,Input!N:V)=0,"",
          _xlfn.XLOOKUP(B154,Input!J:J,Input!N:V)),"")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s="13" t="str">
        <v/>
      </c>
      <c r="AD154" t="str">
        <f t="shared" si="8"/>
        <v/>
      </c>
      <c r="AE154" t="str">
        <f>_xlfn.XLOOKUP(B:B,Disk_Pivot!G:G,Disk_Pivot!I:I)</f>
        <v>No</v>
      </c>
      <c r="AF154" t="str">
        <f>_xlfn.XLOOKUP(B154,Disk_Pivot!G:G,Disk_Pivot!N:N)</f>
        <v/>
      </c>
    </row>
    <row r="155" spans="6:32">
      <c r="F155">
        <f>_xlfn.XLOOKUP(H155,Models!B:B,Models!F:F,"")</f>
        <v>0</v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Q155" t="e">
        <f>INDEX(Input!$D$2:$AD$500,
       MATCH(B155, Input!$J$2:$J$500, 0),
       MATCH("Disk Capacity", Input!$D$1:$AD$1, 0))</f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C155">IFERROR(IF(_xlfn.XLOOKUP(B155,Input!J:J,Input!N:V)=0,"",
          _xlfn.XLOOKUP(B155,Input!J:J,Input!N:V)),"")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s="13" t="str">
        <v/>
      </c>
      <c r="AD155" t="str">
        <f t="shared" si="8"/>
        <v/>
      </c>
      <c r="AE155" t="str">
        <f>_xlfn.XLOOKUP(B:B,Disk_Pivot!G:G,Disk_Pivot!I:I)</f>
        <v>No</v>
      </c>
      <c r="AF155" t="str">
        <f>_xlfn.XLOOKUP(B155,Disk_Pivot!G:G,Disk_Pivot!N:N)</f>
        <v/>
      </c>
    </row>
    <row r="156" spans="6:32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Q156" t="e">
        <f>INDEX(Input!$D$2:$AD$500,
       MATCH(B156, Input!$J$2:$J$500, 0),
       MATCH("Disk Capacity", Input!$D$1:$AD$1, 0))</f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C156">IFERROR(IF(_xlfn.XLOOKUP(B156,Input!J:J,Input!N:V)=0,"",
          _xlfn.XLOOKUP(B156,Input!J:J,Input!N:V)),"")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s="13" t="str">
        <v/>
      </c>
      <c r="AD156" t="str">
        <f t="shared" si="8"/>
        <v/>
      </c>
      <c r="AE156" t="str">
        <f>_xlfn.XLOOKUP(B:B,Disk_Pivot!G:G,Disk_Pivot!I:I)</f>
        <v>No</v>
      </c>
      <c r="AF156" t="str">
        <f>_xlfn.XLOOKUP(B156,Disk_Pivot!G:G,Disk_Pivot!N:N)</f>
        <v/>
      </c>
    </row>
    <row r="157" spans="6:32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Q157" t="e">
        <f>INDEX(Input!$D$2:$AD$500,
       MATCH(B157, Input!$J$2:$J$500, 0),
       MATCH("Disk Capacity", Input!$D$1:$AD$1, 0))</f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C157">IFERROR(IF(_xlfn.XLOOKUP(B157,Input!J:J,Input!N:V)=0,"",
          _xlfn.XLOOKUP(B157,Input!J:J,Input!N:V)),"")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s="13" t="str">
        <v/>
      </c>
      <c r="AD157" t="str">
        <f t="shared" si="8"/>
        <v/>
      </c>
      <c r="AE157" t="str">
        <f>_xlfn.XLOOKUP(B:B,Disk_Pivot!G:G,Disk_Pivot!I:I)</f>
        <v>No</v>
      </c>
      <c r="AF157" t="str">
        <f>_xlfn.XLOOKUP(B157,Disk_Pivot!G:G,Disk_Pivot!N:N)</f>
        <v/>
      </c>
    </row>
    <row r="158" spans="6:32">
      <c r="F158">
        <f>_xlfn.XLOOKUP(H158,Models!B:B,Models!F:F,"")</f>
        <v>0</v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Q158" t="e">
        <f>INDEX(Input!$D$2:$AD$500,
       MATCH(B158, Input!$J$2:$J$500, 0),
       MATCH("Disk Capacity", Input!$D$1:$AD$1, 0))</f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C158">IFERROR(IF(_xlfn.XLOOKUP(B158,Input!J:J,Input!N:V)=0,"",
          _xlfn.XLOOKUP(B158,Input!J:J,Input!N:V)),"")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s="13" t="str">
        <v/>
      </c>
      <c r="AD158" t="str">
        <f t="shared" si="8"/>
        <v/>
      </c>
      <c r="AE158" t="str">
        <f>_xlfn.XLOOKUP(B:B,Disk_Pivot!G:G,Disk_Pivot!I:I)</f>
        <v>No</v>
      </c>
      <c r="AF158" t="str">
        <f>_xlfn.XLOOKUP(B158,Disk_Pivot!G:G,Disk_Pivot!N:N)</f>
        <v/>
      </c>
    </row>
    <row r="159" spans="6:32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Q159" t="e">
        <f>INDEX(Input!$D$2:$AD$500,
       MATCH(B159, Input!$J$2:$J$500, 0),
       MATCH("Disk Capacity", Input!$D$1:$AD$1, 0))</f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C159">IFERROR(IF(_xlfn.XLOOKUP(B159,Input!J:J,Input!N:V)=0,"",
          _xlfn.XLOOKUP(B159,Input!J:J,Input!N:V)),"")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s="13" t="str">
        <v/>
      </c>
      <c r="AD159" t="str">
        <f t="shared" si="8"/>
        <v/>
      </c>
      <c r="AE159" t="str">
        <f>_xlfn.XLOOKUP(B:B,Disk_Pivot!G:G,Disk_Pivot!I:I)</f>
        <v>No</v>
      </c>
      <c r="AF159" t="str">
        <f>_xlfn.XLOOKUP(B159,Disk_Pivot!G:G,Disk_Pivot!N:N)</f>
        <v/>
      </c>
    </row>
    <row r="160" spans="6:32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Q160" t="e">
        <f>INDEX(Input!$D$2:$AD$500,
       MATCH(B160, Input!$J$2:$J$500, 0),
       MATCH("Disk Capacity", Input!$D$1:$AD$1, 0))</f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C160">IFERROR(IF(_xlfn.XLOOKUP(B160,Input!J:J,Input!N:V)=0,"",
          _xlfn.XLOOKUP(B160,Input!J:J,Input!N:V)),"")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s="13" t="str">
        <v/>
      </c>
      <c r="AD160" t="str">
        <f t="shared" si="8"/>
        <v/>
      </c>
      <c r="AE160" t="str">
        <f>_xlfn.XLOOKUP(B:B,Disk_Pivot!G:G,Disk_Pivot!I:I)</f>
        <v>No</v>
      </c>
      <c r="AF160" t="str">
        <f>_xlfn.XLOOKUP(B160,Disk_Pivot!G:G,Disk_Pivot!N:N)</f>
        <v/>
      </c>
    </row>
    <row r="161" spans="6:32">
      <c r="F161">
        <f>_xlfn.XLOOKUP(H161,Models!B:B,Models!F:F,"")</f>
        <v>0</v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Q161" t="e">
        <f>INDEX(Input!$D$2:$AD$500,
       MATCH(B161, Input!$J$2:$J$500, 0),
       MATCH("Disk Capacity", Input!$D$1:$AD$1, 0))</f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C161">IFERROR(IF(_xlfn.XLOOKUP(B161,Input!J:J,Input!N:V)=0,"",
          _xlfn.XLOOKUP(B161,Input!J:J,Input!N:V)),"")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s="13" t="str">
        <v/>
      </c>
      <c r="AD161" t="str">
        <f t="shared" si="8"/>
        <v/>
      </c>
      <c r="AE161" t="str">
        <f>_xlfn.XLOOKUP(B:B,Disk_Pivot!G:G,Disk_Pivot!I:I)</f>
        <v>No</v>
      </c>
      <c r="AF161" t="str">
        <f>_xlfn.XLOOKUP(B161,Disk_Pivot!G:G,Disk_Pivot!N:N)</f>
        <v/>
      </c>
    </row>
    <row r="162" spans="6:32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Q162" t="e">
        <f>INDEX(Input!$D$2:$AD$500,
       MATCH(B162, Input!$J$2:$J$500, 0),
       MATCH("Disk Capacity", Input!$D$1:$AD$1, 0))</f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C162">IFERROR(IF(_xlfn.XLOOKUP(B162,Input!J:J,Input!N:V)=0,"",
          _xlfn.XLOOKUP(B162,Input!J:J,Input!N:V)),"")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s="13" t="str">
        <v/>
      </c>
      <c r="AD162" t="str">
        <f t="shared" si="8"/>
        <v/>
      </c>
      <c r="AE162" t="str">
        <f>_xlfn.XLOOKUP(B:B,Disk_Pivot!G:G,Disk_Pivot!I:I)</f>
        <v>No</v>
      </c>
      <c r="AF162" t="str">
        <f>_xlfn.XLOOKUP(B162,Disk_Pivot!G:G,Disk_Pivot!N:N)</f>
        <v/>
      </c>
    </row>
    <row r="163" spans="6:32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C163">IFERROR(IF(_xlfn.XLOOKUP(B163,Input!J:J,Input!N:V)=0,"",
          _xlfn.XLOOKUP(B163,Input!J:J,Input!N:V)),"")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s="13" t="str">
        <v/>
      </c>
      <c r="AD163" t="str">
        <f t="shared" si="8"/>
        <v/>
      </c>
      <c r="AE163" t="str">
        <f>_xlfn.XLOOKUP(B:B,Disk_Pivot!G:G,Disk_Pivot!I:I)</f>
        <v>No</v>
      </c>
      <c r="AF163" t="str">
        <f>_xlfn.XLOOKUP(B163,Disk_Pivot!G:G,Disk_Pivot!N:N)</f>
        <v/>
      </c>
    </row>
    <row r="164" spans="6:32">
      <c r="F164">
        <f>_xlfn.XLOOKUP(H164,Models!B:B,Models!F:F,"")</f>
        <v>0</v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C164">IFERROR(IF(_xlfn.XLOOKUP(B164,Input!J:J,Input!N:V)=0,"",
          _xlfn.XLOOKUP(B164,Input!J:J,Input!N:V)),"")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s="13" t="str">
        <v/>
      </c>
      <c r="AD164" t="str">
        <f t="shared" si="8"/>
        <v/>
      </c>
      <c r="AE164" t="str">
        <f>_xlfn.XLOOKUP(B:B,Disk_Pivot!G:G,Disk_Pivot!I:I)</f>
        <v>No</v>
      </c>
      <c r="AF164" t="str">
        <f>_xlfn.XLOOKUP(B164,Disk_Pivot!G:G,Disk_Pivot!N:N)</f>
        <v/>
      </c>
    </row>
    <row r="165" spans="6:32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C165">IFERROR(IF(_xlfn.XLOOKUP(B165,Input!J:J,Input!N:V)=0,"",
          _xlfn.XLOOKUP(B165,Input!J:J,Input!N:V)),"")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s="13" t="str">
        <v/>
      </c>
      <c r="AD165" t="str">
        <f t="shared" si="8"/>
        <v/>
      </c>
      <c r="AE165" t="str">
        <f>_xlfn.XLOOKUP(B:B,Disk_Pivot!G:G,Disk_Pivot!I:I)</f>
        <v>No</v>
      </c>
      <c r="AF165" t="str">
        <f>_xlfn.XLOOKUP(B165,Disk_Pivot!G:G,Disk_Pivot!N:N)</f>
        <v/>
      </c>
    </row>
    <row r="166" spans="6:32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C166">IFERROR(IF(_xlfn.XLOOKUP(B166,Input!J:J,Input!N:V)=0,"",
          _xlfn.XLOOKUP(B166,Input!J:J,Input!N:V)),"")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s="13" t="str">
        <v/>
      </c>
      <c r="AD166" t="str">
        <f t="shared" si="8"/>
        <v/>
      </c>
      <c r="AE166" t="str">
        <f>_xlfn.XLOOKUP(B:B,Disk_Pivot!G:G,Disk_Pivot!I:I)</f>
        <v>No</v>
      </c>
      <c r="AF166" t="str">
        <f>_xlfn.XLOOKUP(B166,Disk_Pivot!G:G,Disk_Pivot!N:N)</f>
        <v/>
      </c>
    </row>
    <row r="167" spans="6:32">
      <c r="F167">
        <f>_xlfn.XLOOKUP(H167,Models!B:B,Models!F:F,"")</f>
        <v>0</v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C167">IFERROR(IF(_xlfn.XLOOKUP(B167,Input!J:J,Input!N:V)=0,"",
          _xlfn.XLOOKUP(B167,Input!J:J,Input!N:V)),"")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s="13" t="str">
        <v/>
      </c>
      <c r="AD167" t="str">
        <f t="shared" si="8"/>
        <v/>
      </c>
      <c r="AE167" t="str">
        <f>_xlfn.XLOOKUP(B:B,Disk_Pivot!G:G,Disk_Pivot!I:I)</f>
        <v>No</v>
      </c>
      <c r="AF167" t="str">
        <f>_xlfn.XLOOKUP(B167,Disk_Pivot!G:G,Disk_Pivot!N:N)</f>
        <v/>
      </c>
    </row>
    <row r="168" spans="6:32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C168">IFERROR(IF(_xlfn.XLOOKUP(B168,Input!J:J,Input!N:V)=0,"",
          _xlfn.XLOOKUP(B168,Input!J:J,Input!N:V)),"")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s="13" t="str">
        <v/>
      </c>
      <c r="AD168" t="str">
        <f t="shared" si="8"/>
        <v/>
      </c>
      <c r="AE168" t="str">
        <f>_xlfn.XLOOKUP(B:B,Disk_Pivot!G:G,Disk_Pivot!I:I)</f>
        <v>No</v>
      </c>
      <c r="AF168" t="str">
        <f>_xlfn.XLOOKUP(B168,Disk_Pivot!G:G,Disk_Pivot!N:N)</f>
        <v/>
      </c>
    </row>
    <row r="169" spans="6:32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C169">IFERROR(IF(_xlfn.XLOOKUP(B169,Input!J:J,Input!N:V)=0,"",
          _xlfn.XLOOKUP(B169,Input!J:J,Input!N:V)),"")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s="13" t="str">
        <v/>
      </c>
      <c r="AD169" t="str">
        <f t="shared" si="8"/>
        <v/>
      </c>
      <c r="AE169" t="str">
        <f>_xlfn.XLOOKUP(B:B,Disk_Pivot!G:G,Disk_Pivot!I:I)</f>
        <v>No</v>
      </c>
      <c r="AF169" t="str">
        <f>_xlfn.XLOOKUP(B169,Disk_Pivot!G:G,Disk_Pivot!N:N)</f>
        <v/>
      </c>
    </row>
    <row r="170" spans="6:32">
      <c r="F170">
        <f>_xlfn.XLOOKUP(H170,Models!B:B,Models!F:F,"")</f>
        <v>0</v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C170">IFERROR(IF(_xlfn.XLOOKUP(B170,Input!J:J,Input!N:V)=0,"",
          _xlfn.XLOOKUP(B170,Input!J:J,Input!N:V)),"")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s="13" t="str">
        <v/>
      </c>
      <c r="AD170" t="str">
        <f t="shared" si="8"/>
        <v/>
      </c>
      <c r="AE170" t="str">
        <f>_xlfn.XLOOKUP(B:B,Disk_Pivot!G:G,Disk_Pivot!I:I)</f>
        <v>No</v>
      </c>
      <c r="AF170" t="str">
        <f>_xlfn.XLOOKUP(B170,Disk_Pivot!G:G,Disk_Pivot!N:N)</f>
        <v/>
      </c>
    </row>
    <row r="171" spans="6:32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C171">IFERROR(IF(_xlfn.XLOOKUP(B171,Input!J:J,Input!N:V)=0,"",
          _xlfn.XLOOKUP(B171,Input!J:J,Input!N:V)),"")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s="13" t="str">
        <v/>
      </c>
      <c r="AD171" t="str">
        <f t="shared" si="8"/>
        <v/>
      </c>
      <c r="AE171" t="str">
        <f>_xlfn.XLOOKUP(B:B,Disk_Pivot!G:G,Disk_Pivot!I:I)</f>
        <v>No</v>
      </c>
      <c r="AF171" t="str">
        <f>_xlfn.XLOOKUP(B171,Disk_Pivot!G:G,Disk_Pivot!N:N)</f>
        <v/>
      </c>
    </row>
    <row r="172" spans="6:32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C172">IFERROR(IF(_xlfn.XLOOKUP(B172,Input!J:J,Input!N:V)=0,"",
          _xlfn.XLOOKUP(B172,Input!J:J,Input!N:V)),"")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s="13" t="str">
        <v/>
      </c>
      <c r="AD172" t="str">
        <f t="shared" si="8"/>
        <v/>
      </c>
      <c r="AE172" t="str">
        <f>_xlfn.XLOOKUP(B:B,Disk_Pivot!G:G,Disk_Pivot!I:I)</f>
        <v>No</v>
      </c>
      <c r="AF172" t="str">
        <f>_xlfn.XLOOKUP(B172,Disk_Pivot!G:G,Disk_Pivot!N:N)</f>
        <v/>
      </c>
    </row>
    <row r="173" spans="6:32">
      <c r="F173">
        <f>_xlfn.XLOOKUP(H173,Models!B:B,Models!F:F,"")</f>
        <v>0</v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C173">IFERROR(IF(_xlfn.XLOOKUP(B173,Input!J:J,Input!N:V)=0,"",
          _xlfn.XLOOKUP(B173,Input!J:J,Input!N:V)),"")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s="13" t="str">
        <v/>
      </c>
      <c r="AD173" t="str">
        <f t="shared" si="8"/>
        <v/>
      </c>
      <c r="AE173" t="str">
        <f>_xlfn.XLOOKUP(B:B,Disk_Pivot!G:G,Disk_Pivot!I:I)</f>
        <v>No</v>
      </c>
      <c r="AF173" t="str">
        <f>_xlfn.XLOOKUP(B173,Disk_Pivot!G:G,Disk_Pivot!N:N)</f>
        <v/>
      </c>
    </row>
    <row r="174" spans="6:32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C174">IFERROR(IF(_xlfn.XLOOKUP(B174,Input!J:J,Input!N:V)=0,"",
          _xlfn.XLOOKUP(B174,Input!J:J,Input!N:V)),"")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s="13" t="str">
        <v/>
      </c>
      <c r="AD174" t="str">
        <f t="shared" si="8"/>
        <v/>
      </c>
      <c r="AE174" t="str">
        <f>_xlfn.XLOOKUP(B:B,Disk_Pivot!G:G,Disk_Pivot!I:I)</f>
        <v>No</v>
      </c>
      <c r="AF174" t="str">
        <f>_xlfn.XLOOKUP(B174,Disk_Pivot!G:G,Disk_Pivot!N:N)</f>
        <v/>
      </c>
    </row>
    <row r="175" spans="6:32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C175">IFERROR(IF(_xlfn.XLOOKUP(B175,Input!J:J,Input!N:V)=0,"",
          _xlfn.XLOOKUP(B175,Input!J:J,Input!N:V)),"")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s="13" t="str">
        <v/>
      </c>
      <c r="AD175" t="str">
        <f t="shared" si="8"/>
        <v/>
      </c>
      <c r="AE175" t="str">
        <f>_xlfn.XLOOKUP(B:B,Disk_Pivot!G:G,Disk_Pivot!I:I)</f>
        <v>No</v>
      </c>
      <c r="AF175" t="str">
        <f>_xlfn.XLOOKUP(B175,Disk_Pivot!G:G,Disk_Pivot!N:N)</f>
        <v/>
      </c>
    </row>
    <row r="176" spans="6:32">
      <c r="F176">
        <f>_xlfn.XLOOKUP(H176,Models!B:B,Models!F:F,"")</f>
        <v>0</v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C176">IFERROR(IF(_xlfn.XLOOKUP(B176,Input!J:J,Input!N:V)=0,"",
          _xlfn.XLOOKUP(B176,Input!J:J,Input!N:V)),"")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s="13" t="str">
        <v/>
      </c>
      <c r="AD176" t="str">
        <f t="shared" si="8"/>
        <v/>
      </c>
      <c r="AE176" t="str">
        <f>_xlfn.XLOOKUP(B:B,Disk_Pivot!G:G,Disk_Pivot!I:I)</f>
        <v>No</v>
      </c>
      <c r="AF176" t="str">
        <f>_xlfn.XLOOKUP(B176,Disk_Pivot!G:G,Disk_Pivot!N:N)</f>
        <v/>
      </c>
    </row>
    <row r="177" spans="6:32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C177">IFERROR(IF(_xlfn.XLOOKUP(B177,Input!J:J,Input!N:V)=0,"",
          _xlfn.XLOOKUP(B177,Input!J:J,Input!N:V)),"")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s="13" t="str">
        <v/>
      </c>
      <c r="AD177" t="str">
        <f t="shared" si="8"/>
        <v/>
      </c>
      <c r="AE177" t="str">
        <f>_xlfn.XLOOKUP(B:B,Disk_Pivot!G:G,Disk_Pivot!I:I)</f>
        <v>No</v>
      </c>
      <c r="AF177" t="str">
        <f>_xlfn.XLOOKUP(B177,Disk_Pivot!G:G,Disk_Pivot!N:N)</f>
        <v/>
      </c>
    </row>
    <row r="178" spans="6:32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C178">IFERROR(IF(_xlfn.XLOOKUP(B178,Input!J:J,Input!N:V)=0,"",
          _xlfn.XLOOKUP(B178,Input!J:J,Input!N:V)),"")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s="13" t="str">
        <v/>
      </c>
      <c r="AD178" t="str">
        <f t="shared" si="8"/>
        <v/>
      </c>
      <c r="AE178" t="str">
        <f>_xlfn.XLOOKUP(B:B,Disk_Pivot!G:G,Disk_Pivot!I:I)</f>
        <v>No</v>
      </c>
      <c r="AF178" t="str">
        <f>_xlfn.XLOOKUP(B178,Disk_Pivot!G:G,Disk_Pivot!N:N)</f>
        <v/>
      </c>
    </row>
    <row r="179" spans="6:32">
      <c r="F179">
        <f>_xlfn.XLOOKUP(H179,Models!B:B,Models!F:F,"")</f>
        <v>0</v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C179">IFERROR(IF(_xlfn.XLOOKUP(B179,Input!J:J,Input!N:V)=0,"",
          _xlfn.XLOOKUP(B179,Input!J:J,Input!N:V)),"")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s="13" t="str">
        <v/>
      </c>
      <c r="AD179" t="str">
        <f t="shared" si="8"/>
        <v/>
      </c>
      <c r="AE179" t="str">
        <f>_xlfn.XLOOKUP(B:B,Disk_Pivot!G:G,Disk_Pivot!I:I)</f>
        <v>No</v>
      </c>
      <c r="AF179" t="str">
        <f>_xlfn.XLOOKUP(B179,Disk_Pivot!G:G,Disk_Pivot!N:N)</f>
        <v/>
      </c>
    </row>
    <row r="180" spans="6:32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C180">IFERROR(IF(_xlfn.XLOOKUP(B180,Input!J:J,Input!N:V)=0,"",
          _xlfn.XLOOKUP(B180,Input!J:J,Input!N:V)),"")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s="13" t="str">
        <v/>
      </c>
      <c r="AD180" t="str">
        <f t="shared" si="8"/>
        <v/>
      </c>
      <c r="AE180" t="str">
        <f>_xlfn.XLOOKUP(B:B,Disk_Pivot!G:G,Disk_Pivot!I:I)</f>
        <v>No</v>
      </c>
      <c r="AF180" t="str">
        <f>_xlfn.XLOOKUP(B180,Disk_Pivot!G:G,Disk_Pivot!N:N)</f>
        <v/>
      </c>
    </row>
    <row r="181" spans="6:32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C181">IFERROR(IF(_xlfn.XLOOKUP(B181,Input!J:J,Input!N:V)=0,"",
          _xlfn.XLOOKUP(B181,Input!J:J,Input!N:V)),"")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s="13" t="str">
        <v/>
      </c>
      <c r="AD181" t="str">
        <f t="shared" si="8"/>
        <v/>
      </c>
      <c r="AE181" t="str">
        <f>_xlfn.XLOOKUP(B:B,Disk_Pivot!G:G,Disk_Pivot!I:I)</f>
        <v>No</v>
      </c>
      <c r="AF181" t="str">
        <f>_xlfn.XLOOKUP(B181,Disk_Pivot!G:G,Disk_Pivot!N:N)</f>
        <v/>
      </c>
    </row>
    <row r="182" spans="6:32">
      <c r="F182">
        <f>_xlfn.XLOOKUP(H182,Models!B:B,Models!F:F,"")</f>
        <v>0</v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C182">IFERROR(IF(_xlfn.XLOOKUP(B182,Input!J:J,Input!N:V)=0,"",
          _xlfn.XLOOKUP(B182,Input!J:J,Input!N:V)),"")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s="13" t="str">
        <v/>
      </c>
      <c r="AD182" t="str">
        <f t="shared" si="8"/>
        <v/>
      </c>
      <c r="AE182" t="str">
        <f>_xlfn.XLOOKUP(B:B,Disk_Pivot!G:G,Disk_Pivot!I:I)</f>
        <v>No</v>
      </c>
      <c r="AF182" t="str">
        <f>_xlfn.XLOOKUP(B182,Disk_Pivot!G:G,Disk_Pivot!N:N)</f>
        <v/>
      </c>
    </row>
    <row r="183" spans="6:32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C183">IFERROR(IF(_xlfn.XLOOKUP(B183,Input!J:J,Input!N:V)=0,"",
          _xlfn.XLOOKUP(B183,Input!J:J,Input!N:V)),"")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s="13" t="str">
        <v/>
      </c>
      <c r="AD183" t="str">
        <f t="shared" si="8"/>
        <v/>
      </c>
      <c r="AE183" t="str">
        <f>_xlfn.XLOOKUP(B:B,Disk_Pivot!G:G,Disk_Pivot!I:I)</f>
        <v>No</v>
      </c>
      <c r="AF183" t="str">
        <f>_xlfn.XLOOKUP(B183,Disk_Pivot!G:G,Disk_Pivot!N:N)</f>
        <v/>
      </c>
    </row>
    <row r="184" spans="6:32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C184">IFERROR(IF(_xlfn.XLOOKUP(B184,Input!J:J,Input!N:V)=0,"",
          _xlfn.XLOOKUP(B184,Input!J:J,Input!N:V)),"")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s="13" t="str">
        <v/>
      </c>
      <c r="AD184" t="str">
        <f t="shared" si="8"/>
        <v/>
      </c>
      <c r="AE184" t="str">
        <f>_xlfn.XLOOKUP(B:B,Disk_Pivot!G:G,Disk_Pivot!I:I)</f>
        <v>No</v>
      </c>
      <c r="AF184" t="str">
        <f>_xlfn.XLOOKUP(B184,Disk_Pivot!G:G,Disk_Pivot!N:N)</f>
        <v/>
      </c>
    </row>
    <row r="185" spans="6:32">
      <c r="F185">
        <f>_xlfn.XLOOKUP(H185,Models!B:B,Models!F:F,"")</f>
        <v>0</v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C185">IFERROR(IF(_xlfn.XLOOKUP(B185,Input!J:J,Input!N:V)=0,"",
          _xlfn.XLOOKUP(B185,Input!J:J,Input!N:V)),"")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s="13" t="str">
        <v/>
      </c>
      <c r="AD185" t="str">
        <f t="shared" si="8"/>
        <v/>
      </c>
      <c r="AE185" t="str">
        <f>_xlfn.XLOOKUP(B:B,Disk_Pivot!G:G,Disk_Pivot!I:I)</f>
        <v>No</v>
      </c>
      <c r="AF185" t="str">
        <f>_xlfn.XLOOKUP(B185,Disk_Pivot!G:G,Disk_Pivot!N:N)</f>
        <v/>
      </c>
    </row>
    <row r="186" spans="6:32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C186">IFERROR(IF(_xlfn.XLOOKUP(B186,Input!J:J,Input!N:V)=0,"",
          _xlfn.XLOOKUP(B186,Input!J:J,Input!N:V)),"")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s="13" t="str">
        <v/>
      </c>
      <c r="AD186" t="str">
        <f t="shared" si="8"/>
        <v/>
      </c>
      <c r="AE186" t="str">
        <f>_xlfn.XLOOKUP(B:B,Disk_Pivot!G:G,Disk_Pivot!I:I)</f>
        <v>No</v>
      </c>
      <c r="AF186" t="str">
        <f>_xlfn.XLOOKUP(B186,Disk_Pivot!G:G,Disk_Pivot!N:N)</f>
        <v/>
      </c>
    </row>
    <row r="187" spans="6:32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C187">IFERROR(IF(_xlfn.XLOOKUP(B187,Input!J:J,Input!N:V)=0,"",
          _xlfn.XLOOKUP(B187,Input!J:J,Input!N:V)),"")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s="13" t="str">
        <v/>
      </c>
      <c r="AD187" t="str">
        <f t="shared" si="8"/>
        <v/>
      </c>
      <c r="AE187" t="str">
        <f>_xlfn.XLOOKUP(B:B,Disk_Pivot!G:G,Disk_Pivot!I:I)</f>
        <v>No</v>
      </c>
      <c r="AF187" t="str">
        <f>_xlfn.XLOOKUP(B187,Disk_Pivot!G:G,Disk_Pivot!N:N)</f>
        <v/>
      </c>
    </row>
    <row r="188" spans="6:32">
      <c r="F188">
        <f>_xlfn.XLOOKUP(H188,Models!B:B,Models!F:F,"")</f>
        <v>0</v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C188">IFERROR(IF(_xlfn.XLOOKUP(B188,Input!J:J,Input!N:V)=0,"",
          _xlfn.XLOOKUP(B188,Input!J:J,Input!N:V)),"")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s="13" t="str">
        <v/>
      </c>
      <c r="AD188" t="str">
        <f t="shared" si="8"/>
        <v/>
      </c>
      <c r="AE188" t="str">
        <f>_xlfn.XLOOKUP(B:B,Disk_Pivot!G:G,Disk_Pivot!I:I)</f>
        <v>No</v>
      </c>
      <c r="AF188" t="str">
        <f>_xlfn.XLOOKUP(B188,Disk_Pivot!G:G,Disk_Pivot!N:N)</f>
        <v/>
      </c>
    </row>
    <row r="189" spans="6:32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C189">IFERROR(IF(_xlfn.XLOOKUP(B189,Input!J:J,Input!N:V)=0,"",
          _xlfn.XLOOKUP(B189,Input!J:J,Input!N:V)),"")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s="13" t="str">
        <v/>
      </c>
      <c r="AD189" t="str">
        <f t="shared" si="8"/>
        <v/>
      </c>
      <c r="AE189" t="str">
        <f>_xlfn.XLOOKUP(B:B,Disk_Pivot!G:G,Disk_Pivot!I:I)</f>
        <v>No</v>
      </c>
      <c r="AF189" t="str">
        <f>_xlfn.XLOOKUP(B189,Disk_Pivot!G:G,Disk_Pivot!N:N)</f>
        <v/>
      </c>
    </row>
    <row r="190" spans="6:32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C190">IFERROR(IF(_xlfn.XLOOKUP(B190,Input!J:J,Input!N:V)=0,"",
          _xlfn.XLOOKUP(B190,Input!J:J,Input!N:V)),"")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s="13" t="str">
        <v/>
      </c>
      <c r="AD190" t="str">
        <f t="shared" si="8"/>
        <v/>
      </c>
      <c r="AE190" t="str">
        <f>_xlfn.XLOOKUP(B:B,Disk_Pivot!G:G,Disk_Pivot!I:I)</f>
        <v>No</v>
      </c>
      <c r="AF190" t="str">
        <f>_xlfn.XLOOKUP(B190,Disk_Pivot!G:G,Disk_Pivot!N:N)</f>
        <v/>
      </c>
    </row>
    <row r="191" spans="6:32">
      <c r="F191">
        <f>_xlfn.XLOOKUP(H191,Models!B:B,Models!F:F,"")</f>
        <v>0</v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C191">IFERROR(IF(_xlfn.XLOOKUP(B191,Input!J:J,Input!N:V)=0,"",
          _xlfn.XLOOKUP(B191,Input!J:J,Input!N:V)),"")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s="13" t="str">
        <v/>
      </c>
      <c r="AD191" t="str">
        <f t="shared" si="8"/>
        <v/>
      </c>
      <c r="AE191" t="str">
        <f>_xlfn.XLOOKUP(B:B,Disk_Pivot!G:G,Disk_Pivot!I:I)</f>
        <v>No</v>
      </c>
      <c r="AF191" t="str">
        <f>_xlfn.XLOOKUP(B191,Disk_Pivot!G:G,Disk_Pivot!N:N)</f>
        <v/>
      </c>
    </row>
    <row r="192" spans="6:32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C192">IFERROR(IF(_xlfn.XLOOKUP(B192,Input!J:J,Input!N:V)=0,"",
          _xlfn.XLOOKUP(B192,Input!J:J,Input!N:V)),"")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s="13" t="str">
        <v/>
      </c>
      <c r="AD192" t="str">
        <f t="shared" si="8"/>
        <v/>
      </c>
      <c r="AE192" t="str">
        <f>_xlfn.XLOOKUP(B:B,Disk_Pivot!G:G,Disk_Pivot!I:I)</f>
        <v>No</v>
      </c>
      <c r="AF192" t="str">
        <f>_xlfn.XLOOKUP(B192,Disk_Pivot!G:G,Disk_Pivot!N:N)</f>
        <v/>
      </c>
    </row>
    <row r="193" spans="6:32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C193">IFERROR(IF(_xlfn.XLOOKUP(B193,Input!J:J,Input!N:V)=0,"",
          _xlfn.XLOOKUP(B193,Input!J:J,Input!N:V)),"")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s="13" t="str">
        <v/>
      </c>
      <c r="AD193" t="str">
        <f t="shared" si="8"/>
        <v/>
      </c>
      <c r="AE193" t="str">
        <f>_xlfn.XLOOKUP(B:B,Disk_Pivot!G:G,Disk_Pivot!I:I)</f>
        <v>No</v>
      </c>
      <c r="AF193" t="str">
        <f>_xlfn.XLOOKUP(B193,Disk_Pivot!G:G,Disk_Pivot!N:N)</f>
        <v/>
      </c>
    </row>
    <row r="194" spans="6:32">
      <c r="F194">
        <f>_xlfn.XLOOKUP(H194,Models!B:B,Models!F:F,"")</f>
        <v>0</v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C194">IFERROR(IF(_xlfn.XLOOKUP(B194,Input!J:J,Input!N:V)=0,"",
          _xlfn.XLOOKUP(B194,Input!J:J,Input!N:V)),"")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s="13" t="str">
        <v/>
      </c>
      <c r="AD194" t="str">
        <f t="shared" si="8"/>
        <v/>
      </c>
      <c r="AE194" t="str">
        <f>_xlfn.XLOOKUP(B:B,Disk_Pivot!G:G,Disk_Pivot!I:I)</f>
        <v>No</v>
      </c>
      <c r="AF194" t="str">
        <f>_xlfn.XLOOKUP(B194,Disk_Pivot!G:G,Disk_Pivot!N:N)</f>
        <v/>
      </c>
    </row>
    <row r="195" spans="6:32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C195">IFERROR(IF(_xlfn.XLOOKUP(B195,Input!J:J,Input!N:V)=0,"",
          _xlfn.XLOOKUP(B195,Input!J:J,Input!N:V)),"")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s="13" t="str">
        <v/>
      </c>
      <c r="AD195" t="str">
        <f t="shared" ref="AD195:AD256" si="10">_xlfn.TEXTJOIN(", ",TRUE,T195,U195,V195,W195,X195,Y195,Z195)</f>
        <v/>
      </c>
      <c r="AE195" t="str">
        <f>_xlfn.XLOOKUP(B:B,Disk_Pivot!G:G,Disk_Pivot!I:I)</f>
        <v>No</v>
      </c>
      <c r="AF195" t="str">
        <f>_xlfn.XLOOKUP(B195,Disk_Pivot!G:G,Disk_Pivot!N:N)</f>
        <v/>
      </c>
    </row>
    <row r="196" spans="6:32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C196">IFERROR(IF(_xlfn.XLOOKUP(B196,Input!J:J,Input!N:V)=0,"",
          _xlfn.XLOOKUP(B196,Input!J:J,Input!N:V)),"")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s="13" t="str">
        <v/>
      </c>
      <c r="AD196" t="str">
        <f t="shared" si="10"/>
        <v/>
      </c>
      <c r="AE196" t="str">
        <f>_xlfn.XLOOKUP(B:B,Disk_Pivot!G:G,Disk_Pivot!I:I)</f>
        <v>No</v>
      </c>
      <c r="AF196" t="str">
        <f>_xlfn.XLOOKUP(B196,Disk_Pivot!G:G,Disk_Pivot!N:N)</f>
        <v/>
      </c>
    </row>
    <row r="197" spans="6:32">
      <c r="F197">
        <f>_xlfn.XLOOKUP(H197,Models!B:B,Models!F:F,"")</f>
        <v>0</v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C197">IFERROR(IF(_xlfn.XLOOKUP(B197,Input!J:J,Input!N:V)=0,"",
          _xlfn.XLOOKUP(B197,Input!J:J,Input!N:V)),"")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s="13" t="str">
        <v/>
      </c>
      <c r="AD197" t="str">
        <f t="shared" si="10"/>
        <v/>
      </c>
      <c r="AE197" t="str">
        <f>_xlfn.XLOOKUP(B:B,Disk_Pivot!G:G,Disk_Pivot!I:I)</f>
        <v>No</v>
      </c>
      <c r="AF197" t="str">
        <f>_xlfn.XLOOKUP(B197,Disk_Pivot!G:G,Disk_Pivot!N:N)</f>
        <v/>
      </c>
    </row>
    <row r="198" spans="6:32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C198">IFERROR(IF(_xlfn.XLOOKUP(B198,Input!J:J,Input!N:V)=0,"",
          _xlfn.XLOOKUP(B198,Input!J:J,Input!N:V)),"")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s="13" t="str">
        <v/>
      </c>
      <c r="AD198" t="str">
        <f t="shared" si="10"/>
        <v/>
      </c>
      <c r="AE198" t="str">
        <f>_xlfn.XLOOKUP(B:B,Disk_Pivot!G:G,Disk_Pivot!I:I)</f>
        <v>No</v>
      </c>
      <c r="AF198" t="str">
        <f>_xlfn.XLOOKUP(B198,Disk_Pivot!G:G,Disk_Pivot!N:N)</f>
        <v/>
      </c>
    </row>
    <row r="199" spans="6:32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C199">IFERROR(IF(_xlfn.XLOOKUP(B199,Input!J:J,Input!N:V)=0,"",
          _xlfn.XLOOKUP(B199,Input!J:J,Input!N:V)),"")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s="13" t="str">
        <v/>
      </c>
      <c r="AD199" t="str">
        <f t="shared" si="10"/>
        <v/>
      </c>
      <c r="AE199" t="str">
        <f>_xlfn.XLOOKUP(B:B,Disk_Pivot!G:G,Disk_Pivot!I:I)</f>
        <v>No</v>
      </c>
      <c r="AF199" t="str">
        <f>_xlfn.XLOOKUP(B199,Disk_Pivot!G:G,Disk_Pivot!N:N)</f>
        <v/>
      </c>
    </row>
    <row r="200" spans="6:32">
      <c r="F200">
        <f>_xlfn.XLOOKUP(H200,Models!B:B,Models!F:F,"")</f>
        <v>0</v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C200">IFERROR(IF(_xlfn.XLOOKUP(B200,Input!J:J,Input!N:V)=0,"",
          _xlfn.XLOOKUP(B200,Input!J:J,Input!N:V)),"")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s="13" t="str">
        <v/>
      </c>
      <c r="AD200" t="str">
        <f t="shared" si="10"/>
        <v/>
      </c>
      <c r="AE200" t="str">
        <f>_xlfn.XLOOKUP(B:B,Disk_Pivot!G:G,Disk_Pivot!I:I)</f>
        <v>No</v>
      </c>
      <c r="AF200" t="str">
        <f>_xlfn.XLOOKUP(B200,Disk_Pivot!G:G,Disk_Pivot!N:N)</f>
        <v/>
      </c>
    </row>
    <row r="201" spans="6:32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C201">IFERROR(IF(_xlfn.XLOOKUP(B201,Input!J:J,Input!N:V)=0,"",
          _xlfn.XLOOKUP(B201,Input!J:J,Input!N:V)),"")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s="13" t="str">
        <v/>
      </c>
      <c r="AD201" t="str">
        <f t="shared" si="10"/>
        <v/>
      </c>
      <c r="AE201" t="str">
        <f>_xlfn.XLOOKUP(B:B,Disk_Pivot!G:G,Disk_Pivot!I:I)</f>
        <v>No</v>
      </c>
      <c r="AF201" t="str">
        <f>_xlfn.XLOOKUP(B201,Disk_Pivot!G:G,Disk_Pivot!N:N)</f>
        <v/>
      </c>
    </row>
    <row r="202" spans="6:32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C202">IFERROR(IF(_xlfn.XLOOKUP(B202,Input!J:J,Input!N:V)=0,"",
          _xlfn.XLOOKUP(B202,Input!J:J,Input!N:V)),"")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s="13" t="str">
        <v/>
      </c>
      <c r="AD202" t="str">
        <f t="shared" si="10"/>
        <v/>
      </c>
      <c r="AE202" t="str">
        <f>_xlfn.XLOOKUP(B:B,Disk_Pivot!G:G,Disk_Pivot!I:I)</f>
        <v>No</v>
      </c>
      <c r="AF202" t="str">
        <f>_xlfn.XLOOKUP(B202,Disk_Pivot!G:G,Disk_Pivot!N:N)</f>
        <v/>
      </c>
    </row>
    <row r="203" spans="6:32">
      <c r="F203">
        <f>_xlfn.XLOOKUP(H203,Models!B:B,Models!F:F,"")</f>
        <v>0</v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C203">IFERROR(IF(_xlfn.XLOOKUP(B203,Input!J:J,Input!N:V)=0,"",
          _xlfn.XLOOKUP(B203,Input!J:J,Input!N:V)),"")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s="13" t="str">
        <v/>
      </c>
      <c r="AD203" t="str">
        <f t="shared" si="10"/>
        <v/>
      </c>
      <c r="AE203" t="str">
        <f>_xlfn.XLOOKUP(B:B,Disk_Pivot!G:G,Disk_Pivot!I:I)</f>
        <v>No</v>
      </c>
      <c r="AF203" t="str">
        <f>_xlfn.XLOOKUP(B203,Disk_Pivot!G:G,Disk_Pivot!N:N)</f>
        <v/>
      </c>
    </row>
    <row r="204" spans="6:32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C204">IFERROR(IF(_xlfn.XLOOKUP(B204,Input!J:J,Input!N:V)=0,"",
          _xlfn.XLOOKUP(B204,Input!J:J,Input!N:V)),"")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s="13" t="str">
        <v/>
      </c>
      <c r="AD204" t="str">
        <f t="shared" si="10"/>
        <v/>
      </c>
      <c r="AE204" t="str">
        <f>_xlfn.XLOOKUP(B:B,Disk_Pivot!G:G,Disk_Pivot!I:I)</f>
        <v>No</v>
      </c>
      <c r="AF204" t="str">
        <f>_xlfn.XLOOKUP(B204,Disk_Pivot!G:G,Disk_Pivot!N:N)</f>
        <v/>
      </c>
    </row>
    <row r="205" spans="6:32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C205">IFERROR(IF(_xlfn.XLOOKUP(B205,Input!J:J,Input!N:V)=0,"",
          _xlfn.XLOOKUP(B205,Input!J:J,Input!N:V)),"")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s="13" t="str">
        <v/>
      </c>
      <c r="AD205" t="str">
        <f t="shared" si="10"/>
        <v/>
      </c>
      <c r="AE205" t="str">
        <f>_xlfn.XLOOKUP(B:B,Disk_Pivot!G:G,Disk_Pivot!I:I)</f>
        <v>No</v>
      </c>
      <c r="AF205" t="str">
        <f>_xlfn.XLOOKUP(B205,Disk_Pivot!G:G,Disk_Pivot!N:N)</f>
        <v/>
      </c>
    </row>
    <row r="206" spans="6:32">
      <c r="F206">
        <f>_xlfn.XLOOKUP(H206,Models!B:B,Models!F:F,"")</f>
        <v>0</v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C206">IFERROR(IF(_xlfn.XLOOKUP(B206,Input!J:J,Input!N:V)=0,"",
          _xlfn.XLOOKUP(B206,Input!J:J,Input!N:V)),"")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s="13" t="str">
        <v/>
      </c>
      <c r="AD206" t="str">
        <f t="shared" si="10"/>
        <v/>
      </c>
      <c r="AE206" t="str">
        <f>_xlfn.XLOOKUP(B:B,Disk_Pivot!G:G,Disk_Pivot!I:I)</f>
        <v>No</v>
      </c>
      <c r="AF206" t="str">
        <f>_xlfn.XLOOKUP(B206,Disk_Pivot!G:G,Disk_Pivot!N:N)</f>
        <v/>
      </c>
    </row>
    <row r="207" spans="6:32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C207">IFERROR(IF(_xlfn.XLOOKUP(B207,Input!J:J,Input!N:V)=0,"",
          _xlfn.XLOOKUP(B207,Input!J:J,Input!N:V)),"")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s="13" t="str">
        <v/>
      </c>
      <c r="AD207" t="str">
        <f t="shared" si="10"/>
        <v/>
      </c>
      <c r="AE207" t="str">
        <f>_xlfn.XLOOKUP(B:B,Disk_Pivot!G:G,Disk_Pivot!I:I)</f>
        <v>No</v>
      </c>
      <c r="AF207" t="str">
        <f>_xlfn.XLOOKUP(B207,Disk_Pivot!G:G,Disk_Pivot!N:N)</f>
        <v/>
      </c>
    </row>
    <row r="208" spans="6:32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C208">IFERROR(IF(_xlfn.XLOOKUP(B208,Input!J:J,Input!N:V)=0,"",
          _xlfn.XLOOKUP(B208,Input!J:J,Input!N:V)),"")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s="13" t="str">
        <v/>
      </c>
      <c r="AD208" t="str">
        <f t="shared" si="10"/>
        <v/>
      </c>
      <c r="AE208" t="str">
        <f>_xlfn.XLOOKUP(B:B,Disk_Pivot!G:G,Disk_Pivot!I:I)</f>
        <v>No</v>
      </c>
      <c r="AF208" t="str">
        <f>_xlfn.XLOOKUP(B208,Disk_Pivot!G:G,Disk_Pivot!N:N)</f>
        <v/>
      </c>
    </row>
    <row r="209" spans="6:32">
      <c r="F209">
        <f>_xlfn.XLOOKUP(H209,Models!B:B,Models!F:F,"")</f>
        <v>0</v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C209">IFERROR(IF(_xlfn.XLOOKUP(B209,Input!J:J,Input!N:V)=0,"",
          _xlfn.XLOOKUP(B209,Input!J:J,Input!N:V)),"")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s="13" t="str">
        <v/>
      </c>
      <c r="AD209" t="str">
        <f t="shared" si="10"/>
        <v/>
      </c>
      <c r="AE209" t="str">
        <f>_xlfn.XLOOKUP(B:B,Disk_Pivot!G:G,Disk_Pivot!I:I)</f>
        <v>No</v>
      </c>
      <c r="AF209" t="str">
        <f>_xlfn.XLOOKUP(B209,Disk_Pivot!G:G,Disk_Pivot!N:N)</f>
        <v/>
      </c>
    </row>
    <row r="210" spans="6:32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C210">IFERROR(IF(_xlfn.XLOOKUP(B210,Input!J:J,Input!N:V)=0,"",
          _xlfn.XLOOKUP(B210,Input!J:J,Input!N:V)),"")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s="13" t="str">
        <v/>
      </c>
      <c r="AD210" t="str">
        <f t="shared" si="10"/>
        <v/>
      </c>
      <c r="AE210" t="str">
        <f>_xlfn.XLOOKUP(B:B,Disk_Pivot!G:G,Disk_Pivot!I:I)</f>
        <v>No</v>
      </c>
      <c r="AF210" t="str">
        <f>_xlfn.XLOOKUP(B210,Disk_Pivot!G:G,Disk_Pivot!N:N)</f>
        <v/>
      </c>
    </row>
    <row r="211" spans="6:32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C211">IFERROR(IF(_xlfn.XLOOKUP(B211,Input!J:J,Input!N:V)=0,"",
          _xlfn.XLOOKUP(B211,Input!J:J,Input!N:V)),"")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s="13" t="str">
        <v/>
      </c>
      <c r="AD211" t="str">
        <f t="shared" si="10"/>
        <v/>
      </c>
      <c r="AE211" t="str">
        <f>_xlfn.XLOOKUP(B:B,Disk_Pivot!G:G,Disk_Pivot!I:I)</f>
        <v>No</v>
      </c>
      <c r="AF211" t="str">
        <f>_xlfn.XLOOKUP(B211,Disk_Pivot!G:G,Disk_Pivot!N:N)</f>
        <v/>
      </c>
    </row>
    <row r="212" spans="6:32">
      <c r="F212">
        <f>_xlfn.XLOOKUP(H212,Models!B:B,Models!F:F,"")</f>
        <v>0</v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C212">IFERROR(IF(_xlfn.XLOOKUP(B212,Input!J:J,Input!N:V)=0,"",
          _xlfn.XLOOKUP(B212,Input!J:J,Input!N:V)),"")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s="13" t="str">
        <v/>
      </c>
      <c r="AD212" t="str">
        <f t="shared" si="10"/>
        <v/>
      </c>
      <c r="AE212" t="str">
        <f>_xlfn.XLOOKUP(B:B,Disk_Pivot!G:G,Disk_Pivot!I:I)</f>
        <v>No</v>
      </c>
      <c r="AF212" t="str">
        <f>_xlfn.XLOOKUP(B212,Disk_Pivot!G:G,Disk_Pivot!N:N)</f>
        <v/>
      </c>
    </row>
    <row r="213" spans="6:32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C213">IFERROR(IF(_xlfn.XLOOKUP(B213,Input!J:J,Input!N:V)=0,"",
          _xlfn.XLOOKUP(B213,Input!J:J,Input!N:V)),"")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s="13" t="str">
        <v/>
      </c>
      <c r="AD213" t="str">
        <f t="shared" si="10"/>
        <v/>
      </c>
      <c r="AE213" t="str">
        <f>_xlfn.XLOOKUP(B:B,Disk_Pivot!G:G,Disk_Pivot!I:I)</f>
        <v>No</v>
      </c>
      <c r="AF213" t="str">
        <f>_xlfn.XLOOKUP(B213,Disk_Pivot!G:G,Disk_Pivot!N:N)</f>
        <v/>
      </c>
    </row>
    <row r="214" spans="6:32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C214">IFERROR(IF(_xlfn.XLOOKUP(B214,Input!J:J,Input!N:V)=0,"",
          _xlfn.XLOOKUP(B214,Input!J:J,Input!N:V)),"")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s="13" t="str">
        <v/>
      </c>
      <c r="AD214" t="str">
        <f t="shared" si="10"/>
        <v/>
      </c>
      <c r="AE214" t="str">
        <f>_xlfn.XLOOKUP(B:B,Disk_Pivot!G:G,Disk_Pivot!I:I)</f>
        <v>No</v>
      </c>
      <c r="AF214" t="str">
        <f>_xlfn.XLOOKUP(B214,Disk_Pivot!G:G,Disk_Pivot!N:N)</f>
        <v/>
      </c>
    </row>
    <row r="215" spans="6:32">
      <c r="F215">
        <f>_xlfn.XLOOKUP(H215,Models!B:B,Models!F:F,"")</f>
        <v>0</v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C215">IFERROR(IF(_xlfn.XLOOKUP(B215,Input!J:J,Input!N:V)=0,"",
          _xlfn.XLOOKUP(B215,Input!J:J,Input!N:V)),"")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s="13" t="str">
        <v/>
      </c>
      <c r="AD215" t="str">
        <f t="shared" si="10"/>
        <v/>
      </c>
      <c r="AE215" t="str">
        <f>_xlfn.XLOOKUP(B:B,Disk_Pivot!G:G,Disk_Pivot!I:I)</f>
        <v>No</v>
      </c>
      <c r="AF215" t="str">
        <f>_xlfn.XLOOKUP(B215,Disk_Pivot!G:G,Disk_Pivot!N:N)</f>
        <v/>
      </c>
    </row>
    <row r="216" spans="6:32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C216">IFERROR(IF(_xlfn.XLOOKUP(B216,Input!J:J,Input!N:V)=0,"",
          _xlfn.XLOOKUP(B216,Input!J:J,Input!N:V)),"")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s="13" t="str">
        <v/>
      </c>
      <c r="AD216" t="str">
        <f t="shared" si="10"/>
        <v/>
      </c>
      <c r="AE216" t="str">
        <f>_xlfn.XLOOKUP(B:B,Disk_Pivot!G:G,Disk_Pivot!I:I)</f>
        <v>No</v>
      </c>
      <c r="AF216" t="str">
        <f>_xlfn.XLOOKUP(B216,Disk_Pivot!G:G,Disk_Pivot!N:N)</f>
        <v/>
      </c>
    </row>
    <row r="217" spans="6:32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C217">IFERROR(IF(_xlfn.XLOOKUP(B217,Input!J:J,Input!N:V)=0,"",
          _xlfn.XLOOKUP(B217,Input!J:J,Input!N:V)),"")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s="13" t="str">
        <v/>
      </c>
      <c r="AD217" t="str">
        <f t="shared" si="10"/>
        <v/>
      </c>
      <c r="AE217" t="str">
        <f>_xlfn.XLOOKUP(B:B,Disk_Pivot!G:G,Disk_Pivot!I:I)</f>
        <v>No</v>
      </c>
      <c r="AF217" t="str">
        <f>_xlfn.XLOOKUP(B217,Disk_Pivot!G:G,Disk_Pivot!N:N)</f>
        <v/>
      </c>
    </row>
    <row r="218" spans="6:32">
      <c r="F218">
        <f>_xlfn.XLOOKUP(H218,Models!B:B,Models!F:F,"")</f>
        <v>0</v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C218">IFERROR(IF(_xlfn.XLOOKUP(B218,Input!J:J,Input!N:V)=0,"",
          _xlfn.XLOOKUP(B218,Input!J:J,Input!N:V)),"")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s="13" t="str">
        <v/>
      </c>
      <c r="AD218" t="str">
        <f t="shared" si="10"/>
        <v/>
      </c>
      <c r="AE218" t="str">
        <f>_xlfn.XLOOKUP(B:B,Disk_Pivot!G:G,Disk_Pivot!I:I)</f>
        <v>No</v>
      </c>
      <c r="AF218" t="str">
        <f>_xlfn.XLOOKUP(B218,Disk_Pivot!G:G,Disk_Pivot!N:N)</f>
        <v/>
      </c>
    </row>
    <row r="219" spans="6:32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C219">IFERROR(IF(_xlfn.XLOOKUP(B219,Input!J:J,Input!N:V)=0,"",
          _xlfn.XLOOKUP(B219,Input!J:J,Input!N:V)),"")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s="13" t="str">
        <v/>
      </c>
      <c r="AD219" t="str">
        <f t="shared" si="10"/>
        <v/>
      </c>
      <c r="AE219" t="str">
        <f>_xlfn.XLOOKUP(B:B,Disk_Pivot!G:G,Disk_Pivot!I:I)</f>
        <v>No</v>
      </c>
      <c r="AF219" t="str">
        <f>_xlfn.XLOOKUP(B219,Disk_Pivot!G:G,Disk_Pivot!N:N)</f>
        <v/>
      </c>
    </row>
    <row r="220" spans="6:32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C220">IFERROR(IF(_xlfn.XLOOKUP(B220,Input!J:J,Input!N:V)=0,"",
          _xlfn.XLOOKUP(B220,Input!J:J,Input!N:V)),"")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s="13" t="str">
        <v/>
      </c>
      <c r="AD220" t="str">
        <f t="shared" si="10"/>
        <v/>
      </c>
      <c r="AE220" t="str">
        <f>_xlfn.XLOOKUP(B:B,Disk_Pivot!G:G,Disk_Pivot!I:I)</f>
        <v>No</v>
      </c>
      <c r="AF220" t="str">
        <f>_xlfn.XLOOKUP(B220,Disk_Pivot!G:G,Disk_Pivot!N:N)</f>
        <v/>
      </c>
    </row>
    <row r="221" spans="6:32">
      <c r="F221">
        <f>_xlfn.XLOOKUP(H221,Models!B:B,Models!F:F,"")</f>
        <v>0</v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C221">IFERROR(IF(_xlfn.XLOOKUP(B221,Input!J:J,Input!N:V)=0,"",
          _xlfn.XLOOKUP(B221,Input!J:J,Input!N:V)),"")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s="13" t="str">
        <v/>
      </c>
      <c r="AD221" t="str">
        <f t="shared" si="10"/>
        <v/>
      </c>
      <c r="AE221" t="str">
        <f>_xlfn.XLOOKUP(B:B,Disk_Pivot!G:G,Disk_Pivot!I:I)</f>
        <v>No</v>
      </c>
      <c r="AF221" t="str">
        <f>_xlfn.XLOOKUP(B221,Disk_Pivot!G:G,Disk_Pivot!N:N)</f>
        <v/>
      </c>
    </row>
    <row r="222" spans="6:32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C222">IFERROR(IF(_xlfn.XLOOKUP(B222,Input!J:J,Input!N:V)=0,"",
          _xlfn.XLOOKUP(B222,Input!J:J,Input!N:V)),"")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s="13" t="str">
        <v/>
      </c>
      <c r="AD222" t="str">
        <f t="shared" si="10"/>
        <v/>
      </c>
      <c r="AE222" t="str">
        <f>_xlfn.XLOOKUP(B:B,Disk_Pivot!G:G,Disk_Pivot!I:I)</f>
        <v>No</v>
      </c>
      <c r="AF222" t="str">
        <f>_xlfn.XLOOKUP(B222,Disk_Pivot!G:G,Disk_Pivot!N:N)</f>
        <v/>
      </c>
    </row>
    <row r="223" spans="6:32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C223">IFERROR(IF(_xlfn.XLOOKUP(B223,Input!J:J,Input!N:V)=0,"",
          _xlfn.XLOOKUP(B223,Input!J:J,Input!N:V)),"")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s="13" t="str">
        <v/>
      </c>
      <c r="AD223" t="str">
        <f t="shared" si="10"/>
        <v/>
      </c>
      <c r="AE223" t="str">
        <f>_xlfn.XLOOKUP(B:B,Disk_Pivot!G:G,Disk_Pivot!I:I)</f>
        <v>No</v>
      </c>
      <c r="AF223" t="str">
        <f>_xlfn.XLOOKUP(B223,Disk_Pivot!G:G,Disk_Pivot!N:N)</f>
        <v/>
      </c>
    </row>
    <row r="224" spans="6:32">
      <c r="F224">
        <f>_xlfn.XLOOKUP(H224,Models!B:B,Models!F:F,"")</f>
        <v>0</v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C224">IFERROR(IF(_xlfn.XLOOKUP(B224,Input!J:J,Input!N:V)=0,"",
          _xlfn.XLOOKUP(B224,Input!J:J,Input!N:V)),"")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s="13" t="str">
        <v/>
      </c>
      <c r="AD224" t="str">
        <f t="shared" si="10"/>
        <v/>
      </c>
      <c r="AE224" t="str">
        <f>_xlfn.XLOOKUP(B:B,Disk_Pivot!G:G,Disk_Pivot!I:I)</f>
        <v>No</v>
      </c>
      <c r="AF224" t="str">
        <f>_xlfn.XLOOKUP(B224,Disk_Pivot!G:G,Disk_Pivot!N:N)</f>
        <v/>
      </c>
    </row>
    <row r="225" spans="6:32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C225">IFERROR(IF(_xlfn.XLOOKUP(B225,Input!J:J,Input!N:V)=0,"",
          _xlfn.XLOOKUP(B225,Input!J:J,Input!N:V)),"")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s="13" t="str">
        <v/>
      </c>
      <c r="AD225" t="str">
        <f t="shared" si="10"/>
        <v/>
      </c>
      <c r="AE225" t="str">
        <f>_xlfn.XLOOKUP(B:B,Disk_Pivot!G:G,Disk_Pivot!I:I)</f>
        <v>No</v>
      </c>
      <c r="AF225" t="str">
        <f>_xlfn.XLOOKUP(B225,Disk_Pivot!G:G,Disk_Pivot!N:N)</f>
        <v/>
      </c>
    </row>
    <row r="226" spans="6:32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C226">IFERROR(IF(_xlfn.XLOOKUP(B226,Input!J:J,Input!N:V)=0,"",
          _xlfn.XLOOKUP(B226,Input!J:J,Input!N:V)),"")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s="13" t="str">
        <v/>
      </c>
      <c r="AD226" t="str">
        <f t="shared" si="10"/>
        <v/>
      </c>
      <c r="AE226" t="str">
        <f>_xlfn.XLOOKUP(B:B,Disk_Pivot!G:G,Disk_Pivot!I:I)</f>
        <v>No</v>
      </c>
      <c r="AF226" t="str">
        <f>_xlfn.XLOOKUP(B226,Disk_Pivot!G:G,Disk_Pivot!N:N)</f>
        <v/>
      </c>
    </row>
    <row r="227" spans="6:32">
      <c r="F227">
        <f>_xlfn.XLOOKUP(H227,Models!B:B,Models!F:F,"")</f>
        <v>0</v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C227">IFERROR(IF(_xlfn.XLOOKUP(B227,Input!J:J,Input!N:V)=0,"",
          _xlfn.XLOOKUP(B227,Input!J:J,Input!N:V)),"")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s="13" t="str">
        <v/>
      </c>
      <c r="AD227" t="str">
        <f t="shared" si="10"/>
        <v/>
      </c>
      <c r="AE227" t="str">
        <f>_xlfn.XLOOKUP(B:B,Disk_Pivot!G:G,Disk_Pivot!I:I)</f>
        <v>No</v>
      </c>
      <c r="AF227" t="str">
        <f>_xlfn.XLOOKUP(B227,Disk_Pivot!G:G,Disk_Pivot!N:N)</f>
        <v/>
      </c>
    </row>
    <row r="228" spans="6:32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C228">IFERROR(IF(_xlfn.XLOOKUP(B228,Input!J:J,Input!N:V)=0,"",
          _xlfn.XLOOKUP(B228,Input!J:J,Input!N:V)),"")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s="13" t="str">
        <v/>
      </c>
      <c r="AD228" t="str">
        <f t="shared" si="10"/>
        <v/>
      </c>
      <c r="AE228" t="str">
        <f>_xlfn.XLOOKUP(B:B,Disk_Pivot!G:G,Disk_Pivot!I:I)</f>
        <v>No</v>
      </c>
      <c r="AF228" t="str">
        <f>_xlfn.XLOOKUP(B228,Disk_Pivot!G:G,Disk_Pivot!N:N)</f>
        <v/>
      </c>
    </row>
    <row r="229" spans="6:32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C229">IFERROR(IF(_xlfn.XLOOKUP(B229,Input!J:J,Input!N:V)=0,"",
          _xlfn.XLOOKUP(B229,Input!J:J,Input!N:V)),"")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s="13" t="str">
        <v/>
      </c>
      <c r="AD229" t="str">
        <f t="shared" si="10"/>
        <v/>
      </c>
      <c r="AE229" t="str">
        <f>_xlfn.XLOOKUP(B:B,Disk_Pivot!G:G,Disk_Pivot!I:I)</f>
        <v>No</v>
      </c>
      <c r="AF229" t="str">
        <f>_xlfn.XLOOKUP(B229,Disk_Pivot!G:G,Disk_Pivot!N:N)</f>
        <v/>
      </c>
    </row>
    <row r="230" spans="6:32">
      <c r="F230">
        <f>_xlfn.XLOOKUP(H230,Models!B:B,Models!F:F,"")</f>
        <v>0</v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C230">IFERROR(IF(_xlfn.XLOOKUP(B230,Input!J:J,Input!N:V)=0,"",
          _xlfn.XLOOKUP(B230,Input!J:J,Input!N:V)),"")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s="13" t="str">
        <v/>
      </c>
      <c r="AD230" t="str">
        <f t="shared" si="10"/>
        <v/>
      </c>
      <c r="AE230" t="str">
        <f>_xlfn.XLOOKUP(B:B,Disk_Pivot!G:G,Disk_Pivot!I:I)</f>
        <v>No</v>
      </c>
      <c r="AF230" t="str">
        <f>_xlfn.XLOOKUP(B230,Disk_Pivot!G:G,Disk_Pivot!N:N)</f>
        <v/>
      </c>
    </row>
    <row r="231" spans="6:32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C231">IFERROR(IF(_xlfn.XLOOKUP(B231,Input!J:J,Input!N:V)=0,"",
          _xlfn.XLOOKUP(B231,Input!J:J,Input!N:V)),"")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s="13" t="str">
        <v/>
      </c>
      <c r="AD231" t="str">
        <f t="shared" si="10"/>
        <v/>
      </c>
      <c r="AE231" t="str">
        <f>_xlfn.XLOOKUP(B:B,Disk_Pivot!G:G,Disk_Pivot!I:I)</f>
        <v>No</v>
      </c>
      <c r="AF231" t="str">
        <f>_xlfn.XLOOKUP(B231,Disk_Pivot!G:G,Disk_Pivot!N:N)</f>
        <v/>
      </c>
    </row>
    <row r="232" spans="6:32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C232">IFERROR(IF(_xlfn.XLOOKUP(B232,Input!J:J,Input!N:V)=0,"",
          _xlfn.XLOOKUP(B232,Input!J:J,Input!N:V)),"")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s="13" t="str">
        <v/>
      </c>
      <c r="AD232" t="str">
        <f t="shared" si="10"/>
        <v/>
      </c>
      <c r="AE232" t="str">
        <f>_xlfn.XLOOKUP(B:B,Disk_Pivot!G:G,Disk_Pivot!I:I)</f>
        <v>No</v>
      </c>
      <c r="AF232" t="str">
        <f>_xlfn.XLOOKUP(B232,Disk_Pivot!G:G,Disk_Pivot!N:N)</f>
        <v/>
      </c>
    </row>
    <row r="233" spans="6:32">
      <c r="F233">
        <f>_xlfn.XLOOKUP(H233,Models!B:B,Models!F:F,"")</f>
        <v>0</v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C233">IFERROR(IF(_xlfn.XLOOKUP(B233,Input!J:J,Input!N:V)=0,"",
          _xlfn.XLOOKUP(B233,Input!J:J,Input!N:V)),"")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s="13" t="str">
        <v/>
      </c>
      <c r="AD233" t="str">
        <f t="shared" si="10"/>
        <v/>
      </c>
      <c r="AE233" t="str">
        <f>_xlfn.XLOOKUP(B:B,Disk_Pivot!G:G,Disk_Pivot!I:I)</f>
        <v>No</v>
      </c>
      <c r="AF233" t="str">
        <f>_xlfn.XLOOKUP(B233,Disk_Pivot!G:G,Disk_Pivot!N:N)</f>
        <v/>
      </c>
    </row>
    <row r="234" spans="6:32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C234">IFERROR(IF(_xlfn.XLOOKUP(B234,Input!J:J,Input!N:V)=0,"",
          _xlfn.XLOOKUP(B234,Input!J:J,Input!N:V)),"")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s="13" t="str">
        <v/>
      </c>
      <c r="AD234" t="str">
        <f t="shared" si="10"/>
        <v/>
      </c>
      <c r="AE234" t="str">
        <f>_xlfn.XLOOKUP(B:B,Disk_Pivot!G:G,Disk_Pivot!I:I)</f>
        <v>No</v>
      </c>
      <c r="AF234" t="str">
        <f>_xlfn.XLOOKUP(B234,Disk_Pivot!G:G,Disk_Pivot!N:N)</f>
        <v/>
      </c>
    </row>
    <row r="235" spans="6:32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C235">IFERROR(IF(_xlfn.XLOOKUP(B235,Input!J:J,Input!N:V)=0,"",
          _xlfn.XLOOKUP(B235,Input!J:J,Input!N:V)),"")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s="13" t="str">
        <v/>
      </c>
      <c r="AD235" t="str">
        <f t="shared" si="10"/>
        <v/>
      </c>
      <c r="AE235" t="str">
        <f>_xlfn.XLOOKUP(B:B,Disk_Pivot!G:G,Disk_Pivot!I:I)</f>
        <v>No</v>
      </c>
      <c r="AF235" t="str">
        <f>_xlfn.XLOOKUP(B235,Disk_Pivot!G:G,Disk_Pivot!N:N)</f>
        <v/>
      </c>
    </row>
    <row r="236" spans="6:32">
      <c r="F236">
        <f>_xlfn.XLOOKUP(H236,Models!B:B,Models!F:F,"")</f>
        <v>0</v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C236">IFERROR(IF(_xlfn.XLOOKUP(B236,Input!J:J,Input!N:V)=0,"",
          _xlfn.XLOOKUP(B236,Input!J:J,Input!N:V)),"")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s="13" t="str">
        <v/>
      </c>
      <c r="AD236" t="str">
        <f t="shared" si="10"/>
        <v/>
      </c>
      <c r="AE236" t="str">
        <f>_xlfn.XLOOKUP(B:B,Disk_Pivot!G:G,Disk_Pivot!I:I)</f>
        <v>No</v>
      </c>
      <c r="AF236" t="str">
        <f>_xlfn.XLOOKUP(B236,Disk_Pivot!G:G,Disk_Pivot!N:N)</f>
        <v/>
      </c>
    </row>
    <row r="237" spans="6:32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C237">IFERROR(IF(_xlfn.XLOOKUP(B237,Input!J:J,Input!N:V)=0,"",
          _xlfn.XLOOKUP(B237,Input!J:J,Input!N:V)),"")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s="13" t="str">
        <v/>
      </c>
      <c r="AD237" t="str">
        <f t="shared" si="10"/>
        <v/>
      </c>
      <c r="AE237" t="str">
        <f>_xlfn.XLOOKUP(B:B,Disk_Pivot!G:G,Disk_Pivot!I:I)</f>
        <v>No</v>
      </c>
      <c r="AF237" t="str">
        <f>_xlfn.XLOOKUP(B237,Disk_Pivot!G:G,Disk_Pivot!N:N)</f>
        <v/>
      </c>
    </row>
    <row r="238" spans="6:32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C238">IFERROR(IF(_xlfn.XLOOKUP(B238,Input!J:J,Input!N:V)=0,"",
          _xlfn.XLOOKUP(B238,Input!J:J,Input!N:V)),"")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s="13" t="str">
        <v/>
      </c>
      <c r="AD238" t="str">
        <f t="shared" si="10"/>
        <v/>
      </c>
      <c r="AE238" t="str">
        <f>_xlfn.XLOOKUP(B:B,Disk_Pivot!G:G,Disk_Pivot!I:I)</f>
        <v>No</v>
      </c>
      <c r="AF238" t="str">
        <f>_xlfn.XLOOKUP(B238,Disk_Pivot!G:G,Disk_Pivot!N:N)</f>
        <v/>
      </c>
    </row>
    <row r="239" spans="6:32">
      <c r="F239">
        <f>_xlfn.XLOOKUP(H239,Models!B:B,Models!F:F,"")</f>
        <v>0</v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C239">IFERROR(IF(_xlfn.XLOOKUP(B239,Input!J:J,Input!N:V)=0,"",
          _xlfn.XLOOKUP(B239,Input!J:J,Input!N:V)),"")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s="13" t="str">
        <v/>
      </c>
      <c r="AD239" t="str">
        <f t="shared" si="10"/>
        <v/>
      </c>
      <c r="AE239" t="str">
        <f>_xlfn.XLOOKUP(B:B,Disk_Pivot!G:G,Disk_Pivot!I:I)</f>
        <v>No</v>
      </c>
      <c r="AF239" t="str">
        <f>_xlfn.XLOOKUP(B239,Disk_Pivot!G:G,Disk_Pivot!N:N)</f>
        <v/>
      </c>
    </row>
    <row r="240" spans="6:32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C240">IFERROR(IF(_xlfn.XLOOKUP(B240,Input!J:J,Input!N:V)=0,"",
          _xlfn.XLOOKUP(B240,Input!J:J,Input!N:V)),"")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s="13" t="str">
        <v/>
      </c>
      <c r="AD240" t="str">
        <f t="shared" si="10"/>
        <v/>
      </c>
      <c r="AE240" t="str">
        <f>_xlfn.XLOOKUP(B:B,Disk_Pivot!G:G,Disk_Pivot!I:I)</f>
        <v>No</v>
      </c>
      <c r="AF240" t="str">
        <f>_xlfn.XLOOKUP(B240,Disk_Pivot!G:G,Disk_Pivot!N:N)</f>
        <v/>
      </c>
    </row>
    <row r="241" spans="6:32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C241">IFERROR(IF(_xlfn.XLOOKUP(B241,Input!J:J,Input!N:V)=0,"",
          _xlfn.XLOOKUP(B241,Input!J:J,Input!N:V)),"")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s="13" t="str">
        <v/>
      </c>
      <c r="AD241" t="str">
        <f t="shared" si="10"/>
        <v/>
      </c>
      <c r="AE241" t="str">
        <f>_xlfn.XLOOKUP(B:B,Disk_Pivot!G:G,Disk_Pivot!I:I)</f>
        <v>No</v>
      </c>
      <c r="AF241" t="str">
        <f>_xlfn.XLOOKUP(B241,Disk_Pivot!G:G,Disk_Pivot!N:N)</f>
        <v/>
      </c>
    </row>
    <row r="242" spans="6:32">
      <c r="F242">
        <f>_xlfn.XLOOKUP(H242,Models!B:B,Models!F:F,"")</f>
        <v>0</v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C242">IFERROR(IF(_xlfn.XLOOKUP(B242,Input!J:J,Input!N:V)=0,"",
          _xlfn.XLOOKUP(B242,Input!J:J,Input!N:V)),"")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s="13" t="str">
        <v/>
      </c>
      <c r="AD242" t="str">
        <f t="shared" si="10"/>
        <v/>
      </c>
      <c r="AE242" t="str">
        <f>_xlfn.XLOOKUP(B:B,Disk_Pivot!G:G,Disk_Pivot!I:I)</f>
        <v>No</v>
      </c>
      <c r="AF242" t="str">
        <f>_xlfn.XLOOKUP(B242,Disk_Pivot!G:G,Disk_Pivot!N:N)</f>
        <v/>
      </c>
    </row>
    <row r="243" spans="6:32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C243">IFERROR(IF(_xlfn.XLOOKUP(B243,Input!J:J,Input!N:V)=0,"",
          _xlfn.XLOOKUP(B243,Input!J:J,Input!N:V)),"")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s="13" t="str">
        <v/>
      </c>
      <c r="AD243" t="str">
        <f t="shared" si="10"/>
        <v/>
      </c>
      <c r="AE243" t="str">
        <f>_xlfn.XLOOKUP(B:B,Disk_Pivot!G:G,Disk_Pivot!I:I)</f>
        <v>No</v>
      </c>
      <c r="AF243" t="str">
        <f>_xlfn.XLOOKUP(B243,Disk_Pivot!G:G,Disk_Pivot!N:N)</f>
        <v/>
      </c>
    </row>
    <row r="244" spans="6:32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C244">IFERROR(IF(_xlfn.XLOOKUP(B244,Input!J:J,Input!N:V)=0,"",
          _xlfn.XLOOKUP(B244,Input!J:J,Input!N:V)),"")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s="13" t="str">
        <v/>
      </c>
      <c r="AD244" t="str">
        <f t="shared" si="10"/>
        <v/>
      </c>
      <c r="AE244" t="str">
        <f>_xlfn.XLOOKUP(B:B,Disk_Pivot!G:G,Disk_Pivot!I:I)</f>
        <v>No</v>
      </c>
      <c r="AF244" t="str">
        <f>_xlfn.XLOOKUP(B244,Disk_Pivot!G:G,Disk_Pivot!N:N)</f>
        <v/>
      </c>
    </row>
    <row r="245" spans="6:32">
      <c r="F245">
        <f>_xlfn.XLOOKUP(H245,Models!B:B,Models!F:F,"")</f>
        <v>0</v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C245">IFERROR(IF(_xlfn.XLOOKUP(B245,Input!J:J,Input!N:V)=0,"",
          _xlfn.XLOOKUP(B245,Input!J:J,Input!N:V)),"")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s="13" t="str">
        <v/>
      </c>
      <c r="AD245" t="str">
        <f t="shared" si="10"/>
        <v/>
      </c>
      <c r="AE245" t="str">
        <f>_xlfn.XLOOKUP(B:B,Disk_Pivot!G:G,Disk_Pivot!I:I)</f>
        <v>No</v>
      </c>
      <c r="AF245" t="str">
        <f>_xlfn.XLOOKUP(B245,Disk_Pivot!G:G,Disk_Pivot!N:N)</f>
        <v/>
      </c>
    </row>
    <row r="246" spans="6:32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C246">IFERROR(IF(_xlfn.XLOOKUP(B246,Input!J:J,Input!N:V)=0,"",
          _xlfn.XLOOKUP(B246,Input!J:J,Input!N:V)),"")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s="13" t="str">
        <v/>
      </c>
      <c r="AD246" t="str">
        <f t="shared" si="10"/>
        <v/>
      </c>
      <c r="AE246" t="str">
        <f>_xlfn.XLOOKUP(B:B,Disk_Pivot!G:G,Disk_Pivot!I:I)</f>
        <v>No</v>
      </c>
      <c r="AF246" t="str">
        <f>_xlfn.XLOOKUP(B246,Disk_Pivot!G:G,Disk_Pivot!N:N)</f>
        <v/>
      </c>
    </row>
    <row r="247" spans="6:32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C247">IFERROR(IF(_xlfn.XLOOKUP(B247,Input!J:J,Input!N:V)=0,"",
          _xlfn.XLOOKUP(B247,Input!J:J,Input!N:V)),"")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s="13" t="str">
        <v/>
      </c>
      <c r="AD247" t="str">
        <f t="shared" si="10"/>
        <v/>
      </c>
      <c r="AE247" t="str">
        <f>_xlfn.XLOOKUP(B:B,Disk_Pivot!G:G,Disk_Pivot!I:I)</f>
        <v>No</v>
      </c>
      <c r="AF247" t="str">
        <f>_xlfn.XLOOKUP(B247,Disk_Pivot!G:G,Disk_Pivot!N:N)</f>
        <v/>
      </c>
    </row>
    <row r="248" spans="6:32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C248">IFERROR(IF(_xlfn.XLOOKUP(B248,Input!J:J,Input!N:V)=0,"",
          _xlfn.XLOOKUP(B248,Input!J:J,Input!N:V)),"")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s="13" t="str">
        <v/>
      </c>
      <c r="AD248" t="str">
        <f t="shared" si="10"/>
        <v/>
      </c>
      <c r="AE248" t="str">
        <f>_xlfn.XLOOKUP(B:B,Disk_Pivot!G:G,Disk_Pivot!I:I)</f>
        <v>No</v>
      </c>
      <c r="AF248" t="str">
        <f>_xlfn.XLOOKUP(B248,Disk_Pivot!G:G,Disk_Pivot!N:N)</f>
        <v/>
      </c>
    </row>
    <row r="249" spans="6:32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C249">IFERROR(IF(_xlfn.XLOOKUP(B249,Input!J:J,Input!N:V)=0,"",
          _xlfn.XLOOKUP(B249,Input!J:J,Input!N:V)),"")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s="13" t="str">
        <v/>
      </c>
      <c r="AD249" t="str">
        <f t="shared" si="10"/>
        <v/>
      </c>
      <c r="AE249" t="str">
        <f>_xlfn.XLOOKUP(B:B,Disk_Pivot!G:G,Disk_Pivot!I:I)</f>
        <v>No</v>
      </c>
      <c r="AF249" t="str">
        <f>_xlfn.XLOOKUP(B249,Disk_Pivot!G:G,Disk_Pivot!N:N)</f>
        <v/>
      </c>
    </row>
    <row r="250" spans="6:32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C250">IFERROR(IF(_xlfn.XLOOKUP(B250,Input!J:J,Input!N:V)=0,"",
          _xlfn.XLOOKUP(B250,Input!J:J,Input!N:V)),"")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s="13" t="str">
        <v/>
      </c>
      <c r="AD250" t="str">
        <f t="shared" si="10"/>
        <v/>
      </c>
      <c r="AE250" t="str">
        <f>_xlfn.XLOOKUP(B:B,Disk_Pivot!G:G,Disk_Pivot!I:I)</f>
        <v>No</v>
      </c>
      <c r="AF250" t="str">
        <f>_xlfn.XLOOKUP(B250,Disk_Pivot!G:G,Disk_Pivot!N:N)</f>
        <v/>
      </c>
    </row>
    <row r="251" spans="6:32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C251">IFERROR(IF(_xlfn.XLOOKUP(B251,Input!J:J,Input!N:V)=0,"",
          _xlfn.XLOOKUP(B251,Input!J:J,Input!N:V)),"")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s="13" t="str">
        <v/>
      </c>
      <c r="AD251" t="str">
        <f t="shared" si="10"/>
        <v/>
      </c>
      <c r="AE251" t="str">
        <f>_xlfn.XLOOKUP(B:B,Disk_Pivot!G:G,Disk_Pivot!I:I)</f>
        <v>No</v>
      </c>
      <c r="AF251" t="str">
        <f>_xlfn.XLOOKUP(B251,Disk_Pivot!G:G,Disk_Pivot!N:N)</f>
        <v/>
      </c>
    </row>
    <row r="252" spans="6:32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C252">IFERROR(IF(_xlfn.XLOOKUP(B252,Input!J:J,Input!N:V)=0,"",
          _xlfn.XLOOKUP(B252,Input!J:J,Input!N:V)),"")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s="13" t="str">
        <v/>
      </c>
      <c r="AD252" t="str">
        <f t="shared" si="10"/>
        <v/>
      </c>
      <c r="AE252" t="str">
        <f>_xlfn.XLOOKUP(B:B,Disk_Pivot!G:G,Disk_Pivot!I:I)</f>
        <v>No</v>
      </c>
      <c r="AF252" t="str">
        <f>_xlfn.XLOOKUP(B252,Disk_Pivot!G:G,Disk_Pivot!N:N)</f>
        <v/>
      </c>
    </row>
    <row r="253" spans="6:32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D253" t="str">
        <f t="shared" si="10"/>
        <v/>
      </c>
    </row>
    <row r="254" spans="6:32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D254" t="str">
        <f t="shared" si="10"/>
        <v/>
      </c>
    </row>
    <row r="255" spans="6:32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D255" t="str">
        <f t="shared" si="10"/>
        <v/>
      </c>
    </row>
    <row r="256" spans="6:32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D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B2" sqref="B2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316</v>
      </c>
      <c r="C1" s="12" t="s">
        <v>310</v>
      </c>
      <c r="D1" s="12" t="s">
        <v>311</v>
      </c>
      <c r="E1" s="12" t="s">
        <v>312</v>
      </c>
      <c r="F1" s="12" t="s">
        <v>313</v>
      </c>
      <c r="G1" s="12" t="s">
        <v>314</v>
      </c>
      <c r="H1" s="12" t="s">
        <v>315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A24" workbookViewId="0">
      <selection activeCell="B44" sqref="B4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304</v>
      </c>
      <c r="O1" s="12" t="s">
        <v>303</v>
      </c>
      <c r="P1" s="12" t="s">
        <v>19</v>
      </c>
      <c r="Q1" s="12" t="s">
        <v>305</v>
      </c>
      <c r="R1" s="12" t="s">
        <v>306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522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No</v>
      </c>
      <c r="U53" t="str">
        <f>_xlfn.XLOOKUP(B53,Disk_Pivot!G:G,Disk_Pivot!N:N)</f>
        <v/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No</v>
      </c>
      <c r="U54" t="str">
        <f>_xlfn.XLOOKUP(B54,Disk_Pivot!G:G,Disk_Pivot!N:N)</f>
        <v/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No</v>
      </c>
      <c r="U55" t="str">
        <f>_xlfn.XLOOKUP(B55,Disk_Pivot!G:G,Disk_Pivot!N:N)</f>
        <v/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No</v>
      </c>
      <c r="U56" t="str">
        <f>_xlfn.XLOOKUP(B56,Disk_Pivot!G:G,Disk_Pivot!N:N)</f>
        <v/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No</v>
      </c>
      <c r="U57" t="str">
        <f>_xlfn.XLOOKUP(B57,Disk_Pivot!G:G,Disk_Pivot!N:N)</f>
        <v/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No</v>
      </c>
      <c r="U58" t="str">
        <f>_xlfn.XLOOKUP(B58,Disk_Pivot!G:G,Disk_Pivot!N:N)</f>
        <v/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No</v>
      </c>
      <c r="U59" t="str">
        <f>_xlfn.XLOOKUP(B59,Disk_Pivot!G:G,Disk_Pivot!N:N)</f>
        <v/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No</v>
      </c>
      <c r="U60" t="str">
        <f>_xlfn.XLOOKUP(B60,Disk_Pivot!G:G,Disk_Pivot!N:N)</f>
        <v/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No</v>
      </c>
      <c r="U61" t="str">
        <f>_xlfn.XLOOKUP(B61,Disk_Pivot!G:G,Disk_Pivot!N:N)</f>
        <v/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No</v>
      </c>
      <c r="U62" t="str">
        <f>_xlfn.XLOOKUP(B62,Disk_Pivot!G:G,Disk_Pivot!N:N)</f>
        <v/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No</v>
      </c>
      <c r="U63" t="str">
        <f>_xlfn.XLOOKUP(B63,Disk_Pivot!G:G,Disk_Pivot!N:N)</f>
        <v/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No</v>
      </c>
      <c r="U64" t="str">
        <f>_xlfn.XLOOKUP(B64,Disk_Pivot!G:G,Disk_Pivot!N:N)</f>
        <v/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No</v>
      </c>
      <c r="U65" t="str">
        <f>_xlfn.XLOOKUP(B65,Disk_Pivot!G:G,Disk_Pivot!N:N)</f>
        <v/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No</v>
      </c>
      <c r="U66" t="str">
        <f>_xlfn.XLOOKUP(B66,Disk_Pivot!G:G,Disk_Pivot!N:N)</f>
        <v/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No</v>
      </c>
      <c r="U67" t="str">
        <f>_xlfn.XLOOKUP(B67,Disk_Pivot!G:G,Disk_Pivot!N:N)</f>
        <v/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No</v>
      </c>
      <c r="U68" t="str">
        <f>_xlfn.XLOOKUP(B68,Disk_Pivot!G:G,Disk_Pivot!N:N)</f>
        <v/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No</v>
      </c>
      <c r="U69" t="str">
        <f>_xlfn.XLOOKUP(B69,Disk_Pivot!G:G,Disk_Pivot!N:N)</f>
        <v/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No</v>
      </c>
      <c r="U70" t="str">
        <f>_xlfn.XLOOKUP(B70,Disk_Pivot!G:G,Disk_Pivot!N:N)</f>
        <v/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No</v>
      </c>
      <c r="U71" t="str">
        <f>_xlfn.XLOOKUP(B71,Disk_Pivot!G:G,Disk_Pivot!N:N)</f>
        <v/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No</v>
      </c>
      <c r="U72" t="str">
        <f>_xlfn.XLOOKUP(B72,Disk_Pivot!G:G,Disk_Pivot!N:N)</f>
        <v/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No</v>
      </c>
      <c r="U73" t="str">
        <f>_xlfn.XLOOKUP(B73,Disk_Pivot!G:G,Disk_Pivot!N:N)</f>
        <v/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No</v>
      </c>
      <c r="U74" t="str">
        <f>_xlfn.XLOOKUP(B74,Disk_Pivot!G:G,Disk_Pivot!N:N)</f>
        <v/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No</v>
      </c>
      <c r="U75" t="str">
        <f>_xlfn.XLOOKUP(B75,Disk_Pivot!G:G,Disk_Pivot!N:N)</f>
        <v/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No</v>
      </c>
      <c r="U76" t="str">
        <f>_xlfn.XLOOKUP(B76,Disk_Pivot!G:G,Disk_Pivot!N:N)</f>
        <v/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No</v>
      </c>
      <c r="U77" t="str">
        <f>_xlfn.XLOOKUP(B77,Disk_Pivot!G:G,Disk_Pivot!N:N)</f>
        <v/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No</v>
      </c>
      <c r="U78" t="str">
        <f>_xlfn.XLOOKUP(B78,Disk_Pivot!G:G,Disk_Pivot!N:N)</f>
        <v/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No</v>
      </c>
      <c r="U79" t="str">
        <f>_xlfn.XLOOKUP(B79,Disk_Pivot!G:G,Disk_Pivot!N:N)</f>
        <v/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No</v>
      </c>
      <c r="U80" t="str">
        <f>_xlfn.XLOOKUP(B80,Disk_Pivot!G:G,Disk_Pivot!N:N)</f>
        <v/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No</v>
      </c>
      <c r="U81" t="str">
        <f>_xlfn.XLOOKUP(B81,Disk_Pivot!G:G,Disk_Pivot!N:N)</f>
        <v/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No</v>
      </c>
      <c r="U82" t="str">
        <f>_xlfn.XLOOKUP(B82,Disk_Pivot!G:G,Disk_Pivot!N:N)</f>
        <v/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No</v>
      </c>
      <c r="U83" t="str">
        <f>_xlfn.XLOOKUP(B83,Disk_Pivot!G:G,Disk_Pivot!N:N)</f>
        <v/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No</v>
      </c>
      <c r="U84" t="str">
        <f>_xlfn.XLOOKUP(B84,Disk_Pivot!G:G,Disk_Pivot!N:N)</f>
        <v/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No</v>
      </c>
      <c r="U85" t="str">
        <f>_xlfn.XLOOKUP(B85,Disk_Pivot!G:G,Disk_Pivot!N:N)</f>
        <v/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No</v>
      </c>
      <c r="U86" t="str">
        <f>_xlfn.XLOOKUP(B86,Disk_Pivot!G:G,Disk_Pivot!N:N)</f>
        <v/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No</v>
      </c>
      <c r="U87" t="str">
        <f>_xlfn.XLOOKUP(B87,Disk_Pivot!G:G,Disk_Pivot!N:N)</f>
        <v/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No</v>
      </c>
      <c r="U88" t="str">
        <f>_xlfn.XLOOKUP(B88,Disk_Pivot!G:G,Disk_Pivot!N:N)</f>
        <v/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No</v>
      </c>
      <c r="U89" t="str">
        <f>_xlfn.XLOOKUP(B89,Disk_Pivot!G:G,Disk_Pivot!N:N)</f>
        <v/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No</v>
      </c>
      <c r="U90" t="str">
        <f>_xlfn.XLOOKUP(B90,Disk_Pivot!G:G,Disk_Pivot!N:N)</f>
        <v/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No</v>
      </c>
      <c r="U91" t="str">
        <f>_xlfn.XLOOKUP(B91,Disk_Pivot!G:G,Disk_Pivot!N:N)</f>
        <v/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No</v>
      </c>
      <c r="U92" t="str">
        <f>_xlfn.XLOOKUP(B92,Disk_Pivot!G:G,Disk_Pivot!N:N)</f>
        <v/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No</v>
      </c>
      <c r="U93" t="str">
        <f>_xlfn.XLOOKUP(B93,Disk_Pivot!G:G,Disk_Pivot!N:N)</f>
        <v/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No</v>
      </c>
      <c r="U94" t="str">
        <f>_xlfn.XLOOKUP(B94,Disk_Pivot!G:G,Disk_Pivot!N:N)</f>
        <v/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No</v>
      </c>
      <c r="U95" t="str">
        <f>_xlfn.XLOOKUP(B95,Disk_Pivot!G:G,Disk_Pivot!N:N)</f>
        <v/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No</v>
      </c>
      <c r="U96" t="str">
        <f>_xlfn.XLOOKUP(B96,Disk_Pivot!G:G,Disk_Pivot!N:N)</f>
        <v/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No</v>
      </c>
      <c r="U97" t="str">
        <f>_xlfn.XLOOKUP(B97,Disk_Pivot!G:G,Disk_Pivot!N:N)</f>
        <v/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No</v>
      </c>
      <c r="U98" t="str">
        <f>_xlfn.XLOOKUP(B98,Disk_Pivot!G:G,Disk_Pivot!N:N)</f>
        <v/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No</v>
      </c>
      <c r="U99" t="str">
        <f>_xlfn.XLOOKUP(B99,Disk_Pivot!G:G,Disk_Pivot!N:N)</f>
        <v/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No</v>
      </c>
      <c r="U100" t="str">
        <f>_xlfn.XLOOKUP(B100,Disk_Pivot!G:G,Disk_Pivot!N:N)</f>
        <v/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No</v>
      </c>
      <c r="U101" t="str">
        <f>_xlfn.XLOOKUP(B101,Disk_Pivot!G:G,Disk_Pivot!N:N)</f>
        <v/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No</v>
      </c>
      <c r="U102" t="str">
        <f>_xlfn.XLOOKUP(B102,Disk_Pivot!G:G,Disk_Pivot!N:N)</f>
        <v/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No</v>
      </c>
      <c r="U103" t="str">
        <f>_xlfn.XLOOKUP(B103,Disk_Pivot!G:G,Disk_Pivot!N:N)</f>
        <v/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No</v>
      </c>
      <c r="U104" t="str">
        <f>_xlfn.XLOOKUP(B104,Disk_Pivot!G:G,Disk_Pivot!N:N)</f>
        <v/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No</v>
      </c>
      <c r="U105" t="str">
        <f>_xlfn.XLOOKUP(B105,Disk_Pivot!G:G,Disk_Pivot!N:N)</f>
        <v/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No</v>
      </c>
      <c r="U106" t="str">
        <f>_xlfn.XLOOKUP(B106,Disk_Pivot!G:G,Disk_Pivot!N:N)</f>
        <v/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No</v>
      </c>
      <c r="U107" t="str">
        <f>_xlfn.XLOOKUP(B107,Disk_Pivot!G:G,Disk_Pivot!N:N)</f>
        <v/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No</v>
      </c>
      <c r="U108" t="str">
        <f>_xlfn.XLOOKUP(B108,Disk_Pivot!G:G,Disk_Pivot!N:N)</f>
        <v/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No</v>
      </c>
      <c r="U109" t="str">
        <f>_xlfn.XLOOKUP(B109,Disk_Pivot!G:G,Disk_Pivot!N:N)</f>
        <v/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No</v>
      </c>
      <c r="U110" t="str">
        <f>_xlfn.XLOOKUP(B110,Disk_Pivot!G:G,Disk_Pivot!N:N)</f>
        <v/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No</v>
      </c>
      <c r="U111" t="str">
        <f>_xlfn.XLOOKUP(B111,Disk_Pivot!G:G,Disk_Pivot!N:N)</f>
        <v/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No</v>
      </c>
      <c r="U112" t="str">
        <f>_xlfn.XLOOKUP(B112,Disk_Pivot!G:G,Disk_Pivot!N:N)</f>
        <v/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No</v>
      </c>
      <c r="U113" t="str">
        <f>_xlfn.XLOOKUP(B113,Disk_Pivot!G:G,Disk_Pivot!N:N)</f>
        <v/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No</v>
      </c>
      <c r="U114" t="str">
        <f>_xlfn.XLOOKUP(B114,Disk_Pivot!G:G,Disk_Pivot!N:N)</f>
        <v/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No</v>
      </c>
      <c r="U115" t="str">
        <f>_xlfn.XLOOKUP(B115,Disk_Pivot!G:G,Disk_Pivot!N:N)</f>
        <v/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No</v>
      </c>
      <c r="U116" t="str">
        <f>_xlfn.XLOOKUP(B116,Disk_Pivot!G:G,Disk_Pivot!N:N)</f>
        <v/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No</v>
      </c>
      <c r="U117" t="str">
        <f>_xlfn.XLOOKUP(B117,Disk_Pivot!G:G,Disk_Pivot!N:N)</f>
        <v/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No</v>
      </c>
      <c r="U118" t="str">
        <f>_xlfn.XLOOKUP(B118,Disk_Pivot!G:G,Disk_Pivot!N:N)</f>
        <v/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No</v>
      </c>
      <c r="U119" t="str">
        <f>_xlfn.XLOOKUP(B119,Disk_Pivot!G:G,Disk_Pivot!N:N)</f>
        <v/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No</v>
      </c>
      <c r="U120" t="str">
        <f>_xlfn.XLOOKUP(B120,Disk_Pivot!G:G,Disk_Pivot!N:N)</f>
        <v/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No</v>
      </c>
      <c r="U121" t="str">
        <f>_xlfn.XLOOKUP(B121,Disk_Pivot!G:G,Disk_Pivot!N:N)</f>
        <v/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No</v>
      </c>
      <c r="U122" t="str">
        <f>_xlfn.XLOOKUP(B122,Disk_Pivot!G:G,Disk_Pivot!N:N)</f>
        <v/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No</v>
      </c>
      <c r="U123" t="str">
        <f>_xlfn.XLOOKUP(B123,Disk_Pivot!G:G,Disk_Pivot!N:N)</f>
        <v/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No</v>
      </c>
      <c r="U124" t="str">
        <f>_xlfn.XLOOKUP(B124,Disk_Pivot!G:G,Disk_Pivot!N:N)</f>
        <v/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No</v>
      </c>
      <c r="U125" t="str">
        <f>_xlfn.XLOOKUP(B125,Disk_Pivot!G:G,Disk_Pivot!N:N)</f>
        <v/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No</v>
      </c>
      <c r="U126" t="str">
        <f>_xlfn.XLOOKUP(B126,Disk_Pivot!G:G,Disk_Pivot!N:N)</f>
        <v/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No</v>
      </c>
      <c r="U127" t="str">
        <f>_xlfn.XLOOKUP(B127,Disk_Pivot!G:G,Disk_Pivot!N:N)</f>
        <v/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No</v>
      </c>
      <c r="U128" t="str">
        <f>_xlfn.XLOOKUP(B128,Disk_Pivot!G:G,Disk_Pivot!N:N)</f>
        <v/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No</v>
      </c>
      <c r="U129" t="str">
        <f>_xlfn.XLOOKUP(B129,Disk_Pivot!G:G,Disk_Pivot!N:N)</f>
        <v/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No</v>
      </c>
      <c r="U130" t="str">
        <f>_xlfn.XLOOKUP(B130,Disk_Pivot!G:G,Disk_Pivot!N:N)</f>
        <v/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No</v>
      </c>
      <c r="U131" t="str">
        <f>_xlfn.XLOOKUP(B131,Disk_Pivot!G:G,Disk_Pivot!N:N)</f>
        <v/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No</v>
      </c>
      <c r="U132" t="str">
        <f>_xlfn.XLOOKUP(B132,Disk_Pivot!G:G,Disk_Pivot!N:N)</f>
        <v/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No</v>
      </c>
      <c r="U133" t="str">
        <f>_xlfn.XLOOKUP(B133,Disk_Pivot!G:G,Disk_Pivot!N:N)</f>
        <v/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No</v>
      </c>
      <c r="U134" t="str">
        <f>_xlfn.XLOOKUP(B134,Disk_Pivot!G:G,Disk_Pivot!N:N)</f>
        <v/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No</v>
      </c>
      <c r="U135" t="str">
        <f>_xlfn.XLOOKUP(B135,Disk_Pivot!G:G,Disk_Pivot!N:N)</f>
        <v/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No</v>
      </c>
      <c r="U136" t="str">
        <f>_xlfn.XLOOKUP(B136,Disk_Pivot!G:G,Disk_Pivot!N:N)</f>
        <v/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No</v>
      </c>
      <c r="U137" t="str">
        <f>_xlfn.XLOOKUP(B137,Disk_Pivot!G:G,Disk_Pivot!N:N)</f>
        <v/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No</v>
      </c>
      <c r="U138" t="str">
        <f>_xlfn.XLOOKUP(B138,Disk_Pivot!G:G,Disk_Pivot!N:N)</f>
        <v/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No</v>
      </c>
      <c r="U139" t="str">
        <f>_xlfn.XLOOKUP(B139,Disk_Pivot!G:G,Disk_Pivot!N:N)</f>
        <v/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No</v>
      </c>
      <c r="U140" t="str">
        <f>_xlfn.XLOOKUP(B140,Disk_Pivot!G:G,Disk_Pivot!N:N)</f>
        <v/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No</v>
      </c>
      <c r="U141" t="str">
        <f>_xlfn.XLOOKUP(B141,Disk_Pivot!G:G,Disk_Pivot!N:N)</f>
        <v/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No</v>
      </c>
      <c r="U142" t="str">
        <f>_xlfn.XLOOKUP(B142,Disk_Pivot!G:G,Disk_Pivot!N:N)</f>
        <v/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No</v>
      </c>
      <c r="U143" t="str">
        <f>_xlfn.XLOOKUP(B143,Disk_Pivot!G:G,Disk_Pivot!N:N)</f>
        <v/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No</v>
      </c>
      <c r="U144" t="str">
        <f>_xlfn.XLOOKUP(B144,Disk_Pivot!G:G,Disk_Pivot!N:N)</f>
        <v/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No</v>
      </c>
      <c r="U145" t="str">
        <f>_xlfn.XLOOKUP(B145,Disk_Pivot!G:G,Disk_Pivot!N:N)</f>
        <v/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No</v>
      </c>
      <c r="U146" t="str">
        <f>_xlfn.XLOOKUP(B146,Disk_Pivot!G:G,Disk_Pivot!N:N)</f>
        <v/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No</v>
      </c>
      <c r="U147" t="str">
        <f>_xlfn.XLOOKUP(B147,Disk_Pivot!G:G,Disk_Pivot!N:N)</f>
        <v/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No</v>
      </c>
      <c r="U148" t="str">
        <f>_xlfn.XLOOKUP(B148,Disk_Pivot!G:G,Disk_Pivot!N:N)</f>
        <v/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No</v>
      </c>
      <c r="U149" t="str">
        <f>_xlfn.XLOOKUP(B149,Disk_Pivot!G:G,Disk_Pivot!N:N)</f>
        <v/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No</v>
      </c>
      <c r="U150" t="str">
        <f>_xlfn.XLOOKUP(B150,Disk_Pivot!G:G,Disk_Pivot!N:N)</f>
        <v/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No</v>
      </c>
      <c r="U151" t="str">
        <f>_xlfn.XLOOKUP(B151,Disk_Pivot!G:G,Disk_Pivot!N:N)</f>
        <v/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No</v>
      </c>
      <c r="U152" t="str">
        <f>_xlfn.XLOOKUP(B152,Disk_Pivot!G:G,Disk_Pivot!N:N)</f>
        <v/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No</v>
      </c>
      <c r="U153" t="str">
        <f>_xlfn.XLOOKUP(B153,Disk_Pivot!G:G,Disk_Pivot!N:N)</f>
        <v/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No</v>
      </c>
      <c r="U154" t="str">
        <f>_xlfn.XLOOKUP(B154,Disk_Pivot!G:G,Disk_Pivot!N:N)</f>
        <v/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No</v>
      </c>
      <c r="U155" t="str">
        <f>_xlfn.XLOOKUP(B155,Disk_Pivot!G:G,Disk_Pivot!N:N)</f>
        <v/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No</v>
      </c>
      <c r="U156" t="str">
        <f>_xlfn.XLOOKUP(B156,Disk_Pivot!G:G,Disk_Pivot!N:N)</f>
        <v/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No</v>
      </c>
      <c r="U157" t="str">
        <f>_xlfn.XLOOKUP(B157,Disk_Pivot!G:G,Disk_Pivot!N:N)</f>
        <v/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No</v>
      </c>
      <c r="U158" t="str">
        <f>_xlfn.XLOOKUP(B158,Disk_Pivot!G:G,Disk_Pivot!N:N)</f>
        <v/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No</v>
      </c>
      <c r="U159" t="str">
        <f>_xlfn.XLOOKUP(B159,Disk_Pivot!G:G,Disk_Pivot!N:N)</f>
        <v/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No</v>
      </c>
      <c r="U160" t="str">
        <f>_xlfn.XLOOKUP(B160,Disk_Pivot!G:G,Disk_Pivot!N:N)</f>
        <v/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No</v>
      </c>
      <c r="U161" t="str">
        <f>_xlfn.XLOOKUP(B161,Disk_Pivot!G:G,Disk_Pivot!N:N)</f>
        <v/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No</v>
      </c>
      <c r="U162" t="str">
        <f>_xlfn.XLOOKUP(B162,Disk_Pivot!G:G,Disk_Pivot!N:N)</f>
        <v/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No</v>
      </c>
      <c r="U163" t="str">
        <f>_xlfn.XLOOKUP(B163,Disk_Pivot!G:G,Disk_Pivot!N:N)</f>
        <v/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No</v>
      </c>
      <c r="U164" t="str">
        <f>_xlfn.XLOOKUP(B164,Disk_Pivot!G:G,Disk_Pivot!N:N)</f>
        <v/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No</v>
      </c>
      <c r="U165" t="str">
        <f>_xlfn.XLOOKUP(B165,Disk_Pivot!G:G,Disk_Pivot!N:N)</f>
        <v/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No</v>
      </c>
      <c r="U166" t="str">
        <f>_xlfn.XLOOKUP(B166,Disk_Pivot!G:G,Disk_Pivot!N:N)</f>
        <v/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No</v>
      </c>
      <c r="U167" t="str">
        <f>_xlfn.XLOOKUP(B167,Disk_Pivot!G:G,Disk_Pivot!N:N)</f>
        <v/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No</v>
      </c>
      <c r="U168" t="str">
        <f>_xlfn.XLOOKUP(B168,Disk_Pivot!G:G,Disk_Pivot!N:N)</f>
        <v/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No</v>
      </c>
      <c r="U169" t="str">
        <f>_xlfn.XLOOKUP(B169,Disk_Pivot!G:G,Disk_Pivot!N:N)</f>
        <v/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No</v>
      </c>
      <c r="U170" t="str">
        <f>_xlfn.XLOOKUP(B170,Disk_Pivot!G:G,Disk_Pivot!N:N)</f>
        <v/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No</v>
      </c>
      <c r="U171" t="str">
        <f>_xlfn.XLOOKUP(B171,Disk_Pivot!G:G,Disk_Pivot!N:N)</f>
        <v/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No</v>
      </c>
      <c r="U172" t="str">
        <f>_xlfn.XLOOKUP(B172,Disk_Pivot!G:G,Disk_Pivot!N:N)</f>
        <v/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No</v>
      </c>
      <c r="U173" t="str">
        <f>_xlfn.XLOOKUP(B173,Disk_Pivot!G:G,Disk_Pivot!N:N)</f>
        <v/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No</v>
      </c>
      <c r="U174" t="str">
        <f>_xlfn.XLOOKUP(B174,Disk_Pivot!G:G,Disk_Pivot!N:N)</f>
        <v/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No</v>
      </c>
      <c r="U175" t="str">
        <f>_xlfn.XLOOKUP(B175,Disk_Pivot!G:G,Disk_Pivot!N:N)</f>
        <v/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No</v>
      </c>
      <c r="U176" t="str">
        <f>_xlfn.XLOOKUP(B176,Disk_Pivot!G:G,Disk_Pivot!N:N)</f>
        <v/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No</v>
      </c>
      <c r="U177" t="str">
        <f>_xlfn.XLOOKUP(B177,Disk_Pivot!G:G,Disk_Pivot!N:N)</f>
        <v/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No</v>
      </c>
      <c r="U178" t="str">
        <f>_xlfn.XLOOKUP(B178,Disk_Pivot!G:G,Disk_Pivot!N:N)</f>
        <v/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No</v>
      </c>
      <c r="U179" t="str">
        <f>_xlfn.XLOOKUP(B179,Disk_Pivot!G:G,Disk_Pivot!N:N)</f>
        <v/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No</v>
      </c>
      <c r="U180" t="str">
        <f>_xlfn.XLOOKUP(B180,Disk_Pivot!G:G,Disk_Pivot!N:N)</f>
        <v/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No</v>
      </c>
      <c r="U181" t="str">
        <f>_xlfn.XLOOKUP(B181,Disk_Pivot!G:G,Disk_Pivot!N:N)</f>
        <v/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No</v>
      </c>
      <c r="U182" t="str">
        <f>_xlfn.XLOOKUP(B182,Disk_Pivot!G:G,Disk_Pivot!N:N)</f>
        <v/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No</v>
      </c>
      <c r="U183" t="str">
        <f>_xlfn.XLOOKUP(B183,Disk_Pivot!G:G,Disk_Pivot!N:N)</f>
        <v/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No</v>
      </c>
      <c r="U184" t="str">
        <f>_xlfn.XLOOKUP(B184,Disk_Pivot!G:G,Disk_Pivot!N:N)</f>
        <v/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No</v>
      </c>
      <c r="U185" t="str">
        <f>_xlfn.XLOOKUP(B185,Disk_Pivot!G:G,Disk_Pivot!N:N)</f>
        <v/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No</v>
      </c>
      <c r="U186" t="str">
        <f>_xlfn.XLOOKUP(B186,Disk_Pivot!G:G,Disk_Pivot!N:N)</f>
        <v/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No</v>
      </c>
      <c r="U187" t="str">
        <f>_xlfn.XLOOKUP(B187,Disk_Pivot!G:G,Disk_Pivot!N:N)</f>
        <v/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No</v>
      </c>
      <c r="U188" t="str">
        <f>_xlfn.XLOOKUP(B188,Disk_Pivot!G:G,Disk_Pivot!N:N)</f>
        <v/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No</v>
      </c>
      <c r="U189" t="str">
        <f>_xlfn.XLOOKUP(B189,Disk_Pivot!G:G,Disk_Pivot!N:N)</f>
        <v/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No</v>
      </c>
      <c r="U190" t="str">
        <f>_xlfn.XLOOKUP(B190,Disk_Pivot!G:G,Disk_Pivot!N:N)</f>
        <v/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No</v>
      </c>
      <c r="U191" t="str">
        <f>_xlfn.XLOOKUP(B191,Disk_Pivot!G:G,Disk_Pivot!N:N)</f>
        <v/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No</v>
      </c>
      <c r="U192" t="str">
        <f>_xlfn.XLOOKUP(B192,Disk_Pivot!G:G,Disk_Pivot!N:N)</f>
        <v/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No</v>
      </c>
      <c r="U193" t="str">
        <f>_xlfn.XLOOKUP(B193,Disk_Pivot!G:G,Disk_Pivot!N:N)</f>
        <v/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No</v>
      </c>
      <c r="U194" t="str">
        <f>_xlfn.XLOOKUP(B194,Disk_Pivot!G:G,Disk_Pivot!N:N)</f>
        <v/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No</v>
      </c>
      <c r="U195" t="str">
        <f>_xlfn.XLOOKUP(B195,Disk_Pivot!G:G,Disk_Pivot!N:N)</f>
        <v/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No</v>
      </c>
      <c r="U196" t="str">
        <f>_xlfn.XLOOKUP(B196,Disk_Pivot!G:G,Disk_Pivot!N:N)</f>
        <v/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No</v>
      </c>
      <c r="U197" t="str">
        <f>_xlfn.XLOOKUP(B197,Disk_Pivot!G:G,Disk_Pivot!N:N)</f>
        <v/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No</v>
      </c>
      <c r="U198" t="str">
        <f>_xlfn.XLOOKUP(B198,Disk_Pivot!G:G,Disk_Pivot!N:N)</f>
        <v/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No</v>
      </c>
      <c r="U199" t="str">
        <f>_xlfn.XLOOKUP(B199,Disk_Pivot!G:G,Disk_Pivot!N:N)</f>
        <v/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No</v>
      </c>
      <c r="U200" t="str">
        <f>_xlfn.XLOOKUP(B200,Disk_Pivot!G:G,Disk_Pivot!N:N)</f>
        <v/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No</v>
      </c>
      <c r="U201" t="str">
        <f>_xlfn.XLOOKUP(B201,Disk_Pivot!G:G,Disk_Pivot!N:N)</f>
        <v/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No</v>
      </c>
      <c r="U202" t="str">
        <f>_xlfn.XLOOKUP(B202,Disk_Pivot!G:G,Disk_Pivot!N:N)</f>
        <v/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No</v>
      </c>
      <c r="U203" t="str">
        <f>_xlfn.XLOOKUP(B203,Disk_Pivot!G:G,Disk_Pivot!N:N)</f>
        <v/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No</v>
      </c>
      <c r="U204" t="str">
        <f>_xlfn.XLOOKUP(B204,Disk_Pivot!G:G,Disk_Pivot!N:N)</f>
        <v/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No</v>
      </c>
      <c r="U205" t="str">
        <f>_xlfn.XLOOKUP(B205,Disk_Pivot!G:G,Disk_Pivot!N:N)</f>
        <v/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No</v>
      </c>
      <c r="U206" t="str">
        <f>_xlfn.XLOOKUP(B206,Disk_Pivot!G:G,Disk_Pivot!N:N)</f>
        <v/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No</v>
      </c>
      <c r="U207" t="str">
        <f>_xlfn.XLOOKUP(B207,Disk_Pivot!G:G,Disk_Pivot!N:N)</f>
        <v/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No</v>
      </c>
      <c r="U208" t="str">
        <f>_xlfn.XLOOKUP(B208,Disk_Pivot!G:G,Disk_Pivot!N:N)</f>
        <v/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No</v>
      </c>
      <c r="U209" t="str">
        <f>_xlfn.XLOOKUP(B209,Disk_Pivot!G:G,Disk_Pivot!N:N)</f>
        <v/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No</v>
      </c>
      <c r="U210" t="str">
        <f>_xlfn.XLOOKUP(B210,Disk_Pivot!G:G,Disk_Pivot!N:N)</f>
        <v/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No</v>
      </c>
      <c r="U211" t="str">
        <f>_xlfn.XLOOKUP(B211,Disk_Pivot!G:G,Disk_Pivot!N:N)</f>
        <v/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No</v>
      </c>
      <c r="U212" t="str">
        <f>_xlfn.XLOOKUP(B212,Disk_Pivot!G:G,Disk_Pivot!N:N)</f>
        <v/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No</v>
      </c>
      <c r="U213" t="str">
        <f>_xlfn.XLOOKUP(B213,Disk_Pivot!G:G,Disk_Pivot!N:N)</f>
        <v/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No</v>
      </c>
      <c r="U214" t="str">
        <f>_xlfn.XLOOKUP(B214,Disk_Pivot!G:G,Disk_Pivot!N:N)</f>
        <v/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No</v>
      </c>
      <c r="U215" t="str">
        <f>_xlfn.XLOOKUP(B215,Disk_Pivot!G:G,Disk_Pivot!N:N)</f>
        <v/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No</v>
      </c>
      <c r="U216" t="str">
        <f>_xlfn.XLOOKUP(B216,Disk_Pivot!G:G,Disk_Pivot!N:N)</f>
        <v/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No</v>
      </c>
      <c r="U217" t="str">
        <f>_xlfn.XLOOKUP(B217,Disk_Pivot!G:G,Disk_Pivot!N:N)</f>
        <v/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No</v>
      </c>
      <c r="U218" t="str">
        <f>_xlfn.XLOOKUP(B218,Disk_Pivot!G:G,Disk_Pivot!N:N)</f>
        <v/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No</v>
      </c>
      <c r="U219" t="str">
        <f>_xlfn.XLOOKUP(B219,Disk_Pivot!G:G,Disk_Pivot!N:N)</f>
        <v/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No</v>
      </c>
      <c r="U220" t="str">
        <f>_xlfn.XLOOKUP(B220,Disk_Pivot!G:G,Disk_Pivot!N:N)</f>
        <v/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No</v>
      </c>
      <c r="U221" t="str">
        <f>_xlfn.XLOOKUP(B221,Disk_Pivot!G:G,Disk_Pivot!N:N)</f>
        <v/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No</v>
      </c>
      <c r="U222" t="str">
        <f>_xlfn.XLOOKUP(B222,Disk_Pivot!G:G,Disk_Pivot!N:N)</f>
        <v/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No</v>
      </c>
      <c r="U223" t="str">
        <f>_xlfn.XLOOKUP(B223,Disk_Pivot!G:G,Disk_Pivot!N:N)</f>
        <v/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No</v>
      </c>
      <c r="U224" t="str">
        <f>_xlfn.XLOOKUP(B224,Disk_Pivot!G:G,Disk_Pivot!N:N)</f>
        <v/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No</v>
      </c>
      <c r="U225" t="str">
        <f>_xlfn.XLOOKUP(B225,Disk_Pivot!G:G,Disk_Pivot!N:N)</f>
        <v/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No</v>
      </c>
      <c r="U226" t="str">
        <f>_xlfn.XLOOKUP(B226,Disk_Pivot!G:G,Disk_Pivot!N:N)</f>
        <v/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No</v>
      </c>
      <c r="U227" t="str">
        <f>_xlfn.XLOOKUP(B227,Disk_Pivot!G:G,Disk_Pivot!N:N)</f>
        <v/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No</v>
      </c>
      <c r="U228" t="str">
        <f>_xlfn.XLOOKUP(B228,Disk_Pivot!G:G,Disk_Pivot!N:N)</f>
        <v/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No</v>
      </c>
      <c r="U229" t="str">
        <f>_xlfn.XLOOKUP(B229,Disk_Pivot!G:G,Disk_Pivot!N:N)</f>
        <v/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No</v>
      </c>
      <c r="U230" t="str">
        <f>_xlfn.XLOOKUP(B230,Disk_Pivot!G:G,Disk_Pivot!N:N)</f>
        <v/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No</v>
      </c>
      <c r="U231" t="str">
        <f>_xlfn.XLOOKUP(B231,Disk_Pivot!G:G,Disk_Pivot!N:N)</f>
        <v/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No</v>
      </c>
      <c r="U232" t="str">
        <f>_xlfn.XLOOKUP(B232,Disk_Pivot!G:G,Disk_Pivot!N:N)</f>
        <v/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No</v>
      </c>
      <c r="U233" t="str">
        <f>_xlfn.XLOOKUP(B233,Disk_Pivot!G:G,Disk_Pivot!N:N)</f>
        <v/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No</v>
      </c>
      <c r="U234" t="str">
        <f>_xlfn.XLOOKUP(B234,Disk_Pivot!G:G,Disk_Pivot!N:N)</f>
        <v/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No</v>
      </c>
      <c r="U235" t="str">
        <f>_xlfn.XLOOKUP(B235,Disk_Pivot!G:G,Disk_Pivot!N:N)</f>
        <v/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No</v>
      </c>
      <c r="U236" t="str">
        <f>_xlfn.XLOOKUP(B236,Disk_Pivot!G:G,Disk_Pivot!N:N)</f>
        <v/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No</v>
      </c>
      <c r="U237" t="str">
        <f>_xlfn.XLOOKUP(B237,Disk_Pivot!G:G,Disk_Pivot!N:N)</f>
        <v/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No</v>
      </c>
      <c r="U238" t="str">
        <f>_xlfn.XLOOKUP(B238,Disk_Pivot!G:G,Disk_Pivot!N:N)</f>
        <v/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No</v>
      </c>
      <c r="U239" t="str">
        <f>_xlfn.XLOOKUP(B239,Disk_Pivot!G:G,Disk_Pivot!N:N)</f>
        <v/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No</v>
      </c>
      <c r="U240" t="str">
        <f>_xlfn.XLOOKUP(B240,Disk_Pivot!G:G,Disk_Pivot!N:N)</f>
        <v/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No</v>
      </c>
      <c r="U241" t="str">
        <f>_xlfn.XLOOKUP(B241,Disk_Pivot!G:G,Disk_Pivot!N:N)</f>
        <v/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No</v>
      </c>
      <c r="U242" t="str">
        <f>_xlfn.XLOOKUP(B242,Disk_Pivot!G:G,Disk_Pivot!N:N)</f>
        <v/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No</v>
      </c>
      <c r="U243" t="str">
        <f>_xlfn.XLOOKUP(B243,Disk_Pivot!G:G,Disk_Pivot!N:N)</f>
        <v/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No</v>
      </c>
      <c r="U244" t="str">
        <f>_xlfn.XLOOKUP(B244,Disk_Pivot!G:G,Disk_Pivot!N:N)</f>
        <v/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No</v>
      </c>
      <c r="U245" t="str">
        <f>_xlfn.XLOOKUP(B245,Disk_Pivot!G:G,Disk_Pivot!N:N)</f>
        <v/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No</v>
      </c>
      <c r="U246" t="str">
        <f>_xlfn.XLOOKUP(B246,Disk_Pivot!G:G,Disk_Pivot!N:N)</f>
        <v/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No</v>
      </c>
      <c r="U247" t="str">
        <f>_xlfn.XLOOKUP(B247,Disk_Pivot!G:G,Disk_Pivot!N:N)</f>
        <v/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No</v>
      </c>
      <c r="U248" t="str">
        <f>_xlfn.XLOOKUP(B248,Disk_Pivot!G:G,Disk_Pivot!N:N)</f>
        <v/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No</v>
      </c>
      <c r="U249" t="str">
        <f>_xlfn.XLOOKUP(B249,Disk_Pivot!G:G,Disk_Pivot!N:N)</f>
        <v/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No</v>
      </c>
      <c r="U250" t="str">
        <f>_xlfn.XLOOKUP(B250,Disk_Pivot!G:G,Disk_Pivot!N:N)</f>
        <v/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No</v>
      </c>
      <c r="U251" t="str">
        <f>_xlfn.XLOOKUP(B251,Disk_Pivot!G:G,Disk_Pivot!N:N)</f>
        <v/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No</v>
      </c>
      <c r="U252" t="str">
        <f>_xlfn.XLOOKUP(B252,Disk_Pivot!G:G,Disk_Pivot!N:N)</f>
        <v/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No</v>
      </c>
      <c r="U253" t="str">
        <f>_xlfn.XLOOKUP(B253,Disk_Pivot!G:G,Disk_Pivot!N:N)</f>
        <v/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No</v>
      </c>
      <c r="U254" t="str">
        <f>_xlfn.XLOOKUP(B254,Disk_Pivot!G:G,Disk_Pivot!N:N)</f>
        <v/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No</v>
      </c>
      <c r="U255" t="str">
        <f>_xlfn.XLOOKUP(B255,Disk_Pivot!G:G,Disk_Pivot!N:N)</f>
        <v/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No</v>
      </c>
      <c r="U256" t="str">
        <f>_xlfn.XLOOKUP(B256,Disk_Pivot!G:G,Disk_Pivot!N:N)</f>
        <v/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No</v>
      </c>
      <c r="U257" t="str">
        <f>_xlfn.XLOOKUP(B257,Disk_Pivot!G:G,Disk_Pivot!N:N)</f>
        <v/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No</v>
      </c>
      <c r="U258" t="str">
        <f>_xlfn.XLOOKUP(B258,Disk_Pivot!G:G,Disk_Pivot!N:N)</f>
        <v/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No</v>
      </c>
      <c r="U259" t="str">
        <f>_xlfn.XLOOKUP(B259,Disk_Pivot!G:G,Disk_Pivot!N:N)</f>
        <v/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No</v>
      </c>
      <c r="U260" t="str">
        <f>_xlfn.XLOOKUP(B260,Disk_Pivot!G:G,Disk_Pivot!N:N)</f>
        <v/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No</v>
      </c>
      <c r="U261" t="str">
        <f>_xlfn.XLOOKUP(B261,Disk_Pivot!G:G,Disk_Pivot!N:N)</f>
        <v/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No</v>
      </c>
      <c r="U262" t="str">
        <f>_xlfn.XLOOKUP(B262,Disk_Pivot!G:G,Disk_Pivot!N:N)</f>
        <v/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No</v>
      </c>
      <c r="U263" t="str">
        <f>_xlfn.XLOOKUP(B263,Disk_Pivot!G:G,Disk_Pivot!N:N)</f>
        <v/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No</v>
      </c>
      <c r="U264" t="str">
        <f>_xlfn.XLOOKUP(B264,Disk_Pivot!G:G,Disk_Pivot!N:N)</f>
        <v/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No</v>
      </c>
      <c r="U265" t="str">
        <f>_xlfn.XLOOKUP(B265,Disk_Pivot!G:G,Disk_Pivot!N:N)</f>
        <v/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No</v>
      </c>
      <c r="U266" t="str">
        <f>_xlfn.XLOOKUP(B266,Disk_Pivot!G:G,Disk_Pivot!N:N)</f>
        <v/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No</v>
      </c>
      <c r="U267" t="str">
        <f>_xlfn.XLOOKUP(B267,Disk_Pivot!G:G,Disk_Pivot!N:N)</f>
        <v/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No</v>
      </c>
      <c r="U268" t="str">
        <f>_xlfn.XLOOKUP(B268,Disk_Pivot!G:G,Disk_Pivot!N:N)</f>
        <v/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No</v>
      </c>
      <c r="U269" t="str">
        <f>_xlfn.XLOOKUP(B269,Disk_Pivot!G:G,Disk_Pivot!N:N)</f>
        <v/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No</v>
      </c>
      <c r="U270" t="str">
        <f>_xlfn.XLOOKUP(B270,Disk_Pivot!G:G,Disk_Pivot!N:N)</f>
        <v/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No</v>
      </c>
      <c r="U271" t="str">
        <f>_xlfn.XLOOKUP(B271,Disk_Pivot!G:G,Disk_Pivot!N:N)</f>
        <v/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No</v>
      </c>
      <c r="U272" t="str">
        <f>_xlfn.XLOOKUP(B272,Disk_Pivot!G:G,Disk_Pivot!N:N)</f>
        <v/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No</v>
      </c>
      <c r="U273" t="str">
        <f>_xlfn.XLOOKUP(B273,Disk_Pivot!G:G,Disk_Pivot!N:N)</f>
        <v/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No</v>
      </c>
      <c r="U274" t="str">
        <f>_xlfn.XLOOKUP(B274,Disk_Pivot!G:G,Disk_Pivot!N:N)</f>
        <v/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No</v>
      </c>
      <c r="U275" t="str">
        <f>_xlfn.XLOOKUP(B275,Disk_Pivot!G:G,Disk_Pivot!N:N)</f>
        <v/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No</v>
      </c>
      <c r="U276" t="str">
        <f>_xlfn.XLOOKUP(B276,Disk_Pivot!G:G,Disk_Pivot!N:N)</f>
        <v/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No</v>
      </c>
      <c r="U277" t="str">
        <f>_xlfn.XLOOKUP(B277,Disk_Pivot!G:G,Disk_Pivot!N:N)</f>
        <v/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No</v>
      </c>
      <c r="U278" t="str">
        <f>_xlfn.XLOOKUP(B278,Disk_Pivot!G:G,Disk_Pivot!N:N)</f>
        <v/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No</v>
      </c>
      <c r="U279" t="str">
        <f>_xlfn.XLOOKUP(B279,Disk_Pivot!G:G,Disk_Pivot!N:N)</f>
        <v/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No</v>
      </c>
      <c r="U280" t="str">
        <f>_xlfn.XLOOKUP(B280,Disk_Pivot!G:G,Disk_Pivot!N:N)</f>
        <v/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No</v>
      </c>
      <c r="U281" t="str">
        <f>_xlfn.XLOOKUP(B281,Disk_Pivot!G:G,Disk_Pivot!N:N)</f>
        <v/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No</v>
      </c>
      <c r="U282" t="str">
        <f>_xlfn.XLOOKUP(B282,Disk_Pivot!G:G,Disk_Pivot!N:N)</f>
        <v/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No</v>
      </c>
      <c r="U283" t="str">
        <f>_xlfn.XLOOKUP(B283,Disk_Pivot!G:G,Disk_Pivot!N:N)</f>
        <v/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No</v>
      </c>
      <c r="U284" t="str">
        <f>_xlfn.XLOOKUP(B284,Disk_Pivot!G:G,Disk_Pivot!N:N)</f>
        <v/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No</v>
      </c>
      <c r="U285" t="str">
        <f>_xlfn.XLOOKUP(B285,Disk_Pivot!G:G,Disk_Pivot!N:N)</f>
        <v/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No</v>
      </c>
      <c r="U286" t="str">
        <f>_xlfn.XLOOKUP(B286,Disk_Pivot!G:G,Disk_Pivot!N:N)</f>
        <v/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No</v>
      </c>
      <c r="U287" t="str">
        <f>_xlfn.XLOOKUP(B287,Disk_Pivot!G:G,Disk_Pivot!N:N)</f>
        <v/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No</v>
      </c>
      <c r="U288" t="str">
        <f>_xlfn.XLOOKUP(B288,Disk_Pivot!G:G,Disk_Pivot!N:N)</f>
        <v/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No</v>
      </c>
      <c r="U289" t="str">
        <f>_xlfn.XLOOKUP(B289,Disk_Pivot!G:G,Disk_Pivot!N:N)</f>
        <v/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No</v>
      </c>
      <c r="U290" t="str">
        <f>_xlfn.XLOOKUP(B290,Disk_Pivot!G:G,Disk_Pivot!N:N)</f>
        <v/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No</v>
      </c>
      <c r="U291" t="str">
        <f>_xlfn.XLOOKUP(B291,Disk_Pivot!G:G,Disk_Pivot!N:N)</f>
        <v/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No</v>
      </c>
      <c r="U292" t="str">
        <f>_xlfn.XLOOKUP(B292,Disk_Pivot!G:G,Disk_Pivot!N:N)</f>
        <v/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No</v>
      </c>
      <c r="U293" t="str">
        <f>_xlfn.XLOOKUP(B293,Disk_Pivot!G:G,Disk_Pivot!N:N)</f>
        <v/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No</v>
      </c>
      <c r="U294" t="str">
        <f>_xlfn.XLOOKUP(B294,Disk_Pivot!G:G,Disk_Pivot!N:N)</f>
        <v/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No</v>
      </c>
      <c r="U295" t="str">
        <f>_xlfn.XLOOKUP(B295,Disk_Pivot!G:G,Disk_Pivot!N:N)</f>
        <v/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No</v>
      </c>
      <c r="U296" t="str">
        <f>_xlfn.XLOOKUP(B296,Disk_Pivot!G:G,Disk_Pivot!N:N)</f>
        <v/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No</v>
      </c>
      <c r="U297" t="str">
        <f>_xlfn.XLOOKUP(B297,Disk_Pivot!G:G,Disk_Pivot!N:N)</f>
        <v/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No</v>
      </c>
      <c r="U298" t="str">
        <f>_xlfn.XLOOKUP(B298,Disk_Pivot!G:G,Disk_Pivot!N:N)</f>
        <v/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No</v>
      </c>
      <c r="U299" t="str">
        <f>_xlfn.XLOOKUP(B299,Disk_Pivot!G:G,Disk_Pivot!N:N)</f>
        <v/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No</v>
      </c>
      <c r="U300" t="str">
        <f>_xlfn.XLOOKUP(B300,Disk_Pivot!G:G,Disk_Pivot!N:N)</f>
        <v/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No</v>
      </c>
      <c r="U301" t="str">
        <f>_xlfn.XLOOKUP(B301,Disk_Pivot!G:G,Disk_Pivot!N:N)</f>
        <v/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No</v>
      </c>
      <c r="U302" t="str">
        <f>_xlfn.XLOOKUP(B302,Disk_Pivot!G:G,Disk_Pivot!N:N)</f>
        <v/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No</v>
      </c>
      <c r="U303" t="str">
        <f>_xlfn.XLOOKUP(B303,Disk_Pivot!G:G,Disk_Pivot!N:N)</f>
        <v/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No</v>
      </c>
      <c r="U304" t="str">
        <f>_xlfn.XLOOKUP(B304,Disk_Pivot!G:G,Disk_Pivot!N:N)</f>
        <v/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No</v>
      </c>
      <c r="U305" t="str">
        <f>_xlfn.XLOOKUP(B305,Disk_Pivot!G:G,Disk_Pivot!N:N)</f>
        <v/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No</v>
      </c>
      <c r="U306" t="str">
        <f>_xlfn.XLOOKUP(B306,Disk_Pivot!G:G,Disk_Pivot!N:N)</f>
        <v/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No</v>
      </c>
      <c r="U307" t="str">
        <f>_xlfn.XLOOKUP(B307,Disk_Pivot!G:G,Disk_Pivot!N:N)</f>
        <v/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No</v>
      </c>
      <c r="U308" t="str">
        <f>_xlfn.XLOOKUP(B308,Disk_Pivot!G:G,Disk_Pivot!N:N)</f>
        <v/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No</v>
      </c>
      <c r="U309" t="str">
        <f>_xlfn.XLOOKUP(B309,Disk_Pivot!G:G,Disk_Pivot!N:N)</f>
        <v/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No</v>
      </c>
      <c r="U310" t="str">
        <f>_xlfn.XLOOKUP(B310,Disk_Pivot!G:G,Disk_Pivot!N:N)</f>
        <v/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No</v>
      </c>
      <c r="U311" t="str">
        <f>_xlfn.XLOOKUP(B311,Disk_Pivot!G:G,Disk_Pivot!N:N)</f>
        <v/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No</v>
      </c>
      <c r="U312" t="str">
        <f>_xlfn.XLOOKUP(B312,Disk_Pivot!G:G,Disk_Pivot!N:N)</f>
        <v/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No</v>
      </c>
      <c r="U313" t="str">
        <f>_xlfn.XLOOKUP(B313,Disk_Pivot!G:G,Disk_Pivot!N:N)</f>
        <v/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No</v>
      </c>
      <c r="U314" t="str">
        <f>_xlfn.XLOOKUP(B314,Disk_Pivot!G:G,Disk_Pivot!N:N)</f>
        <v/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No</v>
      </c>
      <c r="U315" t="str">
        <f>_xlfn.XLOOKUP(B315,Disk_Pivot!G:G,Disk_Pivot!N:N)</f>
        <v/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No</v>
      </c>
      <c r="U316" t="str">
        <f>_xlfn.XLOOKUP(B316,Disk_Pivot!G:G,Disk_Pivot!N:N)</f>
        <v/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No</v>
      </c>
      <c r="U317" t="str">
        <f>_xlfn.XLOOKUP(B317,Disk_Pivot!G:G,Disk_Pivot!N:N)</f>
        <v/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No</v>
      </c>
      <c r="U318" t="str">
        <f>_xlfn.XLOOKUP(B318,Disk_Pivot!G:G,Disk_Pivot!N:N)</f>
        <v/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No</v>
      </c>
      <c r="U319" t="str">
        <f>_xlfn.XLOOKUP(B319,Disk_Pivot!G:G,Disk_Pivot!N:N)</f>
        <v/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No</v>
      </c>
      <c r="U320" t="str">
        <f>_xlfn.XLOOKUP(B320,Disk_Pivot!G:G,Disk_Pivot!N:N)</f>
        <v/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No</v>
      </c>
      <c r="U321" t="str">
        <f>_xlfn.XLOOKUP(B321,Disk_Pivot!G:G,Disk_Pivot!N:N)</f>
        <v/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No</v>
      </c>
      <c r="U322" t="str">
        <f>_xlfn.XLOOKUP(B322,Disk_Pivot!G:G,Disk_Pivot!N:N)</f>
        <v/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No</v>
      </c>
      <c r="U323" t="str">
        <f>_xlfn.XLOOKUP(B323,Disk_Pivot!G:G,Disk_Pivot!N:N)</f>
        <v/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No</v>
      </c>
      <c r="U324" t="str">
        <f>_xlfn.XLOOKUP(B324,Disk_Pivot!G:G,Disk_Pivot!N:N)</f>
        <v/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No</v>
      </c>
      <c r="U325" t="str">
        <f>_xlfn.XLOOKUP(B325,Disk_Pivot!G:G,Disk_Pivot!N:N)</f>
        <v/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No</v>
      </c>
      <c r="U326" t="str">
        <f>_xlfn.XLOOKUP(B326,Disk_Pivot!G:G,Disk_Pivot!N:N)</f>
        <v/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No</v>
      </c>
      <c r="U327" t="str">
        <f>_xlfn.XLOOKUP(B327,Disk_Pivot!G:G,Disk_Pivot!N:N)</f>
        <v/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No</v>
      </c>
      <c r="U328" t="str">
        <f>_xlfn.XLOOKUP(B328,Disk_Pivot!G:G,Disk_Pivot!N:N)</f>
        <v/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No</v>
      </c>
      <c r="U329" t="str">
        <f>_xlfn.XLOOKUP(B329,Disk_Pivot!G:G,Disk_Pivot!N:N)</f>
        <v/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No</v>
      </c>
      <c r="U330" t="str">
        <f>_xlfn.XLOOKUP(B330,Disk_Pivot!G:G,Disk_Pivot!N:N)</f>
        <v/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No</v>
      </c>
      <c r="U331" t="str">
        <f>_xlfn.XLOOKUP(B331,Disk_Pivot!G:G,Disk_Pivot!N:N)</f>
        <v/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No</v>
      </c>
      <c r="U332" t="str">
        <f>_xlfn.XLOOKUP(B332,Disk_Pivot!G:G,Disk_Pivot!N:N)</f>
        <v/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No</v>
      </c>
      <c r="U333" t="str">
        <f>_xlfn.XLOOKUP(B333,Disk_Pivot!G:G,Disk_Pivot!N:N)</f>
        <v/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No</v>
      </c>
      <c r="U334" t="str">
        <f>_xlfn.XLOOKUP(B334,Disk_Pivot!G:G,Disk_Pivot!N:N)</f>
        <v/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No</v>
      </c>
      <c r="U335" t="str">
        <f>_xlfn.XLOOKUP(B335,Disk_Pivot!G:G,Disk_Pivot!N:N)</f>
        <v/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No</v>
      </c>
      <c r="U336" t="str">
        <f>_xlfn.XLOOKUP(B336,Disk_Pivot!G:G,Disk_Pivot!N:N)</f>
        <v/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No</v>
      </c>
      <c r="U337" t="str">
        <f>_xlfn.XLOOKUP(B337,Disk_Pivot!G:G,Disk_Pivot!N:N)</f>
        <v/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No</v>
      </c>
      <c r="U338" t="str">
        <f>_xlfn.XLOOKUP(B338,Disk_Pivot!G:G,Disk_Pivot!N:N)</f>
        <v/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No</v>
      </c>
      <c r="U339" t="str">
        <f>_xlfn.XLOOKUP(B339,Disk_Pivot!G:G,Disk_Pivot!N:N)</f>
        <v/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No</v>
      </c>
      <c r="U340" t="str">
        <f>_xlfn.XLOOKUP(B340,Disk_Pivot!G:G,Disk_Pivot!N:N)</f>
        <v/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No</v>
      </c>
      <c r="U341" t="str">
        <f>_xlfn.XLOOKUP(B341,Disk_Pivot!G:G,Disk_Pivot!N:N)</f>
        <v/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No</v>
      </c>
      <c r="U342" t="str">
        <f>_xlfn.XLOOKUP(B342,Disk_Pivot!G:G,Disk_Pivot!N:N)</f>
        <v/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No</v>
      </c>
      <c r="U343" t="str">
        <f>_xlfn.XLOOKUP(B343,Disk_Pivot!G:G,Disk_Pivot!N:N)</f>
        <v/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No</v>
      </c>
      <c r="U344" t="str">
        <f>_xlfn.XLOOKUP(B344,Disk_Pivot!G:G,Disk_Pivot!N:N)</f>
        <v/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No</v>
      </c>
      <c r="U345" t="str">
        <f>_xlfn.XLOOKUP(B345,Disk_Pivot!G:G,Disk_Pivot!N:N)</f>
        <v/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No</v>
      </c>
      <c r="U346" t="str">
        <f>_xlfn.XLOOKUP(B346,Disk_Pivot!G:G,Disk_Pivot!N:N)</f>
        <v/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No</v>
      </c>
      <c r="U347" t="str">
        <f>_xlfn.XLOOKUP(B347,Disk_Pivot!G:G,Disk_Pivot!N:N)</f>
        <v/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No</v>
      </c>
      <c r="U348" t="str">
        <f>_xlfn.XLOOKUP(B348,Disk_Pivot!G:G,Disk_Pivot!N:N)</f>
        <v/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No</v>
      </c>
      <c r="U349" t="str">
        <f>_xlfn.XLOOKUP(B349,Disk_Pivot!G:G,Disk_Pivot!N:N)</f>
        <v/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No</v>
      </c>
      <c r="U350" t="str">
        <f>_xlfn.XLOOKUP(B350,Disk_Pivot!G:G,Disk_Pivot!N:N)</f>
        <v/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No</v>
      </c>
      <c r="U351" t="str">
        <f>_xlfn.XLOOKUP(B351,Disk_Pivot!G:G,Disk_Pivot!N:N)</f>
        <v/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No</v>
      </c>
      <c r="U352" t="str">
        <f>_xlfn.XLOOKUP(B352,Disk_Pivot!G:G,Disk_Pivot!N:N)</f>
        <v/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No</v>
      </c>
      <c r="U353" t="str">
        <f>_xlfn.XLOOKUP(B353,Disk_Pivot!G:G,Disk_Pivot!N:N)</f>
        <v/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No</v>
      </c>
      <c r="U354" t="str">
        <f>_xlfn.XLOOKUP(B354,Disk_Pivot!G:G,Disk_Pivot!N:N)</f>
        <v/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No</v>
      </c>
      <c r="U355" t="str">
        <f>_xlfn.XLOOKUP(B355,Disk_Pivot!G:G,Disk_Pivot!N:N)</f>
        <v/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No</v>
      </c>
      <c r="U356" t="str">
        <f>_xlfn.XLOOKUP(B356,Disk_Pivot!G:G,Disk_Pivot!N:N)</f>
        <v/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No</v>
      </c>
      <c r="U357" t="str">
        <f>_xlfn.XLOOKUP(B357,Disk_Pivot!G:G,Disk_Pivot!N:N)</f>
        <v/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No</v>
      </c>
      <c r="U358" t="str">
        <f>_xlfn.XLOOKUP(B358,Disk_Pivot!G:G,Disk_Pivot!N:N)</f>
        <v/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No</v>
      </c>
      <c r="U359" t="str">
        <f>_xlfn.XLOOKUP(B359,Disk_Pivot!G:G,Disk_Pivot!N:N)</f>
        <v/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No</v>
      </c>
      <c r="U360" t="str">
        <f>_xlfn.XLOOKUP(B360,Disk_Pivot!G:G,Disk_Pivot!N:N)</f>
        <v/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No</v>
      </c>
      <c r="U361" t="str">
        <f>_xlfn.XLOOKUP(B361,Disk_Pivot!G:G,Disk_Pivot!N:N)</f>
        <v/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No</v>
      </c>
      <c r="U362" t="str">
        <f>_xlfn.XLOOKUP(B362,Disk_Pivot!G:G,Disk_Pivot!N:N)</f>
        <v/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No</v>
      </c>
      <c r="U363" t="str">
        <f>_xlfn.XLOOKUP(B363,Disk_Pivot!G:G,Disk_Pivot!N:N)</f>
        <v/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No</v>
      </c>
      <c r="U364" t="str">
        <f>_xlfn.XLOOKUP(B364,Disk_Pivot!G:G,Disk_Pivot!N:N)</f>
        <v/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No</v>
      </c>
      <c r="U365" t="str">
        <f>_xlfn.XLOOKUP(B365,Disk_Pivot!G:G,Disk_Pivot!N:N)</f>
        <v/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No</v>
      </c>
      <c r="U366" t="str">
        <f>_xlfn.XLOOKUP(B366,Disk_Pivot!G:G,Disk_Pivot!N:N)</f>
        <v/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No</v>
      </c>
      <c r="U367" t="str">
        <f>_xlfn.XLOOKUP(B367,Disk_Pivot!G:G,Disk_Pivot!N:N)</f>
        <v/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No</v>
      </c>
      <c r="U368" t="str">
        <f>_xlfn.XLOOKUP(B368,Disk_Pivot!G:G,Disk_Pivot!N:N)</f>
        <v/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No</v>
      </c>
      <c r="U369" t="str">
        <f>_xlfn.XLOOKUP(B369,Disk_Pivot!G:G,Disk_Pivot!N:N)</f>
        <v/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No</v>
      </c>
      <c r="U370" t="str">
        <f>_xlfn.XLOOKUP(B370,Disk_Pivot!G:G,Disk_Pivot!N:N)</f>
        <v/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No</v>
      </c>
      <c r="U371" t="str">
        <f>_xlfn.XLOOKUP(B371,Disk_Pivot!G:G,Disk_Pivot!N:N)</f>
        <v/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No</v>
      </c>
      <c r="U372" t="str">
        <f>_xlfn.XLOOKUP(B372,Disk_Pivot!G:G,Disk_Pivot!N:N)</f>
        <v/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No</v>
      </c>
      <c r="U373" t="str">
        <f>_xlfn.XLOOKUP(B373,Disk_Pivot!G:G,Disk_Pivot!N:N)</f>
        <v/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No</v>
      </c>
      <c r="U374" t="str">
        <f>_xlfn.XLOOKUP(B374,Disk_Pivot!G:G,Disk_Pivot!N:N)</f>
        <v/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No</v>
      </c>
      <c r="U375" t="str">
        <f>_xlfn.XLOOKUP(B375,Disk_Pivot!G:G,Disk_Pivot!N:N)</f>
        <v/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No</v>
      </c>
      <c r="U376" t="str">
        <f>_xlfn.XLOOKUP(B376,Disk_Pivot!G:G,Disk_Pivot!N:N)</f>
        <v/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No</v>
      </c>
      <c r="U377" t="str">
        <f>_xlfn.XLOOKUP(B377,Disk_Pivot!G:G,Disk_Pivot!N:N)</f>
        <v/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No</v>
      </c>
      <c r="U378" t="str">
        <f>_xlfn.XLOOKUP(B378,Disk_Pivot!G:G,Disk_Pivot!N:N)</f>
        <v/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No</v>
      </c>
      <c r="U379" t="str">
        <f>_xlfn.XLOOKUP(B379,Disk_Pivot!G:G,Disk_Pivot!N:N)</f>
        <v/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No</v>
      </c>
      <c r="U380" t="str">
        <f>_xlfn.XLOOKUP(B380,Disk_Pivot!G:G,Disk_Pivot!N:N)</f>
        <v/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No</v>
      </c>
      <c r="U381" t="str">
        <f>_xlfn.XLOOKUP(B381,Disk_Pivot!G:G,Disk_Pivot!N:N)</f>
        <v/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No</v>
      </c>
      <c r="U382" t="str">
        <f>_xlfn.XLOOKUP(B382,Disk_Pivot!G:G,Disk_Pivot!N:N)</f>
        <v/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No</v>
      </c>
      <c r="U383" t="str">
        <f>_xlfn.XLOOKUP(B383,Disk_Pivot!G:G,Disk_Pivot!N:N)</f>
        <v/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No</v>
      </c>
      <c r="U384" t="str">
        <f>_xlfn.XLOOKUP(B384,Disk_Pivot!G:G,Disk_Pivot!N:N)</f>
        <v/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No</v>
      </c>
      <c r="U385" t="str">
        <f>_xlfn.XLOOKUP(B385,Disk_Pivot!G:G,Disk_Pivot!N:N)</f>
        <v/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No</v>
      </c>
      <c r="U386" t="str">
        <f>_xlfn.XLOOKUP(B386,Disk_Pivot!G:G,Disk_Pivot!N:N)</f>
        <v/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No</v>
      </c>
      <c r="U387" t="str">
        <f>_xlfn.XLOOKUP(B387,Disk_Pivot!G:G,Disk_Pivot!N:N)</f>
        <v/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3"/>
  <sheetViews>
    <sheetView topLeftCell="A23" workbookViewId="0">
      <selection activeCell="F44" sqref="F4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307</v>
      </c>
    </row>
    <row r="2" spans="1:8" ht="15.75" thickBot="1">
      <c r="A2" s="20" t="s">
        <v>74</v>
      </c>
      <c r="B2" s="20" t="s">
        <v>75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76</v>
      </c>
      <c r="B3" s="5" t="s">
        <v>77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78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308</v>
      </c>
    </row>
    <row r="5" spans="1:8" ht="15.75" thickBot="1">
      <c r="A5" s="5" t="s">
        <v>79</v>
      </c>
      <c r="B5" s="5" t="s">
        <v>75</v>
      </c>
      <c r="C5" s="5" t="s">
        <v>45</v>
      </c>
      <c r="D5" s="8">
        <v>2019</v>
      </c>
      <c r="E5" s="9">
        <v>16</v>
      </c>
      <c r="F5" s="9">
        <v>2</v>
      </c>
      <c r="G5" s="19" t="s">
        <v>301</v>
      </c>
      <c r="H5" s="19" t="s">
        <v>301</v>
      </c>
    </row>
    <row r="6" spans="1:8" ht="15.75" thickBot="1">
      <c r="A6" s="5" t="s">
        <v>80</v>
      </c>
      <c r="B6" s="5" t="s">
        <v>81</v>
      </c>
      <c r="C6" s="5" t="s">
        <v>45</v>
      </c>
      <c r="D6" s="8">
        <v>2019</v>
      </c>
      <c r="E6" s="9">
        <v>13</v>
      </c>
      <c r="F6" s="9">
        <v>1.4</v>
      </c>
      <c r="G6" s="19" t="s">
        <v>301</v>
      </c>
      <c r="H6" s="19" t="s">
        <v>309</v>
      </c>
    </row>
    <row r="7" spans="1:8" ht="15.75" thickBot="1">
      <c r="A7" s="5" t="s">
        <v>82</v>
      </c>
      <c r="B7" s="5" t="s">
        <v>83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84</v>
      </c>
      <c r="B8" s="5" t="s">
        <v>85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84</v>
      </c>
      <c r="B9" s="5" t="s">
        <v>85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84</v>
      </c>
      <c r="B10" s="5" t="s">
        <v>85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84</v>
      </c>
      <c r="B11" s="5" t="s">
        <v>85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86</v>
      </c>
      <c r="B12" s="5" t="s">
        <v>83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86</v>
      </c>
      <c r="B13" s="5" t="s">
        <v>83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86</v>
      </c>
      <c r="B14" s="5" t="s">
        <v>83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86</v>
      </c>
      <c r="B15" s="5" t="s">
        <v>83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86</v>
      </c>
      <c r="B16" s="5" t="s">
        <v>83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86</v>
      </c>
      <c r="B17" s="5" t="s">
        <v>83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87</v>
      </c>
      <c r="B18" s="5" t="s">
        <v>88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89</v>
      </c>
      <c r="B19" s="5" t="s">
        <v>90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91</v>
      </c>
      <c r="B20" s="5" t="s">
        <v>92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93</v>
      </c>
      <c r="B21" s="5" t="s">
        <v>88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94</v>
      </c>
      <c r="B22" s="5" t="s">
        <v>90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95</v>
      </c>
      <c r="B23" s="5" t="s">
        <v>92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96</v>
      </c>
      <c r="B24" s="5" t="s">
        <v>97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98</v>
      </c>
      <c r="B25" s="5" t="s">
        <v>99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100</v>
      </c>
      <c r="B26" s="5" t="s">
        <v>99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101</v>
      </c>
      <c r="B27" s="5" t="s">
        <v>99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101</v>
      </c>
      <c r="B28" s="5" t="s">
        <v>99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101</v>
      </c>
      <c r="B29" s="5" t="s">
        <v>99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102</v>
      </c>
      <c r="B30" s="5" t="s">
        <v>99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101</v>
      </c>
      <c r="B31" s="5" t="s">
        <v>99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103</v>
      </c>
      <c r="B32" s="5" t="s">
        <v>104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105</v>
      </c>
      <c r="B33" s="5" t="s">
        <v>106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107</v>
      </c>
      <c r="B34" s="5" t="s">
        <v>108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109</v>
      </c>
      <c r="B35" s="5" t="s">
        <v>108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110</v>
      </c>
      <c r="B36" s="7" t="s">
        <v>106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110</v>
      </c>
      <c r="B37" s="7" t="s">
        <v>106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111</v>
      </c>
      <c r="B38" s="5" t="s">
        <v>104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112</v>
      </c>
      <c r="B39" s="7" t="s">
        <v>113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114</v>
      </c>
      <c r="B40" s="7" t="s">
        <v>113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115</v>
      </c>
      <c r="B41" s="7" t="s">
        <v>116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117</v>
      </c>
      <c r="B42" s="7" t="s">
        <v>116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538</v>
      </c>
      <c r="B43" s="7" t="s">
        <v>539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118</v>
      </c>
      <c r="B44" s="7" t="s">
        <v>119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120</v>
      </c>
      <c r="B45" s="7" t="s">
        <v>121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122</v>
      </c>
      <c r="B46" s="7" t="s">
        <v>121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123</v>
      </c>
      <c r="B47" s="7" t="s">
        <v>121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124</v>
      </c>
      <c r="B48" s="7" t="s">
        <v>125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126</v>
      </c>
      <c r="B49" s="7" t="s">
        <v>125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127</v>
      </c>
      <c r="B50" s="7" t="s">
        <v>125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5" t="s">
        <v>128</v>
      </c>
      <c r="B51" s="7" t="s">
        <v>129</v>
      </c>
      <c r="C51" s="5" t="s">
        <v>45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128</v>
      </c>
      <c r="B52" s="7" t="s">
        <v>129</v>
      </c>
      <c r="C52" s="7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130</v>
      </c>
      <c r="B53" s="7" t="s">
        <v>131</v>
      </c>
      <c r="C53" s="7" t="s">
        <v>45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130</v>
      </c>
      <c r="B54" s="7" t="s">
        <v>131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130</v>
      </c>
      <c r="B55" s="7" t="s">
        <v>131</v>
      </c>
      <c r="C55" s="7" t="s">
        <v>45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130</v>
      </c>
      <c r="B56" s="7" t="s">
        <v>131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132</v>
      </c>
      <c r="B57" s="7" t="s">
        <v>133</v>
      </c>
      <c r="C57" s="7" t="s">
        <v>45</v>
      </c>
      <c r="D57" s="9">
        <v>2018</v>
      </c>
      <c r="E57" s="9">
        <v>13</v>
      </c>
      <c r="F57" s="9">
        <v>1.4</v>
      </c>
    </row>
    <row r="58" spans="1:6" ht="15.75" thickBot="1">
      <c r="A58" s="5" t="s">
        <v>134</v>
      </c>
      <c r="B58" s="7" t="s">
        <v>133</v>
      </c>
      <c r="C58" s="7" t="s">
        <v>45</v>
      </c>
      <c r="D58" s="9">
        <v>2019</v>
      </c>
      <c r="E58" s="9">
        <v>13</v>
      </c>
      <c r="F58" s="9">
        <v>1.4</v>
      </c>
    </row>
    <row r="59" spans="1:6" ht="15.75" thickBot="1">
      <c r="A59" s="5" t="s">
        <v>135</v>
      </c>
      <c r="B59" s="7" t="s">
        <v>136</v>
      </c>
      <c r="C59" s="7" t="s">
        <v>45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135</v>
      </c>
      <c r="B60" s="7" t="s">
        <v>136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135</v>
      </c>
      <c r="B61" s="7" t="s">
        <v>136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137</v>
      </c>
      <c r="B62" s="7" t="s">
        <v>138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7" t="s">
        <v>139</v>
      </c>
      <c r="B63" s="7" t="s">
        <v>140</v>
      </c>
      <c r="C63" s="7" t="s">
        <v>45</v>
      </c>
      <c r="D63" s="9">
        <v>2022</v>
      </c>
      <c r="E63" s="9">
        <v>13</v>
      </c>
      <c r="F63" s="9">
        <v>1.4</v>
      </c>
    </row>
    <row r="64" spans="1:6" ht="15.75" thickBot="1">
      <c r="A64" s="7" t="s">
        <v>141</v>
      </c>
      <c r="B64" s="7" t="s">
        <v>142</v>
      </c>
      <c r="C64" s="7" t="s">
        <v>45</v>
      </c>
      <c r="D64" s="9">
        <v>2023</v>
      </c>
      <c r="E64" s="9">
        <v>15</v>
      </c>
      <c r="F64" s="9">
        <v>1.8</v>
      </c>
    </row>
    <row r="65" spans="1:6" ht="15.75" thickBot="1">
      <c r="A65" s="7" t="s">
        <v>143</v>
      </c>
      <c r="B65" s="7" t="s">
        <v>144</v>
      </c>
      <c r="C65" s="7" t="s">
        <v>45</v>
      </c>
      <c r="D65" s="9">
        <v>2024</v>
      </c>
      <c r="E65" s="9">
        <v>13</v>
      </c>
      <c r="F65" s="9">
        <v>1.4</v>
      </c>
    </row>
    <row r="66" spans="1:6" ht="15.75" thickBot="1">
      <c r="A66" s="7" t="s">
        <v>145</v>
      </c>
      <c r="B66" s="7" t="s">
        <v>146</v>
      </c>
      <c r="C66" s="7" t="s">
        <v>45</v>
      </c>
      <c r="D66" s="9">
        <v>2024</v>
      </c>
      <c r="E66" s="9">
        <v>15</v>
      </c>
      <c r="F66" s="9">
        <v>1.8</v>
      </c>
    </row>
    <row r="67" spans="1:6" ht="15.75" thickBot="1">
      <c r="A67" s="7" t="s">
        <v>147</v>
      </c>
      <c r="B67" s="7" t="s">
        <v>148</v>
      </c>
      <c r="C67" s="7" t="s">
        <v>301</v>
      </c>
      <c r="D67" s="9">
        <v>2013</v>
      </c>
      <c r="E67" s="7"/>
      <c r="F67" s="9">
        <v>5</v>
      </c>
    </row>
    <row r="68" spans="1:6" ht="15.75" thickBot="1">
      <c r="A68" s="7" t="s">
        <v>149</v>
      </c>
      <c r="B68" s="7" t="s">
        <v>150</v>
      </c>
      <c r="C68" s="7" t="s">
        <v>300</v>
      </c>
      <c r="D68" s="9">
        <v>2015</v>
      </c>
      <c r="E68" s="9">
        <v>27</v>
      </c>
      <c r="F68" s="9">
        <v>9.5399999999999991</v>
      </c>
    </row>
    <row r="69" spans="1:6" ht="15.75" thickBot="1">
      <c r="A69" s="7" t="s">
        <v>151</v>
      </c>
      <c r="B69" s="7" t="s">
        <v>150</v>
      </c>
      <c r="C69" s="7" t="s">
        <v>300</v>
      </c>
      <c r="D69" s="9">
        <v>2017</v>
      </c>
      <c r="E69" s="9">
        <v>27</v>
      </c>
      <c r="F69" s="9">
        <v>9.5399999999999991</v>
      </c>
    </row>
    <row r="70" spans="1:6" ht="15.75" thickBot="1">
      <c r="A70" s="7" t="s">
        <v>152</v>
      </c>
      <c r="B70" s="7" t="s">
        <v>153</v>
      </c>
      <c r="C70" s="7" t="s">
        <v>300</v>
      </c>
      <c r="D70" s="9">
        <v>2017</v>
      </c>
      <c r="E70" s="9">
        <v>21.5</v>
      </c>
      <c r="F70" s="9">
        <v>9.5399999999999991</v>
      </c>
    </row>
    <row r="71" spans="1:6" ht="15.75" thickBot="1">
      <c r="A71" s="7"/>
      <c r="B71" s="7" t="s">
        <v>154</v>
      </c>
      <c r="C71" s="7"/>
      <c r="D71" s="7"/>
      <c r="E71" s="7"/>
      <c r="F71" s="9">
        <v>2</v>
      </c>
    </row>
    <row r="72" spans="1:6" ht="15.75" thickBot="1">
      <c r="A72" s="7"/>
      <c r="B72" s="7" t="s">
        <v>154</v>
      </c>
      <c r="C72" s="7"/>
      <c r="D72" s="7"/>
      <c r="E72" s="7"/>
      <c r="F72" s="9">
        <v>2</v>
      </c>
    </row>
    <row r="73" spans="1:6" ht="15.75" thickBot="1">
      <c r="A73" s="7"/>
      <c r="B73" s="7" t="s">
        <v>154</v>
      </c>
      <c r="C73" s="7"/>
      <c r="D73" s="7"/>
      <c r="E73" s="7"/>
      <c r="F73" s="9">
        <v>2</v>
      </c>
    </row>
    <row r="74" spans="1:6" ht="15.75" thickBot="1">
      <c r="A74" s="7"/>
      <c r="B74" s="7" t="s">
        <v>154</v>
      </c>
      <c r="C74" s="7"/>
      <c r="D74" s="7"/>
      <c r="E74" s="7"/>
      <c r="F74" s="9">
        <v>2</v>
      </c>
    </row>
    <row r="75" spans="1:6" ht="15.75" thickBot="1">
      <c r="A75" s="7"/>
      <c r="B75" s="10" t="s">
        <v>155</v>
      </c>
      <c r="C75" s="10"/>
      <c r="D75" s="7"/>
      <c r="E75" s="7"/>
      <c r="F75" s="9">
        <v>1.74</v>
      </c>
    </row>
    <row r="76" spans="1:6" ht="15.75" thickBot="1">
      <c r="A76" s="7"/>
      <c r="B76" s="7" t="s">
        <v>154</v>
      </c>
      <c r="C76" s="7"/>
      <c r="D76" s="7"/>
      <c r="E76" s="7"/>
      <c r="F76" s="9">
        <v>2</v>
      </c>
    </row>
    <row r="77" spans="1:6" ht="15.75" thickBot="1">
      <c r="A77" s="7"/>
      <c r="B77" s="10" t="s">
        <v>155</v>
      </c>
      <c r="C77" s="10"/>
      <c r="D77" s="7"/>
      <c r="E77" s="7"/>
      <c r="F77" s="9">
        <v>1.74</v>
      </c>
    </row>
    <row r="78" spans="1:6" ht="15.75" thickBot="1">
      <c r="A78" s="7"/>
      <c r="B78" s="10" t="s">
        <v>156</v>
      </c>
      <c r="C78" s="10"/>
      <c r="D78" s="7"/>
      <c r="E78" s="7"/>
      <c r="F78" s="9">
        <v>1.8</v>
      </c>
    </row>
    <row r="79" spans="1:6" ht="15.75" thickBot="1">
      <c r="A79" s="7"/>
      <c r="B79" s="7" t="s">
        <v>154</v>
      </c>
      <c r="C79" s="7"/>
      <c r="D79" s="7"/>
      <c r="E79" s="7"/>
      <c r="F79" s="9">
        <v>2</v>
      </c>
    </row>
    <row r="80" spans="1:6" ht="15.75" thickBot="1">
      <c r="A80" s="7"/>
      <c r="B80" s="7" t="s">
        <v>157</v>
      </c>
      <c r="C80" s="7"/>
      <c r="D80" s="7"/>
      <c r="E80" s="7"/>
      <c r="F80" s="9">
        <v>1.8</v>
      </c>
    </row>
    <row r="81" spans="1:6" ht="15.75" thickBot="1">
      <c r="A81" s="7"/>
      <c r="B81" s="7" t="s">
        <v>158</v>
      </c>
      <c r="C81" s="7"/>
      <c r="D81" s="7"/>
      <c r="E81" s="7"/>
      <c r="F81" s="9">
        <v>1.26</v>
      </c>
    </row>
    <row r="82" spans="1:6" ht="15.75" thickBot="1">
      <c r="A82" s="7"/>
      <c r="B82" s="7" t="s">
        <v>159</v>
      </c>
      <c r="C82" s="7"/>
      <c r="D82" s="7"/>
      <c r="E82" s="7"/>
      <c r="F82" s="9">
        <v>1.26</v>
      </c>
    </row>
    <row r="83" spans="1:6" ht="15.75" thickBot="1">
      <c r="A83" s="7"/>
      <c r="B83" s="7" t="s">
        <v>160</v>
      </c>
      <c r="C83" s="7"/>
      <c r="D83" s="7"/>
      <c r="E83" s="7"/>
      <c r="F83" s="9">
        <v>1.26</v>
      </c>
    </row>
    <row r="84" spans="1:6" ht="15.75" thickBot="1">
      <c r="A84" s="7"/>
      <c r="B84" s="10" t="s">
        <v>161</v>
      </c>
      <c r="C84" s="10"/>
      <c r="D84" s="7"/>
      <c r="E84" s="7"/>
      <c r="F84" s="9">
        <v>1.26</v>
      </c>
    </row>
    <row r="85" spans="1:6" ht="15.75" thickBot="1">
      <c r="A85" s="7"/>
      <c r="B85" s="7" t="s">
        <v>162</v>
      </c>
      <c r="C85" s="7"/>
      <c r="D85" s="7"/>
      <c r="E85" s="7"/>
      <c r="F85" s="9">
        <v>1.17</v>
      </c>
    </row>
    <row r="86" spans="1:6" ht="15.75" thickBot="1">
      <c r="A86" s="7"/>
      <c r="B86" s="7" t="s">
        <v>163</v>
      </c>
      <c r="C86" s="7"/>
      <c r="D86" s="7"/>
      <c r="E86" s="7"/>
      <c r="F86" s="9">
        <v>1.8</v>
      </c>
    </row>
    <row r="87" spans="1:6" ht="15.75" thickBot="1">
      <c r="A87" s="7"/>
      <c r="B87" s="7" t="s">
        <v>164</v>
      </c>
      <c r="C87" s="7"/>
      <c r="D87" s="7"/>
      <c r="E87" s="7"/>
      <c r="F87" s="9">
        <v>1.35</v>
      </c>
    </row>
    <row r="88" spans="1:6" ht="15.75" thickBot="1">
      <c r="A88" s="7"/>
      <c r="B88" s="6" t="s">
        <v>165</v>
      </c>
      <c r="C88" s="6"/>
      <c r="D88" s="7"/>
      <c r="E88" s="7"/>
      <c r="F88" s="9">
        <v>1.1000000000000001</v>
      </c>
    </row>
    <row r="89" spans="1:6" ht="15.75" thickBot="1">
      <c r="A89" s="7"/>
      <c r="B89" s="6" t="s">
        <v>166</v>
      </c>
      <c r="C89" s="6"/>
      <c r="D89" s="7"/>
      <c r="E89" s="7"/>
      <c r="F89" s="9">
        <v>1.2</v>
      </c>
    </row>
    <row r="90" spans="1:6" ht="15.75" thickBot="1">
      <c r="A90" s="7"/>
      <c r="B90" s="6" t="s">
        <v>167</v>
      </c>
      <c r="C90" s="6"/>
      <c r="D90" s="7"/>
      <c r="E90" s="7"/>
      <c r="F90" s="9">
        <v>1.26</v>
      </c>
    </row>
    <row r="91" spans="1:6" ht="15.75" thickBot="1">
      <c r="A91" s="7"/>
      <c r="B91" s="7" t="s">
        <v>168</v>
      </c>
      <c r="C91" s="7"/>
      <c r="D91" s="7"/>
      <c r="E91" s="7"/>
      <c r="F91" s="9">
        <v>1.27</v>
      </c>
    </row>
    <row r="92" spans="1:6" ht="15.75" thickBot="1">
      <c r="A92" s="7"/>
      <c r="B92" s="7" t="s">
        <v>168</v>
      </c>
      <c r="C92" s="7"/>
      <c r="D92" s="7"/>
      <c r="E92" s="7"/>
      <c r="F92" s="9">
        <v>1.27</v>
      </c>
    </row>
    <row r="93" spans="1:6" ht="15.75" thickBot="1">
      <c r="A93" s="7"/>
      <c r="B93" s="7" t="s">
        <v>169</v>
      </c>
      <c r="C93" s="7"/>
      <c r="D93" s="7"/>
      <c r="E93" s="7"/>
      <c r="F93" s="9">
        <v>1.3</v>
      </c>
    </row>
    <row r="94" spans="1:6" ht="15.75" thickBot="1">
      <c r="A94" s="7"/>
      <c r="B94" s="7" t="s">
        <v>170</v>
      </c>
      <c r="C94" s="7"/>
      <c r="D94" s="7"/>
      <c r="E94" s="7"/>
      <c r="F94" s="9">
        <v>1.4</v>
      </c>
    </row>
    <row r="95" spans="1:6" ht="15.75" thickBot="1">
      <c r="A95" s="7"/>
      <c r="B95" s="7" t="s">
        <v>171</v>
      </c>
      <c r="C95" s="7"/>
      <c r="D95" s="7"/>
      <c r="E95" s="7"/>
      <c r="F95" s="9">
        <v>1.4</v>
      </c>
    </row>
    <row r="96" spans="1:6" ht="15.75" thickBot="1">
      <c r="A96" s="7"/>
      <c r="B96" s="7" t="s">
        <v>172</v>
      </c>
      <c r="C96" s="7"/>
      <c r="D96" s="7"/>
      <c r="E96" s="7"/>
      <c r="F96" s="9">
        <v>3.26</v>
      </c>
    </row>
    <row r="97" spans="1:6" ht="15.75" thickBot="1">
      <c r="A97" s="7"/>
      <c r="B97" s="7" t="s">
        <v>173</v>
      </c>
      <c r="C97" s="7"/>
      <c r="D97" s="7"/>
      <c r="E97" s="7"/>
      <c r="F97" s="9">
        <v>5.23</v>
      </c>
    </row>
    <row r="98" spans="1:6" ht="15.75" thickBot="1">
      <c r="A98" s="7"/>
      <c r="B98" s="7" t="s">
        <v>174</v>
      </c>
      <c r="C98" s="7"/>
      <c r="D98" s="7"/>
      <c r="E98" s="7"/>
      <c r="F98" s="9">
        <v>7.5</v>
      </c>
    </row>
    <row r="99" spans="1:6" ht="15.75" thickBot="1">
      <c r="A99" s="7"/>
      <c r="B99" s="7" t="s">
        <v>175</v>
      </c>
      <c r="C99" s="7"/>
      <c r="D99" s="7"/>
      <c r="E99" s="7"/>
      <c r="F99" s="9">
        <v>6.6</v>
      </c>
    </row>
    <row r="100" spans="1:6" ht="15.75" thickBot="1">
      <c r="A100" s="7"/>
      <c r="B100" s="7" t="s">
        <v>176</v>
      </c>
      <c r="C100" s="7"/>
      <c r="D100" s="7"/>
      <c r="E100" s="7"/>
      <c r="F100" s="9">
        <v>5.6</v>
      </c>
    </row>
    <row r="101" spans="1:6" ht="15.75" thickBot="1">
      <c r="A101" s="7"/>
      <c r="B101" s="7" t="s">
        <v>177</v>
      </c>
      <c r="C101" s="7"/>
      <c r="D101" s="7"/>
      <c r="E101" s="7"/>
      <c r="F101" s="9">
        <v>7.65</v>
      </c>
    </row>
    <row r="102" spans="1:6" ht="15.75" thickBot="1">
      <c r="A102" s="7"/>
      <c r="B102" s="7" t="s">
        <v>178</v>
      </c>
      <c r="C102" s="7"/>
      <c r="D102" s="7"/>
      <c r="E102" s="7"/>
      <c r="F102" s="9">
        <v>5.26</v>
      </c>
    </row>
    <row r="103" spans="1:6" ht="15.75" thickBot="1">
      <c r="A103" s="7"/>
      <c r="B103" s="7" t="s">
        <v>179</v>
      </c>
      <c r="C103" s="7"/>
      <c r="D103" s="7"/>
      <c r="E103" s="7"/>
      <c r="F103" s="9">
        <v>9</v>
      </c>
    </row>
    <row r="104" spans="1:6" ht="15.75" thickBot="1">
      <c r="A104" s="7"/>
      <c r="B104" s="7" t="s">
        <v>180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181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182</v>
      </c>
      <c r="C106" s="7"/>
      <c r="D106" s="7"/>
      <c r="E106" s="7"/>
      <c r="F106" s="9">
        <v>5.26</v>
      </c>
    </row>
    <row r="107" spans="1:6" ht="15.75" thickBot="1">
      <c r="A107" s="7"/>
      <c r="B107" s="7" t="s">
        <v>183</v>
      </c>
      <c r="C107" s="7"/>
      <c r="D107" s="7"/>
      <c r="E107" s="7"/>
      <c r="F107" s="9">
        <v>9.4</v>
      </c>
    </row>
    <row r="108" spans="1:6" ht="15.75" thickBot="1">
      <c r="A108" s="7"/>
      <c r="B108" s="7" t="s">
        <v>184</v>
      </c>
      <c r="C108" s="7"/>
      <c r="D108" s="7"/>
      <c r="E108" s="7"/>
      <c r="F108" s="9">
        <v>5.9</v>
      </c>
    </row>
    <row r="109" spans="1:6" ht="15.75" thickBot="1">
      <c r="A109" s="7"/>
      <c r="B109" s="7" t="s">
        <v>185</v>
      </c>
      <c r="C109" s="7"/>
      <c r="D109" s="7"/>
      <c r="E109" s="7"/>
      <c r="F109" s="9">
        <v>5.26</v>
      </c>
    </row>
    <row r="110" spans="1:6" ht="15.75" thickBot="1">
      <c r="A110" s="7"/>
      <c r="B110" s="7" t="s">
        <v>186</v>
      </c>
      <c r="C110" s="7"/>
      <c r="D110" s="7"/>
      <c r="E110" s="7"/>
      <c r="F110" s="9">
        <v>1.3</v>
      </c>
    </row>
    <row r="111" spans="1:6" ht="15.75" thickBot="1">
      <c r="A111" s="7"/>
      <c r="B111" s="7" t="s">
        <v>187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188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189</v>
      </c>
      <c r="C113" s="7"/>
      <c r="D113" s="7"/>
      <c r="E113" s="7"/>
      <c r="F113" s="9">
        <v>5.2</v>
      </c>
    </row>
    <row r="114" spans="1:6" ht="15.75" thickBot="1">
      <c r="A114" s="7"/>
      <c r="B114" s="7" t="s">
        <v>190</v>
      </c>
      <c r="C114" s="7"/>
      <c r="D114" s="7"/>
      <c r="E114" s="7"/>
      <c r="F114" s="9">
        <v>4.25</v>
      </c>
    </row>
    <row r="115" spans="1:6" ht="15.75" thickBot="1">
      <c r="A115" s="7"/>
      <c r="B115" s="7" t="s">
        <v>191</v>
      </c>
      <c r="C115" s="7"/>
      <c r="D115" s="7"/>
      <c r="E115" s="7"/>
      <c r="F115" s="9">
        <v>3.33</v>
      </c>
    </row>
    <row r="116" spans="1:6" ht="15.75" thickBot="1">
      <c r="A116" s="7"/>
      <c r="B116" s="7" t="s">
        <v>192</v>
      </c>
      <c r="C116" s="7"/>
      <c r="D116" s="7"/>
      <c r="E116" s="7"/>
      <c r="F116" s="9">
        <v>2.8</v>
      </c>
    </row>
    <row r="117" spans="1:6" ht="15.75" thickBot="1">
      <c r="A117" s="7"/>
      <c r="B117" s="7" t="s">
        <v>193</v>
      </c>
      <c r="C117" s="7"/>
      <c r="D117" s="7"/>
      <c r="E117" s="7"/>
      <c r="F117" s="9">
        <v>1.7</v>
      </c>
    </row>
    <row r="118" spans="1:6" ht="15.75" thickBot="1">
      <c r="A118" s="7"/>
      <c r="B118" s="7" t="s">
        <v>194</v>
      </c>
      <c r="C118" s="7"/>
      <c r="D118" s="7"/>
      <c r="E118" s="7"/>
      <c r="F118" s="9">
        <v>1.48</v>
      </c>
    </row>
    <row r="119" spans="1:6" ht="15.75" thickBot="1">
      <c r="A119" s="7"/>
      <c r="B119" s="7" t="s">
        <v>195</v>
      </c>
      <c r="C119" s="7"/>
      <c r="D119" s="7"/>
      <c r="E119" s="7"/>
      <c r="F119" s="9">
        <v>3.33</v>
      </c>
    </row>
    <row r="120" spans="1:6" ht="15.75" thickBot="1">
      <c r="A120" s="7"/>
      <c r="B120" s="7" t="s">
        <v>196</v>
      </c>
      <c r="C120" s="7"/>
      <c r="D120" s="7"/>
      <c r="E120" s="7"/>
      <c r="F120" s="9">
        <v>0.75</v>
      </c>
    </row>
    <row r="121" spans="1:6" ht="15.75" thickBot="1">
      <c r="A121" s="7"/>
      <c r="B121" s="7" t="s">
        <v>197</v>
      </c>
      <c r="C121" s="7"/>
      <c r="D121" s="7"/>
      <c r="E121" s="7"/>
      <c r="F121" s="9">
        <v>4.25</v>
      </c>
    </row>
    <row r="122" spans="1:6" ht="15.75" thickBot="1">
      <c r="A122" s="7"/>
      <c r="B122" s="7" t="s">
        <v>198</v>
      </c>
      <c r="C122" s="7"/>
      <c r="D122" s="7"/>
      <c r="E122" s="7"/>
      <c r="F122" s="9">
        <v>1.44</v>
      </c>
    </row>
    <row r="123" spans="1:6" ht="15.75" thickBot="1">
      <c r="A123" s="7"/>
      <c r="B123" s="7" t="s">
        <v>199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200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201</v>
      </c>
      <c r="C125" s="7"/>
      <c r="D125" s="7"/>
      <c r="E125" s="7"/>
      <c r="F125" s="9">
        <v>1.5</v>
      </c>
    </row>
    <row r="126" spans="1:6" ht="15.75" thickBot="1">
      <c r="A126" s="7"/>
      <c r="B126" s="7" t="s">
        <v>202</v>
      </c>
      <c r="C126" s="7"/>
      <c r="D126" s="7"/>
      <c r="E126" s="7"/>
      <c r="F126" s="9">
        <v>1.46</v>
      </c>
    </row>
    <row r="127" spans="1:6" ht="15.75" thickBot="1">
      <c r="A127" s="7"/>
      <c r="B127" s="7" t="s">
        <v>203</v>
      </c>
      <c r="C127" s="7"/>
      <c r="D127" s="7"/>
      <c r="E127" s="7"/>
      <c r="F127" s="9">
        <v>1.18</v>
      </c>
    </row>
    <row r="128" spans="1:6" ht="15.75" thickBot="1">
      <c r="A128" s="7"/>
      <c r="B128" s="7" t="s">
        <v>204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205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206</v>
      </c>
      <c r="C130" s="7"/>
      <c r="D130" s="7"/>
      <c r="E130" s="7"/>
      <c r="F130" s="9">
        <v>1.68</v>
      </c>
    </row>
    <row r="131" spans="1:6" ht="15.75" thickBot="1">
      <c r="A131" s="7"/>
      <c r="B131" s="7" t="s">
        <v>207</v>
      </c>
      <c r="C131" s="7"/>
      <c r="D131" s="7"/>
      <c r="E131" s="7"/>
      <c r="F131" s="9">
        <v>1.64</v>
      </c>
    </row>
    <row r="132" spans="1:6" ht="15.75" thickBot="1">
      <c r="A132" s="7"/>
      <c r="B132" s="7" t="s">
        <v>208</v>
      </c>
      <c r="C132" s="7"/>
      <c r="D132" s="7"/>
      <c r="E132" s="7"/>
      <c r="F132" s="9">
        <v>2.2999999999999998</v>
      </c>
    </row>
    <row r="133" spans="1:6" ht="15.75" thickBot="1">
      <c r="A133" s="7"/>
      <c r="B133" s="7" t="s">
        <v>209</v>
      </c>
      <c r="C133" s="7"/>
      <c r="D133" s="7"/>
      <c r="E133" s="7"/>
      <c r="F133" s="9">
        <v>1.96</v>
      </c>
    </row>
    <row r="134" spans="1:6" ht="15.75" thickBot="1">
      <c r="A134" s="7"/>
      <c r="B134" s="7" t="s">
        <v>210</v>
      </c>
      <c r="C134" s="7"/>
      <c r="D134" s="7"/>
      <c r="E134" s="7"/>
      <c r="F134" s="9">
        <v>1.7</v>
      </c>
    </row>
    <row r="135" spans="1:6" ht="15.75" thickBot="1">
      <c r="A135" s="7"/>
      <c r="B135" s="7" t="s">
        <v>211</v>
      </c>
      <c r="C135" s="7"/>
      <c r="D135" s="7"/>
      <c r="E135" s="7"/>
      <c r="F135" s="9">
        <v>2.7</v>
      </c>
    </row>
    <row r="136" spans="1:6" ht="15.75" thickBot="1">
      <c r="A136" s="7"/>
      <c r="B136" s="7" t="s">
        <v>212</v>
      </c>
      <c r="C136" s="7"/>
      <c r="D136" s="7"/>
      <c r="E136" s="7"/>
      <c r="F136" s="9">
        <v>2.74</v>
      </c>
    </row>
    <row r="137" spans="1:6" ht="15.75" thickBot="1">
      <c r="A137" s="7"/>
      <c r="B137" s="7" t="s">
        <v>213</v>
      </c>
      <c r="C137" s="7"/>
      <c r="D137" s="7"/>
      <c r="E137" s="7"/>
      <c r="F137" s="9">
        <v>2</v>
      </c>
    </row>
    <row r="138" spans="1:6" ht="15.75" thickBot="1">
      <c r="A138" s="7"/>
      <c r="B138" s="7" t="s">
        <v>204</v>
      </c>
      <c r="C138" s="7"/>
      <c r="D138" s="7"/>
      <c r="E138" s="7"/>
      <c r="F138" s="9">
        <v>1.73</v>
      </c>
    </row>
    <row r="139" spans="1:6" ht="15.75" thickBot="1">
      <c r="A139" s="7"/>
      <c r="B139" s="7" t="s">
        <v>214</v>
      </c>
      <c r="C139" s="7"/>
      <c r="D139" s="7"/>
      <c r="E139" s="7"/>
      <c r="F139" s="9">
        <v>1.68</v>
      </c>
    </row>
    <row r="140" spans="1:6" ht="15.75" thickBot="1">
      <c r="A140" s="7"/>
      <c r="B140" s="7" t="s">
        <v>215</v>
      </c>
      <c r="C140" s="7"/>
      <c r="D140" s="7"/>
      <c r="E140" s="7"/>
      <c r="F140" s="9">
        <v>1.64</v>
      </c>
    </row>
    <row r="141" spans="1:6" ht="15.75" thickBot="1">
      <c r="A141" s="7"/>
      <c r="B141" s="7" t="s">
        <v>216</v>
      </c>
      <c r="C141" s="7"/>
      <c r="D141" s="7"/>
      <c r="E141" s="7"/>
      <c r="F141" s="9">
        <v>2.2999999999999998</v>
      </c>
    </row>
    <row r="142" spans="1:6" ht="15.75" thickBot="1">
      <c r="A142" s="7"/>
      <c r="B142" s="7" t="s">
        <v>217</v>
      </c>
      <c r="C142" s="7"/>
      <c r="D142" s="7"/>
      <c r="E142" s="7"/>
      <c r="F142" s="9">
        <v>1.96</v>
      </c>
    </row>
    <row r="143" spans="1:6" ht="15.75" thickBot="1">
      <c r="A143" s="7"/>
      <c r="B143" s="7" t="s">
        <v>218</v>
      </c>
      <c r="C143" s="7"/>
      <c r="D143" s="7"/>
      <c r="E143" s="7"/>
      <c r="F143" s="9">
        <v>1.7</v>
      </c>
    </row>
    <row r="144" spans="1:6" ht="15.75" thickBot="1">
      <c r="A144" s="7"/>
      <c r="B144" s="7" t="s">
        <v>219</v>
      </c>
      <c r="C144" s="7"/>
      <c r="D144" s="7"/>
      <c r="E144" s="7"/>
      <c r="F144" s="9">
        <v>2.7</v>
      </c>
    </row>
    <row r="145" spans="1:6" ht="15.75" thickBot="1">
      <c r="A145" s="7"/>
      <c r="B145" s="7" t="s">
        <v>220</v>
      </c>
      <c r="C145" s="7"/>
      <c r="D145" s="7"/>
      <c r="E145" s="7"/>
      <c r="F145" s="9">
        <v>2.74</v>
      </c>
    </row>
    <row r="146" spans="1:6" ht="15.75" thickBot="1">
      <c r="A146" s="7"/>
      <c r="B146" s="7" t="s">
        <v>221</v>
      </c>
      <c r="C146" s="7"/>
      <c r="D146" s="7"/>
      <c r="E146" s="7"/>
      <c r="F146" s="9">
        <v>1.36</v>
      </c>
    </row>
    <row r="147" spans="1:6" ht="15.75" thickBot="1">
      <c r="A147" s="7"/>
      <c r="B147" s="7" t="s">
        <v>222</v>
      </c>
      <c r="C147" s="7"/>
      <c r="D147" s="7"/>
      <c r="E147" s="7"/>
      <c r="F147" s="9">
        <v>1.4</v>
      </c>
    </row>
    <row r="148" spans="1:6" ht="15.75" thickBot="1">
      <c r="A148" s="7"/>
      <c r="B148" s="7" t="s">
        <v>223</v>
      </c>
      <c r="C148" s="7"/>
      <c r="D148" s="7"/>
      <c r="E148" s="7"/>
      <c r="F148" s="9">
        <v>2.5</v>
      </c>
    </row>
    <row r="149" spans="1:6" ht="15.75" thickBot="1">
      <c r="A149" s="7"/>
      <c r="B149" s="7" t="s">
        <v>224</v>
      </c>
      <c r="C149" s="7"/>
      <c r="D149" s="7"/>
      <c r="E149" s="7"/>
      <c r="F149" s="9">
        <v>1.7</v>
      </c>
    </row>
    <row r="150" spans="1:6" ht="15.75" thickBot="1">
      <c r="A150" s="7"/>
      <c r="B150" s="7" t="s">
        <v>225</v>
      </c>
      <c r="C150" s="7"/>
      <c r="D150" s="7"/>
      <c r="E150" s="7"/>
      <c r="F150" s="9">
        <v>1.32</v>
      </c>
    </row>
    <row r="151" spans="1:6" ht="15.75" thickBot="1">
      <c r="A151" s="7"/>
      <c r="B151" s="7" t="s">
        <v>226</v>
      </c>
      <c r="C151" s="7"/>
      <c r="D151" s="7"/>
      <c r="E151" s="7"/>
      <c r="F151" s="9">
        <v>1.36</v>
      </c>
    </row>
    <row r="152" spans="1:6" ht="15.75" thickBot="1">
      <c r="A152" s="7"/>
      <c r="B152" s="7" t="s">
        <v>227</v>
      </c>
      <c r="C152" s="7"/>
      <c r="D152" s="7"/>
      <c r="E152" s="7"/>
      <c r="F152" s="9">
        <v>1.7</v>
      </c>
    </row>
    <row r="153" spans="1:6" ht="15.75" thickBot="1">
      <c r="A153" s="7"/>
      <c r="B153" s="7" t="s">
        <v>228</v>
      </c>
      <c r="C153" s="7"/>
      <c r="D153" s="7"/>
      <c r="E153" s="7"/>
      <c r="F153" s="9">
        <v>1.3</v>
      </c>
    </row>
    <row r="154" spans="1:6" ht="15.75" thickBot="1">
      <c r="A154" s="7"/>
      <c r="B154" s="7" t="s">
        <v>229</v>
      </c>
      <c r="C154" s="7"/>
      <c r="D154" s="7"/>
      <c r="E154" s="7"/>
      <c r="F154" s="9">
        <v>1.8</v>
      </c>
    </row>
    <row r="155" spans="1:6" ht="15.75" thickBot="1">
      <c r="A155" s="7"/>
      <c r="B155" s="7" t="s">
        <v>230</v>
      </c>
      <c r="C155" s="7"/>
      <c r="D155" s="7"/>
      <c r="E155" s="7"/>
      <c r="F155" s="9">
        <v>1.32</v>
      </c>
    </row>
    <row r="156" spans="1:6" ht="15.75" thickBot="1">
      <c r="A156" s="7"/>
      <c r="B156" s="7" t="s">
        <v>231</v>
      </c>
      <c r="C156" s="7"/>
      <c r="D156" s="7"/>
      <c r="E156" s="7"/>
      <c r="F156" s="9">
        <v>1.27</v>
      </c>
    </row>
    <row r="157" spans="1:6" ht="15.75" thickBot="1">
      <c r="A157" s="7"/>
      <c r="B157" s="7" t="s">
        <v>232</v>
      </c>
      <c r="C157" s="7"/>
      <c r="D157" s="7"/>
      <c r="E157" s="7"/>
      <c r="F157" s="9">
        <v>1.4</v>
      </c>
    </row>
    <row r="158" spans="1:6" ht="15.75" thickBot="1">
      <c r="A158" s="7"/>
      <c r="B158" s="7" t="s">
        <v>229</v>
      </c>
      <c r="C158" s="7"/>
      <c r="D158" s="7"/>
      <c r="E158" s="7"/>
      <c r="F158" s="9">
        <v>1.8</v>
      </c>
    </row>
    <row r="159" spans="1:6" ht="15.75" thickBot="1">
      <c r="A159" s="7"/>
      <c r="B159" s="7" t="s">
        <v>233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234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235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236</v>
      </c>
      <c r="C162" s="7"/>
      <c r="D162" s="7"/>
      <c r="E162" s="7"/>
      <c r="F162" s="9">
        <v>2</v>
      </c>
    </row>
    <row r="163" spans="1:6" ht="15.75" thickBot="1">
      <c r="A163" s="7"/>
      <c r="B163" s="7" t="s">
        <v>237</v>
      </c>
      <c r="C163" s="7"/>
      <c r="D163" s="7"/>
      <c r="E163" s="7"/>
      <c r="F163" s="9">
        <v>1.8</v>
      </c>
    </row>
    <row r="164" spans="1:6" ht="15.75" thickBot="1">
      <c r="A164" s="7"/>
      <c r="B164" s="7" t="s">
        <v>238</v>
      </c>
      <c r="C164" s="7"/>
      <c r="D164" s="7"/>
      <c r="E164" s="7"/>
      <c r="F164" s="9">
        <v>2.2000000000000002</v>
      </c>
    </row>
    <row r="165" spans="1:6" ht="15.75" thickBot="1">
      <c r="A165" s="7"/>
      <c r="B165" s="7" t="s">
        <v>239</v>
      </c>
      <c r="C165" s="7"/>
      <c r="D165" s="7"/>
      <c r="E165" s="7"/>
      <c r="F165" s="9">
        <v>2.63</v>
      </c>
    </row>
    <row r="166" spans="1:6" ht="15.75" thickBot="1">
      <c r="A166" s="7"/>
      <c r="B166" s="10" t="s">
        <v>240</v>
      </c>
      <c r="C166" s="10"/>
      <c r="D166" s="7"/>
      <c r="E166" s="7"/>
      <c r="F166" s="9">
        <v>2</v>
      </c>
    </row>
    <row r="167" spans="1:6" ht="15.75" thickBot="1">
      <c r="A167" s="7"/>
      <c r="B167" s="7" t="s">
        <v>241</v>
      </c>
      <c r="C167" s="7"/>
      <c r="D167" s="7"/>
      <c r="E167" s="7"/>
      <c r="F167" s="9">
        <v>1.47</v>
      </c>
    </row>
    <row r="168" spans="1:6" ht="15.75" thickBot="1">
      <c r="A168" s="7"/>
      <c r="B168" s="7" t="s">
        <v>242</v>
      </c>
      <c r="C168" s="7"/>
      <c r="D168" s="7"/>
      <c r="E168" s="7"/>
      <c r="F168" s="9">
        <v>1.36</v>
      </c>
    </row>
    <row r="169" spans="1:6" ht="15.75" thickBot="1">
      <c r="A169" s="7"/>
      <c r="B169" s="7" t="s">
        <v>243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244</v>
      </c>
      <c r="C170" s="7"/>
      <c r="D170" s="7"/>
      <c r="E170" s="7"/>
      <c r="F170" s="9">
        <v>1.53</v>
      </c>
    </row>
    <row r="171" spans="1:6" ht="15.75" thickBot="1">
      <c r="A171" s="7"/>
      <c r="B171" s="7" t="s">
        <v>245</v>
      </c>
      <c r="C171" s="7"/>
      <c r="D171" s="7"/>
      <c r="E171" s="7"/>
      <c r="F171" s="9">
        <v>1.24</v>
      </c>
    </row>
    <row r="172" spans="1:6" ht="15.75" thickBot="1">
      <c r="A172" s="7"/>
      <c r="B172" s="7" t="s">
        <v>246</v>
      </c>
      <c r="C172" s="7"/>
      <c r="D172" s="7"/>
      <c r="E172" s="7"/>
      <c r="F172" s="9">
        <v>1.47</v>
      </c>
    </row>
    <row r="173" spans="1:6" ht="15.75" thickBot="1">
      <c r="A173" s="7"/>
      <c r="B173" s="7" t="s">
        <v>247</v>
      </c>
      <c r="C173" s="7"/>
      <c r="D173" s="7"/>
      <c r="E173" s="7"/>
      <c r="F173" s="9">
        <v>1.55</v>
      </c>
    </row>
    <row r="174" spans="1:6" ht="15.75" thickBot="1">
      <c r="A174" s="7"/>
      <c r="B174" s="7" t="s">
        <v>248</v>
      </c>
      <c r="C174" s="7"/>
      <c r="D174" s="7"/>
      <c r="E174" s="7"/>
      <c r="F174" s="9">
        <v>1.75</v>
      </c>
    </row>
    <row r="175" spans="1:6" ht="15.75" thickBot="1">
      <c r="A175" s="7"/>
      <c r="B175" s="7" t="s">
        <v>249</v>
      </c>
      <c r="C175" s="7"/>
      <c r="D175" s="7"/>
      <c r="E175" s="7"/>
      <c r="F175" s="9">
        <v>1.7</v>
      </c>
    </row>
    <row r="176" spans="1:6" ht="15.75" thickBot="1">
      <c r="A176" s="7"/>
      <c r="B176" s="7" t="s">
        <v>250</v>
      </c>
      <c r="C176" s="7"/>
      <c r="D176" s="7"/>
      <c r="E176" s="7"/>
      <c r="F176" s="9">
        <v>1.3</v>
      </c>
    </row>
    <row r="177" spans="1:6" ht="15.75" thickBot="1">
      <c r="A177" s="7"/>
      <c r="B177" s="7" t="s">
        <v>251</v>
      </c>
      <c r="C177" s="7"/>
      <c r="D177" s="7"/>
      <c r="E177" s="7"/>
      <c r="F177" s="9">
        <v>1.53</v>
      </c>
    </row>
    <row r="178" spans="1:6" ht="15.75" thickBot="1">
      <c r="A178" s="7"/>
      <c r="B178" s="7" t="s">
        <v>252</v>
      </c>
      <c r="C178" s="7"/>
      <c r="D178" s="7"/>
      <c r="E178" s="7"/>
      <c r="F178" s="9">
        <v>1.27</v>
      </c>
    </row>
    <row r="179" spans="1:6" ht="15.75" thickBot="1">
      <c r="A179" s="7"/>
      <c r="B179" s="7" t="s">
        <v>253</v>
      </c>
      <c r="C179" s="7"/>
      <c r="D179" s="7"/>
      <c r="E179" s="7"/>
      <c r="F179" s="9">
        <v>1.3</v>
      </c>
    </row>
    <row r="180" spans="1:6" ht="15.75" thickBot="1">
      <c r="A180" s="7"/>
      <c r="B180" s="7" t="s">
        <v>254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255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256</v>
      </c>
      <c r="C182" s="7"/>
      <c r="D182" s="7"/>
      <c r="E182" s="7"/>
      <c r="F182" s="9">
        <v>1.44</v>
      </c>
    </row>
    <row r="183" spans="1:6" ht="15.75" thickBot="1">
      <c r="A183" s="7"/>
      <c r="B183" s="7" t="s">
        <v>257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258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259</v>
      </c>
      <c r="C185" s="7"/>
      <c r="D185" s="7"/>
      <c r="E185" s="7"/>
      <c r="F185" s="9">
        <v>1.5</v>
      </c>
    </row>
    <row r="186" spans="1:6" ht="15.75" thickBot="1">
      <c r="A186" s="7"/>
      <c r="B186" s="7" t="s">
        <v>204</v>
      </c>
      <c r="C186" s="7"/>
      <c r="D186" s="7"/>
      <c r="E186" s="7"/>
      <c r="F186" s="9">
        <v>1.73</v>
      </c>
    </row>
    <row r="187" spans="1:6" ht="15.75" thickBot="1">
      <c r="A187" s="7"/>
      <c r="B187" s="7" t="s">
        <v>214</v>
      </c>
      <c r="C187" s="7"/>
      <c r="D187" s="7"/>
      <c r="E187" s="7"/>
      <c r="F187" s="9">
        <v>1.68</v>
      </c>
    </row>
    <row r="188" spans="1:6" ht="15.75" thickBot="1">
      <c r="A188" s="7"/>
      <c r="B188" s="7" t="s">
        <v>215</v>
      </c>
      <c r="C188" s="7"/>
      <c r="D188" s="7"/>
      <c r="E188" s="7"/>
      <c r="F188" s="9">
        <v>1.64</v>
      </c>
    </row>
    <row r="189" spans="1:6" ht="15.75" thickBot="1">
      <c r="A189" s="7"/>
      <c r="B189" s="7" t="s">
        <v>216</v>
      </c>
      <c r="C189" s="7"/>
      <c r="D189" s="7"/>
      <c r="E189" s="7"/>
      <c r="F189" s="9">
        <v>2.2999999999999998</v>
      </c>
    </row>
    <row r="190" spans="1:6" ht="15.75" thickBot="1">
      <c r="A190" s="7"/>
      <c r="B190" s="7" t="s">
        <v>217</v>
      </c>
      <c r="C190" s="7"/>
      <c r="D190" s="7"/>
      <c r="E190" s="7"/>
      <c r="F190" s="9">
        <v>1.96</v>
      </c>
    </row>
    <row r="191" spans="1:6" ht="15.75" thickBot="1">
      <c r="A191" s="7"/>
      <c r="B191" s="7" t="s">
        <v>218</v>
      </c>
      <c r="C191" s="7"/>
      <c r="D191" s="7"/>
      <c r="E191" s="7"/>
      <c r="F191" s="9">
        <v>1.7</v>
      </c>
    </row>
    <row r="192" spans="1:6" ht="15.75" thickBot="1">
      <c r="A192" s="7"/>
      <c r="B192" s="7" t="s">
        <v>219</v>
      </c>
      <c r="C192" s="7"/>
      <c r="D192" s="7"/>
      <c r="E192" s="7"/>
      <c r="F192" s="9">
        <v>2.7</v>
      </c>
    </row>
    <row r="193" spans="1:6" ht="15.75" thickBot="1">
      <c r="A193" s="7"/>
      <c r="B193" s="7" t="s">
        <v>220</v>
      </c>
      <c r="C193" s="7"/>
      <c r="D193" s="7"/>
      <c r="E193" s="7"/>
      <c r="F193" s="9">
        <v>2.74</v>
      </c>
    </row>
    <row r="194" spans="1:6" ht="15.75" thickBot="1">
      <c r="A194" s="7"/>
      <c r="B194" s="7" t="s">
        <v>260</v>
      </c>
      <c r="C194" s="7"/>
      <c r="D194" s="7"/>
      <c r="E194" s="7"/>
      <c r="F194" s="9">
        <v>1.36</v>
      </c>
    </row>
    <row r="195" spans="1:6" ht="15.75" thickBot="1">
      <c r="A195" s="7"/>
      <c r="B195" s="7" t="s">
        <v>261</v>
      </c>
      <c r="C195" s="7"/>
      <c r="D195" s="7"/>
      <c r="E195" s="7"/>
      <c r="F195" s="9">
        <v>2.5</v>
      </c>
    </row>
    <row r="196" spans="1:6" ht="15.75" thickBot="1">
      <c r="A196" s="7"/>
      <c r="B196" s="7" t="s">
        <v>262</v>
      </c>
      <c r="C196" s="7"/>
      <c r="D196" s="7"/>
      <c r="E196" s="7"/>
      <c r="F196" s="9">
        <v>1.7</v>
      </c>
    </row>
    <row r="197" spans="1:6" ht="15.75" thickBot="1">
      <c r="A197" s="7"/>
      <c r="B197" s="7" t="s">
        <v>263</v>
      </c>
      <c r="C197" s="7"/>
      <c r="D197" s="7"/>
      <c r="E197" s="7"/>
      <c r="F197" s="9">
        <v>1.32</v>
      </c>
    </row>
    <row r="198" spans="1:6" ht="15.75" thickBot="1">
      <c r="A198" s="7"/>
      <c r="B198" s="7" t="s">
        <v>164</v>
      </c>
      <c r="C198" s="7"/>
      <c r="D198" s="7"/>
      <c r="E198" s="7"/>
      <c r="F198" s="9">
        <v>1.36</v>
      </c>
    </row>
    <row r="199" spans="1:6" ht="15.75" thickBot="1">
      <c r="A199" s="7"/>
      <c r="B199" s="7" t="s">
        <v>264</v>
      </c>
      <c r="C199" s="7"/>
      <c r="D199" s="7"/>
      <c r="E199" s="7"/>
      <c r="F199" s="9">
        <v>1.7</v>
      </c>
    </row>
    <row r="200" spans="1:6" ht="15.75" thickBot="1">
      <c r="A200" s="7"/>
      <c r="B200" s="7" t="s">
        <v>250</v>
      </c>
      <c r="C200" s="7"/>
      <c r="D200" s="7"/>
      <c r="E200" s="7"/>
      <c r="F200" s="9">
        <v>1.3</v>
      </c>
    </row>
    <row r="201" spans="1:6" ht="15.75" thickBot="1">
      <c r="A201" s="7"/>
      <c r="B201" s="7" t="s">
        <v>265</v>
      </c>
      <c r="C201" s="7"/>
      <c r="D201" s="7"/>
      <c r="E201" s="7"/>
      <c r="F201" s="9">
        <v>1.32</v>
      </c>
    </row>
    <row r="202" spans="1:6" ht="15.75" thickBot="1">
      <c r="A202" s="7"/>
      <c r="B202" s="7" t="s">
        <v>266</v>
      </c>
      <c r="C202" s="7"/>
      <c r="D202" s="7"/>
      <c r="E202" s="7"/>
      <c r="F202" s="9">
        <v>1.27</v>
      </c>
    </row>
    <row r="203" spans="1:6" ht="15.75" thickBot="1">
      <c r="A203" s="7"/>
      <c r="B203" s="7" t="s">
        <v>267</v>
      </c>
      <c r="C203" s="7"/>
      <c r="D203" s="7"/>
      <c r="E203" s="7"/>
      <c r="F203" s="9">
        <v>1.4</v>
      </c>
    </row>
    <row r="204" spans="1:6" ht="15.75" thickBot="1">
      <c r="A204" s="7"/>
      <c r="B204" s="7" t="s">
        <v>268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269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270</v>
      </c>
      <c r="C206" s="7"/>
      <c r="D206" s="7"/>
      <c r="E206" s="7"/>
      <c r="F206" s="9">
        <v>2</v>
      </c>
    </row>
    <row r="207" spans="1:6" ht="15.75" thickBot="1">
      <c r="A207" s="7"/>
      <c r="B207" s="7" t="s">
        <v>271</v>
      </c>
      <c r="C207" s="7"/>
      <c r="D207" s="7"/>
      <c r="E207" s="7"/>
      <c r="F207" s="9">
        <v>1.8</v>
      </c>
    </row>
    <row r="208" spans="1:6" ht="15.75" thickBot="1">
      <c r="A208" s="7"/>
      <c r="B208" s="7" t="s">
        <v>239</v>
      </c>
      <c r="C208" s="7"/>
      <c r="D208" s="7"/>
      <c r="E208" s="7"/>
      <c r="F208" s="9">
        <v>2.63</v>
      </c>
    </row>
    <row r="209" spans="1:6" ht="15.75" thickBot="1">
      <c r="A209" s="7"/>
      <c r="B209" s="7" t="s">
        <v>272</v>
      </c>
      <c r="C209" s="7"/>
      <c r="D209" s="7"/>
      <c r="E209" s="7"/>
      <c r="F209" s="9">
        <v>1.47</v>
      </c>
    </row>
    <row r="210" spans="1:6" ht="15.75" thickBot="1">
      <c r="A210" s="7"/>
      <c r="B210" s="7" t="s">
        <v>273</v>
      </c>
      <c r="C210" s="7"/>
      <c r="D210" s="7"/>
      <c r="E210" s="7"/>
      <c r="F210" s="9">
        <v>1.36</v>
      </c>
    </row>
    <row r="211" spans="1:6" ht="15.75" thickBot="1">
      <c r="A211" s="7"/>
      <c r="B211" s="7" t="s">
        <v>274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251</v>
      </c>
      <c r="C212" s="7"/>
      <c r="D212" s="7"/>
      <c r="E212" s="7"/>
      <c r="F212" s="9">
        <v>1.53</v>
      </c>
    </row>
    <row r="213" spans="1:6" ht="15.75" thickBot="1">
      <c r="A213" s="7"/>
      <c r="B213" s="7" t="s">
        <v>275</v>
      </c>
      <c r="C213" s="7"/>
      <c r="D213" s="7"/>
      <c r="E213" s="7"/>
      <c r="F213" s="9">
        <v>1.24</v>
      </c>
    </row>
    <row r="214" spans="1:6" ht="15.75" thickBot="1">
      <c r="A214" s="7"/>
      <c r="B214" s="7" t="s">
        <v>276</v>
      </c>
      <c r="C214" s="7"/>
      <c r="D214" s="7"/>
      <c r="E214" s="7"/>
      <c r="F214" s="9">
        <v>1.47</v>
      </c>
    </row>
    <row r="215" spans="1:6" ht="15.75" thickBot="1">
      <c r="A215" s="7"/>
      <c r="B215" s="7" t="s">
        <v>277</v>
      </c>
      <c r="C215" s="7"/>
      <c r="D215" s="7"/>
      <c r="E215" s="7"/>
      <c r="F215" s="9">
        <v>1.75</v>
      </c>
    </row>
    <row r="216" spans="1:6" ht="15.75" thickBot="1">
      <c r="A216" s="7"/>
      <c r="B216" s="7" t="s">
        <v>278</v>
      </c>
      <c r="C216" s="7"/>
      <c r="D216" s="7"/>
      <c r="E216" s="7"/>
      <c r="F216" s="9">
        <v>1.9</v>
      </c>
    </row>
    <row r="217" spans="1:6" ht="15.75" thickBot="1">
      <c r="A217" s="7"/>
      <c r="B217" s="11" t="s">
        <v>279</v>
      </c>
      <c r="C217" s="11"/>
      <c r="D217" s="7"/>
      <c r="E217" s="7"/>
      <c r="F217" s="9">
        <v>1.9</v>
      </c>
    </row>
    <row r="218" spans="1:6" ht="15.75" thickBot="1">
      <c r="A218" s="7"/>
      <c r="B218" s="7" t="s">
        <v>280</v>
      </c>
      <c r="C218" s="7"/>
      <c r="D218" s="7"/>
      <c r="E218" s="7"/>
      <c r="F218" s="9">
        <v>1.9</v>
      </c>
    </row>
    <row r="219" spans="1:6" ht="15.75" thickBot="1">
      <c r="A219" s="7"/>
      <c r="B219" s="10" t="s">
        <v>281</v>
      </c>
      <c r="C219" s="10"/>
      <c r="D219" s="7"/>
      <c r="E219" s="7"/>
      <c r="F219" s="9">
        <v>1.5</v>
      </c>
    </row>
    <row r="220" spans="1:6" ht="15.75" thickBot="1">
      <c r="A220" s="7"/>
      <c r="B220" s="10" t="s">
        <v>282</v>
      </c>
      <c r="C220" s="10"/>
      <c r="D220" s="7"/>
      <c r="E220" s="7"/>
      <c r="F220" s="9">
        <v>1.9</v>
      </c>
    </row>
    <row r="221" spans="1:6" ht="15.75" thickBot="1">
      <c r="A221" s="7"/>
      <c r="B221" s="7" t="s">
        <v>283</v>
      </c>
      <c r="C221" s="7"/>
      <c r="D221" s="7"/>
      <c r="E221" s="7"/>
      <c r="F221" s="9">
        <v>0.78</v>
      </c>
    </row>
    <row r="222" spans="1:6" ht="15.75" thickBot="1">
      <c r="A222" s="7"/>
      <c r="B222" s="11" t="s">
        <v>284</v>
      </c>
      <c r="C222" s="11"/>
      <c r="D222" s="7"/>
      <c r="E222" s="7"/>
      <c r="F222" s="9">
        <v>1.5</v>
      </c>
    </row>
    <row r="223" spans="1:6" ht="15.75" thickBot="1">
      <c r="A223" s="7"/>
      <c r="B223" s="7" t="s">
        <v>285</v>
      </c>
      <c r="C223" s="7"/>
      <c r="D223" s="7"/>
      <c r="E223" s="7"/>
      <c r="F223" s="9">
        <v>2.54</v>
      </c>
    </row>
    <row r="224" spans="1:6" ht="15.75" thickBot="1">
      <c r="A224" s="7"/>
      <c r="B224" s="7" t="s">
        <v>286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287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288</v>
      </c>
      <c r="C226" s="7"/>
      <c r="D226" s="7"/>
      <c r="E226" s="7"/>
      <c r="F226" s="9">
        <v>1.4</v>
      </c>
    </row>
    <row r="227" spans="1:6" ht="15.75" thickBot="1">
      <c r="A227" s="7"/>
      <c r="B227" s="7" t="s">
        <v>289</v>
      </c>
      <c r="C227" s="7"/>
      <c r="D227" s="7"/>
      <c r="E227" s="7"/>
      <c r="F227" s="9">
        <v>2.2999999999999998</v>
      </c>
    </row>
    <row r="228" spans="1:6" ht="15.75" thickBot="1">
      <c r="A228" s="7"/>
      <c r="B228" s="7" t="s">
        <v>290</v>
      </c>
      <c r="C228" s="7"/>
      <c r="D228" s="7"/>
      <c r="E228" s="7"/>
      <c r="F228" s="9">
        <v>0.33</v>
      </c>
    </row>
    <row r="229" spans="1:6" ht="15.75" thickBot="1">
      <c r="A229" s="7"/>
      <c r="B229" s="7" t="s">
        <v>291</v>
      </c>
      <c r="C229" s="7"/>
      <c r="D229" s="7"/>
      <c r="E229" s="7"/>
      <c r="F229" s="9">
        <v>4.45</v>
      </c>
    </row>
    <row r="230" spans="1:6" ht="15.75" thickBot="1">
      <c r="A230" s="27"/>
      <c r="B230" s="27" t="s">
        <v>292</v>
      </c>
      <c r="C230" s="27"/>
      <c r="D230" s="27"/>
      <c r="E230" s="7"/>
      <c r="F230" s="9">
        <v>4.3</v>
      </c>
    </row>
    <row r="231" spans="1:6" ht="15.75" thickBot="1">
      <c r="A231" s="27"/>
      <c r="B231" s="27" t="s">
        <v>293</v>
      </c>
      <c r="C231" s="27"/>
      <c r="D231" s="27"/>
      <c r="E231" s="7"/>
      <c r="F231" s="9">
        <v>4.57</v>
      </c>
    </row>
    <row r="232" spans="1:6" ht="15.75" thickBot="1">
      <c r="A232" s="27"/>
      <c r="B232" s="27" t="s">
        <v>294</v>
      </c>
      <c r="C232" s="27"/>
      <c r="D232" s="27"/>
      <c r="E232" s="7"/>
      <c r="F232" s="9">
        <v>4.9000000000000004</v>
      </c>
    </row>
    <row r="233" spans="1:6" ht="15.75" thickBot="1">
      <c r="A233" s="27"/>
      <c r="B233" s="28" t="s">
        <v>295</v>
      </c>
      <c r="C233" s="28"/>
      <c r="D233" s="27"/>
      <c r="E233" s="7"/>
      <c r="F233" s="9">
        <v>1.67</v>
      </c>
    </row>
    <row r="234" spans="1:6" ht="15.75" thickBot="1">
      <c r="A234" s="27"/>
      <c r="B234" s="28" t="s">
        <v>296</v>
      </c>
      <c r="C234" s="28"/>
      <c r="D234" s="27"/>
      <c r="E234" s="7"/>
      <c r="F234" s="9">
        <v>2.5</v>
      </c>
    </row>
    <row r="235" spans="1:6" ht="15.75" thickBot="1">
      <c r="A235" s="27"/>
      <c r="B235" s="28" t="s">
        <v>297</v>
      </c>
      <c r="C235" s="28"/>
      <c r="D235" s="27"/>
      <c r="E235" s="7"/>
      <c r="F235" s="9">
        <v>1.78</v>
      </c>
    </row>
    <row r="236" spans="1:6" ht="15.75" thickBot="1">
      <c r="A236" s="27"/>
      <c r="B236" s="28" t="s">
        <v>298</v>
      </c>
      <c r="C236" s="28"/>
      <c r="D236" s="27"/>
      <c r="E236" s="7"/>
      <c r="F236" s="9">
        <v>1.7</v>
      </c>
    </row>
    <row r="237" spans="1:6" ht="15.75" thickBot="1">
      <c r="A237" s="27"/>
      <c r="B237" s="28" t="s">
        <v>299</v>
      </c>
      <c r="C237" s="28"/>
      <c r="D237" s="27"/>
      <c r="E237" s="7"/>
      <c r="F237" s="9">
        <v>7.6</v>
      </c>
    </row>
    <row r="238" spans="1:6">
      <c r="B238" t="s">
        <v>154</v>
      </c>
      <c r="F238">
        <v>2</v>
      </c>
    </row>
    <row r="239" spans="1:6">
      <c r="B239" t="s">
        <v>154</v>
      </c>
      <c r="F239">
        <v>2</v>
      </c>
    </row>
    <row r="240" spans="1:6">
      <c r="B240" t="s">
        <v>154</v>
      </c>
      <c r="F240">
        <v>2</v>
      </c>
    </row>
    <row r="241" spans="2:6">
      <c r="B241" t="s">
        <v>154</v>
      </c>
      <c r="F241">
        <v>2</v>
      </c>
    </row>
    <row r="242" spans="2:6">
      <c r="B242" t="s">
        <v>155</v>
      </c>
      <c r="F242">
        <v>1.74</v>
      </c>
    </row>
    <row r="243" spans="2:6">
      <c r="B243" t="s">
        <v>154</v>
      </c>
      <c r="F243">
        <v>2</v>
      </c>
    </row>
    <row r="244" spans="2:6">
      <c r="B244" t="s">
        <v>155</v>
      </c>
      <c r="F244">
        <v>1.74</v>
      </c>
    </row>
    <row r="245" spans="2:6">
      <c r="B245" t="s">
        <v>156</v>
      </c>
      <c r="F245">
        <v>1.8</v>
      </c>
    </row>
    <row r="246" spans="2:6">
      <c r="B246" t="s">
        <v>154</v>
      </c>
      <c r="F246">
        <v>2</v>
      </c>
    </row>
    <row r="247" spans="2:6">
      <c r="B247" t="s">
        <v>157</v>
      </c>
      <c r="F247">
        <v>1.8</v>
      </c>
    </row>
    <row r="248" spans="2:6">
      <c r="B248" t="s">
        <v>158</v>
      </c>
      <c r="F248">
        <v>1.26</v>
      </c>
    </row>
    <row r="249" spans="2:6">
      <c r="B249" t="s">
        <v>159</v>
      </c>
      <c r="F249">
        <v>1.26</v>
      </c>
    </row>
    <row r="250" spans="2:6">
      <c r="B250" t="s">
        <v>160</v>
      </c>
      <c r="F250">
        <v>1.26</v>
      </c>
    </row>
    <row r="251" spans="2:6">
      <c r="B251" t="s">
        <v>161</v>
      </c>
      <c r="F251">
        <v>1.26</v>
      </c>
    </row>
    <row r="252" spans="2:6">
      <c r="B252" t="s">
        <v>162</v>
      </c>
      <c r="F252">
        <v>1.17</v>
      </c>
    </row>
    <row r="253" spans="2:6">
      <c r="B253" t="s">
        <v>163</v>
      </c>
      <c r="F253">
        <v>1.8</v>
      </c>
    </row>
    <row r="254" spans="2:6">
      <c r="B254" t="s">
        <v>164</v>
      </c>
      <c r="F254">
        <v>1.35</v>
      </c>
    </row>
    <row r="255" spans="2:6">
      <c r="B255" t="s">
        <v>165</v>
      </c>
      <c r="F255">
        <v>1.1000000000000001</v>
      </c>
    </row>
    <row r="256" spans="2:6">
      <c r="B256" t="s">
        <v>166</v>
      </c>
      <c r="F256">
        <v>1.2</v>
      </c>
    </row>
    <row r="257" spans="2:6">
      <c r="B257" t="s">
        <v>167</v>
      </c>
      <c r="F257">
        <v>1.26</v>
      </c>
    </row>
    <row r="258" spans="2:6">
      <c r="B258" t="s">
        <v>168</v>
      </c>
      <c r="F258">
        <v>1.27</v>
      </c>
    </row>
    <row r="259" spans="2:6">
      <c r="B259" t="s">
        <v>168</v>
      </c>
      <c r="F259">
        <v>1.27</v>
      </c>
    </row>
    <row r="260" spans="2:6">
      <c r="B260" t="s">
        <v>169</v>
      </c>
      <c r="F260">
        <v>1.3</v>
      </c>
    </row>
    <row r="261" spans="2:6">
      <c r="B261" t="s">
        <v>170</v>
      </c>
      <c r="F261">
        <v>1.4</v>
      </c>
    </row>
    <row r="262" spans="2:6">
      <c r="B262" t="s">
        <v>171</v>
      </c>
      <c r="F262">
        <v>1.4</v>
      </c>
    </row>
    <row r="263" spans="2:6">
      <c r="B263" t="s">
        <v>172</v>
      </c>
      <c r="F263">
        <v>3.26</v>
      </c>
    </row>
    <row r="264" spans="2:6">
      <c r="B264" t="s">
        <v>173</v>
      </c>
      <c r="F264">
        <v>5.23</v>
      </c>
    </row>
    <row r="265" spans="2:6">
      <c r="B265" t="s">
        <v>174</v>
      </c>
      <c r="F265">
        <v>7.5</v>
      </c>
    </row>
    <row r="266" spans="2:6">
      <c r="B266" t="s">
        <v>175</v>
      </c>
      <c r="F266">
        <v>6.6</v>
      </c>
    </row>
    <row r="267" spans="2:6">
      <c r="B267" t="s">
        <v>176</v>
      </c>
      <c r="F267">
        <v>1.3</v>
      </c>
    </row>
    <row r="268" spans="2:6">
      <c r="B268" t="s">
        <v>177</v>
      </c>
      <c r="F268">
        <v>7.65</v>
      </c>
    </row>
    <row r="269" spans="2:6">
      <c r="B269" t="s">
        <v>178</v>
      </c>
      <c r="F269">
        <v>5.26</v>
      </c>
    </row>
    <row r="270" spans="2:6">
      <c r="B270" t="s">
        <v>179</v>
      </c>
      <c r="F270">
        <v>9</v>
      </c>
    </row>
    <row r="271" spans="2:6">
      <c r="B271" t="s">
        <v>180</v>
      </c>
      <c r="F271">
        <v>2.2999999999999998</v>
      </c>
    </row>
    <row r="272" spans="2:6">
      <c r="B272" t="s">
        <v>181</v>
      </c>
      <c r="F272">
        <v>2.2999999999999998</v>
      </c>
    </row>
    <row r="273" spans="2:6">
      <c r="B273" t="s">
        <v>182</v>
      </c>
      <c r="F273">
        <v>5.26</v>
      </c>
    </row>
    <row r="274" spans="2:6">
      <c r="B274" t="s">
        <v>183</v>
      </c>
      <c r="F274">
        <v>9.4</v>
      </c>
    </row>
    <row r="275" spans="2:6">
      <c r="B275" t="s">
        <v>184</v>
      </c>
      <c r="F275">
        <v>5.9</v>
      </c>
    </row>
    <row r="276" spans="2:6">
      <c r="B276" t="s">
        <v>185</v>
      </c>
      <c r="F276">
        <v>5.26</v>
      </c>
    </row>
    <row r="277" spans="2:6">
      <c r="B277" t="s">
        <v>186</v>
      </c>
      <c r="F277">
        <v>1.3</v>
      </c>
    </row>
    <row r="278" spans="2:6">
      <c r="B278" t="s">
        <v>187</v>
      </c>
      <c r="F278">
        <v>3</v>
      </c>
    </row>
    <row r="279" spans="2:6">
      <c r="B279" t="s">
        <v>188</v>
      </c>
      <c r="F279">
        <v>3</v>
      </c>
    </row>
    <row r="280" spans="2:6">
      <c r="B280" t="s">
        <v>189</v>
      </c>
      <c r="F280">
        <v>5.2</v>
      </c>
    </row>
    <row r="281" spans="2:6">
      <c r="B281" t="s">
        <v>190</v>
      </c>
      <c r="F281">
        <v>4.25</v>
      </c>
    </row>
    <row r="282" spans="2:6">
      <c r="B282" t="s">
        <v>191</v>
      </c>
      <c r="F282">
        <v>3.33</v>
      </c>
    </row>
    <row r="283" spans="2:6">
      <c r="B283" t="s">
        <v>192</v>
      </c>
      <c r="F283">
        <v>2.8</v>
      </c>
    </row>
    <row r="284" spans="2:6">
      <c r="B284" t="s">
        <v>193</v>
      </c>
      <c r="F284">
        <v>1.7</v>
      </c>
    </row>
    <row r="285" spans="2:6">
      <c r="B285" t="s">
        <v>194</v>
      </c>
      <c r="F285">
        <v>1.48</v>
      </c>
    </row>
    <row r="286" spans="2:6">
      <c r="B286" t="s">
        <v>195</v>
      </c>
      <c r="F286">
        <v>3.33</v>
      </c>
    </row>
    <row r="287" spans="2:6">
      <c r="B287" t="s">
        <v>196</v>
      </c>
      <c r="F287">
        <v>0.75</v>
      </c>
    </row>
    <row r="288" spans="2:6">
      <c r="B288" t="s">
        <v>197</v>
      </c>
      <c r="F288">
        <v>4.25</v>
      </c>
    </row>
    <row r="289" spans="2:6">
      <c r="B289" t="s">
        <v>198</v>
      </c>
      <c r="F289">
        <v>1.44</v>
      </c>
    </row>
    <row r="290" spans="2:6">
      <c r="B290" t="s">
        <v>199</v>
      </c>
      <c r="F290">
        <v>1.1299999999999999</v>
      </c>
    </row>
    <row r="291" spans="2:6">
      <c r="B291" t="s">
        <v>200</v>
      </c>
      <c r="F291">
        <v>1.1299999999999999</v>
      </c>
    </row>
    <row r="292" spans="2:6">
      <c r="B292" t="s">
        <v>201</v>
      </c>
      <c r="F292">
        <v>1.5</v>
      </c>
    </row>
    <row r="293" spans="2:6">
      <c r="B293" t="s">
        <v>202</v>
      </c>
      <c r="F293">
        <v>1.46</v>
      </c>
    </row>
    <row r="294" spans="2:6">
      <c r="B294" t="s">
        <v>203</v>
      </c>
      <c r="F294">
        <v>1.18</v>
      </c>
    </row>
    <row r="295" spans="2:6">
      <c r="B295" t="s">
        <v>204</v>
      </c>
      <c r="F295">
        <v>1.73</v>
      </c>
    </row>
    <row r="296" spans="2:6">
      <c r="B296" t="s">
        <v>205</v>
      </c>
      <c r="F296">
        <v>1.73</v>
      </c>
    </row>
    <row r="297" spans="2:6">
      <c r="B297" t="s">
        <v>206</v>
      </c>
      <c r="F297">
        <v>1.68</v>
      </c>
    </row>
    <row r="298" spans="2:6">
      <c r="B298" t="s">
        <v>207</v>
      </c>
      <c r="F298">
        <v>1.64</v>
      </c>
    </row>
    <row r="299" spans="2:6">
      <c r="B299" t="s">
        <v>208</v>
      </c>
      <c r="F299">
        <v>2.2999999999999998</v>
      </c>
    </row>
    <row r="300" spans="2:6">
      <c r="B300" t="s">
        <v>209</v>
      </c>
      <c r="F300">
        <v>1.96</v>
      </c>
    </row>
    <row r="301" spans="2:6">
      <c r="B301" t="s">
        <v>210</v>
      </c>
      <c r="F301">
        <v>1.7</v>
      </c>
    </row>
    <row r="302" spans="2:6">
      <c r="B302" t="s">
        <v>211</v>
      </c>
      <c r="F302">
        <v>2.7</v>
      </c>
    </row>
    <row r="303" spans="2:6">
      <c r="B303" t="s">
        <v>212</v>
      </c>
      <c r="F303">
        <v>2.74</v>
      </c>
    </row>
    <row r="304" spans="2:6">
      <c r="B304" t="s">
        <v>213</v>
      </c>
      <c r="F304">
        <v>2</v>
      </c>
    </row>
    <row r="305" spans="2:6">
      <c r="B305" t="s">
        <v>204</v>
      </c>
      <c r="F305">
        <v>1.73</v>
      </c>
    </row>
    <row r="306" spans="2:6">
      <c r="B306" t="s">
        <v>214</v>
      </c>
      <c r="F306">
        <v>1.68</v>
      </c>
    </row>
    <row r="307" spans="2:6">
      <c r="B307" t="s">
        <v>215</v>
      </c>
      <c r="F307">
        <v>1.64</v>
      </c>
    </row>
    <row r="308" spans="2:6">
      <c r="B308" t="s">
        <v>216</v>
      </c>
      <c r="F308">
        <v>2.2999999999999998</v>
      </c>
    </row>
    <row r="309" spans="2:6">
      <c r="B309" t="s">
        <v>217</v>
      </c>
      <c r="F309">
        <v>1.96</v>
      </c>
    </row>
    <row r="310" spans="2:6">
      <c r="B310" t="s">
        <v>218</v>
      </c>
      <c r="F310">
        <v>1.7</v>
      </c>
    </row>
    <row r="311" spans="2:6">
      <c r="B311" t="s">
        <v>219</v>
      </c>
      <c r="F311">
        <v>2.7</v>
      </c>
    </row>
    <row r="312" spans="2:6">
      <c r="B312" t="s">
        <v>220</v>
      </c>
      <c r="F312">
        <v>2.74</v>
      </c>
    </row>
    <row r="313" spans="2:6">
      <c r="B313" t="s">
        <v>221</v>
      </c>
      <c r="F313">
        <v>1.36</v>
      </c>
    </row>
    <row r="314" spans="2:6">
      <c r="B314" t="s">
        <v>222</v>
      </c>
      <c r="F314">
        <v>1.4</v>
      </c>
    </row>
    <row r="315" spans="2:6">
      <c r="B315" t="s">
        <v>223</v>
      </c>
      <c r="F315">
        <v>2.5</v>
      </c>
    </row>
    <row r="316" spans="2:6">
      <c r="B316" t="s">
        <v>224</v>
      </c>
      <c r="F316">
        <v>1.7</v>
      </c>
    </row>
    <row r="317" spans="2:6">
      <c r="B317" t="s">
        <v>225</v>
      </c>
      <c r="F317">
        <v>1.32</v>
      </c>
    </row>
    <row r="318" spans="2:6">
      <c r="B318" t="s">
        <v>226</v>
      </c>
      <c r="F318">
        <v>1.36</v>
      </c>
    </row>
    <row r="319" spans="2:6">
      <c r="B319" t="s">
        <v>227</v>
      </c>
      <c r="F319">
        <v>1.7</v>
      </c>
    </row>
    <row r="320" spans="2:6">
      <c r="B320" t="s">
        <v>228</v>
      </c>
      <c r="F320">
        <v>1.3</v>
      </c>
    </row>
    <row r="321" spans="2:6">
      <c r="B321" t="s">
        <v>229</v>
      </c>
      <c r="F321">
        <v>1.8</v>
      </c>
    </row>
    <row r="322" spans="2:6">
      <c r="B322" t="s">
        <v>230</v>
      </c>
      <c r="F322">
        <v>1.32</v>
      </c>
    </row>
    <row r="323" spans="2:6">
      <c r="B323" t="s">
        <v>231</v>
      </c>
      <c r="F323">
        <v>1.27</v>
      </c>
    </row>
    <row r="324" spans="2:6">
      <c r="B324" t="s">
        <v>232</v>
      </c>
      <c r="F324">
        <v>1.4</v>
      </c>
    </row>
    <row r="325" spans="2:6">
      <c r="B325" t="s">
        <v>229</v>
      </c>
      <c r="F325">
        <v>1.8</v>
      </c>
    </row>
    <row r="326" spans="2:6">
      <c r="B326" t="s">
        <v>233</v>
      </c>
      <c r="F326">
        <v>1.4</v>
      </c>
    </row>
    <row r="327" spans="2:6">
      <c r="B327" t="s">
        <v>234</v>
      </c>
      <c r="F327">
        <v>2.63</v>
      </c>
    </row>
    <row r="328" spans="2:6">
      <c r="B328" t="s">
        <v>235</v>
      </c>
      <c r="F328">
        <v>2.63</v>
      </c>
    </row>
    <row r="329" spans="2:6">
      <c r="B329" t="s">
        <v>236</v>
      </c>
      <c r="F329">
        <v>2</v>
      </c>
    </row>
    <row r="330" spans="2:6">
      <c r="B330" t="s">
        <v>237</v>
      </c>
      <c r="F330">
        <v>1.8</v>
      </c>
    </row>
    <row r="331" spans="2:6">
      <c r="B331" t="s">
        <v>238</v>
      </c>
      <c r="F331">
        <v>2.2000000000000002</v>
      </c>
    </row>
    <row r="332" spans="2:6">
      <c r="B332" t="s">
        <v>239</v>
      </c>
      <c r="F332">
        <v>2.63</v>
      </c>
    </row>
    <row r="333" spans="2:6">
      <c r="B333" t="s">
        <v>240</v>
      </c>
      <c r="F333">
        <v>2</v>
      </c>
    </row>
    <row r="334" spans="2:6">
      <c r="B334" t="s">
        <v>241</v>
      </c>
      <c r="F334">
        <v>1.47</v>
      </c>
    </row>
    <row r="335" spans="2:6">
      <c r="B335" t="s">
        <v>242</v>
      </c>
      <c r="F335">
        <v>1.36</v>
      </c>
    </row>
    <row r="336" spans="2:6">
      <c r="B336" t="s">
        <v>243</v>
      </c>
      <c r="F336">
        <v>1.47</v>
      </c>
    </row>
    <row r="337" spans="2:6">
      <c r="B337" t="s">
        <v>244</v>
      </c>
      <c r="F337">
        <v>1.53</v>
      </c>
    </row>
    <row r="338" spans="2:6">
      <c r="B338" t="s">
        <v>245</v>
      </c>
      <c r="F338">
        <v>1.24</v>
      </c>
    </row>
    <row r="339" spans="2:6">
      <c r="B339" t="s">
        <v>246</v>
      </c>
      <c r="F339">
        <v>1.47</v>
      </c>
    </row>
    <row r="340" spans="2:6">
      <c r="B340" t="s">
        <v>247</v>
      </c>
      <c r="F340">
        <v>1.55</v>
      </c>
    </row>
    <row r="341" spans="2:6">
      <c r="B341" t="s">
        <v>248</v>
      </c>
      <c r="F341">
        <v>1.75</v>
      </c>
    </row>
    <row r="342" spans="2:6">
      <c r="B342" t="s">
        <v>249</v>
      </c>
      <c r="F342">
        <v>1.7</v>
      </c>
    </row>
    <row r="343" spans="2:6">
      <c r="B343" t="s">
        <v>250</v>
      </c>
      <c r="F343">
        <v>1.3</v>
      </c>
    </row>
    <row r="344" spans="2:6">
      <c r="B344" t="s">
        <v>251</v>
      </c>
      <c r="F344">
        <v>1.53</v>
      </c>
    </row>
    <row r="345" spans="2:6">
      <c r="B345" t="s">
        <v>252</v>
      </c>
      <c r="F345">
        <v>1.27</v>
      </c>
    </row>
    <row r="346" spans="2:6">
      <c r="B346" t="s">
        <v>253</v>
      </c>
      <c r="F346">
        <v>1.3</v>
      </c>
    </row>
    <row r="347" spans="2:6">
      <c r="B347" t="s">
        <v>254</v>
      </c>
      <c r="F347">
        <v>1.4</v>
      </c>
    </row>
    <row r="348" spans="2:6">
      <c r="B348" t="s">
        <v>255</v>
      </c>
      <c r="F348">
        <v>1.4</v>
      </c>
    </row>
    <row r="349" spans="2:6">
      <c r="B349" t="s">
        <v>256</v>
      </c>
      <c r="F349">
        <v>1.44</v>
      </c>
    </row>
    <row r="350" spans="2:6">
      <c r="B350" t="s">
        <v>257</v>
      </c>
      <c r="F350">
        <v>1.1299999999999999</v>
      </c>
    </row>
    <row r="351" spans="2:6">
      <c r="B351" t="s">
        <v>258</v>
      </c>
      <c r="F351">
        <v>1.1299999999999999</v>
      </c>
    </row>
    <row r="352" spans="2:6">
      <c r="B352" t="s">
        <v>259</v>
      </c>
      <c r="F352">
        <v>1.5</v>
      </c>
    </row>
    <row r="353" spans="2:6">
      <c r="B353" t="s">
        <v>204</v>
      </c>
      <c r="F353">
        <v>1.73</v>
      </c>
    </row>
    <row r="354" spans="2:6">
      <c r="B354" t="s">
        <v>214</v>
      </c>
      <c r="F354">
        <v>1.68</v>
      </c>
    </row>
    <row r="355" spans="2:6">
      <c r="B355" t="s">
        <v>215</v>
      </c>
      <c r="F355">
        <v>1.64</v>
      </c>
    </row>
    <row r="356" spans="2:6">
      <c r="B356" t="s">
        <v>216</v>
      </c>
      <c r="F356">
        <v>2.2999999999999998</v>
      </c>
    </row>
    <row r="357" spans="2:6">
      <c r="B357" t="s">
        <v>217</v>
      </c>
      <c r="F357">
        <v>1.96</v>
      </c>
    </row>
    <row r="358" spans="2:6">
      <c r="B358" t="s">
        <v>218</v>
      </c>
      <c r="F358">
        <v>1.7</v>
      </c>
    </row>
    <row r="359" spans="2:6">
      <c r="B359" t="s">
        <v>219</v>
      </c>
      <c r="F359">
        <v>2.7</v>
      </c>
    </row>
    <row r="360" spans="2:6">
      <c r="B360" t="s">
        <v>220</v>
      </c>
      <c r="F360">
        <v>2.74</v>
      </c>
    </row>
    <row r="361" spans="2:6">
      <c r="B361" t="s">
        <v>260</v>
      </c>
      <c r="F361">
        <v>1.36</v>
      </c>
    </row>
    <row r="362" spans="2:6">
      <c r="B362" t="s">
        <v>261</v>
      </c>
      <c r="F362">
        <v>2.5</v>
      </c>
    </row>
    <row r="363" spans="2:6">
      <c r="B363" t="s">
        <v>262</v>
      </c>
      <c r="F363">
        <v>1.7</v>
      </c>
    </row>
    <row r="364" spans="2:6">
      <c r="B364" t="s">
        <v>263</v>
      </c>
      <c r="F364">
        <v>1.32</v>
      </c>
    </row>
    <row r="365" spans="2:6">
      <c r="B365" t="s">
        <v>164</v>
      </c>
      <c r="F365">
        <v>1.36</v>
      </c>
    </row>
    <row r="366" spans="2:6">
      <c r="B366" t="s">
        <v>264</v>
      </c>
      <c r="F366">
        <v>1.7</v>
      </c>
    </row>
    <row r="367" spans="2:6">
      <c r="B367" t="s">
        <v>250</v>
      </c>
      <c r="F367">
        <v>1.3</v>
      </c>
    </row>
    <row r="368" spans="2:6">
      <c r="B368" t="s">
        <v>265</v>
      </c>
      <c r="F368">
        <v>1.32</v>
      </c>
    </row>
    <row r="369" spans="2:6">
      <c r="B369" t="s">
        <v>266</v>
      </c>
      <c r="F369">
        <v>1.27</v>
      </c>
    </row>
    <row r="370" spans="2:6">
      <c r="B370" t="s">
        <v>267</v>
      </c>
      <c r="F370">
        <v>1.4</v>
      </c>
    </row>
    <row r="371" spans="2:6">
      <c r="B371" t="s">
        <v>268</v>
      </c>
      <c r="F371">
        <v>2.63</v>
      </c>
    </row>
    <row r="372" spans="2:6">
      <c r="B372" t="s">
        <v>269</v>
      </c>
      <c r="F372">
        <v>2.63</v>
      </c>
    </row>
    <row r="373" spans="2:6">
      <c r="B373" t="s">
        <v>270</v>
      </c>
      <c r="F373">
        <v>2</v>
      </c>
    </row>
    <row r="374" spans="2:6">
      <c r="B374" t="s">
        <v>271</v>
      </c>
      <c r="F374">
        <v>1.8</v>
      </c>
    </row>
    <row r="375" spans="2:6">
      <c r="B375" t="s">
        <v>239</v>
      </c>
      <c r="F375">
        <v>2.63</v>
      </c>
    </row>
    <row r="376" spans="2:6">
      <c r="B376" t="s">
        <v>272</v>
      </c>
      <c r="F376">
        <v>1.47</v>
      </c>
    </row>
    <row r="377" spans="2:6">
      <c r="B377" t="s">
        <v>273</v>
      </c>
      <c r="F377">
        <v>1.36</v>
      </c>
    </row>
    <row r="378" spans="2:6">
      <c r="B378" t="s">
        <v>274</v>
      </c>
      <c r="F378">
        <v>1.47</v>
      </c>
    </row>
    <row r="379" spans="2:6">
      <c r="B379" t="s">
        <v>251</v>
      </c>
      <c r="F379">
        <v>1.53</v>
      </c>
    </row>
    <row r="380" spans="2:6">
      <c r="B380" t="s">
        <v>275</v>
      </c>
      <c r="F380">
        <v>1.24</v>
      </c>
    </row>
    <row r="381" spans="2:6">
      <c r="B381" t="s">
        <v>276</v>
      </c>
      <c r="F381">
        <v>1.47</v>
      </c>
    </row>
    <row r="382" spans="2:6">
      <c r="B382" t="s">
        <v>277</v>
      </c>
      <c r="F382">
        <v>1.75</v>
      </c>
    </row>
    <row r="383" spans="2:6">
      <c r="B383" t="s">
        <v>278</v>
      </c>
      <c r="F383">
        <v>1.9</v>
      </c>
    </row>
    <row r="384" spans="2:6">
      <c r="B384" t="s">
        <v>279</v>
      </c>
      <c r="F384">
        <v>1.9</v>
      </c>
    </row>
    <row r="385" spans="2:6">
      <c r="B385" t="s">
        <v>280</v>
      </c>
      <c r="F385">
        <v>1.9</v>
      </c>
    </row>
    <row r="386" spans="2:6">
      <c r="B386" t="s">
        <v>281</v>
      </c>
      <c r="F386">
        <v>1.5</v>
      </c>
    </row>
    <row r="387" spans="2:6">
      <c r="B387" t="s">
        <v>282</v>
      </c>
      <c r="F387">
        <v>1.9</v>
      </c>
    </row>
    <row r="388" spans="2:6">
      <c r="B388" t="s">
        <v>283</v>
      </c>
      <c r="F388">
        <v>0.78</v>
      </c>
    </row>
    <row r="389" spans="2:6">
      <c r="B389" t="s">
        <v>284</v>
      </c>
      <c r="F389">
        <v>1.5</v>
      </c>
    </row>
    <row r="390" spans="2:6">
      <c r="B390" t="s">
        <v>285</v>
      </c>
      <c r="F390">
        <v>2.54</v>
      </c>
    </row>
    <row r="391" spans="2:6">
      <c r="B391" t="s">
        <v>286</v>
      </c>
      <c r="F391">
        <v>1.2</v>
      </c>
    </row>
    <row r="392" spans="2:6">
      <c r="B392" t="s">
        <v>287</v>
      </c>
      <c r="F392">
        <v>1.2</v>
      </c>
    </row>
    <row r="393" spans="2:6">
      <c r="B393" t="s">
        <v>288</v>
      </c>
      <c r="F393">
        <v>1.4</v>
      </c>
    </row>
    <row r="394" spans="2:6">
      <c r="B394" t="s">
        <v>289</v>
      </c>
      <c r="F394">
        <v>2.2999999999999998</v>
      </c>
    </row>
    <row r="395" spans="2:6">
      <c r="B395" t="s">
        <v>290</v>
      </c>
      <c r="F395">
        <v>0.33</v>
      </c>
    </row>
    <row r="396" spans="2:6">
      <c r="B396" t="s">
        <v>291</v>
      </c>
      <c r="F396">
        <v>4.45</v>
      </c>
    </row>
    <row r="397" spans="2:6">
      <c r="B397" t="s">
        <v>292</v>
      </c>
      <c r="F397">
        <v>4.3</v>
      </c>
    </row>
    <row r="398" spans="2:6">
      <c r="B398" t="s">
        <v>293</v>
      </c>
      <c r="F398">
        <v>4.57</v>
      </c>
    </row>
    <row r="399" spans="2:6">
      <c r="B399" t="s">
        <v>294</v>
      </c>
      <c r="F399">
        <v>4.9000000000000004</v>
      </c>
    </row>
    <row r="400" spans="2:6">
      <c r="B400" t="s">
        <v>295</v>
      </c>
      <c r="F400">
        <v>1.67</v>
      </c>
    </row>
    <row r="401" spans="2:6">
      <c r="B401" t="s">
        <v>296</v>
      </c>
      <c r="F401">
        <v>2.5</v>
      </c>
    </row>
    <row r="402" spans="2:6">
      <c r="B402" t="s">
        <v>297</v>
      </c>
      <c r="F402">
        <v>1.78</v>
      </c>
    </row>
    <row r="403" spans="2:6">
      <c r="B403" t="s">
        <v>298</v>
      </c>
      <c r="F403">
        <v>1.7</v>
      </c>
    </row>
    <row r="404" spans="2:6">
      <c r="B404" t="s">
        <v>299</v>
      </c>
      <c r="F404">
        <v>7.6</v>
      </c>
    </row>
    <row r="405" spans="2:6">
      <c r="B405" t="s">
        <v>332</v>
      </c>
      <c r="F405">
        <v>1.92</v>
      </c>
    </row>
    <row r="406" spans="2:6">
      <c r="B406" t="s">
        <v>333</v>
      </c>
      <c r="F406">
        <v>1.55</v>
      </c>
    </row>
    <row r="407" spans="2:6">
      <c r="B407" t="s">
        <v>334</v>
      </c>
      <c r="F407">
        <v>1.36</v>
      </c>
    </row>
    <row r="408" spans="2:6">
      <c r="B408" t="s">
        <v>335</v>
      </c>
      <c r="F408">
        <v>1.87</v>
      </c>
    </row>
    <row r="409" spans="2:6">
      <c r="B409" t="s">
        <v>336</v>
      </c>
      <c r="F409">
        <v>1.6</v>
      </c>
    </row>
    <row r="410" spans="2:6">
      <c r="B410" t="s">
        <v>337</v>
      </c>
      <c r="F410">
        <v>1.86</v>
      </c>
    </row>
    <row r="411" spans="2:6">
      <c r="B411" t="s">
        <v>338</v>
      </c>
      <c r="F411">
        <v>1.78</v>
      </c>
    </row>
    <row r="412" spans="2:6">
      <c r="B412" t="s">
        <v>339</v>
      </c>
      <c r="F412">
        <v>1.96</v>
      </c>
    </row>
    <row r="413" spans="2:6">
      <c r="B413" t="s">
        <v>340</v>
      </c>
      <c r="F413">
        <v>1.6</v>
      </c>
    </row>
    <row r="414" spans="2:6">
      <c r="B414" t="s">
        <v>341</v>
      </c>
      <c r="F414">
        <v>1.7</v>
      </c>
    </row>
    <row r="415" spans="2:6">
      <c r="B415" t="s">
        <v>342</v>
      </c>
      <c r="F415">
        <v>1.63</v>
      </c>
    </row>
    <row r="416" spans="2:6">
      <c r="B416" t="s">
        <v>343</v>
      </c>
      <c r="F416">
        <v>2.2000000000000002</v>
      </c>
    </row>
    <row r="417" spans="2:6">
      <c r="B417" t="s">
        <v>344</v>
      </c>
      <c r="F417">
        <v>2.2999999999999998</v>
      </c>
    </row>
    <row r="418" spans="2:6">
      <c r="B418" t="s">
        <v>345</v>
      </c>
      <c r="F418">
        <v>1.1200000000000001</v>
      </c>
    </row>
    <row r="419" spans="2:6">
      <c r="B419" t="s">
        <v>346</v>
      </c>
      <c r="F419">
        <v>1.55</v>
      </c>
    </row>
    <row r="420" spans="2:6">
      <c r="B420" t="s">
        <v>347</v>
      </c>
      <c r="F420">
        <v>1.36</v>
      </c>
    </row>
    <row r="421" spans="2:6">
      <c r="B421" t="s">
        <v>335</v>
      </c>
      <c r="F421">
        <v>1.87</v>
      </c>
    </row>
    <row r="422" spans="2:6">
      <c r="B422" t="s">
        <v>336</v>
      </c>
      <c r="F422">
        <v>1.6</v>
      </c>
    </row>
    <row r="423" spans="2:6">
      <c r="B423" t="s">
        <v>348</v>
      </c>
      <c r="F423">
        <v>1.86</v>
      </c>
    </row>
    <row r="424" spans="2:6">
      <c r="B424" t="s">
        <v>349</v>
      </c>
      <c r="F424">
        <v>1.78</v>
      </c>
    </row>
    <row r="425" spans="2:6">
      <c r="B425" t="s">
        <v>350</v>
      </c>
      <c r="F425">
        <v>1.96</v>
      </c>
    </row>
    <row r="426" spans="2:6">
      <c r="B426" t="s">
        <v>351</v>
      </c>
      <c r="F426">
        <v>1.6</v>
      </c>
    </row>
    <row r="427" spans="2:6">
      <c r="B427" t="s">
        <v>352</v>
      </c>
      <c r="F427">
        <v>1.7</v>
      </c>
    </row>
    <row r="428" spans="2:6">
      <c r="B428" t="s">
        <v>353</v>
      </c>
      <c r="F428">
        <v>1.63</v>
      </c>
    </row>
    <row r="429" spans="2:6">
      <c r="B429" t="s">
        <v>354</v>
      </c>
      <c r="F429">
        <v>2.2000000000000002</v>
      </c>
    </row>
    <row r="430" spans="2:6">
      <c r="B430" t="s">
        <v>344</v>
      </c>
      <c r="F430">
        <v>2.2999999999999998</v>
      </c>
    </row>
    <row r="431" spans="2:6">
      <c r="B431" t="s">
        <v>355</v>
      </c>
      <c r="F431">
        <v>1.1200000000000001</v>
      </c>
    </row>
    <row r="432" spans="2:6">
      <c r="B432" t="s">
        <v>356</v>
      </c>
      <c r="F432">
        <v>2.2999999999999998</v>
      </c>
    </row>
    <row r="433" spans="2:6">
      <c r="B433" t="s">
        <v>331</v>
      </c>
      <c r="F433">
        <v>1.6</v>
      </c>
    </row>
    <row r="434" spans="2:6">
      <c r="B434" t="s">
        <v>357</v>
      </c>
      <c r="F434">
        <v>1.6</v>
      </c>
    </row>
    <row r="435" spans="2:6">
      <c r="B435" t="s">
        <v>358</v>
      </c>
      <c r="F435">
        <v>1.76</v>
      </c>
    </row>
    <row r="436" spans="2:6">
      <c r="B436" t="s">
        <v>359</v>
      </c>
      <c r="F436">
        <v>2</v>
      </c>
    </row>
    <row r="437" spans="2:6">
      <c r="B437" t="s">
        <v>48</v>
      </c>
      <c r="F437">
        <v>1.48</v>
      </c>
    </row>
    <row r="438" spans="2:6">
      <c r="B438" t="s">
        <v>53</v>
      </c>
      <c r="F438">
        <v>1.53</v>
      </c>
    </row>
    <row r="439" spans="2:6">
      <c r="B439" t="s">
        <v>46</v>
      </c>
      <c r="F439">
        <v>1.37</v>
      </c>
    </row>
    <row r="440" spans="2:6">
      <c r="B440" t="s">
        <v>55</v>
      </c>
      <c r="F440">
        <v>1.48</v>
      </c>
    </row>
    <row r="441" spans="2:6">
      <c r="B441" t="s">
        <v>360</v>
      </c>
      <c r="F441">
        <v>1.3</v>
      </c>
    </row>
    <row r="442" spans="2:6">
      <c r="B442" t="s">
        <v>361</v>
      </c>
      <c r="F442">
        <v>1.54</v>
      </c>
    </row>
    <row r="443" spans="2:6">
      <c r="B443" t="s">
        <v>362</v>
      </c>
      <c r="F443">
        <v>1.3</v>
      </c>
    </row>
    <row r="444" spans="2:6">
      <c r="B444" t="s">
        <v>363</v>
      </c>
      <c r="F444">
        <v>1.55</v>
      </c>
    </row>
    <row r="445" spans="2:6">
      <c r="B445" t="s">
        <v>364</v>
      </c>
      <c r="F445">
        <v>1.8</v>
      </c>
    </row>
    <row r="446" spans="2:6">
      <c r="B446" t="s">
        <v>365</v>
      </c>
      <c r="F446">
        <v>1.9</v>
      </c>
    </row>
    <row r="447" spans="2:6">
      <c r="B447" t="s">
        <v>366</v>
      </c>
      <c r="F447">
        <v>1.25</v>
      </c>
    </row>
    <row r="448" spans="2:6">
      <c r="B448" t="s">
        <v>52</v>
      </c>
      <c r="F448">
        <v>2</v>
      </c>
    </row>
    <row r="449" spans="2:6">
      <c r="B449" t="s">
        <v>49</v>
      </c>
      <c r="F449">
        <v>2</v>
      </c>
    </row>
    <row r="450" spans="2:6">
      <c r="B450" t="s">
        <v>47</v>
      </c>
      <c r="F450">
        <v>2.1</v>
      </c>
    </row>
    <row r="451" spans="2:6">
      <c r="B451" t="s">
        <v>367</v>
      </c>
      <c r="F451">
        <v>1.7</v>
      </c>
    </row>
    <row r="452" spans="2:6">
      <c r="B452" t="s">
        <v>368</v>
      </c>
      <c r="F452">
        <v>1.2</v>
      </c>
    </row>
    <row r="453" spans="2:6">
      <c r="B453" t="s">
        <v>369</v>
      </c>
      <c r="F453">
        <v>5.0999999999999996</v>
      </c>
    </row>
    <row r="454" spans="2:6">
      <c r="B454" t="s">
        <v>370</v>
      </c>
      <c r="F454">
        <v>6.6</v>
      </c>
    </row>
    <row r="455" spans="2:6">
      <c r="B455" t="s">
        <v>371</v>
      </c>
      <c r="F455">
        <v>4.38</v>
      </c>
    </row>
    <row r="456" spans="2:6">
      <c r="B456" t="s">
        <v>372</v>
      </c>
      <c r="F456">
        <v>5</v>
      </c>
    </row>
    <row r="457" spans="2:6">
      <c r="B457" t="s">
        <v>373</v>
      </c>
      <c r="F457">
        <v>3.3</v>
      </c>
    </row>
    <row r="458" spans="2:6">
      <c r="B458" t="s">
        <v>374</v>
      </c>
      <c r="F458">
        <v>2</v>
      </c>
    </row>
    <row r="459" spans="2:6">
      <c r="B459" t="s">
        <v>375</v>
      </c>
      <c r="F459">
        <v>2</v>
      </c>
    </row>
    <row r="460" spans="2:6">
      <c r="B460" t="s">
        <v>376</v>
      </c>
      <c r="F460">
        <v>2</v>
      </c>
    </row>
    <row r="461" spans="2:6">
      <c r="B461" t="s">
        <v>377</v>
      </c>
      <c r="F461">
        <v>1.8</v>
      </c>
    </row>
    <row r="462" spans="2:6">
      <c r="B462" t="s">
        <v>378</v>
      </c>
      <c r="F462">
        <v>1.8</v>
      </c>
    </row>
    <row r="463" spans="2:6">
      <c r="B463" t="s">
        <v>379</v>
      </c>
      <c r="F463">
        <v>1.45</v>
      </c>
    </row>
    <row r="464" spans="2:6">
      <c r="B464" t="s">
        <v>380</v>
      </c>
      <c r="F464">
        <v>1.25</v>
      </c>
    </row>
    <row r="465" spans="2:6">
      <c r="B465" t="s">
        <v>381</v>
      </c>
      <c r="F465">
        <v>1.5</v>
      </c>
    </row>
    <row r="466" spans="2:6">
      <c r="B466" t="s">
        <v>382</v>
      </c>
      <c r="F466">
        <v>1.6</v>
      </c>
    </row>
    <row r="467" spans="2:6">
      <c r="B467" t="s">
        <v>383</v>
      </c>
      <c r="F467">
        <v>1.7</v>
      </c>
    </row>
    <row r="468" spans="2:6">
      <c r="B468" t="s">
        <v>384</v>
      </c>
      <c r="F468">
        <v>1.2</v>
      </c>
    </row>
    <row r="469" spans="2:6">
      <c r="B469" t="s">
        <v>385</v>
      </c>
      <c r="F469">
        <v>1.4</v>
      </c>
    </row>
    <row r="470" spans="2:6">
      <c r="B470" t="s">
        <v>386</v>
      </c>
      <c r="F470">
        <v>1.33</v>
      </c>
    </row>
    <row r="471" spans="2:6">
      <c r="B471" t="s">
        <v>387</v>
      </c>
      <c r="F471">
        <v>1.4</v>
      </c>
    </row>
    <row r="472" spans="2:6">
      <c r="B472" t="s">
        <v>388</v>
      </c>
      <c r="F472">
        <v>1.17</v>
      </c>
    </row>
    <row r="473" spans="2:6">
      <c r="B473" t="s">
        <v>389</v>
      </c>
      <c r="F473">
        <v>1.25</v>
      </c>
    </row>
    <row r="474" spans="2:6">
      <c r="B474" t="s">
        <v>390</v>
      </c>
      <c r="F474">
        <v>1.58</v>
      </c>
    </row>
    <row r="475" spans="2:6">
      <c r="B475" t="s">
        <v>391</v>
      </c>
      <c r="F475">
        <v>2.37</v>
      </c>
    </row>
    <row r="476" spans="2:6">
      <c r="B476" t="s">
        <v>392</v>
      </c>
      <c r="F476">
        <v>1.1200000000000001</v>
      </c>
    </row>
    <row r="477" spans="2:6">
      <c r="B477" t="s">
        <v>393</v>
      </c>
      <c r="F477">
        <v>1.36</v>
      </c>
    </row>
    <row r="478" spans="2:6">
      <c r="B478" t="s">
        <v>394</v>
      </c>
      <c r="F478">
        <v>1.3</v>
      </c>
    </row>
    <row r="479" spans="2:6">
      <c r="B479" t="s">
        <v>395</v>
      </c>
      <c r="F479">
        <v>3.15</v>
      </c>
    </row>
    <row r="480" spans="2:6">
      <c r="B480" t="s">
        <v>396</v>
      </c>
      <c r="F480">
        <v>3.5</v>
      </c>
    </row>
    <row r="481" spans="2:6">
      <c r="B481" t="s">
        <v>397</v>
      </c>
      <c r="F481">
        <v>4.5</v>
      </c>
    </row>
    <row r="482" spans="2:6">
      <c r="B482" t="s">
        <v>398</v>
      </c>
      <c r="F482">
        <v>3.18</v>
      </c>
    </row>
    <row r="483" spans="2:6">
      <c r="B483" t="s">
        <v>399</v>
      </c>
      <c r="F483">
        <v>5</v>
      </c>
    </row>
    <row r="484" spans="2:6">
      <c r="B484" t="s">
        <v>400</v>
      </c>
      <c r="F484">
        <v>3.4</v>
      </c>
    </row>
    <row r="485" spans="2:6">
      <c r="B485" t="s">
        <v>401</v>
      </c>
      <c r="F485">
        <v>1.82</v>
      </c>
    </row>
    <row r="486" spans="2:6">
      <c r="B486" t="s">
        <v>402</v>
      </c>
      <c r="F486">
        <v>1.36</v>
      </c>
    </row>
    <row r="487" spans="2:6">
      <c r="B487" t="s">
        <v>403</v>
      </c>
      <c r="F487">
        <v>1.39</v>
      </c>
    </row>
    <row r="488" spans="2:6">
      <c r="B488" t="s">
        <v>404</v>
      </c>
      <c r="F488">
        <v>1.33</v>
      </c>
    </row>
    <row r="489" spans="2:6">
      <c r="B489" t="s">
        <v>405</v>
      </c>
      <c r="F489">
        <v>3.05</v>
      </c>
    </row>
    <row r="490" spans="2:6">
      <c r="B490" t="s">
        <v>406</v>
      </c>
      <c r="F490">
        <v>3</v>
      </c>
    </row>
    <row r="491" spans="2:6">
      <c r="B491" t="s">
        <v>407</v>
      </c>
      <c r="F491">
        <v>1.69</v>
      </c>
    </row>
    <row r="492" spans="2:6">
      <c r="B492" t="s">
        <v>408</v>
      </c>
      <c r="F492">
        <v>1.59</v>
      </c>
    </row>
    <row r="493" spans="2:6">
      <c r="B493" t="s">
        <v>409</v>
      </c>
      <c r="F493">
        <v>1.59</v>
      </c>
    </row>
    <row r="494" spans="2:6">
      <c r="B494" t="s">
        <v>410</v>
      </c>
      <c r="F494">
        <v>1.61</v>
      </c>
    </row>
    <row r="495" spans="2:6">
      <c r="B495" t="s">
        <v>411</v>
      </c>
      <c r="F495">
        <v>2.35</v>
      </c>
    </row>
    <row r="496" spans="2:6">
      <c r="B496" t="s">
        <v>412</v>
      </c>
      <c r="F496">
        <v>1.84</v>
      </c>
    </row>
    <row r="497" spans="2:6">
      <c r="B497" t="s">
        <v>413</v>
      </c>
      <c r="F497">
        <v>1.74</v>
      </c>
    </row>
    <row r="498" spans="2:6">
      <c r="B498" t="s">
        <v>414</v>
      </c>
      <c r="F498">
        <v>1.81</v>
      </c>
    </row>
    <row r="499" spans="2:6">
      <c r="B499" t="s">
        <v>415</v>
      </c>
      <c r="F499">
        <v>2.14</v>
      </c>
    </row>
    <row r="500" spans="2:6">
      <c r="B500" t="s">
        <v>416</v>
      </c>
      <c r="F500">
        <v>1.78</v>
      </c>
    </row>
    <row r="501" spans="2:6">
      <c r="B501" t="s">
        <v>417</v>
      </c>
      <c r="F501">
        <v>1.78</v>
      </c>
    </row>
    <row r="502" spans="2:6">
      <c r="B502" t="s">
        <v>418</v>
      </c>
      <c r="F502">
        <v>6.3</v>
      </c>
    </row>
    <row r="503" spans="2:6">
      <c r="B503" t="s">
        <v>419</v>
      </c>
      <c r="F503">
        <v>2.8</v>
      </c>
    </row>
    <row r="504" spans="2:6">
      <c r="B504" t="s">
        <v>420</v>
      </c>
      <c r="F504">
        <v>2.89</v>
      </c>
    </row>
    <row r="505" spans="2:6">
      <c r="B505" t="s">
        <v>375</v>
      </c>
      <c r="F505">
        <v>2.0499999999999998</v>
      </c>
    </row>
    <row r="506" spans="2:6">
      <c r="B506" t="s">
        <v>421</v>
      </c>
      <c r="F506">
        <v>1.32</v>
      </c>
    </row>
    <row r="507" spans="2:6">
      <c r="B507" t="s">
        <v>422</v>
      </c>
      <c r="F507">
        <v>1.22</v>
      </c>
    </row>
    <row r="508" spans="2:6">
      <c r="B508" t="s">
        <v>423</v>
      </c>
      <c r="F508">
        <v>12.4</v>
      </c>
    </row>
    <row r="509" spans="2:6">
      <c r="B509" t="s">
        <v>424</v>
      </c>
      <c r="F509">
        <v>9.34</v>
      </c>
    </row>
    <row r="510" spans="2:6">
      <c r="B510" t="s">
        <v>425</v>
      </c>
      <c r="F510">
        <v>16.899999999999999</v>
      </c>
    </row>
    <row r="511" spans="2:6">
      <c r="B511" t="s">
        <v>426</v>
      </c>
      <c r="F511">
        <v>9.3000000000000007</v>
      </c>
    </row>
    <row r="512" spans="2:6">
      <c r="B512" t="s">
        <v>427</v>
      </c>
      <c r="F512">
        <v>7.25</v>
      </c>
    </row>
    <row r="513" spans="2:6">
      <c r="B513" t="s">
        <v>428</v>
      </c>
      <c r="F513">
        <v>7.25</v>
      </c>
    </row>
    <row r="514" spans="2:6">
      <c r="B514" t="s">
        <v>429</v>
      </c>
      <c r="F514">
        <v>7.56</v>
      </c>
    </row>
    <row r="515" spans="2:6">
      <c r="B515" t="s">
        <v>430</v>
      </c>
      <c r="F515">
        <v>10.46</v>
      </c>
    </row>
    <row r="516" spans="2:6">
      <c r="B516" t="s">
        <v>431</v>
      </c>
      <c r="F516">
        <v>9.4600000000000009</v>
      </c>
    </row>
    <row r="517" spans="2:6">
      <c r="B517" t="s">
        <v>432</v>
      </c>
      <c r="F517">
        <v>2.7</v>
      </c>
    </row>
    <row r="518" spans="2:6">
      <c r="B518" t="s">
        <v>433</v>
      </c>
      <c r="F518">
        <v>1.28</v>
      </c>
    </row>
    <row r="519" spans="2:6">
      <c r="B519" t="s">
        <v>434</v>
      </c>
      <c r="F519">
        <v>3.61</v>
      </c>
    </row>
    <row r="520" spans="2:6">
      <c r="B520" t="s">
        <v>435</v>
      </c>
      <c r="F520">
        <v>6</v>
      </c>
    </row>
    <row r="521" spans="2:6">
      <c r="B521" t="s">
        <v>436</v>
      </c>
      <c r="F521">
        <v>5.47</v>
      </c>
    </row>
    <row r="522" spans="2:6">
      <c r="B522" t="s">
        <v>437</v>
      </c>
      <c r="F522">
        <v>5.26</v>
      </c>
    </row>
    <row r="523" spans="2:6">
      <c r="B523" t="s">
        <v>438</v>
      </c>
      <c r="F523">
        <v>5.14</v>
      </c>
    </row>
    <row r="524" spans="2:6">
      <c r="B524" t="s">
        <v>439</v>
      </c>
      <c r="F524">
        <v>6</v>
      </c>
    </row>
    <row r="525" spans="2:6">
      <c r="B525" t="s">
        <v>440</v>
      </c>
      <c r="F525">
        <v>4.25</v>
      </c>
    </row>
    <row r="526" spans="2:6">
      <c r="B526" t="s">
        <v>441</v>
      </c>
      <c r="F526">
        <v>8</v>
      </c>
    </row>
    <row r="527" spans="2:6">
      <c r="B527" t="s">
        <v>442</v>
      </c>
      <c r="F527">
        <v>1.2</v>
      </c>
    </row>
    <row r="528" spans="2:6">
      <c r="B528" t="s">
        <v>443</v>
      </c>
      <c r="F528">
        <v>26.8</v>
      </c>
    </row>
    <row r="529" spans="2:6">
      <c r="B529" t="s">
        <v>444</v>
      </c>
      <c r="F529">
        <v>10.7</v>
      </c>
    </row>
    <row r="530" spans="2:6">
      <c r="B530" t="s">
        <v>445</v>
      </c>
      <c r="F530">
        <v>1.32</v>
      </c>
    </row>
    <row r="531" spans="2:6">
      <c r="B531" t="s">
        <v>446</v>
      </c>
      <c r="F531">
        <v>1.24</v>
      </c>
    </row>
    <row r="532" spans="2:6">
      <c r="B532" t="s">
        <v>447</v>
      </c>
      <c r="F532">
        <v>5.2</v>
      </c>
    </row>
    <row r="533" spans="2:6">
      <c r="B533" t="s">
        <v>448</v>
      </c>
      <c r="F533">
        <v>1.08</v>
      </c>
    </row>
    <row r="534" spans="2:6">
      <c r="B534" t="s">
        <v>449</v>
      </c>
      <c r="F534">
        <v>1.27</v>
      </c>
    </row>
    <row r="535" spans="2:6">
      <c r="B535" t="s">
        <v>450</v>
      </c>
      <c r="F535">
        <v>1.8</v>
      </c>
    </row>
    <row r="536" spans="2:6">
      <c r="B536" t="s">
        <v>451</v>
      </c>
      <c r="F536">
        <v>2.06</v>
      </c>
    </row>
    <row r="537" spans="2:6">
      <c r="B537" t="s">
        <v>452</v>
      </c>
      <c r="F537">
        <v>1.27</v>
      </c>
    </row>
    <row r="538" spans="2:6">
      <c r="B538" t="s">
        <v>453</v>
      </c>
      <c r="F538">
        <v>2.04</v>
      </c>
    </row>
    <row r="539" spans="2:6">
      <c r="B539" t="s">
        <v>454</v>
      </c>
      <c r="F539">
        <v>1.1000000000000001</v>
      </c>
    </row>
    <row r="540" spans="2:6">
      <c r="B540" t="s">
        <v>455</v>
      </c>
      <c r="F540">
        <v>2.6</v>
      </c>
    </row>
    <row r="541" spans="2:6">
      <c r="B541" t="s">
        <v>456</v>
      </c>
      <c r="F541">
        <v>1.5</v>
      </c>
    </row>
    <row r="542" spans="2:6">
      <c r="B542" t="s">
        <v>457</v>
      </c>
      <c r="F542">
        <v>1.2</v>
      </c>
    </row>
    <row r="543" spans="2:6">
      <c r="B543" t="s">
        <v>458</v>
      </c>
      <c r="F543">
        <v>1.67</v>
      </c>
    </row>
    <row r="544" spans="2:6">
      <c r="B544" t="s">
        <v>459</v>
      </c>
      <c r="F544">
        <v>2.08</v>
      </c>
    </row>
    <row r="545" spans="2:6">
      <c r="B545" t="s">
        <v>460</v>
      </c>
      <c r="F545">
        <v>2.6</v>
      </c>
    </row>
    <row r="546" spans="2:6">
      <c r="B546" t="s">
        <v>461</v>
      </c>
      <c r="F546">
        <v>0.62</v>
      </c>
    </row>
    <row r="547" spans="2:6">
      <c r="B547" t="s">
        <v>462</v>
      </c>
      <c r="F547">
        <v>1.52</v>
      </c>
    </row>
    <row r="548" spans="2:6">
      <c r="B548" t="s">
        <v>463</v>
      </c>
      <c r="F548">
        <v>2.9</v>
      </c>
    </row>
    <row r="549" spans="2:6">
      <c r="B549" t="s">
        <v>464</v>
      </c>
      <c r="F549">
        <v>2.35</v>
      </c>
    </row>
    <row r="550" spans="2:6">
      <c r="B550" t="s">
        <v>465</v>
      </c>
      <c r="F550">
        <v>2.82</v>
      </c>
    </row>
    <row r="551" spans="2:6">
      <c r="B551" t="s">
        <v>466</v>
      </c>
      <c r="F551">
        <v>1.5</v>
      </c>
    </row>
    <row r="552" spans="2:6">
      <c r="B552" t="s">
        <v>467</v>
      </c>
      <c r="F552">
        <v>1.49</v>
      </c>
    </row>
    <row r="553" spans="2:6">
      <c r="B553" t="s">
        <v>468</v>
      </c>
      <c r="F553">
        <v>1.49</v>
      </c>
    </row>
    <row r="554" spans="2:6">
      <c r="B554" t="s">
        <v>469</v>
      </c>
      <c r="F554">
        <v>1.5</v>
      </c>
    </row>
    <row r="555" spans="2:6">
      <c r="B555" t="s">
        <v>470</v>
      </c>
      <c r="F555">
        <v>1.49</v>
      </c>
    </row>
    <row r="556" spans="2:6">
      <c r="B556" t="s">
        <v>471</v>
      </c>
      <c r="F556">
        <v>1.49</v>
      </c>
    </row>
    <row r="557" spans="2:6">
      <c r="B557" t="s">
        <v>472</v>
      </c>
      <c r="F557">
        <v>1.79</v>
      </c>
    </row>
    <row r="558" spans="2:6">
      <c r="B558" t="s">
        <v>473</v>
      </c>
      <c r="F558">
        <v>2.29</v>
      </c>
    </row>
    <row r="559" spans="2:6">
      <c r="B559" t="s">
        <v>474</v>
      </c>
      <c r="F559">
        <v>1.66</v>
      </c>
    </row>
    <row r="560" spans="2:6">
      <c r="B560" t="s">
        <v>475</v>
      </c>
      <c r="F560">
        <v>1.4</v>
      </c>
    </row>
    <row r="561" spans="2:6">
      <c r="B561" t="s">
        <v>476</v>
      </c>
      <c r="F561">
        <v>1.59</v>
      </c>
    </row>
    <row r="562" spans="2:6">
      <c r="B562" t="s">
        <v>477</v>
      </c>
      <c r="F562">
        <v>1.2</v>
      </c>
    </row>
    <row r="563" spans="2:6">
      <c r="B563" t="s">
        <v>478</v>
      </c>
      <c r="F563">
        <v>1.47</v>
      </c>
    </row>
    <row r="564" spans="2:6">
      <c r="B564" t="s">
        <v>479</v>
      </c>
      <c r="F564">
        <v>1.24</v>
      </c>
    </row>
    <row r="565" spans="2:6">
      <c r="B565" t="s">
        <v>131</v>
      </c>
      <c r="F565">
        <v>1.35</v>
      </c>
    </row>
    <row r="566" spans="2:6">
      <c r="B566" t="s">
        <v>480</v>
      </c>
      <c r="F566">
        <v>2.14</v>
      </c>
    </row>
    <row r="567" spans="2:6">
      <c r="B567" t="s">
        <v>481</v>
      </c>
      <c r="F567">
        <v>1.71</v>
      </c>
    </row>
    <row r="568" spans="2:6">
      <c r="B568" t="s">
        <v>482</v>
      </c>
      <c r="F568">
        <v>1.85</v>
      </c>
    </row>
    <row r="569" spans="2:6">
      <c r="B569" t="s">
        <v>483</v>
      </c>
      <c r="F569">
        <v>1.85</v>
      </c>
    </row>
    <row r="570" spans="2:6">
      <c r="B570" t="s">
        <v>484</v>
      </c>
      <c r="F570">
        <v>1.36</v>
      </c>
    </row>
    <row r="571" spans="2:6">
      <c r="B571" t="s">
        <v>485</v>
      </c>
      <c r="F571">
        <v>1.26</v>
      </c>
    </row>
    <row r="572" spans="2:6">
      <c r="B572" t="s">
        <v>486</v>
      </c>
      <c r="F572">
        <v>2</v>
      </c>
    </row>
    <row r="573" spans="2:6">
      <c r="B573" t="s">
        <v>487</v>
      </c>
      <c r="F573">
        <v>2</v>
      </c>
    </row>
    <row r="574" spans="2:6">
      <c r="B574" t="s">
        <v>488</v>
      </c>
      <c r="F574">
        <v>1.82</v>
      </c>
    </row>
    <row r="575" spans="2:6">
      <c r="B575" t="s">
        <v>489</v>
      </c>
      <c r="F575">
        <v>1.51</v>
      </c>
    </row>
    <row r="576" spans="2:6">
      <c r="B576" t="s">
        <v>490</v>
      </c>
      <c r="F576">
        <v>1.29</v>
      </c>
    </row>
    <row r="577" spans="2:6">
      <c r="B577" t="s">
        <v>491</v>
      </c>
      <c r="F577">
        <v>1.27</v>
      </c>
    </row>
    <row r="578" spans="2:6">
      <c r="B578" t="s">
        <v>492</v>
      </c>
      <c r="F578">
        <v>1.28</v>
      </c>
    </row>
    <row r="579" spans="2:6">
      <c r="B579" t="s">
        <v>493</v>
      </c>
      <c r="F579">
        <v>1.32</v>
      </c>
    </row>
    <row r="580" spans="2:6">
      <c r="B580" t="s">
        <v>494</v>
      </c>
      <c r="F580">
        <v>1.55</v>
      </c>
    </row>
    <row r="581" spans="2:6">
      <c r="B581" t="s">
        <v>495</v>
      </c>
      <c r="F581">
        <v>1.36</v>
      </c>
    </row>
    <row r="582" spans="2:6">
      <c r="B582" t="s">
        <v>496</v>
      </c>
      <c r="F582">
        <v>1.46</v>
      </c>
    </row>
    <row r="583" spans="2:6">
      <c r="B583" t="s">
        <v>497</v>
      </c>
      <c r="F583">
        <v>1.74</v>
      </c>
    </row>
    <row r="584" spans="2:6">
      <c r="B584" t="s">
        <v>498</v>
      </c>
      <c r="F584">
        <v>2.5099999999999998</v>
      </c>
    </row>
    <row r="585" spans="2:6">
      <c r="B585" t="s">
        <v>499</v>
      </c>
      <c r="F585">
        <v>1.43</v>
      </c>
    </row>
    <row r="586" spans="2:6">
      <c r="B586" t="s">
        <v>500</v>
      </c>
      <c r="F586">
        <v>2.86</v>
      </c>
    </row>
    <row r="587" spans="2:6">
      <c r="B587" t="s">
        <v>501</v>
      </c>
      <c r="F587">
        <v>1.85</v>
      </c>
    </row>
    <row r="588" spans="2:6">
      <c r="B588" t="s">
        <v>502</v>
      </c>
      <c r="F588">
        <v>2.79</v>
      </c>
    </row>
    <row r="589" spans="2:6">
      <c r="B589" t="s">
        <v>503</v>
      </c>
      <c r="F589">
        <v>3.09</v>
      </c>
    </row>
    <row r="590" spans="2:6">
      <c r="B590" t="s">
        <v>504</v>
      </c>
      <c r="F590">
        <v>2.04</v>
      </c>
    </row>
    <row r="591" spans="2:6">
      <c r="B591" t="s">
        <v>505</v>
      </c>
      <c r="F591">
        <v>1.0900000000000001</v>
      </c>
    </row>
    <row r="592" spans="2:6">
      <c r="B592" t="s">
        <v>506</v>
      </c>
      <c r="F592">
        <v>1.36</v>
      </c>
    </row>
    <row r="593" spans="2:6">
      <c r="B593" t="s">
        <v>507</v>
      </c>
      <c r="F593">
        <v>1.17</v>
      </c>
    </row>
    <row r="594" spans="2:6">
      <c r="B594" t="s">
        <v>54</v>
      </c>
      <c r="F594">
        <v>1.32</v>
      </c>
    </row>
    <row r="595" spans="2:6">
      <c r="B595" t="s">
        <v>381</v>
      </c>
      <c r="F595">
        <v>1.49</v>
      </c>
    </row>
    <row r="596" spans="2:6">
      <c r="B596" t="s">
        <v>508</v>
      </c>
      <c r="F596">
        <v>2</v>
      </c>
    </row>
    <row r="597" spans="2:6">
      <c r="B597" t="s">
        <v>509</v>
      </c>
      <c r="F597">
        <v>1.24</v>
      </c>
    </row>
    <row r="598" spans="2:6">
      <c r="B598" t="s">
        <v>510</v>
      </c>
      <c r="F598">
        <v>1.75</v>
      </c>
    </row>
    <row r="599" spans="2:6">
      <c r="B599" t="s">
        <v>511</v>
      </c>
      <c r="F599">
        <v>2.74</v>
      </c>
    </row>
    <row r="600" spans="2:6">
      <c r="B600" t="s">
        <v>512</v>
      </c>
      <c r="F600">
        <v>2.87</v>
      </c>
    </row>
    <row r="601" spans="2:6">
      <c r="B601" t="s">
        <v>513</v>
      </c>
      <c r="F601">
        <v>2.2599999999999998</v>
      </c>
    </row>
    <row r="602" spans="2:6">
      <c r="B602" t="s">
        <v>514</v>
      </c>
      <c r="F602">
        <v>1.26</v>
      </c>
    </row>
    <row r="603" spans="2:6">
      <c r="B603" t="s">
        <v>515</v>
      </c>
      <c r="F603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2026-03-23T08:48:19Z</dcterms:modified>
</cp:coreProperties>
</file>