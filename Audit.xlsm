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Admin\Desktop\AuditRepo\Audit\"/>
    </mc:Choice>
  </mc:AlternateContent>
  <xr:revisionPtr revIDLastSave="0" documentId="13_ncr:1_{4573B386-7BF5-4C4B-AB3D-425FDE5A5CF2}" xr6:coauthVersionLast="47" xr6:coauthVersionMax="47" xr10:uidLastSave="{00000000-0000-0000-0000-000000000000}"/>
  <bookViews>
    <workbookView xWindow="-38520" yWindow="-90" windowWidth="38640" windowHeight="21120" activeTab="8" xr2:uid="{E0E293F9-D794-491A-92CF-8D3933F9CC7D}"/>
  </bookViews>
  <sheets>
    <sheet name="Audit Report" sheetId="1" r:id="rId1"/>
    <sheet name="Locked and Faulty" sheetId="13" r:id="rId2"/>
    <sheet name="My_Audit" sheetId="5" r:id="rId3"/>
    <sheet name="Input" sheetId="2" r:id="rId4"/>
    <sheet name="Disk_Pivot" sheetId="12" r:id="rId5"/>
    <sheet name="Disk_Pivot_Data" sheetId="10" r:id="rId6"/>
    <sheet name="MacReports" sheetId="3" r:id="rId7"/>
    <sheet name="CSV" sheetId="4" r:id="rId8"/>
    <sheet name="CPU_Formula" sheetId="8" r:id="rId9"/>
    <sheet name="Output_Mac" sheetId="6" r:id="rId10"/>
    <sheet name="Models" sheetId="7" r:id="rId11"/>
  </sheets>
  <definedNames>
    <definedName name="_xlpm.chars" hidden="1" xlm="1">#NAME?</definedName>
    <definedName name="_xlpm.CSVVal" hidden="1" xlm="1">#NAME?</definedName>
    <definedName name="_xlpm.MacVal" hidden="1" xlm="1">#NAME?</definedName>
    <definedName name="_xlpm.MyAuditVal" hidden="1" xlm="1">#NAME?</definedName>
    <definedName name="_xlpm.Result" hidden="1" xlm="1">#NAME?</definedName>
    <definedName name="_xlpm.txt" hidden="1" xlm="1">#NAME?</definedName>
  </definedNames>
  <calcPr calcId="191029"/>
  <pivotCaches>
    <pivotCache cacheId="5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4" i="4" l="1" a="1"/>
  <c r="U4" i="4" s="1"/>
  <c r="U5" i="4" a="1"/>
  <c r="U5" i="4" s="1"/>
  <c r="U6" i="4" a="1"/>
  <c r="U6" i="4" s="1"/>
  <c r="U7" i="4" a="1"/>
  <c r="U7" i="4" s="1"/>
  <c r="U8" i="4" a="1"/>
  <c r="U8" i="4" s="1"/>
  <c r="U9" i="4" a="1"/>
  <c r="U9" i="4" s="1"/>
  <c r="U10" i="4" a="1"/>
  <c r="U10" i="4" s="1"/>
  <c r="U11" i="4" a="1"/>
  <c r="U11" i="4" s="1"/>
  <c r="U12" i="4" a="1"/>
  <c r="U12" i="4" s="1"/>
  <c r="U13" i="4" a="1"/>
  <c r="U13" i="4" s="1"/>
  <c r="U14" i="4" a="1"/>
  <c r="U14" i="4" s="1"/>
  <c r="U15" i="4" a="1"/>
  <c r="U15" i="4" s="1"/>
  <c r="U16" i="4" a="1"/>
  <c r="U16" i="4" s="1"/>
  <c r="U17" i="4" a="1"/>
  <c r="U17" i="4" s="1"/>
  <c r="U18" i="4" a="1"/>
  <c r="U18" i="4" s="1"/>
  <c r="U19" i="4" a="1"/>
  <c r="U19" i="4" s="1"/>
  <c r="U20" i="4" a="1"/>
  <c r="U20" i="4" s="1"/>
  <c r="U21" i="4" a="1"/>
  <c r="U21" i="4" s="1"/>
  <c r="U22" i="4" a="1"/>
  <c r="U22" i="4" s="1"/>
  <c r="U23" i="4" a="1"/>
  <c r="U23" i="4" s="1"/>
  <c r="U24" i="4" a="1"/>
  <c r="U24" i="4" s="1"/>
  <c r="U25" i="4" a="1"/>
  <c r="U25" i="4" s="1"/>
  <c r="U26" i="4" a="1"/>
  <c r="U26" i="4" s="1"/>
  <c r="U27" i="4" a="1"/>
  <c r="U27" i="4" s="1"/>
  <c r="U28" i="4" a="1"/>
  <c r="U28" i="4" s="1"/>
  <c r="U29" i="4" a="1"/>
  <c r="U29" i="4" s="1"/>
  <c r="U30" i="4" a="1"/>
  <c r="U30" i="4" s="1"/>
  <c r="U31" i="4" a="1"/>
  <c r="U31" i="4" s="1"/>
  <c r="U32" i="4" a="1"/>
  <c r="U32" i="4" s="1"/>
  <c r="U33" i="4" a="1"/>
  <c r="U33" i="4" s="1"/>
  <c r="U34" i="4" a="1"/>
  <c r="U34" i="4" s="1"/>
  <c r="U35" i="4" a="1"/>
  <c r="U35" i="4" s="1"/>
  <c r="U36" i="4" a="1"/>
  <c r="U36" i="4" s="1"/>
  <c r="U37" i="4" a="1"/>
  <c r="U37" i="4" s="1"/>
  <c r="U38" i="4" a="1"/>
  <c r="U38" i="4" s="1"/>
  <c r="U39" i="4" a="1"/>
  <c r="U39" i="4" s="1"/>
  <c r="U40" i="4" a="1"/>
  <c r="U40" i="4" s="1"/>
  <c r="U41" i="4" a="1"/>
  <c r="U41" i="4" s="1"/>
  <c r="U42" i="4" a="1"/>
  <c r="U42" i="4" s="1"/>
  <c r="U43" i="4" a="1"/>
  <c r="U43" i="4" s="1"/>
  <c r="U44" i="4" a="1"/>
  <c r="U44" i="4" s="1"/>
  <c r="U45" i="4" a="1"/>
  <c r="U45" i="4" s="1"/>
  <c r="U46" i="4" a="1"/>
  <c r="U46" i="4" s="1"/>
  <c r="U47" i="4" a="1"/>
  <c r="U47" i="4" s="1"/>
  <c r="U48" i="4" a="1"/>
  <c r="U48" i="4" s="1"/>
  <c r="U49" i="4" a="1"/>
  <c r="U49" i="4" s="1"/>
  <c r="U50" i="4" a="1"/>
  <c r="U50" i="4" s="1"/>
  <c r="U51" i="4" a="1"/>
  <c r="U51" i="4" s="1"/>
  <c r="U52" i="4" a="1"/>
  <c r="U52" i="4" s="1"/>
  <c r="U53" i="4" a="1"/>
  <c r="U53" i="4" s="1"/>
  <c r="U54" i="4" a="1"/>
  <c r="U54" i="4" s="1"/>
  <c r="U55" i="4" a="1"/>
  <c r="U55" i="4" s="1"/>
  <c r="U56" i="4" a="1"/>
  <c r="U56" i="4" s="1"/>
  <c r="U57" i="4" a="1"/>
  <c r="U57" i="4" s="1"/>
  <c r="U58" i="4" a="1"/>
  <c r="U58" i="4" s="1"/>
  <c r="U59" i="4" a="1"/>
  <c r="U59" i="4" s="1"/>
  <c r="U60" i="4" a="1"/>
  <c r="U60" i="4" s="1"/>
  <c r="U61" i="4" a="1"/>
  <c r="U61" i="4" s="1"/>
  <c r="U62" i="4" a="1"/>
  <c r="U62" i="4" s="1"/>
  <c r="U63" i="4" a="1"/>
  <c r="U63" i="4" s="1"/>
  <c r="U64" i="4" a="1"/>
  <c r="U64" i="4" s="1"/>
  <c r="U65" i="4" a="1"/>
  <c r="U65" i="4" s="1"/>
  <c r="U66" i="4" a="1"/>
  <c r="U66" i="4" s="1"/>
  <c r="U67" i="4" a="1"/>
  <c r="U67" i="4" s="1"/>
  <c r="U68" i="4" a="1"/>
  <c r="U68" i="4" s="1"/>
  <c r="U69" i="4" a="1"/>
  <c r="U69" i="4" s="1"/>
  <c r="U70" i="4" a="1"/>
  <c r="U70" i="4" s="1"/>
  <c r="U71" i="4" a="1"/>
  <c r="U71" i="4" s="1"/>
  <c r="U72" i="4" a="1"/>
  <c r="U72" i="4" s="1"/>
  <c r="U73" i="4" a="1"/>
  <c r="U73" i="4" s="1"/>
  <c r="U74" i="4" a="1"/>
  <c r="U74" i="4" s="1"/>
  <c r="U75" i="4" a="1"/>
  <c r="U75" i="4" s="1"/>
  <c r="U76" i="4" a="1"/>
  <c r="U76" i="4" s="1"/>
  <c r="U77" i="4" a="1"/>
  <c r="U77" i="4" s="1"/>
  <c r="U78" i="4" a="1"/>
  <c r="U78" i="4" s="1"/>
  <c r="U79" i="4" a="1"/>
  <c r="U79" i="4" s="1"/>
  <c r="U80" i="4" a="1"/>
  <c r="U80" i="4" s="1"/>
  <c r="U81" i="4" a="1"/>
  <c r="U81" i="4" s="1"/>
  <c r="U82" i="4" a="1"/>
  <c r="U82" i="4" s="1"/>
  <c r="U83" i="4" a="1"/>
  <c r="U83" i="4" s="1"/>
  <c r="U84" i="4" a="1"/>
  <c r="U84" i="4" s="1"/>
  <c r="U85" i="4" a="1"/>
  <c r="U85" i="4" s="1"/>
  <c r="U86" i="4" a="1"/>
  <c r="U86" i="4" s="1"/>
  <c r="U87" i="4" a="1"/>
  <c r="U87" i="4" s="1"/>
  <c r="U88" i="4" a="1"/>
  <c r="U88" i="4" s="1"/>
  <c r="U89" i="4" a="1"/>
  <c r="U89" i="4" s="1"/>
  <c r="U90" i="4" a="1"/>
  <c r="U90" i="4" s="1"/>
  <c r="U91" i="4" a="1"/>
  <c r="U91" i="4" s="1"/>
  <c r="U92" i="4" a="1"/>
  <c r="U92" i="4" s="1"/>
  <c r="U93" i="4" a="1"/>
  <c r="U93" i="4" s="1"/>
  <c r="U94" i="4" a="1"/>
  <c r="U94" i="4" s="1"/>
  <c r="U95" i="4" a="1"/>
  <c r="U95" i="4" s="1"/>
  <c r="U96" i="4" a="1"/>
  <c r="U96" i="4" s="1"/>
  <c r="U97" i="4" a="1"/>
  <c r="U97" i="4" s="1"/>
  <c r="U98" i="4" a="1"/>
  <c r="U98" i="4" s="1"/>
  <c r="U99" i="4" a="1"/>
  <c r="U99" i="4" s="1"/>
  <c r="U100" i="4" a="1"/>
  <c r="U100" i="4" s="1"/>
  <c r="U101" i="4" a="1"/>
  <c r="U101" i="4" s="1"/>
  <c r="U102" i="4" a="1"/>
  <c r="U102" i="4" s="1"/>
  <c r="U103" i="4" a="1"/>
  <c r="U103" i="4" s="1"/>
  <c r="U104" i="4" a="1"/>
  <c r="U104" i="4" s="1"/>
  <c r="U105" i="4" a="1"/>
  <c r="U105" i="4" s="1"/>
  <c r="U106" i="4" a="1"/>
  <c r="U106" i="4" s="1"/>
  <c r="U107" i="4" a="1"/>
  <c r="U107" i="4" s="1"/>
  <c r="U108" i="4" a="1"/>
  <c r="U108" i="4" s="1"/>
  <c r="U109" i="4" a="1"/>
  <c r="U109" i="4" s="1"/>
  <c r="U110" i="4" a="1"/>
  <c r="U110" i="4" s="1"/>
  <c r="U111" i="4" a="1"/>
  <c r="U111" i="4" s="1"/>
  <c r="U112" i="4" a="1"/>
  <c r="U112" i="4" s="1"/>
  <c r="U113" i="4" a="1"/>
  <c r="U113" i="4" s="1"/>
  <c r="U114" i="4" a="1"/>
  <c r="U114" i="4" s="1"/>
  <c r="U115" i="4" a="1"/>
  <c r="U115" i="4" s="1"/>
  <c r="U116" i="4" a="1"/>
  <c r="U116" i="4" s="1"/>
  <c r="U117" i="4" a="1"/>
  <c r="U117" i="4" s="1"/>
  <c r="U118" i="4" a="1"/>
  <c r="U118" i="4" s="1"/>
  <c r="U119" i="4" a="1"/>
  <c r="U119" i="4" s="1"/>
  <c r="U120" i="4" a="1"/>
  <c r="U120" i="4" s="1"/>
  <c r="U121" i="4" a="1"/>
  <c r="U121" i="4" s="1"/>
  <c r="U122" i="4" a="1"/>
  <c r="U122" i="4" s="1"/>
  <c r="U123" i="4" a="1"/>
  <c r="U123" i="4" s="1"/>
  <c r="U124" i="4" a="1"/>
  <c r="U124" i="4" s="1"/>
  <c r="U125" i="4" a="1"/>
  <c r="U125" i="4" s="1"/>
  <c r="U126" i="4" a="1"/>
  <c r="U126" i="4" s="1"/>
  <c r="U127" i="4" a="1"/>
  <c r="U127" i="4" s="1"/>
  <c r="U128" i="4" a="1"/>
  <c r="U128" i="4" s="1"/>
  <c r="U129" i="4" a="1"/>
  <c r="U129" i="4" s="1"/>
  <c r="U130" i="4" a="1"/>
  <c r="U130" i="4" s="1"/>
  <c r="U131" i="4" a="1"/>
  <c r="U131" i="4" s="1"/>
  <c r="U132" i="4" a="1"/>
  <c r="U132" i="4" s="1"/>
  <c r="U133" i="4" a="1"/>
  <c r="U133" i="4" s="1"/>
  <c r="U134" i="4" a="1"/>
  <c r="U134" i="4" s="1"/>
  <c r="U135" i="4" a="1"/>
  <c r="U135" i="4" s="1"/>
  <c r="U136" i="4" a="1"/>
  <c r="U136" i="4" s="1"/>
  <c r="U137" i="4" a="1"/>
  <c r="U137" i="4" s="1"/>
  <c r="U138" i="4" a="1"/>
  <c r="U138" i="4" s="1"/>
  <c r="U139" i="4" a="1"/>
  <c r="U139" i="4" s="1"/>
  <c r="U140" i="4" a="1"/>
  <c r="U140" i="4" s="1"/>
  <c r="U141" i="4" a="1"/>
  <c r="U141" i="4" s="1"/>
  <c r="U142" i="4" a="1"/>
  <c r="U142" i="4" s="1"/>
  <c r="U143" i="4" a="1"/>
  <c r="U143" i="4" s="1"/>
  <c r="U144" i="4" a="1"/>
  <c r="U144" i="4" s="1"/>
  <c r="U145" i="4" a="1"/>
  <c r="U145" i="4" s="1"/>
  <c r="U146" i="4" a="1"/>
  <c r="U146" i="4" s="1"/>
  <c r="U147" i="4" a="1"/>
  <c r="U147" i="4" s="1"/>
  <c r="U148" i="4" a="1"/>
  <c r="U148" i="4" s="1"/>
  <c r="U149" i="4" a="1"/>
  <c r="U149" i="4" s="1"/>
  <c r="U150" i="4" a="1"/>
  <c r="U150" i="4" s="1"/>
  <c r="U151" i="4" a="1"/>
  <c r="U151" i="4" s="1"/>
  <c r="U152" i="4" a="1"/>
  <c r="U152" i="4" s="1"/>
  <c r="U153" i="4" a="1"/>
  <c r="U153" i="4" s="1"/>
  <c r="U154" i="4" a="1"/>
  <c r="U154" i="4" s="1"/>
  <c r="U155" i="4" a="1"/>
  <c r="U155" i="4" s="1"/>
  <c r="U156" i="4" a="1"/>
  <c r="U156" i="4" s="1"/>
  <c r="U157" i="4" a="1"/>
  <c r="U157" i="4" s="1"/>
  <c r="U158" i="4" a="1"/>
  <c r="U158" i="4" s="1"/>
  <c r="U159" i="4" a="1"/>
  <c r="U159" i="4" s="1"/>
  <c r="U160" i="4" a="1"/>
  <c r="U160" i="4" s="1"/>
  <c r="U161" i="4" a="1"/>
  <c r="U161" i="4" s="1"/>
  <c r="U162" i="4" a="1"/>
  <c r="U162" i="4" s="1"/>
  <c r="U163" i="4" a="1"/>
  <c r="U163" i="4" s="1"/>
  <c r="U164" i="4" a="1"/>
  <c r="U164" i="4" s="1"/>
  <c r="U165" i="4" a="1"/>
  <c r="U165" i="4" s="1"/>
  <c r="U166" i="4" a="1"/>
  <c r="U166" i="4" s="1"/>
  <c r="U167" i="4" a="1"/>
  <c r="U167" i="4" s="1"/>
  <c r="U168" i="4" a="1"/>
  <c r="U168" i="4" s="1"/>
  <c r="U169" i="4" a="1"/>
  <c r="U169" i="4" s="1"/>
  <c r="U170" i="4" a="1"/>
  <c r="U170" i="4" s="1"/>
  <c r="U171" i="4" a="1"/>
  <c r="U171" i="4" s="1"/>
  <c r="U172" i="4" a="1"/>
  <c r="U172" i="4" s="1"/>
  <c r="U173" i="4" a="1"/>
  <c r="U173" i="4" s="1"/>
  <c r="U174" i="4" a="1"/>
  <c r="U174" i="4" s="1"/>
  <c r="U175" i="4" a="1"/>
  <c r="U175" i="4" s="1"/>
  <c r="U176" i="4" a="1"/>
  <c r="U176" i="4" s="1"/>
  <c r="U177" i="4" a="1"/>
  <c r="U177" i="4" s="1"/>
  <c r="U178" i="4" a="1"/>
  <c r="U178" i="4" s="1"/>
  <c r="U179" i="4" a="1"/>
  <c r="U179" i="4" s="1"/>
  <c r="U180" i="4" a="1"/>
  <c r="U180" i="4" s="1"/>
  <c r="U181" i="4" a="1"/>
  <c r="U181" i="4" s="1"/>
  <c r="U182" i="4" a="1"/>
  <c r="U182" i="4" s="1"/>
  <c r="U183" i="4" a="1"/>
  <c r="U183" i="4" s="1"/>
  <c r="U184" i="4" a="1"/>
  <c r="U184" i="4" s="1"/>
  <c r="U185" i="4" a="1"/>
  <c r="U185" i="4" s="1"/>
  <c r="U186" i="4" a="1"/>
  <c r="U186" i="4" s="1"/>
  <c r="U187" i="4" a="1"/>
  <c r="U187" i="4" s="1"/>
  <c r="U188" i="4" a="1"/>
  <c r="U188" i="4" s="1"/>
  <c r="U189" i="4" a="1"/>
  <c r="U189" i="4" s="1"/>
  <c r="U190" i="4" a="1"/>
  <c r="U190" i="4" s="1"/>
  <c r="U191" i="4" a="1"/>
  <c r="U191" i="4" s="1"/>
  <c r="U192" i="4" a="1"/>
  <c r="U192" i="4" s="1"/>
  <c r="U193" i="4" a="1"/>
  <c r="U193" i="4" s="1"/>
  <c r="U194" i="4" a="1"/>
  <c r="U194" i="4" s="1"/>
  <c r="U195" i="4" a="1"/>
  <c r="U195" i="4" s="1"/>
  <c r="U196" i="4" a="1"/>
  <c r="U196" i="4" s="1"/>
  <c r="U197" i="4" a="1"/>
  <c r="U197" i="4" s="1"/>
  <c r="U198" i="4" a="1"/>
  <c r="U198" i="4" s="1"/>
  <c r="U199" i="4" a="1"/>
  <c r="U199" i="4" s="1"/>
  <c r="U200" i="4" a="1"/>
  <c r="U200" i="4" s="1"/>
  <c r="U201" i="4" a="1"/>
  <c r="U201" i="4" s="1"/>
  <c r="U202" i="4" a="1"/>
  <c r="U202" i="4" s="1"/>
  <c r="U203" i="4" a="1"/>
  <c r="U203" i="4" s="1"/>
  <c r="U204" i="4" a="1"/>
  <c r="U204" i="4" s="1"/>
  <c r="U205" i="4" a="1"/>
  <c r="U205" i="4" s="1"/>
  <c r="U206" i="4" a="1"/>
  <c r="U206" i="4" s="1"/>
  <c r="U207" i="4" a="1"/>
  <c r="U207" i="4" s="1"/>
  <c r="U208" i="4" a="1"/>
  <c r="U208" i="4" s="1"/>
  <c r="U209" i="4" a="1"/>
  <c r="U209" i="4" s="1"/>
  <c r="U210" i="4" a="1"/>
  <c r="U210" i="4" s="1"/>
  <c r="U211" i="4" a="1"/>
  <c r="U211" i="4" s="1"/>
  <c r="U212" i="4" a="1"/>
  <c r="U212" i="4" s="1"/>
  <c r="U213" i="4" a="1"/>
  <c r="U213" i="4" s="1"/>
  <c r="U214" i="4" a="1"/>
  <c r="U214" i="4" s="1"/>
  <c r="U215" i="4" a="1"/>
  <c r="U215" i="4" s="1"/>
  <c r="U216" i="4" a="1"/>
  <c r="U216" i="4" s="1"/>
  <c r="U217" i="4" a="1"/>
  <c r="U217" i="4" s="1"/>
  <c r="U218" i="4" a="1"/>
  <c r="U218" i="4" s="1"/>
  <c r="U219" i="4" a="1"/>
  <c r="U219" i="4" s="1"/>
  <c r="U220" i="4" a="1"/>
  <c r="U220" i="4" s="1"/>
  <c r="U221" i="4" a="1"/>
  <c r="U221" i="4" s="1"/>
  <c r="U222" i="4" a="1"/>
  <c r="U222" i="4" s="1"/>
  <c r="U223" i="4" a="1"/>
  <c r="U223" i="4" s="1"/>
  <c r="U224" i="4" a="1"/>
  <c r="U224" i="4" s="1"/>
  <c r="U225" i="4" a="1"/>
  <c r="U225" i="4" s="1"/>
  <c r="U226" i="4" a="1"/>
  <c r="U226" i="4" s="1"/>
  <c r="U227" i="4" a="1"/>
  <c r="U227" i="4" s="1"/>
  <c r="U228" i="4" a="1"/>
  <c r="U228" i="4" s="1"/>
  <c r="U229" i="4" a="1"/>
  <c r="U229" i="4" s="1"/>
  <c r="U230" i="4" a="1"/>
  <c r="U230" i="4" s="1"/>
  <c r="U231" i="4" a="1"/>
  <c r="U231" i="4" s="1"/>
  <c r="U232" i="4" a="1"/>
  <c r="U232" i="4" s="1"/>
  <c r="U233" i="4" a="1"/>
  <c r="U233" i="4" s="1"/>
  <c r="U234" i="4" a="1"/>
  <c r="U234" i="4" s="1"/>
  <c r="U235" i="4" a="1"/>
  <c r="U235" i="4" s="1"/>
  <c r="U236" i="4" a="1"/>
  <c r="U236" i="4" s="1"/>
  <c r="U237" i="4" a="1"/>
  <c r="U237" i="4" s="1"/>
  <c r="U238" i="4" a="1"/>
  <c r="U238" i="4" s="1"/>
  <c r="U239" i="4" a="1"/>
  <c r="U239" i="4" s="1"/>
  <c r="U240" i="4" a="1"/>
  <c r="U240" i="4" s="1"/>
  <c r="U241" i="4" a="1"/>
  <c r="U241" i="4" s="1"/>
  <c r="U242" i="4" a="1"/>
  <c r="U242" i="4" s="1"/>
  <c r="U243" i="4" a="1"/>
  <c r="U243" i="4" s="1"/>
  <c r="U244" i="4" a="1"/>
  <c r="U244" i="4" s="1"/>
  <c r="U245" i="4" a="1"/>
  <c r="U245" i="4" s="1"/>
  <c r="U246" i="4" a="1"/>
  <c r="U246" i="4" s="1"/>
  <c r="U247" i="4" a="1"/>
  <c r="U247" i="4" s="1"/>
  <c r="U248" i="4" a="1"/>
  <c r="U248" i="4" s="1"/>
  <c r="U249" i="4" a="1"/>
  <c r="U249" i="4" s="1"/>
  <c r="U250" i="4" a="1"/>
  <c r="U250" i="4" s="1"/>
  <c r="U251" i="4" a="1"/>
  <c r="U251" i="4" s="1"/>
  <c r="U252" i="4" a="1"/>
  <c r="U252" i="4" s="1"/>
  <c r="U253" i="4" a="1"/>
  <c r="U253" i="4" s="1"/>
  <c r="U254" i="4" a="1"/>
  <c r="U254" i="4" s="1"/>
  <c r="U255" i="4" a="1"/>
  <c r="U255" i="4" s="1"/>
  <c r="U256" i="4" a="1"/>
  <c r="U256" i="4" s="1"/>
  <c r="U3" i="4" a="1"/>
  <c r="U3" i="4" s="1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E2" i="1"/>
  <c r="P3" i="5"/>
  <c r="P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2" i="5"/>
  <c r="B47" i="6"/>
  <c r="C47" i="6"/>
  <c r="G47" i="6"/>
  <c r="E47" i="6" s="1"/>
  <c r="J47" i="6"/>
  <c r="K47" i="6"/>
  <c r="L47" i="6"/>
  <c r="M47" i="6" a="1"/>
  <c r="M47" i="6" s="1"/>
  <c r="N47" i="6" a="1"/>
  <c r="N47" i="6"/>
  <c r="O47" i="6"/>
  <c r="P47" i="6"/>
  <c r="Q47" i="6"/>
  <c r="R47" i="6"/>
  <c r="B48" i="6"/>
  <c r="C48" i="6"/>
  <c r="G48" i="6"/>
  <c r="E48" i="6" s="1"/>
  <c r="K48" i="6"/>
  <c r="L48" i="6"/>
  <c r="M48" i="6" a="1"/>
  <c r="M48" i="6" s="1"/>
  <c r="N48" i="6" a="1"/>
  <c r="N48" i="6"/>
  <c r="O48" i="6"/>
  <c r="P48" i="6"/>
  <c r="Q48" i="6"/>
  <c r="S48" i="6" s="1"/>
  <c r="R48" i="6"/>
  <c r="B49" i="6"/>
  <c r="C49" i="6"/>
  <c r="G49" i="6"/>
  <c r="H49" i="6" s="1"/>
  <c r="K49" i="6"/>
  <c r="L49" i="6"/>
  <c r="M49" i="6" a="1"/>
  <c r="M49" i="6" s="1"/>
  <c r="N49" i="6" a="1"/>
  <c r="N49" i="6"/>
  <c r="S49" i="6" s="1"/>
  <c r="O49" i="6"/>
  <c r="P49" i="6"/>
  <c r="Q49" i="6"/>
  <c r="R49" i="6"/>
  <c r="AB49" i="6"/>
  <c r="B50" i="6"/>
  <c r="C50" i="6"/>
  <c r="G50" i="6"/>
  <c r="H50" i="6" s="1"/>
  <c r="K50" i="6"/>
  <c r="L50" i="6"/>
  <c r="M50" i="6" a="1"/>
  <c r="M50" i="6" s="1"/>
  <c r="N50" i="6" a="1"/>
  <c r="N50" i="6"/>
  <c r="S50" i="6" s="1"/>
  <c r="O50" i="6"/>
  <c r="P50" i="6"/>
  <c r="Q50" i="6"/>
  <c r="R50" i="6"/>
  <c r="AB50" i="6"/>
  <c r="B51" i="6"/>
  <c r="C51" i="6"/>
  <c r="G51" i="6"/>
  <c r="H51" i="6" s="1"/>
  <c r="I51" i="6"/>
  <c r="J51" i="6"/>
  <c r="K51" i="6"/>
  <c r="L51" i="6"/>
  <c r="M51" i="6" a="1"/>
  <c r="M51" i="6" s="1"/>
  <c r="N51" i="6" a="1"/>
  <c r="N51" i="6"/>
  <c r="O51" i="6"/>
  <c r="P51" i="6"/>
  <c r="Q51" i="6"/>
  <c r="S51" i="6" s="1"/>
  <c r="R51" i="6"/>
  <c r="AB51" i="6"/>
  <c r="B52" i="6"/>
  <c r="C52" i="6"/>
  <c r="G52" i="6"/>
  <c r="H52" i="6" s="1"/>
  <c r="K52" i="6"/>
  <c r="L52" i="6"/>
  <c r="M52" i="6" a="1"/>
  <c r="M52" i="6" s="1"/>
  <c r="N52" i="6" a="1"/>
  <c r="N52" i="6"/>
  <c r="S52" i="6" s="1"/>
  <c r="O52" i="6"/>
  <c r="P52" i="6"/>
  <c r="Q52" i="6"/>
  <c r="R52" i="6"/>
  <c r="AB52" i="6"/>
  <c r="B53" i="6"/>
  <c r="C53" i="6"/>
  <c r="G53" i="6"/>
  <c r="H53" i="6" s="1"/>
  <c r="K53" i="6"/>
  <c r="L53" i="6"/>
  <c r="M53" i="6" a="1"/>
  <c r="M53" i="6" s="1"/>
  <c r="N53" i="6" a="1"/>
  <c r="N53" i="6"/>
  <c r="S53" i="6" s="1"/>
  <c r="O53" i="6"/>
  <c r="P53" i="6"/>
  <c r="Q53" i="6"/>
  <c r="R53" i="6"/>
  <c r="AB53" i="6"/>
  <c r="B54" i="6"/>
  <c r="C54" i="6"/>
  <c r="G54" i="6"/>
  <c r="H54" i="6" s="1"/>
  <c r="I54" i="6"/>
  <c r="J54" i="6"/>
  <c r="K54" i="6"/>
  <c r="L54" i="6"/>
  <c r="M54" i="6" a="1"/>
  <c r="M54" i="6" s="1"/>
  <c r="N54" i="6" a="1"/>
  <c r="N54" i="6"/>
  <c r="O54" i="6"/>
  <c r="P54" i="6"/>
  <c r="Q54" i="6"/>
  <c r="S54" i="6" s="1"/>
  <c r="R54" i="6"/>
  <c r="AB54" i="6"/>
  <c r="B55" i="6"/>
  <c r="C55" i="6"/>
  <c r="G55" i="6"/>
  <c r="H55" i="6" s="1"/>
  <c r="K55" i="6"/>
  <c r="L55" i="6"/>
  <c r="M55" i="6" a="1"/>
  <c r="M55" i="6" s="1"/>
  <c r="N55" i="6" a="1"/>
  <c r="N55" i="6"/>
  <c r="S55" i="6" s="1"/>
  <c r="O55" i="6"/>
  <c r="P55" i="6"/>
  <c r="Q55" i="6"/>
  <c r="R55" i="6"/>
  <c r="AB55" i="6"/>
  <c r="B56" i="6"/>
  <c r="C56" i="6"/>
  <c r="G56" i="6"/>
  <c r="K56" i="6"/>
  <c r="L56" i="6"/>
  <c r="M56" i="6" a="1"/>
  <c r="M56" i="6" s="1"/>
  <c r="N56" i="6" a="1"/>
  <c r="N56" i="6"/>
  <c r="O56" i="6"/>
  <c r="P56" i="6"/>
  <c r="Q56" i="6"/>
  <c r="R56" i="6"/>
  <c r="AB56" i="6"/>
  <c r="B57" i="6"/>
  <c r="C57" i="6"/>
  <c r="G57" i="6"/>
  <c r="H57" i="6" s="1"/>
  <c r="I57" i="6"/>
  <c r="J57" i="6"/>
  <c r="K57" i="6"/>
  <c r="L57" i="6"/>
  <c r="M57" i="6" a="1"/>
  <c r="M57" i="6" s="1"/>
  <c r="N57" i="6" a="1"/>
  <c r="N57" i="6"/>
  <c r="O57" i="6"/>
  <c r="P57" i="6"/>
  <c r="Q57" i="6"/>
  <c r="S57" i="6" s="1"/>
  <c r="R57" i="6"/>
  <c r="AB57" i="6"/>
  <c r="B58" i="6"/>
  <c r="C58" i="6"/>
  <c r="G58" i="6"/>
  <c r="I58" i="6" s="1"/>
  <c r="K58" i="6"/>
  <c r="L58" i="6"/>
  <c r="M58" i="6" a="1"/>
  <c r="M58" i="6" s="1"/>
  <c r="N58" i="6" a="1"/>
  <c r="N58" i="6" s="1"/>
  <c r="S58" i="6" s="1"/>
  <c r="O58" i="6"/>
  <c r="P58" i="6"/>
  <c r="Q58" i="6"/>
  <c r="R58" i="6"/>
  <c r="AB58" i="6"/>
  <c r="A59" i="6"/>
  <c r="B59" i="6"/>
  <c r="C59" i="6"/>
  <c r="G59" i="6"/>
  <c r="H59" i="6" s="1"/>
  <c r="I59" i="6"/>
  <c r="J59" i="6"/>
  <c r="K59" i="6"/>
  <c r="L59" i="6"/>
  <c r="M59" i="6" a="1"/>
  <c r="M59" i="6" s="1"/>
  <c r="N59" i="6" a="1"/>
  <c r="N59" i="6"/>
  <c r="O59" i="6"/>
  <c r="P59" i="6"/>
  <c r="Q59" i="6"/>
  <c r="R59" i="6"/>
  <c r="AB59" i="6"/>
  <c r="B60" i="6"/>
  <c r="C60" i="6"/>
  <c r="E60" i="6"/>
  <c r="G60" i="6"/>
  <c r="H60" i="6" s="1"/>
  <c r="I60" i="6"/>
  <c r="J60" i="6"/>
  <c r="K60" i="6"/>
  <c r="L60" i="6"/>
  <c r="M60" i="6" a="1"/>
  <c r="M60" i="6" s="1"/>
  <c r="N60" i="6" a="1"/>
  <c r="N60" i="6"/>
  <c r="O60" i="6"/>
  <c r="P60" i="6"/>
  <c r="Q60" i="6"/>
  <c r="S60" i="6" s="1"/>
  <c r="R60" i="6"/>
  <c r="B61" i="6"/>
  <c r="C61" i="6"/>
  <c r="G61" i="6"/>
  <c r="I61" i="6" s="1"/>
  <c r="K61" i="6"/>
  <c r="L61" i="6"/>
  <c r="M61" i="6" a="1"/>
  <c r="M61" i="6" s="1"/>
  <c r="N61" i="6" a="1"/>
  <c r="N61" i="6" s="1"/>
  <c r="S61" i="6" s="1"/>
  <c r="O61" i="6"/>
  <c r="P61" i="6"/>
  <c r="Q61" i="6"/>
  <c r="R61" i="6"/>
  <c r="AB61" i="6"/>
  <c r="B62" i="6"/>
  <c r="C62" i="6"/>
  <c r="G62" i="6"/>
  <c r="H62" i="6" s="1"/>
  <c r="J62" i="6"/>
  <c r="K62" i="6"/>
  <c r="L62" i="6"/>
  <c r="M62" i="6" a="1"/>
  <c r="M62" i="6" s="1"/>
  <c r="N62" i="6" a="1"/>
  <c r="N62" i="6"/>
  <c r="S62" i="6" s="1"/>
  <c r="O62" i="6"/>
  <c r="P62" i="6"/>
  <c r="Q62" i="6"/>
  <c r="R62" i="6"/>
  <c r="AB62" i="6"/>
  <c r="A63" i="6"/>
  <c r="B63" i="6"/>
  <c r="C63" i="6"/>
  <c r="E63" i="6"/>
  <c r="G63" i="6"/>
  <c r="H63" i="6" s="1"/>
  <c r="I63" i="6"/>
  <c r="J63" i="6"/>
  <c r="K63" i="6"/>
  <c r="L63" i="6"/>
  <c r="M63" i="6" a="1"/>
  <c r="M63" i="6" s="1"/>
  <c r="N63" i="6" a="1"/>
  <c r="N63" i="6"/>
  <c r="O63" i="6"/>
  <c r="P63" i="6"/>
  <c r="Q63" i="6"/>
  <c r="S63" i="6" s="1"/>
  <c r="R63" i="6"/>
  <c r="B64" i="6"/>
  <c r="C64" i="6"/>
  <c r="G64" i="6"/>
  <c r="I64" i="6" s="1"/>
  <c r="K64" i="6"/>
  <c r="L64" i="6"/>
  <c r="M64" i="6" a="1"/>
  <c r="M64" i="6" s="1"/>
  <c r="N64" i="6" a="1"/>
  <c r="N64" i="6"/>
  <c r="O64" i="6"/>
  <c r="P64" i="6"/>
  <c r="Q64" i="6"/>
  <c r="S64" i="6" s="1"/>
  <c r="R64" i="6"/>
  <c r="AB64" i="6"/>
  <c r="B65" i="6"/>
  <c r="C65" i="6"/>
  <c r="G65" i="6"/>
  <c r="I65" i="6" s="1"/>
  <c r="K65" i="6"/>
  <c r="L65" i="6"/>
  <c r="M65" i="6" a="1"/>
  <c r="M65" i="6" s="1"/>
  <c r="N65" i="6" a="1"/>
  <c r="N65" i="6"/>
  <c r="S65" i="6" s="1"/>
  <c r="O65" i="6"/>
  <c r="P65" i="6"/>
  <c r="Q65" i="6"/>
  <c r="R65" i="6"/>
  <c r="AB65" i="6"/>
  <c r="B66" i="6"/>
  <c r="C66" i="6"/>
  <c r="G66" i="6"/>
  <c r="I66" i="6" s="1"/>
  <c r="K66" i="6"/>
  <c r="L66" i="6"/>
  <c r="M66" i="6" a="1"/>
  <c r="M66" i="6" s="1"/>
  <c r="N66" i="6" a="1"/>
  <c r="N66" i="6"/>
  <c r="O66" i="6"/>
  <c r="P66" i="6"/>
  <c r="Q66" i="6"/>
  <c r="R66" i="6"/>
  <c r="AB66" i="6"/>
  <c r="B67" i="6"/>
  <c r="C67" i="6"/>
  <c r="G67" i="6"/>
  <c r="I67" i="6" s="1"/>
  <c r="K67" i="6"/>
  <c r="L67" i="6"/>
  <c r="M67" i="6" a="1"/>
  <c r="M67" i="6" s="1"/>
  <c r="N67" i="6" a="1"/>
  <c r="N67" i="6" s="1"/>
  <c r="S67" i="6" s="1"/>
  <c r="O67" i="6"/>
  <c r="P67" i="6"/>
  <c r="Q67" i="6"/>
  <c r="R67" i="6"/>
  <c r="AB67" i="6"/>
  <c r="B68" i="6"/>
  <c r="C68" i="6"/>
  <c r="G68" i="6"/>
  <c r="I68" i="6" s="1"/>
  <c r="J68" i="6"/>
  <c r="K68" i="6"/>
  <c r="L68" i="6"/>
  <c r="M68" i="6" a="1"/>
  <c r="M68" i="6" s="1"/>
  <c r="N68" i="6" a="1"/>
  <c r="N68" i="6" s="1"/>
  <c r="S68" i="6" s="1"/>
  <c r="O68" i="6"/>
  <c r="P68" i="6"/>
  <c r="Q68" i="6"/>
  <c r="R68" i="6"/>
  <c r="AB68" i="6"/>
  <c r="B69" i="6"/>
  <c r="C69" i="6"/>
  <c r="G69" i="6"/>
  <c r="J69" i="6" s="1"/>
  <c r="K69" i="6"/>
  <c r="L69" i="6"/>
  <c r="M69" i="6" a="1"/>
  <c r="M69" i="6" s="1"/>
  <c r="N69" i="6" a="1"/>
  <c r="N69" i="6"/>
  <c r="O69" i="6"/>
  <c r="P69" i="6"/>
  <c r="Q69" i="6"/>
  <c r="R69" i="6"/>
  <c r="B70" i="6"/>
  <c r="C70" i="6"/>
  <c r="G70" i="6"/>
  <c r="E70" i="6" s="1"/>
  <c r="K70" i="6"/>
  <c r="L70" i="6"/>
  <c r="M70" i="6" a="1"/>
  <c r="M70" i="6" s="1"/>
  <c r="N70" i="6" a="1"/>
  <c r="N70" i="6" s="1"/>
  <c r="O70" i="6"/>
  <c r="P70" i="6"/>
  <c r="Q70" i="6"/>
  <c r="S70" i="6" s="1"/>
  <c r="R70" i="6"/>
  <c r="AB70" i="6"/>
  <c r="B71" i="6"/>
  <c r="C71" i="6"/>
  <c r="G71" i="6"/>
  <c r="K71" i="6"/>
  <c r="L71" i="6"/>
  <c r="M71" i="6" a="1"/>
  <c r="M71" i="6" s="1"/>
  <c r="N71" i="6" a="1"/>
  <c r="N71" i="6" s="1"/>
  <c r="O71" i="6"/>
  <c r="P71" i="6"/>
  <c r="Q71" i="6"/>
  <c r="R71" i="6"/>
  <c r="S71" i="6"/>
  <c r="AB71" i="6"/>
  <c r="B72" i="6"/>
  <c r="C72" i="6"/>
  <c r="E72" i="6"/>
  <c r="G72" i="6"/>
  <c r="H72" i="6" s="1"/>
  <c r="I72" i="6"/>
  <c r="J72" i="6"/>
  <c r="K72" i="6"/>
  <c r="L72" i="6"/>
  <c r="M72" i="6" a="1"/>
  <c r="M72" i="6" s="1"/>
  <c r="N72" i="6" a="1"/>
  <c r="N72" i="6"/>
  <c r="O72" i="6"/>
  <c r="P72" i="6"/>
  <c r="Q72" i="6"/>
  <c r="R72" i="6"/>
  <c r="AB72" i="6"/>
  <c r="B73" i="6"/>
  <c r="C73" i="6"/>
  <c r="G73" i="6"/>
  <c r="K73" i="6"/>
  <c r="L73" i="6"/>
  <c r="M73" i="6" a="1"/>
  <c r="M73" i="6" s="1"/>
  <c r="N73" i="6" a="1"/>
  <c r="N73" i="6" s="1"/>
  <c r="S73" i="6" s="1"/>
  <c r="O73" i="6"/>
  <c r="P73" i="6"/>
  <c r="Q73" i="6"/>
  <c r="R73" i="6"/>
  <c r="AB73" i="6"/>
  <c r="B74" i="6"/>
  <c r="C74" i="6"/>
  <c r="G74" i="6"/>
  <c r="I74" i="6" s="1"/>
  <c r="J74" i="6"/>
  <c r="K74" i="6"/>
  <c r="L74" i="6"/>
  <c r="M74" i="6" a="1"/>
  <c r="M74" i="6" s="1"/>
  <c r="N74" i="6" a="1"/>
  <c r="N74" i="6" s="1"/>
  <c r="O74" i="6"/>
  <c r="P74" i="6"/>
  <c r="Q74" i="6"/>
  <c r="R74" i="6"/>
  <c r="AB74" i="6"/>
  <c r="B75" i="6"/>
  <c r="C75" i="6"/>
  <c r="E75" i="6"/>
  <c r="G75" i="6"/>
  <c r="J75" i="6"/>
  <c r="K75" i="6"/>
  <c r="L75" i="6"/>
  <c r="M75" i="6" a="1"/>
  <c r="M75" i="6" s="1"/>
  <c r="N75" i="6" a="1"/>
  <c r="N75" i="6"/>
  <c r="O75" i="6"/>
  <c r="P75" i="6"/>
  <c r="Q75" i="6"/>
  <c r="R75" i="6"/>
  <c r="B76" i="6"/>
  <c r="C76" i="6"/>
  <c r="G76" i="6"/>
  <c r="E76" i="6" s="1"/>
  <c r="K76" i="6"/>
  <c r="L76" i="6"/>
  <c r="M76" i="6" a="1"/>
  <c r="M76" i="6" s="1"/>
  <c r="N76" i="6" a="1"/>
  <c r="N76" i="6" s="1"/>
  <c r="O76" i="6"/>
  <c r="P76" i="6"/>
  <c r="Q76" i="6"/>
  <c r="R76" i="6"/>
  <c r="S76" i="6"/>
  <c r="AB76" i="6"/>
  <c r="A77" i="6"/>
  <c r="B77" i="6"/>
  <c r="C77" i="6"/>
  <c r="G77" i="6"/>
  <c r="J77" i="6" s="1"/>
  <c r="K77" i="6"/>
  <c r="L77" i="6"/>
  <c r="M77" i="6" a="1"/>
  <c r="M77" i="6" s="1"/>
  <c r="N77" i="6" a="1"/>
  <c r="N77" i="6"/>
  <c r="O77" i="6"/>
  <c r="P77" i="6"/>
  <c r="Q77" i="6"/>
  <c r="R77" i="6"/>
  <c r="B78" i="6"/>
  <c r="C78" i="6"/>
  <c r="G78" i="6"/>
  <c r="H78" i="6" s="1"/>
  <c r="K78" i="6"/>
  <c r="L78" i="6"/>
  <c r="M78" i="6" a="1"/>
  <c r="M78" i="6" s="1"/>
  <c r="N78" i="6" a="1"/>
  <c r="N78" i="6" s="1"/>
  <c r="O78" i="6"/>
  <c r="P78" i="6"/>
  <c r="Q78" i="6"/>
  <c r="R78" i="6"/>
  <c r="S78" i="6"/>
  <c r="AB78" i="6"/>
  <c r="B79" i="6"/>
  <c r="C79" i="6"/>
  <c r="G79" i="6"/>
  <c r="I79" i="6" s="1"/>
  <c r="K79" i="6"/>
  <c r="L79" i="6"/>
  <c r="M79" i="6" a="1"/>
  <c r="M79" i="6"/>
  <c r="N79" i="6" a="1"/>
  <c r="N79" i="6" s="1"/>
  <c r="O79" i="6"/>
  <c r="S79" i="6" s="1"/>
  <c r="P79" i="6"/>
  <c r="Q79" i="6"/>
  <c r="R79" i="6"/>
  <c r="AB79" i="6" s="1"/>
  <c r="B80" i="6"/>
  <c r="C80" i="6"/>
  <c r="G80" i="6"/>
  <c r="K80" i="6"/>
  <c r="L80" i="6"/>
  <c r="M80" i="6" a="1"/>
  <c r="M80" i="6"/>
  <c r="N80" i="6" a="1"/>
  <c r="N80" i="6"/>
  <c r="O80" i="6"/>
  <c r="P80" i="6"/>
  <c r="Q80" i="6"/>
  <c r="R80" i="6"/>
  <c r="A81" i="6"/>
  <c r="B81" i="6"/>
  <c r="C81" i="6"/>
  <c r="G81" i="6"/>
  <c r="K81" i="6"/>
  <c r="L81" i="6"/>
  <c r="M81" i="6" a="1"/>
  <c r="M81" i="6" s="1"/>
  <c r="N81" i="6" a="1"/>
  <c r="N81" i="6" s="1"/>
  <c r="O81" i="6"/>
  <c r="P81" i="6"/>
  <c r="Q81" i="6"/>
  <c r="AB81" i="6" s="1"/>
  <c r="R81" i="6"/>
  <c r="S81" i="6"/>
  <c r="B82" i="6"/>
  <c r="C82" i="6"/>
  <c r="E82" i="6"/>
  <c r="G82" i="6"/>
  <c r="J82" i="6" s="1"/>
  <c r="H82" i="6"/>
  <c r="I82" i="6"/>
  <c r="K82" i="6"/>
  <c r="L82" i="6"/>
  <c r="M82" i="6" a="1"/>
  <c r="M82" i="6"/>
  <c r="N82" i="6" a="1"/>
  <c r="N82" i="6" s="1"/>
  <c r="O82" i="6"/>
  <c r="P82" i="6"/>
  <c r="Q82" i="6"/>
  <c r="R82" i="6"/>
  <c r="S82" i="6" s="1"/>
  <c r="B83" i="6"/>
  <c r="C83" i="6"/>
  <c r="G83" i="6"/>
  <c r="H83" i="6"/>
  <c r="J83" i="6"/>
  <c r="K83" i="6"/>
  <c r="L83" i="6"/>
  <c r="M83" i="6" a="1"/>
  <c r="M83" i="6" s="1"/>
  <c r="N83" i="6" a="1"/>
  <c r="N83" i="6"/>
  <c r="O83" i="6"/>
  <c r="P83" i="6"/>
  <c r="Q83" i="6"/>
  <c r="R83" i="6"/>
  <c r="B84" i="6"/>
  <c r="C84" i="6"/>
  <c r="G84" i="6"/>
  <c r="J84" i="6"/>
  <c r="K84" i="6"/>
  <c r="L84" i="6"/>
  <c r="M84" i="6" a="1"/>
  <c r="M84" i="6" s="1"/>
  <c r="N84" i="6" a="1"/>
  <c r="N84" i="6" s="1"/>
  <c r="S84" i="6" s="1"/>
  <c r="O84" i="6"/>
  <c r="P84" i="6"/>
  <c r="Q84" i="6"/>
  <c r="R84" i="6"/>
  <c r="AB84" i="6"/>
  <c r="B85" i="6"/>
  <c r="C85" i="6"/>
  <c r="E85" i="6"/>
  <c r="G85" i="6"/>
  <c r="J85" i="6" s="1"/>
  <c r="H85" i="6"/>
  <c r="I85" i="6"/>
  <c r="K85" i="6"/>
  <c r="L85" i="6"/>
  <c r="M85" i="6" a="1"/>
  <c r="M85" i="6"/>
  <c r="N85" i="6" a="1"/>
  <c r="N85" i="6" s="1"/>
  <c r="O85" i="6"/>
  <c r="P85" i="6"/>
  <c r="Q85" i="6"/>
  <c r="R85" i="6"/>
  <c r="AB85" i="6" s="1"/>
  <c r="B86" i="6"/>
  <c r="C86" i="6"/>
  <c r="G86" i="6"/>
  <c r="H86" i="6"/>
  <c r="K86" i="6"/>
  <c r="L86" i="6"/>
  <c r="M86" i="6" a="1"/>
  <c r="M86" i="6" s="1"/>
  <c r="N86" i="6" a="1"/>
  <c r="N86" i="6"/>
  <c r="O86" i="6"/>
  <c r="P86" i="6"/>
  <c r="Q86" i="6"/>
  <c r="R86" i="6"/>
  <c r="B87" i="6"/>
  <c r="C87" i="6"/>
  <c r="E87" i="6"/>
  <c r="G87" i="6"/>
  <c r="K87" i="6"/>
  <c r="L87" i="6"/>
  <c r="M87" i="6" a="1"/>
  <c r="M87" i="6" s="1"/>
  <c r="N87" i="6" a="1"/>
  <c r="N87" i="6" s="1"/>
  <c r="O87" i="6"/>
  <c r="P87" i="6"/>
  <c r="Q87" i="6"/>
  <c r="AB87" i="6" s="1"/>
  <c r="R87" i="6"/>
  <c r="S87" i="6"/>
  <c r="B88" i="6"/>
  <c r="C88" i="6"/>
  <c r="E88" i="6"/>
  <c r="G88" i="6"/>
  <c r="H88" i="6" s="1"/>
  <c r="I88" i="6"/>
  <c r="J88" i="6"/>
  <c r="K88" i="6"/>
  <c r="L88" i="6"/>
  <c r="M88" i="6" a="1"/>
  <c r="M88" i="6"/>
  <c r="N88" i="6" a="1"/>
  <c r="N88" i="6" s="1"/>
  <c r="S88" i="6" s="1"/>
  <c r="O88" i="6"/>
  <c r="P88" i="6"/>
  <c r="Q88" i="6"/>
  <c r="R88" i="6"/>
  <c r="AB88" i="6"/>
  <c r="B89" i="6"/>
  <c r="C89" i="6"/>
  <c r="G89" i="6"/>
  <c r="E89" i="6" s="1"/>
  <c r="K89" i="6"/>
  <c r="L89" i="6"/>
  <c r="M89" i="6" a="1"/>
  <c r="M89" i="6"/>
  <c r="N89" i="6" a="1"/>
  <c r="N89" i="6"/>
  <c r="O89" i="6"/>
  <c r="P89" i="6"/>
  <c r="Q89" i="6"/>
  <c r="R89" i="6"/>
  <c r="B90" i="6"/>
  <c r="C90" i="6"/>
  <c r="E90" i="6"/>
  <c r="G90" i="6"/>
  <c r="I90" i="6" s="1"/>
  <c r="H90" i="6"/>
  <c r="K90" i="6"/>
  <c r="L90" i="6"/>
  <c r="M90" i="6" a="1"/>
  <c r="M90" i="6"/>
  <c r="N90" i="6" a="1"/>
  <c r="N90" i="6" s="1"/>
  <c r="S90" i="6" s="1"/>
  <c r="O90" i="6"/>
  <c r="P90" i="6"/>
  <c r="Q90" i="6"/>
  <c r="R90" i="6"/>
  <c r="AB90" i="6"/>
  <c r="B91" i="6"/>
  <c r="C91" i="6"/>
  <c r="E91" i="6"/>
  <c r="G91" i="6"/>
  <c r="I91" i="6" s="1"/>
  <c r="H91" i="6"/>
  <c r="K91" i="6"/>
  <c r="L91" i="6"/>
  <c r="M91" i="6" a="1"/>
  <c r="M91" i="6"/>
  <c r="N91" i="6" a="1"/>
  <c r="N91" i="6" s="1"/>
  <c r="O91" i="6"/>
  <c r="P91" i="6"/>
  <c r="Q91" i="6"/>
  <c r="R91" i="6"/>
  <c r="AB91" i="6" s="1"/>
  <c r="S91" i="6"/>
  <c r="B92" i="6"/>
  <c r="C92" i="6"/>
  <c r="E92" i="6"/>
  <c r="G92" i="6"/>
  <c r="I92" i="6" s="1"/>
  <c r="H92" i="6"/>
  <c r="K92" i="6"/>
  <c r="L92" i="6"/>
  <c r="M92" i="6" a="1"/>
  <c r="M92" i="6" s="1"/>
  <c r="N92" i="6" a="1"/>
  <c r="N92" i="6"/>
  <c r="O92" i="6"/>
  <c r="P92" i="6"/>
  <c r="Q92" i="6"/>
  <c r="R92" i="6"/>
  <c r="AB92" i="6"/>
  <c r="B93" i="6"/>
  <c r="C93" i="6"/>
  <c r="G93" i="6"/>
  <c r="H93" i="6"/>
  <c r="I93" i="6"/>
  <c r="K93" i="6"/>
  <c r="L93" i="6"/>
  <c r="M93" i="6" a="1"/>
  <c r="M93" i="6" s="1"/>
  <c r="N93" i="6" a="1"/>
  <c r="N93" i="6" s="1"/>
  <c r="O93" i="6"/>
  <c r="P93" i="6"/>
  <c r="Q93" i="6"/>
  <c r="R93" i="6"/>
  <c r="B94" i="6"/>
  <c r="C94" i="6"/>
  <c r="G94" i="6"/>
  <c r="K94" i="6"/>
  <c r="L94" i="6"/>
  <c r="M94" i="6" a="1"/>
  <c r="M94" i="6"/>
  <c r="N94" i="6" a="1"/>
  <c r="N94" i="6"/>
  <c r="S94" i="6" s="1"/>
  <c r="O94" i="6"/>
  <c r="P94" i="6"/>
  <c r="Q94" i="6"/>
  <c r="R94" i="6"/>
  <c r="AB94" i="6"/>
  <c r="A95" i="6"/>
  <c r="B95" i="6"/>
  <c r="C95" i="6"/>
  <c r="G95" i="6"/>
  <c r="E95" i="6" s="1"/>
  <c r="K95" i="6"/>
  <c r="L95" i="6"/>
  <c r="M95" i="6" a="1"/>
  <c r="M95" i="6" s="1"/>
  <c r="N95" i="6" a="1"/>
  <c r="N95" i="6"/>
  <c r="O95" i="6"/>
  <c r="P95" i="6"/>
  <c r="Q95" i="6"/>
  <c r="R95" i="6"/>
  <c r="B96" i="6"/>
  <c r="C96" i="6"/>
  <c r="G96" i="6"/>
  <c r="J96" i="6"/>
  <c r="K96" i="6"/>
  <c r="L96" i="6"/>
  <c r="M96" i="6" a="1"/>
  <c r="M96" i="6" s="1"/>
  <c r="N96" i="6" a="1"/>
  <c r="N96" i="6" s="1"/>
  <c r="O96" i="6"/>
  <c r="P96" i="6"/>
  <c r="Q96" i="6"/>
  <c r="R96" i="6"/>
  <c r="AB96" i="6"/>
  <c r="B97" i="6"/>
  <c r="C97" i="6"/>
  <c r="G97" i="6"/>
  <c r="I97" i="6" s="1"/>
  <c r="J97" i="6"/>
  <c r="K97" i="6"/>
  <c r="L97" i="6"/>
  <c r="M97" i="6" a="1"/>
  <c r="M97" i="6"/>
  <c r="N97" i="6" a="1"/>
  <c r="N97" i="6"/>
  <c r="O97" i="6"/>
  <c r="P97" i="6"/>
  <c r="Q97" i="6"/>
  <c r="R97" i="6"/>
  <c r="A98" i="6"/>
  <c r="B98" i="6"/>
  <c r="C98" i="6"/>
  <c r="E98" i="6"/>
  <c r="G98" i="6"/>
  <c r="H98" i="6"/>
  <c r="K98" i="6"/>
  <c r="L98" i="6"/>
  <c r="M98" i="6" a="1"/>
  <c r="M98" i="6" s="1"/>
  <c r="N98" i="6" a="1"/>
  <c r="N98" i="6"/>
  <c r="O98" i="6"/>
  <c r="P98" i="6"/>
  <c r="Q98" i="6"/>
  <c r="R98" i="6"/>
  <c r="B99" i="6"/>
  <c r="C99" i="6"/>
  <c r="G99" i="6"/>
  <c r="K99" i="6"/>
  <c r="L99" i="6"/>
  <c r="M99" i="6" a="1"/>
  <c r="M99" i="6" s="1"/>
  <c r="N99" i="6" a="1"/>
  <c r="N99" i="6" s="1"/>
  <c r="S99" i="6" s="1"/>
  <c r="O99" i="6"/>
  <c r="P99" i="6"/>
  <c r="Q99" i="6"/>
  <c r="AB99" i="6" s="1"/>
  <c r="R99" i="6"/>
  <c r="B100" i="6"/>
  <c r="C100" i="6"/>
  <c r="G100" i="6"/>
  <c r="K100" i="6"/>
  <c r="L100" i="6"/>
  <c r="M100" i="6" a="1"/>
  <c r="M100" i="6"/>
  <c r="N100" i="6" a="1"/>
  <c r="N100" i="6"/>
  <c r="S100" i="6" s="1"/>
  <c r="O100" i="6"/>
  <c r="P100" i="6"/>
  <c r="Q100" i="6"/>
  <c r="R100" i="6"/>
  <c r="AB100" i="6" s="1"/>
  <c r="B101" i="6"/>
  <c r="C101" i="6"/>
  <c r="G101" i="6"/>
  <c r="K101" i="6"/>
  <c r="L101" i="6"/>
  <c r="M101" i="6" a="1"/>
  <c r="M101" i="6"/>
  <c r="N101" i="6" a="1"/>
  <c r="N101" i="6"/>
  <c r="O101" i="6"/>
  <c r="P101" i="6"/>
  <c r="Q101" i="6"/>
  <c r="R101" i="6"/>
  <c r="B102" i="6"/>
  <c r="C102" i="6"/>
  <c r="G102" i="6"/>
  <c r="K102" i="6"/>
  <c r="L102" i="6"/>
  <c r="M102" i="6" a="1"/>
  <c r="M102" i="6"/>
  <c r="N102" i="6" a="1"/>
  <c r="N102" i="6" s="1"/>
  <c r="O102" i="6"/>
  <c r="P102" i="6"/>
  <c r="S102" i="6" s="1"/>
  <c r="Q102" i="6"/>
  <c r="R102" i="6"/>
  <c r="AB102" i="6" s="1"/>
  <c r="B103" i="6"/>
  <c r="C103" i="6"/>
  <c r="G103" i="6"/>
  <c r="I103" i="6" s="1"/>
  <c r="K103" i="6"/>
  <c r="L103" i="6"/>
  <c r="M103" i="6" a="1"/>
  <c r="M103" i="6"/>
  <c r="N103" i="6" a="1"/>
  <c r="N103" i="6" s="1"/>
  <c r="S103" i="6" s="1"/>
  <c r="O103" i="6"/>
  <c r="P103" i="6"/>
  <c r="Q103" i="6"/>
  <c r="R103" i="6"/>
  <c r="AB103" i="6" s="1"/>
  <c r="B104" i="6"/>
  <c r="C104" i="6"/>
  <c r="E104" i="6"/>
  <c r="G104" i="6"/>
  <c r="H104" i="6"/>
  <c r="I104" i="6"/>
  <c r="J104" i="6"/>
  <c r="K104" i="6"/>
  <c r="L104" i="6"/>
  <c r="M104" i="6" a="1"/>
  <c r="M104" i="6"/>
  <c r="N104" i="6" a="1"/>
  <c r="N104" i="6"/>
  <c r="O104" i="6"/>
  <c r="P104" i="6"/>
  <c r="Q104" i="6"/>
  <c r="R104" i="6"/>
  <c r="B105" i="6"/>
  <c r="C105" i="6"/>
  <c r="E105" i="6"/>
  <c r="G105" i="6"/>
  <c r="H105" i="6"/>
  <c r="I105" i="6"/>
  <c r="J105" i="6"/>
  <c r="K105" i="6"/>
  <c r="L105" i="6"/>
  <c r="M105" i="6" a="1"/>
  <c r="M105" i="6"/>
  <c r="N105" i="6" a="1"/>
  <c r="N105" i="6" s="1"/>
  <c r="S105" i="6" s="1"/>
  <c r="O105" i="6"/>
  <c r="P105" i="6"/>
  <c r="Q105" i="6"/>
  <c r="R105" i="6"/>
  <c r="AB105" i="6" s="1"/>
  <c r="B106" i="6"/>
  <c r="C106" i="6"/>
  <c r="G106" i="6"/>
  <c r="H106" i="6" s="1"/>
  <c r="J106" i="6"/>
  <c r="K106" i="6"/>
  <c r="L106" i="6"/>
  <c r="M106" i="6" a="1"/>
  <c r="M106" i="6"/>
  <c r="N106" i="6" a="1"/>
  <c r="N106" i="6"/>
  <c r="S106" i="6" s="1"/>
  <c r="O106" i="6"/>
  <c r="P106" i="6"/>
  <c r="Q106" i="6"/>
  <c r="R106" i="6"/>
  <c r="AB106" i="6" s="1"/>
  <c r="B107" i="6"/>
  <c r="C107" i="6"/>
  <c r="E107" i="6"/>
  <c r="G107" i="6"/>
  <c r="H107" i="6" s="1"/>
  <c r="I107" i="6"/>
  <c r="J107" i="6"/>
  <c r="K107" i="6"/>
  <c r="L107" i="6"/>
  <c r="M107" i="6" a="1"/>
  <c r="M107" i="6"/>
  <c r="N107" i="6" a="1"/>
  <c r="N107" i="6"/>
  <c r="O107" i="6"/>
  <c r="P107" i="6"/>
  <c r="Q107" i="6"/>
  <c r="R107" i="6"/>
  <c r="B108" i="6"/>
  <c r="C108" i="6"/>
  <c r="G108" i="6"/>
  <c r="K108" i="6"/>
  <c r="L108" i="6"/>
  <c r="M108" i="6" a="1"/>
  <c r="M108" i="6"/>
  <c r="N108" i="6" a="1"/>
  <c r="N108" i="6" s="1"/>
  <c r="O108" i="6"/>
  <c r="S108" i="6" s="1"/>
  <c r="P108" i="6"/>
  <c r="Q108" i="6"/>
  <c r="R108" i="6"/>
  <c r="AB108" i="6" s="1"/>
  <c r="B109" i="6"/>
  <c r="C109" i="6"/>
  <c r="G109" i="6"/>
  <c r="J109" i="6"/>
  <c r="K109" i="6"/>
  <c r="L109" i="6"/>
  <c r="M109" i="6" a="1"/>
  <c r="M109" i="6"/>
  <c r="N109" i="6" a="1"/>
  <c r="N109" i="6" s="1"/>
  <c r="O109" i="6"/>
  <c r="P109" i="6"/>
  <c r="Q109" i="6"/>
  <c r="R109" i="6"/>
  <c r="B110" i="6"/>
  <c r="C110" i="6"/>
  <c r="G110" i="6"/>
  <c r="I110" i="6"/>
  <c r="K110" i="6"/>
  <c r="L110" i="6"/>
  <c r="M110" i="6" a="1"/>
  <c r="M110" i="6"/>
  <c r="N110" i="6" a="1"/>
  <c r="N110" i="6"/>
  <c r="O110" i="6"/>
  <c r="P110" i="6"/>
  <c r="Q110" i="6"/>
  <c r="R110" i="6"/>
  <c r="B111" i="6"/>
  <c r="C111" i="6"/>
  <c r="E111" i="6"/>
  <c r="G111" i="6"/>
  <c r="J111" i="6" s="1"/>
  <c r="H111" i="6"/>
  <c r="I111" i="6"/>
  <c r="K111" i="6"/>
  <c r="L111" i="6"/>
  <c r="M111" i="6" a="1"/>
  <c r="M111" i="6"/>
  <c r="N111" i="6" a="1"/>
  <c r="N111" i="6" s="1"/>
  <c r="O111" i="6"/>
  <c r="P111" i="6"/>
  <c r="Q111" i="6"/>
  <c r="R111" i="6"/>
  <c r="B112" i="6"/>
  <c r="C112" i="6"/>
  <c r="E112" i="6"/>
  <c r="G112" i="6"/>
  <c r="I112" i="6" s="1"/>
  <c r="H112" i="6"/>
  <c r="J112" i="6"/>
  <c r="K112" i="6"/>
  <c r="L112" i="6"/>
  <c r="M112" i="6" a="1"/>
  <c r="M112" i="6"/>
  <c r="N112" i="6" a="1"/>
  <c r="N112" i="6" s="1"/>
  <c r="S112" i="6" s="1"/>
  <c r="O112" i="6"/>
  <c r="P112" i="6"/>
  <c r="Q112" i="6"/>
  <c r="R112" i="6"/>
  <c r="AB112" i="6" s="1"/>
  <c r="A113" i="6"/>
  <c r="B113" i="6"/>
  <c r="C113" i="6"/>
  <c r="G113" i="6"/>
  <c r="E113" i="6" s="1"/>
  <c r="H113" i="6"/>
  <c r="I113" i="6"/>
  <c r="J113" i="6"/>
  <c r="K113" i="6"/>
  <c r="L113" i="6"/>
  <c r="M113" i="6" a="1"/>
  <c r="M113" i="6"/>
  <c r="N113" i="6" a="1"/>
  <c r="N113" i="6"/>
  <c r="O113" i="6"/>
  <c r="P113" i="6"/>
  <c r="Q113" i="6"/>
  <c r="R113" i="6"/>
  <c r="B114" i="6"/>
  <c r="C114" i="6"/>
  <c r="G114" i="6"/>
  <c r="I114" i="6"/>
  <c r="K114" i="6"/>
  <c r="L114" i="6"/>
  <c r="M114" i="6" a="1"/>
  <c r="M114" i="6"/>
  <c r="N114" i="6" a="1"/>
  <c r="N114" i="6" s="1"/>
  <c r="O114" i="6"/>
  <c r="P114" i="6"/>
  <c r="Q114" i="6"/>
  <c r="R114" i="6"/>
  <c r="AB114" i="6" s="1"/>
  <c r="B115" i="6"/>
  <c r="C115" i="6"/>
  <c r="E115" i="6"/>
  <c r="G115" i="6"/>
  <c r="H115" i="6"/>
  <c r="I115" i="6"/>
  <c r="J115" i="6"/>
  <c r="K115" i="6"/>
  <c r="L115" i="6"/>
  <c r="M115" i="6" a="1"/>
  <c r="M115" i="6"/>
  <c r="N115" i="6" a="1"/>
  <c r="N115" i="6"/>
  <c r="O115" i="6"/>
  <c r="P115" i="6"/>
  <c r="Q115" i="6"/>
  <c r="R115" i="6"/>
  <c r="AB115" i="6" s="1"/>
  <c r="B116" i="6"/>
  <c r="C116" i="6"/>
  <c r="E116" i="6"/>
  <c r="G116" i="6"/>
  <c r="H116" i="6"/>
  <c r="I116" i="6"/>
  <c r="J116" i="6"/>
  <c r="K116" i="6"/>
  <c r="L116" i="6"/>
  <c r="M116" i="6" a="1"/>
  <c r="M116" i="6"/>
  <c r="N116" i="6" a="1"/>
  <c r="N116" i="6"/>
  <c r="O116" i="6"/>
  <c r="P116" i="6"/>
  <c r="Q116" i="6"/>
  <c r="R116" i="6"/>
  <c r="B117" i="6"/>
  <c r="C117" i="6"/>
  <c r="E117" i="6"/>
  <c r="G117" i="6"/>
  <c r="H117" i="6"/>
  <c r="I117" i="6"/>
  <c r="J117" i="6"/>
  <c r="K117" i="6"/>
  <c r="L117" i="6"/>
  <c r="M117" i="6" a="1"/>
  <c r="M117" i="6"/>
  <c r="N117" i="6" a="1"/>
  <c r="N117" i="6"/>
  <c r="O117" i="6"/>
  <c r="P117" i="6"/>
  <c r="Q117" i="6"/>
  <c r="R117" i="6"/>
  <c r="AB117" i="6" s="1"/>
  <c r="B118" i="6"/>
  <c r="C118" i="6"/>
  <c r="E118" i="6"/>
  <c r="G118" i="6"/>
  <c r="H118" i="6"/>
  <c r="I118" i="6"/>
  <c r="J118" i="6"/>
  <c r="K118" i="6"/>
  <c r="L118" i="6"/>
  <c r="M118" i="6" a="1"/>
  <c r="M118" i="6"/>
  <c r="N118" i="6" a="1"/>
  <c r="N118" i="6"/>
  <c r="S118" i="6" s="1"/>
  <c r="O118" i="6"/>
  <c r="P118" i="6"/>
  <c r="Q118" i="6"/>
  <c r="R118" i="6"/>
  <c r="AB118" i="6" s="1"/>
  <c r="B119" i="6"/>
  <c r="C119" i="6"/>
  <c r="E119" i="6"/>
  <c r="G119" i="6"/>
  <c r="H119" i="6"/>
  <c r="I119" i="6"/>
  <c r="J119" i="6"/>
  <c r="K119" i="6"/>
  <c r="L119" i="6"/>
  <c r="M119" i="6" a="1"/>
  <c r="M119" i="6"/>
  <c r="N119" i="6" a="1"/>
  <c r="N119" i="6"/>
  <c r="O119" i="6"/>
  <c r="P119" i="6"/>
  <c r="Q119" i="6"/>
  <c r="R119" i="6"/>
  <c r="B120" i="6"/>
  <c r="C120" i="6"/>
  <c r="E120" i="6"/>
  <c r="G120" i="6"/>
  <c r="H120" i="6"/>
  <c r="I120" i="6"/>
  <c r="J120" i="6"/>
  <c r="K120" i="6"/>
  <c r="L120" i="6"/>
  <c r="M120" i="6" a="1"/>
  <c r="M120" i="6"/>
  <c r="N120" i="6" a="1"/>
  <c r="N120" i="6" s="1"/>
  <c r="O120" i="6"/>
  <c r="P120" i="6"/>
  <c r="Q120" i="6"/>
  <c r="R120" i="6"/>
  <c r="AB120" i="6" s="1"/>
  <c r="S120" i="6"/>
  <c r="B121" i="6"/>
  <c r="C121" i="6"/>
  <c r="E121" i="6"/>
  <c r="G121" i="6"/>
  <c r="H121" i="6"/>
  <c r="I121" i="6"/>
  <c r="J121" i="6"/>
  <c r="K121" i="6"/>
  <c r="L121" i="6"/>
  <c r="M121" i="6" a="1"/>
  <c r="M121" i="6"/>
  <c r="N121" i="6" a="1"/>
  <c r="N121" i="6"/>
  <c r="S121" i="6" s="1"/>
  <c r="O121" i="6"/>
  <c r="P121" i="6"/>
  <c r="Q121" i="6"/>
  <c r="R121" i="6"/>
  <c r="AB121" i="6" s="1"/>
  <c r="B122" i="6"/>
  <c r="C122" i="6"/>
  <c r="E122" i="6"/>
  <c r="G122" i="6"/>
  <c r="H122" i="6"/>
  <c r="I122" i="6"/>
  <c r="J122" i="6"/>
  <c r="K122" i="6"/>
  <c r="L122" i="6"/>
  <c r="M122" i="6" a="1"/>
  <c r="M122" i="6"/>
  <c r="N122" i="6" a="1"/>
  <c r="N122" i="6"/>
  <c r="O122" i="6"/>
  <c r="P122" i="6"/>
  <c r="Q122" i="6"/>
  <c r="R122" i="6"/>
  <c r="B123" i="6"/>
  <c r="C123" i="6"/>
  <c r="E123" i="6"/>
  <c r="G123" i="6"/>
  <c r="H123" i="6"/>
  <c r="I123" i="6"/>
  <c r="J123" i="6"/>
  <c r="K123" i="6"/>
  <c r="L123" i="6"/>
  <c r="M123" i="6" a="1"/>
  <c r="M123" i="6"/>
  <c r="N123" i="6" a="1"/>
  <c r="N123" i="6"/>
  <c r="O123" i="6"/>
  <c r="P123" i="6"/>
  <c r="Q123" i="6"/>
  <c r="R123" i="6"/>
  <c r="AB123" i="6" s="1"/>
  <c r="B124" i="6"/>
  <c r="C124" i="6"/>
  <c r="E124" i="6"/>
  <c r="G124" i="6"/>
  <c r="H124" i="6"/>
  <c r="I124" i="6"/>
  <c r="J124" i="6"/>
  <c r="K124" i="6"/>
  <c r="L124" i="6"/>
  <c r="M124" i="6" a="1"/>
  <c r="M124" i="6"/>
  <c r="N124" i="6" a="1"/>
  <c r="N124" i="6" s="1"/>
  <c r="S124" i="6" s="1"/>
  <c r="O124" i="6"/>
  <c r="P124" i="6"/>
  <c r="Q124" i="6"/>
  <c r="R124" i="6"/>
  <c r="AB124" i="6" s="1"/>
  <c r="A125" i="6"/>
  <c r="B125" i="6"/>
  <c r="C125" i="6"/>
  <c r="G125" i="6"/>
  <c r="J125" i="6"/>
  <c r="K125" i="6"/>
  <c r="L125" i="6"/>
  <c r="M125" i="6" a="1"/>
  <c r="M125" i="6"/>
  <c r="N125" i="6" a="1"/>
  <c r="N125" i="6"/>
  <c r="O125" i="6"/>
  <c r="P125" i="6"/>
  <c r="Q125" i="6"/>
  <c r="R125" i="6"/>
  <c r="B126" i="6"/>
  <c r="C126" i="6"/>
  <c r="E126" i="6"/>
  <c r="G126" i="6"/>
  <c r="H126" i="6" s="1"/>
  <c r="I126" i="6"/>
  <c r="K126" i="6"/>
  <c r="L126" i="6"/>
  <c r="M126" i="6" a="1"/>
  <c r="M126" i="6"/>
  <c r="N126" i="6" a="1"/>
  <c r="N126" i="6" s="1"/>
  <c r="O126" i="6"/>
  <c r="P126" i="6"/>
  <c r="Q126" i="6"/>
  <c r="R126" i="6"/>
  <c r="B127" i="6"/>
  <c r="C127" i="6"/>
  <c r="G127" i="6"/>
  <c r="H127" i="6" s="1"/>
  <c r="K127" i="6"/>
  <c r="L127" i="6"/>
  <c r="M127" i="6" a="1"/>
  <c r="M127" i="6"/>
  <c r="N127" i="6" a="1"/>
  <c r="N127" i="6" s="1"/>
  <c r="S127" i="6" s="1"/>
  <c r="O127" i="6"/>
  <c r="P127" i="6"/>
  <c r="Q127" i="6"/>
  <c r="R127" i="6"/>
  <c r="AB127" i="6" s="1"/>
  <c r="B128" i="6"/>
  <c r="C128" i="6"/>
  <c r="E128" i="6"/>
  <c r="G128" i="6"/>
  <c r="J128" i="6" s="1"/>
  <c r="H128" i="6"/>
  <c r="I128" i="6"/>
  <c r="K128" i="6"/>
  <c r="L128" i="6"/>
  <c r="M128" i="6" a="1"/>
  <c r="M128" i="6"/>
  <c r="N128" i="6" a="1"/>
  <c r="N128" i="6"/>
  <c r="O128" i="6"/>
  <c r="P128" i="6"/>
  <c r="Q128" i="6"/>
  <c r="R128" i="6"/>
  <c r="A129" i="6"/>
  <c r="B129" i="6"/>
  <c r="C129" i="6"/>
  <c r="G129" i="6"/>
  <c r="I129" i="6"/>
  <c r="K129" i="6"/>
  <c r="L129" i="6"/>
  <c r="M129" i="6" a="1"/>
  <c r="M129" i="6"/>
  <c r="N129" i="6" a="1"/>
  <c r="N129" i="6" s="1"/>
  <c r="S129" i="6" s="1"/>
  <c r="O129" i="6"/>
  <c r="P129" i="6"/>
  <c r="Q129" i="6"/>
  <c r="R129" i="6"/>
  <c r="AB129" i="6" s="1"/>
  <c r="B130" i="6"/>
  <c r="C130" i="6"/>
  <c r="G130" i="6"/>
  <c r="I130" i="6" s="1"/>
  <c r="K130" i="6"/>
  <c r="L130" i="6"/>
  <c r="M130" i="6" a="1"/>
  <c r="M130" i="6"/>
  <c r="N130" i="6" a="1"/>
  <c r="N130" i="6" s="1"/>
  <c r="S130" i="6" s="1"/>
  <c r="O130" i="6"/>
  <c r="P130" i="6"/>
  <c r="Q130" i="6"/>
  <c r="R130" i="6"/>
  <c r="AB130" i="6" s="1"/>
  <c r="B131" i="6"/>
  <c r="C131" i="6"/>
  <c r="G131" i="6"/>
  <c r="H131" i="6" s="1"/>
  <c r="I131" i="6"/>
  <c r="K131" i="6"/>
  <c r="L131" i="6"/>
  <c r="M131" i="6" a="1"/>
  <c r="M131" i="6"/>
  <c r="N131" i="6" a="1"/>
  <c r="N131" i="6"/>
  <c r="O131" i="6"/>
  <c r="P131" i="6"/>
  <c r="Q131" i="6"/>
  <c r="R131" i="6"/>
  <c r="A132" i="6"/>
  <c r="B132" i="6"/>
  <c r="C132" i="6"/>
  <c r="G132" i="6"/>
  <c r="E132" i="6" s="1"/>
  <c r="H132" i="6"/>
  <c r="I132" i="6"/>
  <c r="J132" i="6"/>
  <c r="K132" i="6"/>
  <c r="L132" i="6"/>
  <c r="M132" i="6" a="1"/>
  <c r="M132" i="6"/>
  <c r="N132" i="6" a="1"/>
  <c r="N132" i="6" s="1"/>
  <c r="O132" i="6"/>
  <c r="S132" i="6" s="1"/>
  <c r="P132" i="6"/>
  <c r="Q132" i="6"/>
  <c r="R132" i="6"/>
  <c r="AB132" i="6" s="1"/>
  <c r="B133" i="6"/>
  <c r="C133" i="6"/>
  <c r="E133" i="6"/>
  <c r="G133" i="6"/>
  <c r="H133" i="6"/>
  <c r="I133" i="6"/>
  <c r="J133" i="6"/>
  <c r="K133" i="6"/>
  <c r="L133" i="6"/>
  <c r="M133" i="6" a="1"/>
  <c r="M133" i="6"/>
  <c r="N133" i="6" a="1"/>
  <c r="N133" i="6"/>
  <c r="O133" i="6"/>
  <c r="P133" i="6"/>
  <c r="Q133" i="6"/>
  <c r="R133" i="6"/>
  <c r="AB133" i="6" s="1"/>
  <c r="B134" i="6"/>
  <c r="C134" i="6"/>
  <c r="E134" i="6"/>
  <c r="G134" i="6"/>
  <c r="H134" i="6"/>
  <c r="I134" i="6"/>
  <c r="J134" i="6"/>
  <c r="K134" i="6"/>
  <c r="L134" i="6"/>
  <c r="M134" i="6" a="1"/>
  <c r="M134" i="6"/>
  <c r="N134" i="6" a="1"/>
  <c r="N134" i="6"/>
  <c r="O134" i="6"/>
  <c r="P134" i="6"/>
  <c r="Q134" i="6"/>
  <c r="R134" i="6"/>
  <c r="B135" i="6"/>
  <c r="C135" i="6"/>
  <c r="E135" i="6"/>
  <c r="G135" i="6"/>
  <c r="H135" i="6"/>
  <c r="I135" i="6"/>
  <c r="J135" i="6"/>
  <c r="K135" i="6"/>
  <c r="L135" i="6"/>
  <c r="M135" i="6" a="1"/>
  <c r="M135" i="6"/>
  <c r="N135" i="6" a="1"/>
  <c r="N135" i="6"/>
  <c r="O135" i="6"/>
  <c r="P135" i="6"/>
  <c r="Q135" i="6"/>
  <c r="R135" i="6"/>
  <c r="AB135" i="6" s="1"/>
  <c r="B136" i="6"/>
  <c r="C136" i="6"/>
  <c r="E136" i="6"/>
  <c r="G136" i="6"/>
  <c r="H136" i="6"/>
  <c r="I136" i="6"/>
  <c r="J136" i="6"/>
  <c r="K136" i="6"/>
  <c r="L136" i="6"/>
  <c r="M136" i="6" a="1"/>
  <c r="M136" i="6"/>
  <c r="N136" i="6" a="1"/>
  <c r="N136" i="6"/>
  <c r="S136" i="6" s="1"/>
  <c r="O136" i="6"/>
  <c r="P136" i="6"/>
  <c r="Q136" i="6"/>
  <c r="R136" i="6"/>
  <c r="AB136" i="6" s="1"/>
  <c r="B137" i="6"/>
  <c r="C137" i="6"/>
  <c r="E137" i="6"/>
  <c r="G137" i="6"/>
  <c r="H137" i="6"/>
  <c r="I137" i="6"/>
  <c r="J137" i="6"/>
  <c r="K137" i="6"/>
  <c r="L137" i="6"/>
  <c r="M137" i="6" a="1"/>
  <c r="M137" i="6"/>
  <c r="N137" i="6" a="1"/>
  <c r="N137" i="6"/>
  <c r="O137" i="6"/>
  <c r="P137" i="6"/>
  <c r="Q137" i="6"/>
  <c r="R137" i="6"/>
  <c r="B138" i="6"/>
  <c r="C138" i="6"/>
  <c r="E138" i="6"/>
  <c r="G138" i="6"/>
  <c r="H138" i="6"/>
  <c r="I138" i="6"/>
  <c r="J138" i="6"/>
  <c r="K138" i="6"/>
  <c r="L138" i="6"/>
  <c r="M138" i="6" a="1"/>
  <c r="M138" i="6"/>
  <c r="N138" i="6" a="1"/>
  <c r="N138" i="6" s="1"/>
  <c r="O138" i="6"/>
  <c r="P138" i="6"/>
  <c r="S138" i="6" s="1"/>
  <c r="Q138" i="6"/>
  <c r="R138" i="6"/>
  <c r="AB138" i="6" s="1"/>
  <c r="B139" i="6"/>
  <c r="C139" i="6"/>
  <c r="E139" i="6"/>
  <c r="G139" i="6"/>
  <c r="H139" i="6" s="1"/>
  <c r="I139" i="6"/>
  <c r="J139" i="6"/>
  <c r="K139" i="6"/>
  <c r="L139" i="6"/>
  <c r="M139" i="6" a="1"/>
  <c r="M139" i="6"/>
  <c r="N139" i="6" a="1"/>
  <c r="N139" i="6" s="1"/>
  <c r="S139" i="6" s="1"/>
  <c r="O139" i="6"/>
  <c r="P139" i="6"/>
  <c r="Q139" i="6"/>
  <c r="R139" i="6"/>
  <c r="AB139" i="6" s="1"/>
  <c r="B140" i="6"/>
  <c r="C140" i="6"/>
  <c r="G140" i="6"/>
  <c r="H140" i="6" s="1"/>
  <c r="K140" i="6"/>
  <c r="L140" i="6"/>
  <c r="M140" i="6" a="1"/>
  <c r="M140" i="6"/>
  <c r="N140" i="6" a="1"/>
  <c r="N140" i="6"/>
  <c r="O140" i="6"/>
  <c r="P140" i="6"/>
  <c r="Q140" i="6"/>
  <c r="R140" i="6"/>
  <c r="B141" i="6"/>
  <c r="C141" i="6"/>
  <c r="E141" i="6"/>
  <c r="G141" i="6"/>
  <c r="I141" i="6" s="1"/>
  <c r="H141" i="6"/>
  <c r="J141" i="6"/>
  <c r="K141" i="6"/>
  <c r="L141" i="6"/>
  <c r="M141" i="6" a="1"/>
  <c r="M141" i="6"/>
  <c r="N141" i="6" a="1"/>
  <c r="N141" i="6" s="1"/>
  <c r="S141" i="6" s="1"/>
  <c r="O141" i="6"/>
  <c r="P141" i="6"/>
  <c r="Q141" i="6"/>
  <c r="R141" i="6"/>
  <c r="AB141" i="6" s="1"/>
  <c r="B142" i="6"/>
  <c r="C142" i="6"/>
  <c r="G142" i="6"/>
  <c r="H142" i="6"/>
  <c r="I142" i="6"/>
  <c r="K142" i="6"/>
  <c r="L142" i="6"/>
  <c r="M142" i="6" a="1"/>
  <c r="M142" i="6"/>
  <c r="N142" i="6" a="1"/>
  <c r="N142" i="6"/>
  <c r="S142" i="6" s="1"/>
  <c r="O142" i="6"/>
  <c r="P142" i="6"/>
  <c r="Q142" i="6"/>
  <c r="R142" i="6"/>
  <c r="AB142" i="6" s="1"/>
  <c r="B143" i="6"/>
  <c r="C143" i="6"/>
  <c r="E143" i="6"/>
  <c r="G143" i="6"/>
  <c r="J143" i="6" s="1"/>
  <c r="H143" i="6"/>
  <c r="I143" i="6"/>
  <c r="K143" i="6"/>
  <c r="L143" i="6"/>
  <c r="M143" i="6" a="1"/>
  <c r="M143" i="6"/>
  <c r="N143" i="6" a="1"/>
  <c r="N143" i="6"/>
  <c r="O143" i="6"/>
  <c r="P143" i="6"/>
  <c r="Q143" i="6"/>
  <c r="R143" i="6"/>
  <c r="B144" i="6"/>
  <c r="C144" i="6"/>
  <c r="G144" i="6"/>
  <c r="I144" i="6" s="1"/>
  <c r="K144" i="6"/>
  <c r="L144" i="6"/>
  <c r="M144" i="6" a="1"/>
  <c r="M144" i="6"/>
  <c r="N144" i="6" a="1"/>
  <c r="N144" i="6" s="1"/>
  <c r="O144" i="6"/>
  <c r="S144" i="6" s="1"/>
  <c r="P144" i="6"/>
  <c r="Q144" i="6"/>
  <c r="R144" i="6"/>
  <c r="AB144" i="6" s="1"/>
  <c r="B145" i="6"/>
  <c r="C145" i="6"/>
  <c r="G145" i="6"/>
  <c r="J145" i="6" s="1"/>
  <c r="K145" i="6"/>
  <c r="L145" i="6"/>
  <c r="M145" i="6" a="1"/>
  <c r="M145" i="6"/>
  <c r="N145" i="6" a="1"/>
  <c r="N145" i="6"/>
  <c r="O145" i="6"/>
  <c r="P145" i="6"/>
  <c r="Q145" i="6"/>
  <c r="R145" i="6"/>
  <c r="B146" i="6"/>
  <c r="C146" i="6"/>
  <c r="E146" i="6"/>
  <c r="G146" i="6"/>
  <c r="J146" i="6" s="1"/>
  <c r="H146" i="6"/>
  <c r="I146" i="6"/>
  <c r="K146" i="6"/>
  <c r="L146" i="6"/>
  <c r="M146" i="6" a="1"/>
  <c r="M146" i="6"/>
  <c r="N146" i="6" a="1"/>
  <c r="N146" i="6"/>
  <c r="O146" i="6"/>
  <c r="P146" i="6"/>
  <c r="Q146" i="6"/>
  <c r="R146" i="6"/>
  <c r="A147" i="6"/>
  <c r="B147" i="6"/>
  <c r="C147" i="6"/>
  <c r="G147" i="6"/>
  <c r="J147" i="6" s="1"/>
  <c r="I147" i="6"/>
  <c r="K147" i="6"/>
  <c r="L147" i="6"/>
  <c r="M147" i="6" a="1"/>
  <c r="M147" i="6"/>
  <c r="N147" i="6" a="1"/>
  <c r="N147" i="6"/>
  <c r="O147" i="6"/>
  <c r="P147" i="6"/>
  <c r="Q147" i="6"/>
  <c r="R147" i="6"/>
  <c r="B148" i="6"/>
  <c r="C148" i="6"/>
  <c r="G148" i="6"/>
  <c r="J148" i="6" s="1"/>
  <c r="H148" i="6"/>
  <c r="K148" i="6"/>
  <c r="L148" i="6"/>
  <c r="M148" i="6" a="1"/>
  <c r="M148" i="6"/>
  <c r="N148" i="6" a="1"/>
  <c r="N148" i="6" s="1"/>
  <c r="O148" i="6"/>
  <c r="P148" i="6"/>
  <c r="Q148" i="6"/>
  <c r="R148" i="6"/>
  <c r="AB148" i="6" s="1"/>
  <c r="S148" i="6"/>
  <c r="A149" i="6"/>
  <c r="B149" i="6"/>
  <c r="C149" i="6"/>
  <c r="E149" i="6"/>
  <c r="G149" i="6"/>
  <c r="J149" i="6" s="1"/>
  <c r="H149" i="6"/>
  <c r="I149" i="6"/>
  <c r="K149" i="6"/>
  <c r="L149" i="6"/>
  <c r="M149" i="6" a="1"/>
  <c r="M149" i="6"/>
  <c r="N149" i="6" a="1"/>
  <c r="N149" i="6"/>
  <c r="O149" i="6"/>
  <c r="P149" i="6"/>
  <c r="Q149" i="6"/>
  <c r="R149" i="6"/>
  <c r="B150" i="6"/>
  <c r="C150" i="6"/>
  <c r="E150" i="6"/>
  <c r="G150" i="6"/>
  <c r="J150" i="6" s="1"/>
  <c r="I150" i="6"/>
  <c r="K150" i="6"/>
  <c r="L150" i="6"/>
  <c r="M150" i="6" a="1"/>
  <c r="M150" i="6"/>
  <c r="N150" i="6" a="1"/>
  <c r="N150" i="6" s="1"/>
  <c r="O150" i="6"/>
  <c r="P150" i="6"/>
  <c r="Q150" i="6"/>
  <c r="R150" i="6"/>
  <c r="B151" i="6"/>
  <c r="C151" i="6"/>
  <c r="G151" i="6"/>
  <c r="E151" i="6" s="1"/>
  <c r="I151" i="6"/>
  <c r="K151" i="6"/>
  <c r="L151" i="6"/>
  <c r="M151" i="6" a="1"/>
  <c r="M151" i="6"/>
  <c r="N151" i="6" a="1"/>
  <c r="N151" i="6"/>
  <c r="S151" i="6" s="1"/>
  <c r="O151" i="6"/>
  <c r="P151" i="6"/>
  <c r="Q151" i="6"/>
  <c r="R151" i="6"/>
  <c r="AB151" i="6" s="1"/>
  <c r="B152" i="6"/>
  <c r="C152" i="6"/>
  <c r="G152" i="6"/>
  <c r="E152" i="6" s="1"/>
  <c r="H152" i="6"/>
  <c r="I152" i="6"/>
  <c r="J152" i="6"/>
  <c r="K152" i="6"/>
  <c r="L152" i="6"/>
  <c r="M152" i="6" a="1"/>
  <c r="M152" i="6"/>
  <c r="N152" i="6" a="1"/>
  <c r="N152" i="6"/>
  <c r="O152" i="6"/>
  <c r="P152" i="6"/>
  <c r="Q152" i="6"/>
  <c r="R152" i="6"/>
  <c r="B153" i="6"/>
  <c r="C153" i="6"/>
  <c r="G153" i="6"/>
  <c r="I153" i="6"/>
  <c r="J153" i="6"/>
  <c r="K153" i="6"/>
  <c r="L153" i="6"/>
  <c r="M153" i="6" a="1"/>
  <c r="M153" i="6"/>
  <c r="N153" i="6" a="1"/>
  <c r="N153" i="6"/>
  <c r="O153" i="6"/>
  <c r="P153" i="6"/>
  <c r="Q153" i="6"/>
  <c r="R153" i="6"/>
  <c r="AB153" i="6" s="1"/>
  <c r="B154" i="6"/>
  <c r="C154" i="6"/>
  <c r="G154" i="6"/>
  <c r="K154" i="6"/>
  <c r="L154" i="6"/>
  <c r="M154" i="6" a="1"/>
  <c r="M154" i="6"/>
  <c r="N154" i="6" a="1"/>
  <c r="N154" i="6" s="1"/>
  <c r="S154" i="6" s="1"/>
  <c r="O154" i="6"/>
  <c r="P154" i="6"/>
  <c r="Q154" i="6"/>
  <c r="R154" i="6"/>
  <c r="AB154" i="6" s="1"/>
  <c r="B155" i="6"/>
  <c r="C155" i="6"/>
  <c r="E155" i="6"/>
  <c r="G155" i="6"/>
  <c r="H155" i="6"/>
  <c r="I155" i="6"/>
  <c r="J155" i="6"/>
  <c r="K155" i="6"/>
  <c r="L155" i="6"/>
  <c r="M155" i="6" a="1"/>
  <c r="M155" i="6"/>
  <c r="N155" i="6" a="1"/>
  <c r="N155" i="6"/>
  <c r="O155" i="6"/>
  <c r="P155" i="6"/>
  <c r="Q155" i="6"/>
  <c r="R155" i="6"/>
  <c r="B156" i="6"/>
  <c r="C156" i="6"/>
  <c r="E156" i="6"/>
  <c r="G156" i="6"/>
  <c r="H156" i="6"/>
  <c r="I156" i="6"/>
  <c r="J156" i="6"/>
  <c r="K156" i="6"/>
  <c r="L156" i="6"/>
  <c r="M156" i="6" a="1"/>
  <c r="M156" i="6"/>
  <c r="N156" i="6" a="1"/>
  <c r="N156" i="6" s="1"/>
  <c r="O156" i="6"/>
  <c r="P156" i="6"/>
  <c r="Q156" i="6"/>
  <c r="R156" i="6"/>
  <c r="AB156" i="6" s="1"/>
  <c r="S156" i="6"/>
  <c r="B157" i="6"/>
  <c r="C157" i="6"/>
  <c r="E157" i="6"/>
  <c r="G157" i="6"/>
  <c r="H157" i="6"/>
  <c r="I157" i="6"/>
  <c r="J157" i="6"/>
  <c r="K157" i="6"/>
  <c r="L157" i="6"/>
  <c r="M157" i="6" a="1"/>
  <c r="M157" i="6"/>
  <c r="N157" i="6" a="1"/>
  <c r="N157" i="6"/>
  <c r="S157" i="6" s="1"/>
  <c r="O157" i="6"/>
  <c r="P157" i="6"/>
  <c r="Q157" i="6"/>
  <c r="R157" i="6"/>
  <c r="AB157" i="6" s="1"/>
  <c r="B158" i="6"/>
  <c r="C158" i="6"/>
  <c r="E158" i="6"/>
  <c r="G158" i="6"/>
  <c r="H158" i="6"/>
  <c r="I158" i="6"/>
  <c r="J158" i="6"/>
  <c r="K158" i="6"/>
  <c r="L158" i="6"/>
  <c r="M158" i="6" a="1"/>
  <c r="M158" i="6"/>
  <c r="N158" i="6" a="1"/>
  <c r="N158" i="6"/>
  <c r="O158" i="6"/>
  <c r="P158" i="6"/>
  <c r="Q158" i="6"/>
  <c r="R158" i="6"/>
  <c r="B159" i="6"/>
  <c r="C159" i="6"/>
  <c r="E159" i="6"/>
  <c r="G159" i="6"/>
  <c r="H159" i="6"/>
  <c r="I159" i="6"/>
  <c r="J159" i="6"/>
  <c r="K159" i="6"/>
  <c r="L159" i="6"/>
  <c r="M159" i="6" a="1"/>
  <c r="M159" i="6"/>
  <c r="N159" i="6" a="1"/>
  <c r="N159" i="6"/>
  <c r="O159" i="6"/>
  <c r="P159" i="6"/>
  <c r="Q159" i="6"/>
  <c r="R159" i="6"/>
  <c r="AB159" i="6" s="1"/>
  <c r="B160" i="6"/>
  <c r="C160" i="6"/>
  <c r="E160" i="6"/>
  <c r="G160" i="6"/>
  <c r="H160" i="6"/>
  <c r="I160" i="6"/>
  <c r="J160" i="6"/>
  <c r="K160" i="6"/>
  <c r="L160" i="6"/>
  <c r="M160" i="6" a="1"/>
  <c r="M160" i="6"/>
  <c r="N160" i="6" a="1"/>
  <c r="N160" i="6" s="1"/>
  <c r="S160" i="6" s="1"/>
  <c r="O160" i="6"/>
  <c r="P160" i="6"/>
  <c r="Q160" i="6"/>
  <c r="R160" i="6"/>
  <c r="AB160" i="6" s="1"/>
  <c r="B161" i="6"/>
  <c r="C161" i="6"/>
  <c r="G161" i="6"/>
  <c r="H161" i="6" s="1"/>
  <c r="K161" i="6"/>
  <c r="L161" i="6"/>
  <c r="M161" i="6" a="1"/>
  <c r="M161" i="6"/>
  <c r="N161" i="6" a="1"/>
  <c r="N161" i="6"/>
  <c r="O161" i="6"/>
  <c r="P161" i="6"/>
  <c r="Q161" i="6"/>
  <c r="R161" i="6"/>
  <c r="B162" i="6"/>
  <c r="C162" i="6"/>
  <c r="G162" i="6"/>
  <c r="I162" i="6" s="1"/>
  <c r="J162" i="6"/>
  <c r="K162" i="6"/>
  <c r="L162" i="6"/>
  <c r="M162" i="6" a="1"/>
  <c r="M162" i="6"/>
  <c r="N162" i="6" a="1"/>
  <c r="N162" i="6" s="1"/>
  <c r="O162" i="6"/>
  <c r="P162" i="6"/>
  <c r="Q162" i="6"/>
  <c r="R162" i="6"/>
  <c r="B163" i="6"/>
  <c r="C163" i="6"/>
  <c r="E163" i="6"/>
  <c r="G163" i="6"/>
  <c r="J163" i="6"/>
  <c r="K163" i="6"/>
  <c r="L163" i="6"/>
  <c r="M163" i="6" a="1"/>
  <c r="M163" i="6"/>
  <c r="N163" i="6" a="1"/>
  <c r="N163" i="6" s="1"/>
  <c r="S163" i="6" s="1"/>
  <c r="O163" i="6"/>
  <c r="P163" i="6"/>
  <c r="Q163" i="6"/>
  <c r="R163" i="6"/>
  <c r="AB163" i="6" s="1"/>
  <c r="B164" i="6"/>
  <c r="C164" i="6"/>
  <c r="E164" i="6"/>
  <c r="G164" i="6"/>
  <c r="J164" i="6" s="1"/>
  <c r="H164" i="6"/>
  <c r="I164" i="6"/>
  <c r="K164" i="6"/>
  <c r="L164" i="6"/>
  <c r="M164" i="6" a="1"/>
  <c r="M164" i="6"/>
  <c r="N164" i="6" a="1"/>
  <c r="N164" i="6"/>
  <c r="O164" i="6"/>
  <c r="P164" i="6"/>
  <c r="Q164" i="6"/>
  <c r="R164" i="6"/>
  <c r="B165" i="6"/>
  <c r="C165" i="6"/>
  <c r="E165" i="6"/>
  <c r="G165" i="6"/>
  <c r="J165" i="6" s="1"/>
  <c r="I165" i="6"/>
  <c r="K165" i="6"/>
  <c r="L165" i="6"/>
  <c r="M165" i="6" a="1"/>
  <c r="M165" i="6"/>
  <c r="N165" i="6" a="1"/>
  <c r="N165" i="6"/>
  <c r="S165" i="6" s="1"/>
  <c r="O165" i="6"/>
  <c r="P165" i="6"/>
  <c r="Q165" i="6"/>
  <c r="R165" i="6"/>
  <c r="AB165" i="6" s="1"/>
  <c r="B166" i="6"/>
  <c r="C166" i="6"/>
  <c r="G166" i="6"/>
  <c r="H166" i="6"/>
  <c r="I166" i="6"/>
  <c r="K166" i="6"/>
  <c r="L166" i="6"/>
  <c r="M166" i="6" a="1"/>
  <c r="M166" i="6"/>
  <c r="N166" i="6" a="1"/>
  <c r="N166" i="6" s="1"/>
  <c r="O166" i="6"/>
  <c r="P166" i="6"/>
  <c r="Q166" i="6"/>
  <c r="R166" i="6"/>
  <c r="AB166" i="6" s="1"/>
  <c r="S166" i="6"/>
  <c r="B167" i="6"/>
  <c r="C167" i="6"/>
  <c r="E167" i="6"/>
  <c r="G167" i="6"/>
  <c r="J167" i="6" s="1"/>
  <c r="H167" i="6"/>
  <c r="I167" i="6"/>
  <c r="K167" i="6"/>
  <c r="L167" i="6"/>
  <c r="M167" i="6" a="1"/>
  <c r="M167" i="6"/>
  <c r="N167" i="6" a="1"/>
  <c r="N167" i="6"/>
  <c r="O167" i="6"/>
  <c r="P167" i="6"/>
  <c r="Q167" i="6"/>
  <c r="R167" i="6"/>
  <c r="B168" i="6"/>
  <c r="C168" i="6"/>
  <c r="G168" i="6"/>
  <c r="I168" i="6" s="1"/>
  <c r="K168" i="6"/>
  <c r="L168" i="6"/>
  <c r="M168" i="6" a="1"/>
  <c r="M168" i="6"/>
  <c r="N168" i="6" a="1"/>
  <c r="N168" i="6" s="1"/>
  <c r="O168" i="6"/>
  <c r="P168" i="6"/>
  <c r="Q168" i="6"/>
  <c r="R168" i="6"/>
  <c r="B169" i="6"/>
  <c r="C169" i="6"/>
  <c r="G169" i="6"/>
  <c r="J169" i="6" s="1"/>
  <c r="K169" i="6"/>
  <c r="L169" i="6"/>
  <c r="M169" i="6" a="1"/>
  <c r="M169" i="6"/>
  <c r="N169" i="6" a="1"/>
  <c r="N169" i="6" s="1"/>
  <c r="S169" i="6" s="1"/>
  <c r="O169" i="6"/>
  <c r="P169" i="6"/>
  <c r="Q169" i="6"/>
  <c r="R169" i="6"/>
  <c r="AB169" i="6" s="1"/>
  <c r="B170" i="6"/>
  <c r="C170" i="6"/>
  <c r="G170" i="6"/>
  <c r="E170" i="6" s="1"/>
  <c r="J170" i="6"/>
  <c r="K170" i="6"/>
  <c r="L170" i="6"/>
  <c r="M170" i="6" a="1"/>
  <c r="M170" i="6"/>
  <c r="N170" i="6" a="1"/>
  <c r="N170" i="6"/>
  <c r="O170" i="6"/>
  <c r="P170" i="6"/>
  <c r="Q170" i="6"/>
  <c r="R170" i="6"/>
  <c r="B171" i="6"/>
  <c r="C171" i="6"/>
  <c r="G171" i="6"/>
  <c r="E171" i="6" s="1"/>
  <c r="H171" i="6"/>
  <c r="I171" i="6"/>
  <c r="J171" i="6"/>
  <c r="K171" i="6"/>
  <c r="L171" i="6"/>
  <c r="M171" i="6" a="1"/>
  <c r="M171" i="6"/>
  <c r="N171" i="6" a="1"/>
  <c r="N171" i="6"/>
  <c r="S171" i="6" s="1"/>
  <c r="O171" i="6"/>
  <c r="P171" i="6"/>
  <c r="Q171" i="6"/>
  <c r="R171" i="6"/>
  <c r="AB171" i="6" s="1"/>
  <c r="B172" i="6"/>
  <c r="C172" i="6"/>
  <c r="G172" i="6"/>
  <c r="I172" i="6" s="1"/>
  <c r="J172" i="6"/>
  <c r="K172" i="6"/>
  <c r="L172" i="6"/>
  <c r="M172" i="6" a="1"/>
  <c r="M172" i="6"/>
  <c r="N172" i="6" a="1"/>
  <c r="N172" i="6"/>
  <c r="S172" i="6" s="1"/>
  <c r="O172" i="6"/>
  <c r="P172" i="6"/>
  <c r="Q172" i="6"/>
  <c r="R172" i="6"/>
  <c r="AB172" i="6" s="1"/>
  <c r="B173" i="6"/>
  <c r="C173" i="6"/>
  <c r="G173" i="6"/>
  <c r="H173" i="6"/>
  <c r="J173" i="6"/>
  <c r="K173" i="6"/>
  <c r="L173" i="6"/>
  <c r="M173" i="6" a="1"/>
  <c r="M173" i="6"/>
  <c r="N173" i="6" a="1"/>
  <c r="N173" i="6"/>
  <c r="O173" i="6"/>
  <c r="P173" i="6"/>
  <c r="Q173" i="6"/>
  <c r="R173" i="6"/>
  <c r="B174" i="6"/>
  <c r="C174" i="6"/>
  <c r="G174" i="6"/>
  <c r="H174" i="6" s="1"/>
  <c r="K174" i="6"/>
  <c r="L174" i="6"/>
  <c r="M174" i="6" a="1"/>
  <c r="M174" i="6"/>
  <c r="N174" i="6" a="1"/>
  <c r="N174" i="6" s="1"/>
  <c r="O174" i="6"/>
  <c r="S174" i="6" s="1"/>
  <c r="P174" i="6"/>
  <c r="Q174" i="6"/>
  <c r="R174" i="6"/>
  <c r="AB174" i="6" s="1"/>
  <c r="B175" i="6"/>
  <c r="C175" i="6"/>
  <c r="E175" i="6"/>
  <c r="G175" i="6"/>
  <c r="H175" i="6"/>
  <c r="I175" i="6"/>
  <c r="J175" i="6"/>
  <c r="K175" i="6"/>
  <c r="L175" i="6"/>
  <c r="M175" i="6" a="1"/>
  <c r="M175" i="6"/>
  <c r="N175" i="6" a="1"/>
  <c r="N175" i="6"/>
  <c r="O175" i="6"/>
  <c r="P175" i="6"/>
  <c r="Q175" i="6"/>
  <c r="R175" i="6"/>
  <c r="B176" i="6"/>
  <c r="C176" i="6"/>
  <c r="E176" i="6"/>
  <c r="G176" i="6"/>
  <c r="H176" i="6"/>
  <c r="I176" i="6"/>
  <c r="J176" i="6"/>
  <c r="K176" i="6"/>
  <c r="L176" i="6"/>
  <c r="M176" i="6" a="1"/>
  <c r="M176" i="6"/>
  <c r="N176" i="6" a="1"/>
  <c r="N176" i="6"/>
  <c r="O176" i="6"/>
  <c r="P176" i="6"/>
  <c r="Q176" i="6"/>
  <c r="R176" i="6"/>
  <c r="B177" i="6"/>
  <c r="C177" i="6"/>
  <c r="E177" i="6"/>
  <c r="G177" i="6"/>
  <c r="H177" i="6"/>
  <c r="I177" i="6"/>
  <c r="J177" i="6"/>
  <c r="K177" i="6"/>
  <c r="L177" i="6"/>
  <c r="M177" i="6" a="1"/>
  <c r="M177" i="6"/>
  <c r="N177" i="6" a="1"/>
  <c r="N177" i="6" s="1"/>
  <c r="O177" i="6"/>
  <c r="P177" i="6"/>
  <c r="Q177" i="6"/>
  <c r="R177" i="6"/>
  <c r="AB177" i="6" s="1"/>
  <c r="S177" i="6"/>
  <c r="B178" i="6"/>
  <c r="C178" i="6"/>
  <c r="E178" i="6"/>
  <c r="G178" i="6"/>
  <c r="H178" i="6"/>
  <c r="I178" i="6"/>
  <c r="J178" i="6"/>
  <c r="K178" i="6"/>
  <c r="L178" i="6"/>
  <c r="M178" i="6" a="1"/>
  <c r="M178" i="6"/>
  <c r="N178" i="6" a="1"/>
  <c r="N178" i="6"/>
  <c r="S178" i="6" s="1"/>
  <c r="O178" i="6"/>
  <c r="P178" i="6"/>
  <c r="Q178" i="6"/>
  <c r="R178" i="6"/>
  <c r="AB178" i="6" s="1"/>
  <c r="B179" i="6"/>
  <c r="C179" i="6"/>
  <c r="E179" i="6"/>
  <c r="G179" i="6"/>
  <c r="H179" i="6"/>
  <c r="I179" i="6"/>
  <c r="J179" i="6"/>
  <c r="K179" i="6"/>
  <c r="L179" i="6"/>
  <c r="M179" i="6" a="1"/>
  <c r="M179" i="6"/>
  <c r="N179" i="6" a="1"/>
  <c r="N179" i="6"/>
  <c r="O179" i="6"/>
  <c r="P179" i="6"/>
  <c r="Q179" i="6"/>
  <c r="R179" i="6"/>
  <c r="B180" i="6"/>
  <c r="C180" i="6"/>
  <c r="E180" i="6"/>
  <c r="G180" i="6"/>
  <c r="H180" i="6"/>
  <c r="I180" i="6"/>
  <c r="J180" i="6"/>
  <c r="K180" i="6"/>
  <c r="L180" i="6"/>
  <c r="M180" i="6" a="1"/>
  <c r="M180" i="6"/>
  <c r="N180" i="6" a="1"/>
  <c r="N180" i="6" s="1"/>
  <c r="O180" i="6"/>
  <c r="P180" i="6"/>
  <c r="S180" i="6" s="1"/>
  <c r="Q180" i="6"/>
  <c r="R180" i="6"/>
  <c r="AB180" i="6" s="1"/>
  <c r="B181" i="6"/>
  <c r="C181" i="6"/>
  <c r="G181" i="6"/>
  <c r="I181" i="6"/>
  <c r="J181" i="6"/>
  <c r="K181" i="6"/>
  <c r="L181" i="6"/>
  <c r="M181" i="6" a="1"/>
  <c r="M181" i="6"/>
  <c r="N181" i="6" a="1"/>
  <c r="N181" i="6" s="1"/>
  <c r="O181" i="6"/>
  <c r="P181" i="6"/>
  <c r="Q181" i="6"/>
  <c r="R181" i="6"/>
  <c r="B182" i="6"/>
  <c r="C182" i="6"/>
  <c r="G182" i="6"/>
  <c r="J182" i="6" s="1"/>
  <c r="K182" i="6"/>
  <c r="L182" i="6"/>
  <c r="M182" i="6" a="1"/>
  <c r="M182" i="6"/>
  <c r="N182" i="6" a="1"/>
  <c r="N182" i="6"/>
  <c r="O182" i="6"/>
  <c r="P182" i="6"/>
  <c r="Q182" i="6"/>
  <c r="R182" i="6"/>
  <c r="B183" i="6"/>
  <c r="C183" i="6"/>
  <c r="E183" i="6"/>
  <c r="G183" i="6"/>
  <c r="H183" i="6" s="1"/>
  <c r="K183" i="6"/>
  <c r="L183" i="6"/>
  <c r="M183" i="6" a="1"/>
  <c r="M183" i="6"/>
  <c r="N183" i="6" a="1"/>
  <c r="N183" i="6" s="1"/>
  <c r="O183" i="6"/>
  <c r="P183" i="6"/>
  <c r="Q183" i="6"/>
  <c r="R183" i="6"/>
  <c r="B184" i="6"/>
  <c r="C184" i="6"/>
  <c r="E184" i="6"/>
  <c r="G184" i="6"/>
  <c r="J184" i="6" s="1"/>
  <c r="I184" i="6"/>
  <c r="K184" i="6"/>
  <c r="L184" i="6"/>
  <c r="M184" i="6" a="1"/>
  <c r="M184" i="6"/>
  <c r="N184" i="6" a="1"/>
  <c r="N184" i="6" s="1"/>
  <c r="O184" i="6"/>
  <c r="P184" i="6"/>
  <c r="Q184" i="6"/>
  <c r="R184" i="6"/>
  <c r="AB184" i="6" s="1"/>
  <c r="S184" i="6"/>
  <c r="B185" i="6"/>
  <c r="C185" i="6"/>
  <c r="G185" i="6"/>
  <c r="H185" i="6"/>
  <c r="I185" i="6"/>
  <c r="K185" i="6"/>
  <c r="L185" i="6"/>
  <c r="M185" i="6" a="1"/>
  <c r="M185" i="6"/>
  <c r="N185" i="6" a="1"/>
  <c r="N185" i="6"/>
  <c r="O185" i="6"/>
  <c r="P185" i="6"/>
  <c r="Q185" i="6"/>
  <c r="R185" i="6"/>
  <c r="B186" i="6"/>
  <c r="C186" i="6"/>
  <c r="E186" i="6"/>
  <c r="G186" i="6"/>
  <c r="J186" i="6" s="1"/>
  <c r="H186" i="6"/>
  <c r="I186" i="6"/>
  <c r="K186" i="6"/>
  <c r="L186" i="6"/>
  <c r="M186" i="6" a="1"/>
  <c r="M186" i="6"/>
  <c r="N186" i="6" a="1"/>
  <c r="N186" i="6" s="1"/>
  <c r="O186" i="6"/>
  <c r="P186" i="6"/>
  <c r="Q186" i="6"/>
  <c r="R186" i="6"/>
  <c r="B187" i="6"/>
  <c r="C187" i="6"/>
  <c r="E187" i="6"/>
  <c r="G187" i="6"/>
  <c r="I187" i="6" s="1"/>
  <c r="H187" i="6"/>
  <c r="J187" i="6"/>
  <c r="K187" i="6"/>
  <c r="L187" i="6"/>
  <c r="M187" i="6" a="1"/>
  <c r="M187" i="6"/>
  <c r="N187" i="6" a="1"/>
  <c r="N187" i="6"/>
  <c r="O187" i="6"/>
  <c r="P187" i="6"/>
  <c r="Q187" i="6"/>
  <c r="R187" i="6"/>
  <c r="B188" i="6"/>
  <c r="C188" i="6"/>
  <c r="E188" i="6"/>
  <c r="G188" i="6"/>
  <c r="I188" i="6" s="1"/>
  <c r="J188" i="6"/>
  <c r="K188" i="6"/>
  <c r="L188" i="6"/>
  <c r="M188" i="6" a="1"/>
  <c r="M188" i="6"/>
  <c r="N188" i="6" a="1"/>
  <c r="N188" i="6"/>
  <c r="O188" i="6"/>
  <c r="P188" i="6"/>
  <c r="Q188" i="6"/>
  <c r="R188" i="6"/>
  <c r="A189" i="6"/>
  <c r="B189" i="6"/>
  <c r="C189" i="6"/>
  <c r="G189" i="6"/>
  <c r="I189" i="6" s="1"/>
  <c r="K189" i="6"/>
  <c r="L189" i="6"/>
  <c r="M189" i="6" a="1"/>
  <c r="M189" i="6"/>
  <c r="N189" i="6" a="1"/>
  <c r="N189" i="6"/>
  <c r="O189" i="6"/>
  <c r="P189" i="6"/>
  <c r="Q189" i="6"/>
  <c r="R189" i="6"/>
  <c r="B190" i="6"/>
  <c r="C190" i="6"/>
  <c r="E190" i="6"/>
  <c r="G190" i="6"/>
  <c r="I190" i="6" s="1"/>
  <c r="H190" i="6"/>
  <c r="J190" i="6"/>
  <c r="K190" i="6"/>
  <c r="L190" i="6"/>
  <c r="M190" i="6" a="1"/>
  <c r="M190" i="6"/>
  <c r="N190" i="6" a="1"/>
  <c r="N190" i="6" s="1"/>
  <c r="O190" i="6"/>
  <c r="P190" i="6"/>
  <c r="Q190" i="6"/>
  <c r="R190" i="6"/>
  <c r="AB190" i="6" s="1"/>
  <c r="S190" i="6"/>
  <c r="B191" i="6"/>
  <c r="C191" i="6"/>
  <c r="E191" i="6"/>
  <c r="G191" i="6"/>
  <c r="I191" i="6" s="1"/>
  <c r="J191" i="6"/>
  <c r="K191" i="6"/>
  <c r="L191" i="6"/>
  <c r="M191" i="6" a="1"/>
  <c r="M191" i="6"/>
  <c r="N191" i="6" a="1"/>
  <c r="N191" i="6"/>
  <c r="O191" i="6"/>
  <c r="P191" i="6"/>
  <c r="Q191" i="6"/>
  <c r="R191" i="6"/>
  <c r="B192" i="6"/>
  <c r="C192" i="6"/>
  <c r="G192" i="6"/>
  <c r="I192" i="6" s="1"/>
  <c r="K192" i="6"/>
  <c r="L192" i="6"/>
  <c r="M192" i="6" a="1"/>
  <c r="M192" i="6"/>
  <c r="N192" i="6" a="1"/>
  <c r="N192" i="6" s="1"/>
  <c r="O192" i="6"/>
  <c r="P192" i="6"/>
  <c r="Q192" i="6"/>
  <c r="R192" i="6"/>
  <c r="AB192" i="6" s="1"/>
  <c r="S192" i="6"/>
  <c r="B193" i="6"/>
  <c r="C193" i="6"/>
  <c r="E193" i="6"/>
  <c r="G193" i="6"/>
  <c r="I193" i="6" s="1"/>
  <c r="H193" i="6"/>
  <c r="J193" i="6"/>
  <c r="K193" i="6"/>
  <c r="L193" i="6"/>
  <c r="M193" i="6" a="1"/>
  <c r="M193" i="6"/>
  <c r="N193" i="6" a="1"/>
  <c r="N193" i="6"/>
  <c r="S193" i="6" s="1"/>
  <c r="O193" i="6"/>
  <c r="P193" i="6"/>
  <c r="Q193" i="6"/>
  <c r="R193" i="6"/>
  <c r="AB193" i="6" s="1"/>
  <c r="A194" i="6"/>
  <c r="B194" i="6"/>
  <c r="C194" i="6"/>
  <c r="E194" i="6"/>
  <c r="G194" i="6"/>
  <c r="I194" i="6" s="1"/>
  <c r="J194" i="6"/>
  <c r="K194" i="6"/>
  <c r="L194" i="6"/>
  <c r="M194" i="6" a="1"/>
  <c r="M194" i="6"/>
  <c r="N194" i="6" a="1"/>
  <c r="N194" i="6"/>
  <c r="O194" i="6"/>
  <c r="P194" i="6"/>
  <c r="Q194" i="6"/>
  <c r="R194" i="6"/>
  <c r="B195" i="6"/>
  <c r="C195" i="6"/>
  <c r="G195" i="6"/>
  <c r="I195" i="6" s="1"/>
  <c r="K195" i="6"/>
  <c r="L195" i="6"/>
  <c r="M195" i="6" a="1"/>
  <c r="M195" i="6"/>
  <c r="N195" i="6" a="1"/>
  <c r="N195" i="6"/>
  <c r="S195" i="6" s="1"/>
  <c r="O195" i="6"/>
  <c r="P195" i="6"/>
  <c r="Q195" i="6"/>
  <c r="R195" i="6"/>
  <c r="AB195" i="6" s="1"/>
  <c r="B196" i="6"/>
  <c r="C196" i="6"/>
  <c r="E196" i="6"/>
  <c r="G196" i="6"/>
  <c r="I196" i="6" s="1"/>
  <c r="H196" i="6"/>
  <c r="J196" i="6"/>
  <c r="K196" i="6"/>
  <c r="L196" i="6"/>
  <c r="M196" i="6" a="1"/>
  <c r="M196" i="6"/>
  <c r="N196" i="6" a="1"/>
  <c r="N196" i="6" s="1"/>
  <c r="S196" i="6" s="1"/>
  <c r="O196" i="6"/>
  <c r="P196" i="6"/>
  <c r="Q196" i="6"/>
  <c r="R196" i="6"/>
  <c r="AB196" i="6" s="1"/>
  <c r="B197" i="6"/>
  <c r="C197" i="6"/>
  <c r="G197" i="6"/>
  <c r="E197" i="6" s="1"/>
  <c r="H197" i="6"/>
  <c r="I197" i="6"/>
  <c r="J197" i="6"/>
  <c r="K197" i="6"/>
  <c r="L197" i="6"/>
  <c r="M197" i="6" a="1"/>
  <c r="M197" i="6"/>
  <c r="N197" i="6" a="1"/>
  <c r="N197" i="6"/>
  <c r="O197" i="6"/>
  <c r="P197" i="6"/>
  <c r="Q197" i="6"/>
  <c r="R197" i="6"/>
  <c r="B198" i="6"/>
  <c r="C198" i="6"/>
  <c r="G198" i="6"/>
  <c r="E198" i="6" s="1"/>
  <c r="I198" i="6"/>
  <c r="K198" i="6"/>
  <c r="L198" i="6"/>
  <c r="M198" i="6" a="1"/>
  <c r="M198" i="6"/>
  <c r="N198" i="6" a="1"/>
  <c r="N198" i="6" s="1"/>
  <c r="O198" i="6"/>
  <c r="P198" i="6"/>
  <c r="Q198" i="6"/>
  <c r="R198" i="6"/>
  <c r="B199" i="6"/>
  <c r="C199" i="6"/>
  <c r="E199" i="6"/>
  <c r="G199" i="6"/>
  <c r="H199" i="6"/>
  <c r="I199" i="6"/>
  <c r="J199" i="6"/>
  <c r="K199" i="6"/>
  <c r="L199" i="6"/>
  <c r="M199" i="6" a="1"/>
  <c r="M199" i="6"/>
  <c r="N199" i="6" a="1"/>
  <c r="N199" i="6" s="1"/>
  <c r="O199" i="6"/>
  <c r="P199" i="6"/>
  <c r="Q199" i="6"/>
  <c r="R199" i="6"/>
  <c r="AB199" i="6" s="1"/>
  <c r="S199" i="6"/>
  <c r="B200" i="6"/>
  <c r="C200" i="6"/>
  <c r="E200" i="6"/>
  <c r="G200" i="6"/>
  <c r="H200" i="6"/>
  <c r="I200" i="6"/>
  <c r="J200" i="6"/>
  <c r="K200" i="6"/>
  <c r="L200" i="6"/>
  <c r="M200" i="6" a="1"/>
  <c r="M200" i="6"/>
  <c r="N200" i="6" a="1"/>
  <c r="N200" i="6"/>
  <c r="O200" i="6"/>
  <c r="P200" i="6"/>
  <c r="Q200" i="6"/>
  <c r="R200" i="6"/>
  <c r="B201" i="6"/>
  <c r="C201" i="6"/>
  <c r="E201" i="6"/>
  <c r="G201" i="6"/>
  <c r="H201" i="6"/>
  <c r="I201" i="6"/>
  <c r="J201" i="6"/>
  <c r="K201" i="6"/>
  <c r="L201" i="6"/>
  <c r="M201" i="6" a="1"/>
  <c r="M201" i="6"/>
  <c r="N201" i="6" a="1"/>
  <c r="N201" i="6" s="1"/>
  <c r="O201" i="6"/>
  <c r="P201" i="6"/>
  <c r="Q201" i="6"/>
  <c r="R201" i="6"/>
  <c r="AB201" i="6" s="1"/>
  <c r="S201" i="6"/>
  <c r="B202" i="6"/>
  <c r="C202" i="6"/>
  <c r="E202" i="6"/>
  <c r="G202" i="6"/>
  <c r="H202" i="6"/>
  <c r="I202" i="6"/>
  <c r="J202" i="6"/>
  <c r="K202" i="6"/>
  <c r="L202" i="6"/>
  <c r="M202" i="6" a="1"/>
  <c r="M202" i="6"/>
  <c r="N202" i="6" a="1"/>
  <c r="N202" i="6"/>
  <c r="S202" i="6" s="1"/>
  <c r="O202" i="6"/>
  <c r="P202" i="6"/>
  <c r="Q202" i="6"/>
  <c r="R202" i="6"/>
  <c r="AB202" i="6" s="1"/>
  <c r="B203" i="6"/>
  <c r="C203" i="6"/>
  <c r="E203" i="6"/>
  <c r="G203" i="6"/>
  <c r="H203" i="6"/>
  <c r="I203" i="6"/>
  <c r="J203" i="6"/>
  <c r="K203" i="6"/>
  <c r="L203" i="6"/>
  <c r="M203" i="6" a="1"/>
  <c r="M203" i="6"/>
  <c r="N203" i="6" a="1"/>
  <c r="N203" i="6"/>
  <c r="O203" i="6"/>
  <c r="P203" i="6"/>
  <c r="Q203" i="6"/>
  <c r="R203" i="6"/>
  <c r="B204" i="6"/>
  <c r="C204" i="6"/>
  <c r="E204" i="6"/>
  <c r="G204" i="6"/>
  <c r="H204" i="6"/>
  <c r="I204" i="6"/>
  <c r="J204" i="6"/>
  <c r="K204" i="6"/>
  <c r="L204" i="6"/>
  <c r="M204" i="6" a="1"/>
  <c r="M204" i="6"/>
  <c r="N204" i="6" a="1"/>
  <c r="N204" i="6" s="1"/>
  <c r="O204" i="6"/>
  <c r="S204" i="6" s="1"/>
  <c r="P204" i="6"/>
  <c r="Q204" i="6"/>
  <c r="R204" i="6"/>
  <c r="AB204" i="6" s="1"/>
  <c r="B205" i="6"/>
  <c r="C205" i="6"/>
  <c r="E205" i="6"/>
  <c r="G205" i="6"/>
  <c r="J205" i="6"/>
  <c r="K205" i="6"/>
  <c r="L205" i="6"/>
  <c r="M205" i="6" a="1"/>
  <c r="M205" i="6"/>
  <c r="N205" i="6" a="1"/>
  <c r="N205" i="6" s="1"/>
  <c r="O205" i="6"/>
  <c r="P205" i="6"/>
  <c r="Q205" i="6"/>
  <c r="R205" i="6"/>
  <c r="AB205" i="6" s="1"/>
  <c r="S205" i="6"/>
  <c r="B206" i="6"/>
  <c r="C206" i="6"/>
  <c r="G206" i="6"/>
  <c r="K206" i="6"/>
  <c r="L206" i="6"/>
  <c r="M206" i="6" a="1"/>
  <c r="M206" i="6"/>
  <c r="N206" i="6" a="1"/>
  <c r="N206" i="6"/>
  <c r="O206" i="6"/>
  <c r="P206" i="6"/>
  <c r="Q206" i="6"/>
  <c r="R206" i="6"/>
  <c r="B207" i="6"/>
  <c r="C207" i="6"/>
  <c r="E207" i="6"/>
  <c r="G207" i="6"/>
  <c r="H207" i="6" s="1"/>
  <c r="J207" i="6"/>
  <c r="K207" i="6"/>
  <c r="L207" i="6"/>
  <c r="M207" i="6" a="1"/>
  <c r="M207" i="6"/>
  <c r="N207" i="6" a="1"/>
  <c r="N207" i="6"/>
  <c r="O207" i="6"/>
  <c r="P207" i="6"/>
  <c r="Q207" i="6"/>
  <c r="R207" i="6"/>
  <c r="B208" i="6"/>
  <c r="C208" i="6"/>
  <c r="G208" i="6"/>
  <c r="H208" i="6" s="1"/>
  <c r="K208" i="6"/>
  <c r="L208" i="6"/>
  <c r="M208" i="6" a="1"/>
  <c r="M208" i="6"/>
  <c r="N208" i="6" a="1"/>
  <c r="N208" i="6"/>
  <c r="S208" i="6" s="1"/>
  <c r="O208" i="6"/>
  <c r="P208" i="6"/>
  <c r="Q208" i="6"/>
  <c r="R208" i="6"/>
  <c r="AB208" i="6" s="1"/>
  <c r="B209" i="6"/>
  <c r="C209" i="6"/>
  <c r="G209" i="6"/>
  <c r="I209" i="6" s="1"/>
  <c r="J209" i="6"/>
  <c r="K209" i="6"/>
  <c r="L209" i="6"/>
  <c r="M209" i="6" a="1"/>
  <c r="M209" i="6"/>
  <c r="N209" i="6" a="1"/>
  <c r="N209" i="6"/>
  <c r="O209" i="6"/>
  <c r="P209" i="6"/>
  <c r="Q209" i="6"/>
  <c r="R209" i="6"/>
  <c r="B210" i="6"/>
  <c r="C210" i="6"/>
  <c r="E210" i="6"/>
  <c r="G210" i="6"/>
  <c r="H210" i="6" s="1"/>
  <c r="I210" i="6"/>
  <c r="J210" i="6"/>
  <c r="K210" i="6"/>
  <c r="L210" i="6"/>
  <c r="M210" i="6" a="1"/>
  <c r="M210" i="6"/>
  <c r="N210" i="6" a="1"/>
  <c r="N210" i="6" s="1"/>
  <c r="O210" i="6"/>
  <c r="P210" i="6"/>
  <c r="S210" i="6" s="1"/>
  <c r="Q210" i="6"/>
  <c r="R210" i="6"/>
  <c r="AB210" i="6" s="1"/>
  <c r="B211" i="6"/>
  <c r="C211" i="6"/>
  <c r="E211" i="6"/>
  <c r="G211" i="6"/>
  <c r="H211" i="6" s="1"/>
  <c r="K211" i="6"/>
  <c r="L211" i="6"/>
  <c r="M211" i="6" a="1"/>
  <c r="M211" i="6"/>
  <c r="N211" i="6" a="1"/>
  <c r="N211" i="6" s="1"/>
  <c r="O211" i="6"/>
  <c r="P211" i="6"/>
  <c r="Q211" i="6"/>
  <c r="R211" i="6"/>
  <c r="B212" i="6"/>
  <c r="C212" i="6"/>
  <c r="E212" i="6"/>
  <c r="G212" i="6"/>
  <c r="J212" i="6" s="1"/>
  <c r="I212" i="6"/>
  <c r="K212" i="6"/>
  <c r="L212" i="6"/>
  <c r="M212" i="6" a="1"/>
  <c r="M212" i="6"/>
  <c r="N212" i="6" a="1"/>
  <c r="N212" i="6"/>
  <c r="O212" i="6"/>
  <c r="P212" i="6"/>
  <c r="Q212" i="6"/>
  <c r="R212" i="6"/>
  <c r="B213" i="6"/>
  <c r="C213" i="6"/>
  <c r="G213" i="6"/>
  <c r="H213" i="6"/>
  <c r="K213" i="6"/>
  <c r="L213" i="6"/>
  <c r="M213" i="6" a="1"/>
  <c r="M213" i="6"/>
  <c r="N213" i="6" a="1"/>
  <c r="N213" i="6" s="1"/>
  <c r="O213" i="6"/>
  <c r="P213" i="6"/>
  <c r="Q213" i="6"/>
  <c r="R213" i="6"/>
  <c r="B214" i="6"/>
  <c r="C214" i="6"/>
  <c r="G214" i="6"/>
  <c r="H214" i="6" s="1"/>
  <c r="K214" i="6"/>
  <c r="L214" i="6"/>
  <c r="M214" i="6" a="1"/>
  <c r="M214" i="6"/>
  <c r="N214" i="6" a="1"/>
  <c r="N214" i="6" s="1"/>
  <c r="S214" i="6" s="1"/>
  <c r="O214" i="6"/>
  <c r="P214" i="6"/>
  <c r="Q214" i="6"/>
  <c r="R214" i="6"/>
  <c r="AB214" i="6" s="1"/>
  <c r="B215" i="6"/>
  <c r="C215" i="6"/>
  <c r="G215" i="6"/>
  <c r="K215" i="6"/>
  <c r="L215" i="6"/>
  <c r="M215" i="6" a="1"/>
  <c r="M215" i="6"/>
  <c r="N215" i="6" a="1"/>
  <c r="N215" i="6"/>
  <c r="O215" i="6"/>
  <c r="P215" i="6"/>
  <c r="Q215" i="6"/>
  <c r="R215" i="6"/>
  <c r="B216" i="6"/>
  <c r="C216" i="6"/>
  <c r="G216" i="6"/>
  <c r="E216" i="6" s="1"/>
  <c r="I216" i="6"/>
  <c r="K216" i="6"/>
  <c r="L216" i="6"/>
  <c r="M216" i="6" a="1"/>
  <c r="M216" i="6"/>
  <c r="N216" i="6" a="1"/>
  <c r="N216" i="6" s="1"/>
  <c r="O216" i="6"/>
  <c r="P216" i="6"/>
  <c r="Q216" i="6"/>
  <c r="R216" i="6"/>
  <c r="B217" i="6"/>
  <c r="C217" i="6"/>
  <c r="E217" i="6"/>
  <c r="G217" i="6"/>
  <c r="H217" i="6"/>
  <c r="I217" i="6"/>
  <c r="J217" i="6"/>
  <c r="K217" i="6"/>
  <c r="L217" i="6"/>
  <c r="M217" i="6" a="1"/>
  <c r="M217" i="6"/>
  <c r="N217" i="6" a="1"/>
  <c r="N217" i="6"/>
  <c r="O217" i="6"/>
  <c r="P217" i="6"/>
  <c r="Q217" i="6"/>
  <c r="R217" i="6"/>
  <c r="B218" i="6"/>
  <c r="C218" i="6"/>
  <c r="E218" i="6"/>
  <c r="G218" i="6"/>
  <c r="H218" i="6"/>
  <c r="I218" i="6"/>
  <c r="J218" i="6"/>
  <c r="K218" i="6"/>
  <c r="L218" i="6"/>
  <c r="M218" i="6" a="1"/>
  <c r="M218" i="6"/>
  <c r="N218" i="6" a="1"/>
  <c r="N218" i="6"/>
  <c r="O218" i="6"/>
  <c r="P218" i="6"/>
  <c r="Q218" i="6"/>
  <c r="R218" i="6"/>
  <c r="A219" i="6"/>
  <c r="B219" i="6"/>
  <c r="C219" i="6"/>
  <c r="E219" i="6"/>
  <c r="G219" i="6"/>
  <c r="H219" i="6"/>
  <c r="I219" i="6"/>
  <c r="J219" i="6"/>
  <c r="K219" i="6"/>
  <c r="L219" i="6"/>
  <c r="M219" i="6" a="1"/>
  <c r="M219" i="6"/>
  <c r="N219" i="6" a="1"/>
  <c r="N219" i="6"/>
  <c r="O219" i="6"/>
  <c r="P219" i="6"/>
  <c r="Q219" i="6"/>
  <c r="R219" i="6"/>
  <c r="B220" i="6"/>
  <c r="C220" i="6"/>
  <c r="E220" i="6"/>
  <c r="G220" i="6"/>
  <c r="H220" i="6"/>
  <c r="I220" i="6"/>
  <c r="J220" i="6"/>
  <c r="K220" i="6"/>
  <c r="L220" i="6"/>
  <c r="M220" i="6" a="1"/>
  <c r="M220" i="6"/>
  <c r="N220" i="6" a="1"/>
  <c r="N220" i="6"/>
  <c r="S220" i="6" s="1"/>
  <c r="O220" i="6"/>
  <c r="P220" i="6"/>
  <c r="Q220" i="6"/>
  <c r="R220" i="6"/>
  <c r="AB220" i="6" s="1"/>
  <c r="A221" i="6"/>
  <c r="B221" i="6"/>
  <c r="C221" i="6"/>
  <c r="E221" i="6"/>
  <c r="G221" i="6"/>
  <c r="H221" i="6"/>
  <c r="I221" i="6"/>
  <c r="J221" i="6"/>
  <c r="K221" i="6"/>
  <c r="L221" i="6"/>
  <c r="M221" i="6" a="1"/>
  <c r="M221" i="6"/>
  <c r="N221" i="6" a="1"/>
  <c r="N221" i="6"/>
  <c r="O221" i="6"/>
  <c r="P221" i="6"/>
  <c r="Q221" i="6"/>
  <c r="R221" i="6"/>
  <c r="A222" i="6"/>
  <c r="B222" i="6"/>
  <c r="C222" i="6"/>
  <c r="E222" i="6"/>
  <c r="G222" i="6"/>
  <c r="H222" i="6"/>
  <c r="I222" i="6"/>
  <c r="J222" i="6"/>
  <c r="K222" i="6"/>
  <c r="L222" i="6"/>
  <c r="M222" i="6" a="1"/>
  <c r="M222" i="6"/>
  <c r="N222" i="6" a="1"/>
  <c r="N222" i="6" s="1"/>
  <c r="O222" i="6"/>
  <c r="P222" i="6"/>
  <c r="Q222" i="6"/>
  <c r="R222" i="6"/>
  <c r="AB222" i="6" s="1"/>
  <c r="S222" i="6"/>
  <c r="B223" i="6"/>
  <c r="C223" i="6"/>
  <c r="E223" i="6"/>
  <c r="G223" i="6"/>
  <c r="H223" i="6"/>
  <c r="I223" i="6"/>
  <c r="J223" i="6"/>
  <c r="K223" i="6"/>
  <c r="L223" i="6"/>
  <c r="M223" i="6" a="1"/>
  <c r="M223" i="6"/>
  <c r="N223" i="6" a="1"/>
  <c r="N223" i="6"/>
  <c r="S223" i="6" s="1"/>
  <c r="O223" i="6"/>
  <c r="P223" i="6"/>
  <c r="Q223" i="6"/>
  <c r="R223" i="6"/>
  <c r="AB223" i="6" s="1"/>
  <c r="A224" i="6"/>
  <c r="B224" i="6"/>
  <c r="C224" i="6"/>
  <c r="E224" i="6"/>
  <c r="G224" i="6"/>
  <c r="H224" i="6"/>
  <c r="I224" i="6"/>
  <c r="J224" i="6"/>
  <c r="K224" i="6"/>
  <c r="L224" i="6"/>
  <c r="M224" i="6" a="1"/>
  <c r="M224" i="6"/>
  <c r="N224" i="6" a="1"/>
  <c r="N224" i="6"/>
  <c r="O224" i="6"/>
  <c r="P224" i="6"/>
  <c r="Q224" i="6"/>
  <c r="R224" i="6"/>
  <c r="A225" i="6"/>
  <c r="B225" i="6"/>
  <c r="C225" i="6"/>
  <c r="E225" i="6"/>
  <c r="G225" i="6"/>
  <c r="H225" i="6"/>
  <c r="I225" i="6"/>
  <c r="J225" i="6"/>
  <c r="K225" i="6"/>
  <c r="L225" i="6"/>
  <c r="M225" i="6" a="1"/>
  <c r="M225" i="6"/>
  <c r="N225" i="6" a="1"/>
  <c r="N225" i="6"/>
  <c r="O225" i="6"/>
  <c r="P225" i="6"/>
  <c r="Q225" i="6"/>
  <c r="R225" i="6"/>
  <c r="AB225" i="6" s="1"/>
  <c r="B226" i="6"/>
  <c r="C226" i="6"/>
  <c r="E226" i="6"/>
  <c r="G226" i="6"/>
  <c r="H226" i="6"/>
  <c r="I226" i="6"/>
  <c r="J226" i="6"/>
  <c r="K226" i="6"/>
  <c r="L226" i="6"/>
  <c r="M226" i="6" a="1"/>
  <c r="M226" i="6"/>
  <c r="N226" i="6" a="1"/>
  <c r="N226" i="6" s="1"/>
  <c r="O226" i="6"/>
  <c r="P226" i="6"/>
  <c r="Q226" i="6"/>
  <c r="R226" i="6"/>
  <c r="AB226" i="6" s="1"/>
  <c r="S226" i="6"/>
  <c r="B227" i="6"/>
  <c r="C227" i="6"/>
  <c r="E227" i="6"/>
  <c r="G227" i="6"/>
  <c r="H227" i="6"/>
  <c r="I227" i="6"/>
  <c r="J227" i="6"/>
  <c r="K227" i="6"/>
  <c r="L227" i="6"/>
  <c r="M227" i="6" a="1"/>
  <c r="M227" i="6"/>
  <c r="N227" i="6" a="1"/>
  <c r="N227" i="6"/>
  <c r="O227" i="6"/>
  <c r="P227" i="6"/>
  <c r="Q227" i="6"/>
  <c r="R227" i="6"/>
  <c r="A228" i="6"/>
  <c r="B228" i="6"/>
  <c r="C228" i="6"/>
  <c r="E228" i="6"/>
  <c r="G228" i="6"/>
  <c r="H228" i="6"/>
  <c r="I228" i="6"/>
  <c r="J228" i="6"/>
  <c r="K228" i="6"/>
  <c r="L228" i="6"/>
  <c r="M228" i="6" a="1"/>
  <c r="M228" i="6"/>
  <c r="N228" i="6" a="1"/>
  <c r="N228" i="6" s="1"/>
  <c r="O228" i="6"/>
  <c r="P228" i="6"/>
  <c r="Q228" i="6"/>
  <c r="R228" i="6"/>
  <c r="AB228" i="6" s="1"/>
  <c r="S228" i="6"/>
  <c r="B229" i="6"/>
  <c r="C229" i="6"/>
  <c r="E229" i="6"/>
  <c r="G229" i="6"/>
  <c r="H229" i="6"/>
  <c r="I229" i="6"/>
  <c r="J229" i="6"/>
  <c r="K229" i="6"/>
  <c r="L229" i="6"/>
  <c r="M229" i="6" a="1"/>
  <c r="M229" i="6"/>
  <c r="N229" i="6" a="1"/>
  <c r="N229" i="6"/>
  <c r="S229" i="6" s="1"/>
  <c r="O229" i="6"/>
  <c r="P229" i="6"/>
  <c r="Q229" i="6"/>
  <c r="R229" i="6"/>
  <c r="AB229" i="6" s="1"/>
  <c r="A230" i="6"/>
  <c r="B230" i="6"/>
  <c r="C230" i="6"/>
  <c r="E230" i="6"/>
  <c r="G230" i="6"/>
  <c r="H230" i="6"/>
  <c r="I230" i="6"/>
  <c r="J230" i="6"/>
  <c r="K230" i="6"/>
  <c r="L230" i="6"/>
  <c r="M230" i="6" a="1"/>
  <c r="M230" i="6"/>
  <c r="N230" i="6" a="1"/>
  <c r="N230" i="6"/>
  <c r="O230" i="6"/>
  <c r="P230" i="6"/>
  <c r="Q230" i="6"/>
  <c r="R230" i="6"/>
  <c r="A231" i="6"/>
  <c r="B231" i="6"/>
  <c r="C231" i="6"/>
  <c r="E231" i="6"/>
  <c r="G231" i="6"/>
  <c r="H231" i="6"/>
  <c r="I231" i="6"/>
  <c r="J231" i="6"/>
  <c r="K231" i="6"/>
  <c r="L231" i="6"/>
  <c r="M231" i="6" a="1"/>
  <c r="M231" i="6"/>
  <c r="N231" i="6" a="1"/>
  <c r="N231" i="6"/>
  <c r="O231" i="6"/>
  <c r="P231" i="6"/>
  <c r="Q231" i="6"/>
  <c r="R231" i="6"/>
  <c r="AB231" i="6" s="1"/>
  <c r="B232" i="6"/>
  <c r="C232" i="6"/>
  <c r="E232" i="6"/>
  <c r="G232" i="6"/>
  <c r="H232" i="6"/>
  <c r="I232" i="6"/>
  <c r="J232" i="6"/>
  <c r="K232" i="6"/>
  <c r="L232" i="6"/>
  <c r="M232" i="6" a="1"/>
  <c r="M232" i="6"/>
  <c r="N232" i="6" a="1"/>
  <c r="N232" i="6" s="1"/>
  <c r="S232" i="6" s="1"/>
  <c r="O232" i="6"/>
  <c r="P232" i="6"/>
  <c r="Q232" i="6"/>
  <c r="R232" i="6"/>
  <c r="AB232" i="6" s="1"/>
  <c r="B233" i="6"/>
  <c r="C233" i="6"/>
  <c r="E233" i="6"/>
  <c r="G233" i="6"/>
  <c r="H233" i="6" s="1"/>
  <c r="I233" i="6"/>
  <c r="J233" i="6"/>
  <c r="K233" i="6"/>
  <c r="L233" i="6"/>
  <c r="M233" i="6" a="1"/>
  <c r="M233" i="6"/>
  <c r="N233" i="6" a="1"/>
  <c r="N233" i="6"/>
  <c r="O233" i="6"/>
  <c r="P233" i="6"/>
  <c r="Q233" i="6"/>
  <c r="R233" i="6"/>
  <c r="B234" i="6"/>
  <c r="C234" i="6"/>
  <c r="E234" i="6"/>
  <c r="G234" i="6"/>
  <c r="J234" i="6" s="1"/>
  <c r="K234" i="6"/>
  <c r="L234" i="6"/>
  <c r="M234" i="6" a="1"/>
  <c r="M234" i="6"/>
  <c r="N234" i="6" a="1"/>
  <c r="N234" i="6" s="1"/>
  <c r="O234" i="6"/>
  <c r="P234" i="6"/>
  <c r="Q234" i="6"/>
  <c r="R234" i="6"/>
  <c r="B235" i="6"/>
  <c r="C235" i="6"/>
  <c r="G235" i="6"/>
  <c r="I235" i="6" s="1"/>
  <c r="J235" i="6"/>
  <c r="K235" i="6"/>
  <c r="L235" i="6"/>
  <c r="M235" i="6" a="1"/>
  <c r="M235" i="6"/>
  <c r="N235" i="6" a="1"/>
  <c r="N235" i="6" s="1"/>
  <c r="O235" i="6"/>
  <c r="P235" i="6"/>
  <c r="Q235" i="6"/>
  <c r="R235" i="6"/>
  <c r="AB235" i="6" s="1"/>
  <c r="S235" i="6"/>
  <c r="B236" i="6"/>
  <c r="C236" i="6"/>
  <c r="G236" i="6"/>
  <c r="I236" i="6" s="1"/>
  <c r="H236" i="6"/>
  <c r="J236" i="6"/>
  <c r="K236" i="6"/>
  <c r="L236" i="6"/>
  <c r="M236" i="6" a="1"/>
  <c r="M236" i="6"/>
  <c r="N236" i="6" a="1"/>
  <c r="N236" i="6"/>
  <c r="O236" i="6"/>
  <c r="P236" i="6"/>
  <c r="Q236" i="6"/>
  <c r="R236" i="6"/>
  <c r="B237" i="6"/>
  <c r="C237" i="6"/>
  <c r="G237" i="6"/>
  <c r="H237" i="6" s="1"/>
  <c r="J237" i="6"/>
  <c r="K237" i="6"/>
  <c r="L237" i="6"/>
  <c r="M237" i="6" a="1"/>
  <c r="M237" i="6"/>
  <c r="N237" i="6" a="1"/>
  <c r="N237" i="6" s="1"/>
  <c r="O237" i="6"/>
  <c r="P237" i="6"/>
  <c r="Q237" i="6"/>
  <c r="R237" i="6"/>
  <c r="AB237" i="6" s="1"/>
  <c r="S237" i="6"/>
  <c r="B238" i="6"/>
  <c r="C238" i="6"/>
  <c r="E238" i="6"/>
  <c r="G238" i="6"/>
  <c r="I238" i="6" s="1"/>
  <c r="H238" i="6"/>
  <c r="J238" i="6"/>
  <c r="K238" i="6"/>
  <c r="L238" i="6"/>
  <c r="M238" i="6" a="1"/>
  <c r="M238" i="6"/>
  <c r="N238" i="6" a="1"/>
  <c r="N238" i="6"/>
  <c r="S238" i="6" s="1"/>
  <c r="O238" i="6"/>
  <c r="P238" i="6"/>
  <c r="Q238" i="6"/>
  <c r="R238" i="6"/>
  <c r="AB238" i="6" s="1"/>
  <c r="B239" i="6"/>
  <c r="C239" i="6"/>
  <c r="E239" i="6"/>
  <c r="G239" i="6"/>
  <c r="J239" i="6"/>
  <c r="K239" i="6"/>
  <c r="L239" i="6"/>
  <c r="M239" i="6" a="1"/>
  <c r="M239" i="6"/>
  <c r="N239" i="6" a="1"/>
  <c r="N239" i="6"/>
  <c r="O239" i="6"/>
  <c r="P239" i="6"/>
  <c r="Q239" i="6"/>
  <c r="R239" i="6"/>
  <c r="B240" i="6"/>
  <c r="C240" i="6"/>
  <c r="G240" i="6"/>
  <c r="H240" i="6"/>
  <c r="K240" i="6"/>
  <c r="L240" i="6"/>
  <c r="M240" i="6" a="1"/>
  <c r="M240" i="6"/>
  <c r="N240" i="6" a="1"/>
  <c r="N240" i="6" s="1"/>
  <c r="O240" i="6"/>
  <c r="S240" i="6" s="1"/>
  <c r="P240" i="6"/>
  <c r="Q240" i="6"/>
  <c r="R240" i="6"/>
  <c r="AB240" i="6" s="1"/>
  <c r="B241" i="6"/>
  <c r="C241" i="6"/>
  <c r="G241" i="6"/>
  <c r="E241" i="6" s="1"/>
  <c r="H241" i="6"/>
  <c r="K241" i="6"/>
  <c r="L241" i="6"/>
  <c r="M241" i="6" a="1"/>
  <c r="M241" i="6"/>
  <c r="N241" i="6" a="1"/>
  <c r="N241" i="6"/>
  <c r="O241" i="6"/>
  <c r="P241" i="6"/>
  <c r="Q241" i="6"/>
  <c r="R241" i="6"/>
  <c r="A242" i="6"/>
  <c r="B242" i="6"/>
  <c r="C242" i="6"/>
  <c r="G242" i="6"/>
  <c r="H242" i="6"/>
  <c r="J242" i="6"/>
  <c r="K242" i="6"/>
  <c r="L242" i="6"/>
  <c r="M242" i="6" a="1"/>
  <c r="M242" i="6" s="1"/>
  <c r="N242" i="6" a="1"/>
  <c r="N242" i="6"/>
  <c r="O242" i="6"/>
  <c r="P242" i="6"/>
  <c r="Q242" i="6"/>
  <c r="R242" i="6"/>
  <c r="AB242" i="6"/>
  <c r="B243" i="6"/>
  <c r="C243" i="6"/>
  <c r="G243" i="6"/>
  <c r="I243" i="6" s="1"/>
  <c r="K243" i="6"/>
  <c r="L243" i="6"/>
  <c r="M243" i="6" a="1"/>
  <c r="M243" i="6" s="1"/>
  <c r="N243" i="6" a="1"/>
  <c r="N243" i="6" s="1"/>
  <c r="O243" i="6"/>
  <c r="P243" i="6"/>
  <c r="Q243" i="6"/>
  <c r="AB243" i="6" s="1"/>
  <c r="R243" i="6"/>
  <c r="S243" i="6"/>
  <c r="A244" i="6"/>
  <c r="B244" i="6"/>
  <c r="C244" i="6"/>
  <c r="G244" i="6"/>
  <c r="I244" i="6"/>
  <c r="J244" i="6"/>
  <c r="K244" i="6"/>
  <c r="L244" i="6"/>
  <c r="M244" i="6" a="1"/>
  <c r="M244" i="6"/>
  <c r="N244" i="6" a="1"/>
  <c r="N244" i="6"/>
  <c r="S244" i="6" s="1"/>
  <c r="O244" i="6"/>
  <c r="P244" i="6"/>
  <c r="Q244" i="6"/>
  <c r="R244" i="6"/>
  <c r="AB244" i="6"/>
  <c r="A245" i="6"/>
  <c r="B245" i="6"/>
  <c r="C245" i="6"/>
  <c r="G245" i="6"/>
  <c r="K245" i="6"/>
  <c r="L245" i="6"/>
  <c r="M245" i="6" a="1"/>
  <c r="M245" i="6" s="1"/>
  <c r="N245" i="6" a="1"/>
  <c r="N245" i="6"/>
  <c r="O245" i="6"/>
  <c r="P245" i="6"/>
  <c r="Q245" i="6"/>
  <c r="R245" i="6"/>
  <c r="A246" i="6"/>
  <c r="B246" i="6"/>
  <c r="C246" i="6"/>
  <c r="G246" i="6"/>
  <c r="K246" i="6"/>
  <c r="L246" i="6"/>
  <c r="M246" i="6" a="1"/>
  <c r="M246" i="6" s="1"/>
  <c r="N246" i="6" a="1"/>
  <c r="N246" i="6"/>
  <c r="O246" i="6"/>
  <c r="P246" i="6"/>
  <c r="Q246" i="6"/>
  <c r="R246" i="6"/>
  <c r="AB246" i="6"/>
  <c r="A247" i="6"/>
  <c r="B247" i="6"/>
  <c r="C247" i="6"/>
  <c r="G247" i="6"/>
  <c r="I247" i="6"/>
  <c r="K247" i="6"/>
  <c r="L247" i="6"/>
  <c r="M247" i="6" a="1"/>
  <c r="M247" i="6"/>
  <c r="N247" i="6" a="1"/>
  <c r="N247" i="6" s="1"/>
  <c r="S247" i="6" s="1"/>
  <c r="O247" i="6"/>
  <c r="P247" i="6"/>
  <c r="Q247" i="6"/>
  <c r="R247" i="6"/>
  <c r="AB247" i="6" s="1"/>
  <c r="A248" i="6"/>
  <c r="B248" i="6"/>
  <c r="C248" i="6"/>
  <c r="G248" i="6"/>
  <c r="H248" i="6"/>
  <c r="J248" i="6"/>
  <c r="K248" i="6"/>
  <c r="L248" i="6"/>
  <c r="M248" i="6" a="1"/>
  <c r="M248" i="6" s="1"/>
  <c r="N248" i="6" a="1"/>
  <c r="N248" i="6"/>
  <c r="O248" i="6"/>
  <c r="P248" i="6"/>
  <c r="Q248" i="6"/>
  <c r="R248" i="6"/>
  <c r="A249" i="6"/>
  <c r="B249" i="6"/>
  <c r="C249" i="6"/>
  <c r="G249" i="6"/>
  <c r="E249" i="6" s="1"/>
  <c r="H249" i="6"/>
  <c r="J249" i="6"/>
  <c r="K249" i="6"/>
  <c r="L249" i="6"/>
  <c r="M249" i="6" a="1"/>
  <c r="M249" i="6"/>
  <c r="N249" i="6" a="1"/>
  <c r="N249" i="6"/>
  <c r="O249" i="6"/>
  <c r="P249" i="6"/>
  <c r="Q249" i="6"/>
  <c r="R249" i="6"/>
  <c r="A250" i="6"/>
  <c r="B250" i="6"/>
  <c r="C250" i="6"/>
  <c r="G250" i="6"/>
  <c r="H250" i="6"/>
  <c r="J250" i="6"/>
  <c r="K250" i="6"/>
  <c r="L250" i="6"/>
  <c r="M250" i="6" a="1"/>
  <c r="M250" i="6"/>
  <c r="N250" i="6" a="1"/>
  <c r="N250" i="6"/>
  <c r="O250" i="6"/>
  <c r="P250" i="6"/>
  <c r="Q250" i="6"/>
  <c r="R250" i="6"/>
  <c r="AB250" i="6"/>
  <c r="A251" i="6"/>
  <c r="B251" i="6"/>
  <c r="C251" i="6"/>
  <c r="G251" i="6"/>
  <c r="K251" i="6"/>
  <c r="L251" i="6"/>
  <c r="M251" i="6" a="1"/>
  <c r="M251" i="6"/>
  <c r="N251" i="6" a="1"/>
  <c r="N251" i="6"/>
  <c r="O251" i="6"/>
  <c r="P251" i="6"/>
  <c r="Q251" i="6"/>
  <c r="R251" i="6"/>
  <c r="A252" i="6"/>
  <c r="B252" i="6"/>
  <c r="C252" i="6"/>
  <c r="G252" i="6"/>
  <c r="J252" i="6" s="1"/>
  <c r="K252" i="6"/>
  <c r="L252" i="6"/>
  <c r="M252" i="6" a="1"/>
  <c r="M252" i="6" s="1"/>
  <c r="N252" i="6" a="1"/>
  <c r="N252" i="6"/>
  <c r="O252" i="6"/>
  <c r="P252" i="6"/>
  <c r="Q252" i="6"/>
  <c r="R252" i="6"/>
  <c r="A253" i="6"/>
  <c r="B253" i="6"/>
  <c r="C253" i="6"/>
  <c r="G253" i="6"/>
  <c r="K253" i="6"/>
  <c r="L253" i="6"/>
  <c r="M253" i="6" a="1"/>
  <c r="M253" i="6"/>
  <c r="N253" i="6" a="1"/>
  <c r="N253" i="6"/>
  <c r="O253" i="6"/>
  <c r="P253" i="6"/>
  <c r="Q253" i="6"/>
  <c r="R253" i="6"/>
  <c r="A254" i="6"/>
  <c r="B254" i="6"/>
  <c r="C254" i="6"/>
  <c r="G254" i="6"/>
  <c r="H254" i="6" s="1"/>
  <c r="J254" i="6"/>
  <c r="K254" i="6"/>
  <c r="L254" i="6"/>
  <c r="M254" i="6" a="1"/>
  <c r="M254" i="6" s="1"/>
  <c r="N254" i="6" a="1"/>
  <c r="N254" i="6"/>
  <c r="O254" i="6"/>
  <c r="P254" i="6"/>
  <c r="Q254" i="6"/>
  <c r="R254" i="6"/>
  <c r="AB254" i="6"/>
  <c r="A255" i="6"/>
  <c r="B255" i="6"/>
  <c r="C255" i="6"/>
  <c r="G255" i="6"/>
  <c r="K255" i="6"/>
  <c r="L255" i="6"/>
  <c r="M255" i="6" a="1"/>
  <c r="M255" i="6" s="1"/>
  <c r="N255" i="6" a="1"/>
  <c r="N255" i="6" s="1"/>
  <c r="O255" i="6"/>
  <c r="P255" i="6"/>
  <c r="Q255" i="6"/>
  <c r="AB255" i="6" s="1"/>
  <c r="R255" i="6"/>
  <c r="S255" i="6"/>
  <c r="A256" i="6"/>
  <c r="B256" i="6"/>
  <c r="C256" i="6"/>
  <c r="G256" i="6"/>
  <c r="E256" i="6" s="1"/>
  <c r="H256" i="6"/>
  <c r="I256" i="6"/>
  <c r="J256" i="6"/>
  <c r="K256" i="6"/>
  <c r="L256" i="6"/>
  <c r="M256" i="6" a="1"/>
  <c r="M256" i="6"/>
  <c r="N256" i="6" a="1"/>
  <c r="N256" i="6"/>
  <c r="O256" i="6"/>
  <c r="P256" i="6"/>
  <c r="Q256" i="6"/>
  <c r="R256" i="6"/>
  <c r="AB256" i="6"/>
  <c r="A257" i="6"/>
  <c r="B257" i="6"/>
  <c r="C257" i="6"/>
  <c r="G257" i="6"/>
  <c r="H257" i="6"/>
  <c r="J257" i="6"/>
  <c r="K257" i="6"/>
  <c r="L257" i="6"/>
  <c r="M257" i="6" a="1"/>
  <c r="M257" i="6" s="1"/>
  <c r="N257" i="6" a="1"/>
  <c r="N257" i="6"/>
  <c r="O257" i="6"/>
  <c r="P257" i="6"/>
  <c r="Q257" i="6"/>
  <c r="R257" i="6"/>
  <c r="A258" i="6"/>
  <c r="B258" i="6"/>
  <c r="C258" i="6"/>
  <c r="G258" i="6"/>
  <c r="K258" i="6"/>
  <c r="L258" i="6"/>
  <c r="M258" i="6" a="1"/>
  <c r="M258" i="6" s="1"/>
  <c r="N258" i="6" a="1"/>
  <c r="N258" i="6"/>
  <c r="O258" i="6"/>
  <c r="P258" i="6"/>
  <c r="Q258" i="6"/>
  <c r="R258" i="6"/>
  <c r="AB258" i="6"/>
  <c r="A259" i="6"/>
  <c r="B259" i="6"/>
  <c r="C259" i="6"/>
  <c r="G259" i="6"/>
  <c r="E259" i="6" s="1"/>
  <c r="H259" i="6"/>
  <c r="I259" i="6"/>
  <c r="J259" i="6"/>
  <c r="K259" i="6"/>
  <c r="L259" i="6"/>
  <c r="M259" i="6" a="1"/>
  <c r="M259" i="6"/>
  <c r="N259" i="6" a="1"/>
  <c r="N259" i="6" s="1"/>
  <c r="O259" i="6"/>
  <c r="P259" i="6"/>
  <c r="Q259" i="6"/>
  <c r="R259" i="6"/>
  <c r="AB259" i="6" s="1"/>
  <c r="S259" i="6"/>
  <c r="A260" i="6"/>
  <c r="B260" i="6"/>
  <c r="C260" i="6"/>
  <c r="G260" i="6"/>
  <c r="H260" i="6"/>
  <c r="J260" i="6"/>
  <c r="K260" i="6"/>
  <c r="L260" i="6"/>
  <c r="M260" i="6" a="1"/>
  <c r="M260" i="6" s="1"/>
  <c r="N260" i="6" a="1"/>
  <c r="N260" i="6"/>
  <c r="O260" i="6"/>
  <c r="P260" i="6"/>
  <c r="Q260" i="6"/>
  <c r="R260" i="6"/>
  <c r="A261" i="6"/>
  <c r="B261" i="6"/>
  <c r="C261" i="6"/>
  <c r="G261" i="6"/>
  <c r="H261" i="6" s="1"/>
  <c r="I261" i="6"/>
  <c r="K261" i="6"/>
  <c r="L261" i="6"/>
  <c r="M261" i="6" a="1"/>
  <c r="M261" i="6"/>
  <c r="N261" i="6" a="1"/>
  <c r="N261" i="6"/>
  <c r="O261" i="6"/>
  <c r="P261" i="6"/>
  <c r="Q261" i="6"/>
  <c r="R261" i="6"/>
  <c r="A262" i="6"/>
  <c r="B262" i="6"/>
  <c r="C262" i="6"/>
  <c r="G262" i="6"/>
  <c r="E262" i="6" s="1"/>
  <c r="H262" i="6"/>
  <c r="I262" i="6"/>
  <c r="J262" i="6"/>
  <c r="K262" i="6"/>
  <c r="L262" i="6"/>
  <c r="M262" i="6" a="1"/>
  <c r="M262" i="6"/>
  <c r="N262" i="6" a="1"/>
  <c r="N262" i="6"/>
  <c r="O262" i="6"/>
  <c r="P262" i="6"/>
  <c r="Q262" i="6"/>
  <c r="R262" i="6"/>
  <c r="AB262" i="6"/>
  <c r="A263" i="6"/>
  <c r="B263" i="6"/>
  <c r="C263" i="6"/>
  <c r="G263" i="6"/>
  <c r="K263" i="6"/>
  <c r="L263" i="6"/>
  <c r="M263" i="6" a="1"/>
  <c r="M263" i="6"/>
  <c r="N263" i="6" a="1"/>
  <c r="N263" i="6"/>
  <c r="O263" i="6"/>
  <c r="P263" i="6"/>
  <c r="Q263" i="6"/>
  <c r="R263" i="6"/>
  <c r="A264" i="6"/>
  <c r="B264" i="6"/>
  <c r="C264" i="6"/>
  <c r="G264" i="6"/>
  <c r="J264" i="6" s="1"/>
  <c r="K264" i="6"/>
  <c r="L264" i="6"/>
  <c r="M264" i="6" a="1"/>
  <c r="M264" i="6" s="1"/>
  <c r="N264" i="6" a="1"/>
  <c r="N264" i="6"/>
  <c r="O264" i="6"/>
  <c r="P264" i="6"/>
  <c r="Q264" i="6"/>
  <c r="R264" i="6"/>
  <c r="A265" i="6"/>
  <c r="B265" i="6"/>
  <c r="C265" i="6"/>
  <c r="G265" i="6"/>
  <c r="E265" i="6" s="1"/>
  <c r="H265" i="6"/>
  <c r="I265" i="6"/>
  <c r="J265" i="6"/>
  <c r="K265" i="6"/>
  <c r="L265" i="6"/>
  <c r="M265" i="6" a="1"/>
  <c r="M265" i="6"/>
  <c r="N265" i="6" a="1"/>
  <c r="N265" i="6"/>
  <c r="O265" i="6"/>
  <c r="P265" i="6"/>
  <c r="Q265" i="6"/>
  <c r="R265" i="6"/>
  <c r="A266" i="6"/>
  <c r="B266" i="6"/>
  <c r="C266" i="6"/>
  <c r="G266" i="6"/>
  <c r="H266" i="6" s="1"/>
  <c r="J266" i="6"/>
  <c r="K266" i="6"/>
  <c r="L266" i="6"/>
  <c r="M266" i="6" a="1"/>
  <c r="M266" i="6" s="1"/>
  <c r="N266" i="6" a="1"/>
  <c r="N266" i="6"/>
  <c r="O266" i="6"/>
  <c r="P266" i="6"/>
  <c r="Q266" i="6"/>
  <c r="R266" i="6"/>
  <c r="AB266" i="6"/>
  <c r="A267" i="6"/>
  <c r="B267" i="6"/>
  <c r="C267" i="6"/>
  <c r="G267" i="6"/>
  <c r="K267" i="6"/>
  <c r="L267" i="6"/>
  <c r="M267" i="6" a="1"/>
  <c r="M267" i="6" s="1"/>
  <c r="N267" i="6" a="1"/>
  <c r="N267" i="6" s="1"/>
  <c r="O267" i="6"/>
  <c r="P267" i="6"/>
  <c r="Q267" i="6"/>
  <c r="AB267" i="6" s="1"/>
  <c r="R267" i="6"/>
  <c r="S267" i="6"/>
  <c r="A268" i="6"/>
  <c r="B268" i="6"/>
  <c r="C268" i="6"/>
  <c r="G268" i="6"/>
  <c r="H268" i="6"/>
  <c r="J268" i="6"/>
  <c r="K268" i="6"/>
  <c r="L268" i="6"/>
  <c r="M268" i="6" a="1"/>
  <c r="M268" i="6"/>
  <c r="N268" i="6" a="1"/>
  <c r="N268" i="6"/>
  <c r="O268" i="6"/>
  <c r="P268" i="6"/>
  <c r="Q268" i="6"/>
  <c r="R268" i="6"/>
  <c r="AB268" i="6"/>
  <c r="A269" i="6"/>
  <c r="B269" i="6"/>
  <c r="C269" i="6"/>
  <c r="G269" i="6"/>
  <c r="J269" i="6" s="1"/>
  <c r="H269" i="6"/>
  <c r="K269" i="6"/>
  <c r="L269" i="6"/>
  <c r="M269" i="6" a="1"/>
  <c r="M269" i="6" s="1"/>
  <c r="N269" i="6" a="1"/>
  <c r="N269" i="6"/>
  <c r="O269" i="6"/>
  <c r="P269" i="6"/>
  <c r="Q269" i="6"/>
  <c r="R269" i="6"/>
  <c r="A270" i="6"/>
  <c r="B270" i="6"/>
  <c r="C270" i="6"/>
  <c r="G270" i="6"/>
  <c r="K270" i="6"/>
  <c r="L270" i="6"/>
  <c r="M270" i="6" a="1"/>
  <c r="M270" i="6" s="1"/>
  <c r="N270" i="6" a="1"/>
  <c r="N270" i="6"/>
  <c r="O270" i="6"/>
  <c r="P270" i="6"/>
  <c r="Q270" i="6"/>
  <c r="R270" i="6"/>
  <c r="AB270" i="6"/>
  <c r="A271" i="6"/>
  <c r="B271" i="6"/>
  <c r="C271" i="6"/>
  <c r="G271" i="6"/>
  <c r="K271" i="6"/>
  <c r="L271" i="6"/>
  <c r="M271" i="6" a="1"/>
  <c r="M271" i="6"/>
  <c r="N271" i="6" a="1"/>
  <c r="N271" i="6" s="1"/>
  <c r="S271" i="6" s="1"/>
  <c r="O271" i="6"/>
  <c r="P271" i="6"/>
  <c r="Q271" i="6"/>
  <c r="R271" i="6"/>
  <c r="AB271" i="6" s="1"/>
  <c r="A272" i="6"/>
  <c r="B272" i="6"/>
  <c r="C272" i="6"/>
  <c r="G272" i="6"/>
  <c r="H272" i="6"/>
  <c r="J272" i="6"/>
  <c r="K272" i="6"/>
  <c r="L272" i="6"/>
  <c r="M272" i="6" a="1"/>
  <c r="M272" i="6" s="1"/>
  <c r="N272" i="6" a="1"/>
  <c r="N272" i="6"/>
  <c r="O272" i="6"/>
  <c r="P272" i="6"/>
  <c r="Q272" i="6"/>
  <c r="R272" i="6"/>
  <c r="A273" i="6"/>
  <c r="B273" i="6"/>
  <c r="C273" i="6"/>
  <c r="G273" i="6"/>
  <c r="K273" i="6"/>
  <c r="L273" i="6"/>
  <c r="M273" i="6" a="1"/>
  <c r="M273" i="6"/>
  <c r="N273" i="6" a="1"/>
  <c r="N273" i="6"/>
  <c r="O273" i="6"/>
  <c r="P273" i="6"/>
  <c r="Q273" i="6"/>
  <c r="R273" i="6"/>
  <c r="A274" i="6"/>
  <c r="B274" i="6"/>
  <c r="C274" i="6"/>
  <c r="G274" i="6"/>
  <c r="H274" i="6"/>
  <c r="I274" i="6"/>
  <c r="K274" i="6"/>
  <c r="L274" i="6"/>
  <c r="M274" i="6" a="1"/>
  <c r="M274" i="6"/>
  <c r="N274" i="6" a="1"/>
  <c r="N274" i="6"/>
  <c r="O274" i="6"/>
  <c r="P274" i="6"/>
  <c r="Q274" i="6"/>
  <c r="R274" i="6"/>
  <c r="AB274" i="6"/>
  <c r="A275" i="6"/>
  <c r="B275" i="6"/>
  <c r="C275" i="6"/>
  <c r="G275" i="6"/>
  <c r="J275" i="6" s="1"/>
  <c r="K275" i="6"/>
  <c r="L275" i="6"/>
  <c r="M275" i="6" a="1"/>
  <c r="M275" i="6"/>
  <c r="N275" i="6" a="1"/>
  <c r="N275" i="6"/>
  <c r="O275" i="6"/>
  <c r="P275" i="6"/>
  <c r="Q275" i="6"/>
  <c r="R275" i="6"/>
  <c r="A276" i="6"/>
  <c r="B276" i="6"/>
  <c r="C276" i="6"/>
  <c r="G276" i="6"/>
  <c r="J276" i="6" s="1"/>
  <c r="K276" i="6"/>
  <c r="L276" i="6"/>
  <c r="M276" i="6" a="1"/>
  <c r="M276" i="6" s="1"/>
  <c r="N276" i="6" a="1"/>
  <c r="N276" i="6"/>
  <c r="O276" i="6"/>
  <c r="P276" i="6"/>
  <c r="Q276" i="6"/>
  <c r="R276" i="6"/>
  <c r="A277" i="6"/>
  <c r="B277" i="6"/>
  <c r="C277" i="6"/>
  <c r="G277" i="6"/>
  <c r="E277" i="6" s="1"/>
  <c r="K277" i="6"/>
  <c r="L277" i="6"/>
  <c r="M277" i="6" a="1"/>
  <c r="M277" i="6"/>
  <c r="N277" i="6" a="1"/>
  <c r="N277" i="6"/>
  <c r="O277" i="6"/>
  <c r="P277" i="6"/>
  <c r="Q277" i="6"/>
  <c r="R277" i="6"/>
  <c r="A278" i="6"/>
  <c r="B278" i="6"/>
  <c r="C278" i="6"/>
  <c r="G278" i="6"/>
  <c r="H278" i="6"/>
  <c r="J278" i="6"/>
  <c r="K278" i="6"/>
  <c r="L278" i="6"/>
  <c r="M278" i="6" a="1"/>
  <c r="M278" i="6" s="1"/>
  <c r="N278" i="6" a="1"/>
  <c r="N278" i="6"/>
  <c r="O278" i="6"/>
  <c r="P278" i="6"/>
  <c r="Q278" i="6"/>
  <c r="R278" i="6"/>
  <c r="AB278" i="6"/>
  <c r="A279" i="6"/>
  <c r="B279" i="6"/>
  <c r="C279" i="6"/>
  <c r="G279" i="6"/>
  <c r="I279" i="6"/>
  <c r="K279" i="6"/>
  <c r="L279" i="6"/>
  <c r="M279" i="6" a="1"/>
  <c r="M279" i="6" s="1"/>
  <c r="N279" i="6" a="1"/>
  <c r="N279" i="6" s="1"/>
  <c r="O279" i="6"/>
  <c r="P279" i="6"/>
  <c r="Q279" i="6"/>
  <c r="AB279" i="6" s="1"/>
  <c r="R279" i="6"/>
  <c r="S279" i="6"/>
  <c r="A280" i="6"/>
  <c r="B280" i="6"/>
  <c r="C280" i="6"/>
  <c r="G280" i="6"/>
  <c r="E280" i="6" s="1"/>
  <c r="H280" i="6"/>
  <c r="I280" i="6"/>
  <c r="J280" i="6"/>
  <c r="K280" i="6"/>
  <c r="L280" i="6"/>
  <c r="M280" i="6" a="1"/>
  <c r="M280" i="6"/>
  <c r="N280" i="6" a="1"/>
  <c r="N280" i="6"/>
  <c r="S280" i="6" s="1"/>
  <c r="O280" i="6"/>
  <c r="P280" i="6"/>
  <c r="Q280" i="6"/>
  <c r="R280" i="6"/>
  <c r="AB280" i="6"/>
  <c r="A281" i="6"/>
  <c r="B281" i="6"/>
  <c r="C281" i="6"/>
  <c r="G281" i="6"/>
  <c r="J281" i="6" s="1"/>
  <c r="H281" i="6"/>
  <c r="K281" i="6"/>
  <c r="L281" i="6"/>
  <c r="M281" i="6" a="1"/>
  <c r="M281" i="6" s="1"/>
  <c r="N281" i="6" a="1"/>
  <c r="N281" i="6"/>
  <c r="O281" i="6"/>
  <c r="P281" i="6"/>
  <c r="Q281" i="6"/>
  <c r="R281" i="6"/>
  <c r="A282" i="6"/>
  <c r="B282" i="6"/>
  <c r="C282" i="6"/>
  <c r="G282" i="6"/>
  <c r="K282" i="6"/>
  <c r="L282" i="6"/>
  <c r="M282" i="6" a="1"/>
  <c r="M282" i="6" s="1"/>
  <c r="N282" i="6" a="1"/>
  <c r="N282" i="6"/>
  <c r="O282" i="6"/>
  <c r="P282" i="6"/>
  <c r="Q282" i="6"/>
  <c r="R282" i="6"/>
  <c r="AB282" i="6"/>
  <c r="A283" i="6"/>
  <c r="B283" i="6"/>
  <c r="C283" i="6"/>
  <c r="G283" i="6"/>
  <c r="H283" i="6"/>
  <c r="J283" i="6"/>
  <c r="K283" i="6"/>
  <c r="L283" i="6"/>
  <c r="M283" i="6" a="1"/>
  <c r="M283" i="6"/>
  <c r="N283" i="6" a="1"/>
  <c r="N283" i="6" s="1"/>
  <c r="S283" i="6" s="1"/>
  <c r="O283" i="6"/>
  <c r="P283" i="6"/>
  <c r="Q283" i="6"/>
  <c r="R283" i="6"/>
  <c r="AB283" i="6" s="1"/>
  <c r="A284" i="6"/>
  <c r="B284" i="6"/>
  <c r="C284" i="6"/>
  <c r="G284" i="6"/>
  <c r="H284" i="6" s="1"/>
  <c r="K284" i="6"/>
  <c r="L284" i="6"/>
  <c r="M284" i="6" a="1"/>
  <c r="M284" i="6" s="1"/>
  <c r="N284" i="6" a="1"/>
  <c r="N284" i="6"/>
  <c r="O284" i="6"/>
  <c r="P284" i="6"/>
  <c r="Q284" i="6"/>
  <c r="R284" i="6"/>
  <c r="A285" i="6"/>
  <c r="B285" i="6"/>
  <c r="C285" i="6"/>
  <c r="G285" i="6"/>
  <c r="J285" i="6"/>
  <c r="K285" i="6"/>
  <c r="L285" i="6"/>
  <c r="M285" i="6" a="1"/>
  <c r="M285" i="6"/>
  <c r="N285" i="6" a="1"/>
  <c r="N285" i="6"/>
  <c r="O285" i="6"/>
  <c r="P285" i="6"/>
  <c r="Q285" i="6"/>
  <c r="R285" i="6"/>
  <c r="A286" i="6"/>
  <c r="B286" i="6"/>
  <c r="C286" i="6"/>
  <c r="G286" i="6"/>
  <c r="K286" i="6"/>
  <c r="L286" i="6"/>
  <c r="M286" i="6" a="1"/>
  <c r="M286" i="6"/>
  <c r="N286" i="6" a="1"/>
  <c r="N286" i="6"/>
  <c r="O286" i="6"/>
  <c r="P286" i="6"/>
  <c r="Q286" i="6"/>
  <c r="R286" i="6"/>
  <c r="AB286" i="6"/>
  <c r="A287" i="6"/>
  <c r="B287" i="6"/>
  <c r="C287" i="6"/>
  <c r="G287" i="6"/>
  <c r="K287" i="6"/>
  <c r="L287" i="6"/>
  <c r="M287" i="6" a="1"/>
  <c r="M287" i="6"/>
  <c r="N287" i="6" a="1"/>
  <c r="N287" i="6"/>
  <c r="O287" i="6"/>
  <c r="P287" i="6"/>
  <c r="Q287" i="6"/>
  <c r="R287" i="6"/>
  <c r="A288" i="6"/>
  <c r="B288" i="6"/>
  <c r="C288" i="6"/>
  <c r="G288" i="6"/>
  <c r="J288" i="6" s="1"/>
  <c r="K288" i="6"/>
  <c r="L288" i="6"/>
  <c r="M288" i="6" a="1"/>
  <c r="M288" i="6" s="1"/>
  <c r="N288" i="6" a="1"/>
  <c r="N288" i="6"/>
  <c r="O288" i="6"/>
  <c r="P288" i="6"/>
  <c r="Q288" i="6"/>
  <c r="R288" i="6"/>
  <c r="A289" i="6"/>
  <c r="B289" i="6"/>
  <c r="C289" i="6"/>
  <c r="G289" i="6"/>
  <c r="E289" i="6" s="1"/>
  <c r="H289" i="6"/>
  <c r="I289" i="6"/>
  <c r="J289" i="6"/>
  <c r="K289" i="6"/>
  <c r="L289" i="6"/>
  <c r="M289" i="6" a="1"/>
  <c r="M289" i="6"/>
  <c r="N289" i="6" a="1"/>
  <c r="N289" i="6"/>
  <c r="O289" i="6"/>
  <c r="P289" i="6"/>
  <c r="Q289" i="6"/>
  <c r="R289" i="6"/>
  <c r="A290" i="6"/>
  <c r="B290" i="6"/>
  <c r="C290" i="6"/>
  <c r="G290" i="6"/>
  <c r="H290" i="6"/>
  <c r="J290" i="6"/>
  <c r="K290" i="6"/>
  <c r="L290" i="6"/>
  <c r="M290" i="6" a="1"/>
  <c r="M290" i="6" s="1"/>
  <c r="N290" i="6" a="1"/>
  <c r="N290" i="6"/>
  <c r="O290" i="6"/>
  <c r="P290" i="6"/>
  <c r="Q290" i="6"/>
  <c r="R290" i="6"/>
  <c r="AB290" i="6"/>
  <c r="A291" i="6"/>
  <c r="B291" i="6"/>
  <c r="C291" i="6"/>
  <c r="G291" i="6"/>
  <c r="K291" i="6"/>
  <c r="L291" i="6"/>
  <c r="M291" i="6" a="1"/>
  <c r="M291" i="6" s="1"/>
  <c r="N291" i="6" a="1"/>
  <c r="N291" i="6" s="1"/>
  <c r="O291" i="6"/>
  <c r="P291" i="6"/>
  <c r="Q291" i="6"/>
  <c r="AB291" i="6" s="1"/>
  <c r="R291" i="6"/>
  <c r="S291" i="6"/>
  <c r="A292" i="6"/>
  <c r="B292" i="6"/>
  <c r="C292" i="6"/>
  <c r="G292" i="6"/>
  <c r="K292" i="6"/>
  <c r="L292" i="6"/>
  <c r="M292" i="6" a="1"/>
  <c r="M292" i="6"/>
  <c r="N292" i="6" a="1"/>
  <c r="N292" i="6"/>
  <c r="O292" i="6"/>
  <c r="P292" i="6"/>
  <c r="Q292" i="6"/>
  <c r="R292" i="6"/>
  <c r="AB292" i="6"/>
  <c r="A293" i="6"/>
  <c r="B293" i="6"/>
  <c r="C293" i="6"/>
  <c r="G293" i="6"/>
  <c r="H293" i="6" s="1"/>
  <c r="J293" i="6"/>
  <c r="K293" i="6"/>
  <c r="L293" i="6"/>
  <c r="M293" i="6" a="1"/>
  <c r="M293" i="6" s="1"/>
  <c r="N293" i="6" a="1"/>
  <c r="N293" i="6"/>
  <c r="O293" i="6"/>
  <c r="P293" i="6"/>
  <c r="Q293" i="6"/>
  <c r="R293" i="6"/>
  <c r="A294" i="6"/>
  <c r="B294" i="6"/>
  <c r="C294" i="6"/>
  <c r="G294" i="6"/>
  <c r="K294" i="6"/>
  <c r="L294" i="6"/>
  <c r="M294" i="6" a="1"/>
  <c r="M294" i="6" s="1"/>
  <c r="N294" i="6" a="1"/>
  <c r="N294" i="6"/>
  <c r="O294" i="6"/>
  <c r="P294" i="6"/>
  <c r="Q294" i="6"/>
  <c r="R294" i="6"/>
  <c r="AB294" i="6"/>
  <c r="A295" i="6"/>
  <c r="B295" i="6"/>
  <c r="C295" i="6"/>
  <c r="G295" i="6"/>
  <c r="H295" i="6"/>
  <c r="J295" i="6"/>
  <c r="K295" i="6"/>
  <c r="L295" i="6"/>
  <c r="M295" i="6" a="1"/>
  <c r="M295" i="6"/>
  <c r="N295" i="6" a="1"/>
  <c r="N295" i="6" s="1"/>
  <c r="O295" i="6"/>
  <c r="P295" i="6"/>
  <c r="Q295" i="6"/>
  <c r="R295" i="6"/>
  <c r="AB295" i="6" s="1"/>
  <c r="S295" i="6"/>
  <c r="A296" i="6"/>
  <c r="B296" i="6"/>
  <c r="C296" i="6"/>
  <c r="G296" i="6"/>
  <c r="H296" i="6" s="1"/>
  <c r="J296" i="6"/>
  <c r="K296" i="6"/>
  <c r="L296" i="6"/>
  <c r="M296" i="6" a="1"/>
  <c r="M296" i="6" s="1"/>
  <c r="N296" i="6" a="1"/>
  <c r="N296" i="6"/>
  <c r="O296" i="6"/>
  <c r="P296" i="6"/>
  <c r="Q296" i="6"/>
  <c r="R296" i="6"/>
  <c r="A297" i="6"/>
  <c r="B297" i="6"/>
  <c r="C297" i="6"/>
  <c r="G297" i="6"/>
  <c r="E297" i="6" s="1"/>
  <c r="H297" i="6"/>
  <c r="I297" i="6"/>
  <c r="J297" i="6"/>
  <c r="K297" i="6"/>
  <c r="L297" i="6"/>
  <c r="M297" i="6" a="1"/>
  <c r="M297" i="6"/>
  <c r="N297" i="6" a="1"/>
  <c r="N297" i="6"/>
  <c r="O297" i="6"/>
  <c r="P297" i="6"/>
  <c r="Q297" i="6"/>
  <c r="R297" i="6"/>
  <c r="A298" i="6"/>
  <c r="B298" i="6"/>
  <c r="C298" i="6"/>
  <c r="G298" i="6"/>
  <c r="I298" i="6"/>
  <c r="J298" i="6"/>
  <c r="K298" i="6"/>
  <c r="L298" i="6"/>
  <c r="M298" i="6" a="1"/>
  <c r="M298" i="6"/>
  <c r="N298" i="6" a="1"/>
  <c r="N298" i="6"/>
  <c r="O298" i="6"/>
  <c r="P298" i="6"/>
  <c r="Q298" i="6"/>
  <c r="R298" i="6"/>
  <c r="AB298" i="6"/>
  <c r="A299" i="6"/>
  <c r="B299" i="6"/>
  <c r="C299" i="6"/>
  <c r="G299" i="6"/>
  <c r="K299" i="6"/>
  <c r="L299" i="6"/>
  <c r="M299" i="6" a="1"/>
  <c r="M299" i="6"/>
  <c r="N299" i="6" a="1"/>
  <c r="N299" i="6"/>
  <c r="O299" i="6"/>
  <c r="P299" i="6"/>
  <c r="Q299" i="6"/>
  <c r="R299" i="6"/>
  <c r="A300" i="6"/>
  <c r="B300" i="6"/>
  <c r="C300" i="6"/>
  <c r="G300" i="6"/>
  <c r="J300" i="6"/>
  <c r="K300" i="6"/>
  <c r="L300" i="6"/>
  <c r="M300" i="6" a="1"/>
  <c r="M300" i="6" s="1"/>
  <c r="N300" i="6" a="1"/>
  <c r="N300" i="6"/>
  <c r="O300" i="6"/>
  <c r="P300" i="6"/>
  <c r="Q300" i="6"/>
  <c r="R300" i="6"/>
  <c r="A301" i="6"/>
  <c r="B301" i="6"/>
  <c r="C301" i="6"/>
  <c r="G301" i="6"/>
  <c r="K301" i="6"/>
  <c r="L301" i="6"/>
  <c r="M301" i="6" a="1"/>
  <c r="M301" i="6"/>
  <c r="N301" i="6" a="1"/>
  <c r="N301" i="6"/>
  <c r="O301" i="6"/>
  <c r="P301" i="6"/>
  <c r="Q301" i="6"/>
  <c r="R301" i="6"/>
  <c r="A302" i="6"/>
  <c r="B302" i="6"/>
  <c r="C302" i="6"/>
  <c r="G302" i="6"/>
  <c r="H302" i="6"/>
  <c r="J302" i="6"/>
  <c r="K302" i="6"/>
  <c r="L302" i="6"/>
  <c r="M302" i="6" a="1"/>
  <c r="M302" i="6" s="1"/>
  <c r="N302" i="6" a="1"/>
  <c r="N302" i="6"/>
  <c r="O302" i="6"/>
  <c r="P302" i="6"/>
  <c r="Q302" i="6"/>
  <c r="R302" i="6"/>
  <c r="AB302" i="6"/>
  <c r="A303" i="6"/>
  <c r="B303" i="6"/>
  <c r="C303" i="6"/>
  <c r="G303" i="6"/>
  <c r="K303" i="6"/>
  <c r="L303" i="6"/>
  <c r="M303" i="6" a="1"/>
  <c r="M303" i="6" s="1"/>
  <c r="N303" i="6" a="1"/>
  <c r="N303" i="6" s="1"/>
  <c r="O303" i="6"/>
  <c r="P303" i="6"/>
  <c r="Q303" i="6"/>
  <c r="AB303" i="6" s="1"/>
  <c r="R303" i="6"/>
  <c r="S303" i="6"/>
  <c r="A304" i="6"/>
  <c r="B304" i="6"/>
  <c r="C304" i="6"/>
  <c r="G304" i="6"/>
  <c r="E304" i="6" s="1"/>
  <c r="H304" i="6"/>
  <c r="I304" i="6"/>
  <c r="J304" i="6"/>
  <c r="K304" i="6"/>
  <c r="L304" i="6"/>
  <c r="M304" i="6" a="1"/>
  <c r="M304" i="6"/>
  <c r="N304" i="6" a="1"/>
  <c r="N304" i="6"/>
  <c r="O304" i="6"/>
  <c r="P304" i="6"/>
  <c r="Q304" i="6"/>
  <c r="R304" i="6"/>
  <c r="AB304" i="6"/>
  <c r="A305" i="6"/>
  <c r="B305" i="6"/>
  <c r="C305" i="6"/>
  <c r="G305" i="6"/>
  <c r="H305" i="6"/>
  <c r="J305" i="6"/>
  <c r="K305" i="6"/>
  <c r="L305" i="6"/>
  <c r="M305" i="6" a="1"/>
  <c r="M305" i="6" s="1"/>
  <c r="N305" i="6" a="1"/>
  <c r="N305" i="6"/>
  <c r="O305" i="6"/>
  <c r="P305" i="6"/>
  <c r="Q305" i="6"/>
  <c r="R305" i="6"/>
  <c r="A306" i="6"/>
  <c r="B306" i="6"/>
  <c r="C306" i="6"/>
  <c r="G306" i="6"/>
  <c r="K306" i="6"/>
  <c r="L306" i="6"/>
  <c r="M306" i="6" a="1"/>
  <c r="M306" i="6" s="1"/>
  <c r="N306" i="6" a="1"/>
  <c r="N306" i="6"/>
  <c r="O306" i="6"/>
  <c r="P306" i="6"/>
  <c r="Q306" i="6"/>
  <c r="R306" i="6"/>
  <c r="AB306" i="6"/>
  <c r="A307" i="6"/>
  <c r="B307" i="6"/>
  <c r="C307" i="6"/>
  <c r="G307" i="6"/>
  <c r="E307" i="6" s="1"/>
  <c r="H307" i="6"/>
  <c r="I307" i="6"/>
  <c r="J307" i="6"/>
  <c r="K307" i="6"/>
  <c r="L307" i="6"/>
  <c r="M307" i="6" a="1"/>
  <c r="M307" i="6"/>
  <c r="N307" i="6" a="1"/>
  <c r="N307" i="6" s="1"/>
  <c r="S307" i="6" s="1"/>
  <c r="O307" i="6"/>
  <c r="P307" i="6"/>
  <c r="Q307" i="6"/>
  <c r="R307" i="6"/>
  <c r="AB307" i="6" s="1"/>
  <c r="A308" i="6"/>
  <c r="B308" i="6"/>
  <c r="C308" i="6"/>
  <c r="G308" i="6"/>
  <c r="J308" i="6" s="1"/>
  <c r="K308" i="6"/>
  <c r="L308" i="6"/>
  <c r="M308" i="6" a="1"/>
  <c r="M308" i="6" s="1"/>
  <c r="N308" i="6" a="1"/>
  <c r="N308" i="6"/>
  <c r="O308" i="6"/>
  <c r="P308" i="6"/>
  <c r="Q308" i="6"/>
  <c r="R308" i="6"/>
  <c r="A309" i="6"/>
  <c r="B309" i="6"/>
  <c r="C309" i="6"/>
  <c r="G309" i="6"/>
  <c r="K309" i="6"/>
  <c r="L309" i="6"/>
  <c r="M309" i="6" a="1"/>
  <c r="M309" i="6" s="1"/>
  <c r="N309" i="6" a="1"/>
  <c r="N309" i="6" s="1"/>
  <c r="O309" i="6"/>
  <c r="P309" i="6"/>
  <c r="Q309" i="6"/>
  <c r="R309" i="6"/>
  <c r="A310" i="6"/>
  <c r="B310" i="6"/>
  <c r="C310" i="6"/>
  <c r="G310" i="6"/>
  <c r="E310" i="6" s="1"/>
  <c r="H310" i="6"/>
  <c r="I310" i="6"/>
  <c r="J310" i="6"/>
  <c r="K310" i="6"/>
  <c r="L310" i="6"/>
  <c r="M310" i="6" a="1"/>
  <c r="M310" i="6"/>
  <c r="N310" i="6" a="1"/>
  <c r="N310" i="6" s="1"/>
  <c r="S310" i="6" s="1"/>
  <c r="O310" i="6"/>
  <c r="P310" i="6"/>
  <c r="Q310" i="6"/>
  <c r="R310" i="6"/>
  <c r="AB310" i="6"/>
  <c r="A311" i="6"/>
  <c r="B311" i="6"/>
  <c r="C311" i="6"/>
  <c r="G311" i="6"/>
  <c r="J311" i="6"/>
  <c r="K311" i="6"/>
  <c r="L311" i="6"/>
  <c r="M311" i="6" a="1"/>
  <c r="M311" i="6"/>
  <c r="N311" i="6" a="1"/>
  <c r="N311" i="6"/>
  <c r="O311" i="6"/>
  <c r="P311" i="6"/>
  <c r="Q311" i="6"/>
  <c r="R311" i="6"/>
  <c r="A312" i="6"/>
  <c r="B312" i="6"/>
  <c r="C312" i="6"/>
  <c r="G312" i="6"/>
  <c r="I312" i="6"/>
  <c r="K312" i="6"/>
  <c r="L312" i="6"/>
  <c r="M312" i="6" a="1"/>
  <c r="M312" i="6" s="1"/>
  <c r="N312" i="6" a="1"/>
  <c r="N312" i="6"/>
  <c r="O312" i="6"/>
  <c r="P312" i="6"/>
  <c r="Q312" i="6"/>
  <c r="R312" i="6"/>
  <c r="AB312" i="6"/>
  <c r="A313" i="6"/>
  <c r="B313" i="6"/>
  <c r="C313" i="6"/>
  <c r="G313" i="6"/>
  <c r="E313" i="6" s="1"/>
  <c r="H313" i="6"/>
  <c r="I313" i="6"/>
  <c r="J313" i="6"/>
  <c r="K313" i="6"/>
  <c r="L313" i="6"/>
  <c r="M313" i="6" a="1"/>
  <c r="M313" i="6"/>
  <c r="N313" i="6" a="1"/>
  <c r="N313" i="6" s="1"/>
  <c r="S313" i="6" s="1"/>
  <c r="O313" i="6"/>
  <c r="P313" i="6"/>
  <c r="Q313" i="6"/>
  <c r="R313" i="6"/>
  <c r="AB313" i="6"/>
  <c r="A314" i="6"/>
  <c r="B314" i="6"/>
  <c r="C314" i="6"/>
  <c r="G314" i="6"/>
  <c r="H314" i="6" s="1"/>
  <c r="K314" i="6"/>
  <c r="L314" i="6"/>
  <c r="M314" i="6" a="1"/>
  <c r="M314" i="6" s="1"/>
  <c r="N314" i="6" a="1"/>
  <c r="N314" i="6"/>
  <c r="O314" i="6"/>
  <c r="P314" i="6"/>
  <c r="Q314" i="6"/>
  <c r="R314" i="6"/>
  <c r="AB314" i="6"/>
  <c r="A315" i="6"/>
  <c r="B315" i="6"/>
  <c r="C315" i="6"/>
  <c r="G315" i="6"/>
  <c r="I315" i="6"/>
  <c r="K315" i="6"/>
  <c r="L315" i="6"/>
  <c r="M315" i="6" a="1"/>
  <c r="M315" i="6" s="1"/>
  <c r="N315" i="6" a="1"/>
  <c r="N315" i="6" s="1"/>
  <c r="O315" i="6"/>
  <c r="P315" i="6"/>
  <c r="Q315" i="6"/>
  <c r="AB315" i="6" s="1"/>
  <c r="R315" i="6"/>
  <c r="A316" i="6"/>
  <c r="B316" i="6"/>
  <c r="C316" i="6"/>
  <c r="G316" i="6"/>
  <c r="H316" i="6"/>
  <c r="J316" i="6"/>
  <c r="K316" i="6"/>
  <c r="L316" i="6"/>
  <c r="M316" i="6" a="1"/>
  <c r="M316" i="6"/>
  <c r="N316" i="6" a="1"/>
  <c r="N316" i="6" s="1"/>
  <c r="O316" i="6"/>
  <c r="P316" i="6"/>
  <c r="Q316" i="6"/>
  <c r="R316" i="6"/>
  <c r="S316" i="6"/>
  <c r="AB316" i="6"/>
  <c r="A317" i="6"/>
  <c r="B317" i="6"/>
  <c r="C317" i="6"/>
  <c r="G317" i="6"/>
  <c r="K317" i="6"/>
  <c r="L317" i="6"/>
  <c r="M317" i="6" a="1"/>
  <c r="M317" i="6"/>
  <c r="N317" i="6" a="1"/>
  <c r="N317" i="6"/>
  <c r="O317" i="6"/>
  <c r="P317" i="6"/>
  <c r="Q317" i="6"/>
  <c r="R317" i="6"/>
  <c r="A318" i="6"/>
  <c r="B318" i="6"/>
  <c r="C318" i="6"/>
  <c r="G318" i="6"/>
  <c r="I318" i="6"/>
  <c r="K318" i="6"/>
  <c r="L318" i="6"/>
  <c r="M318" i="6" a="1"/>
  <c r="M318" i="6" s="1"/>
  <c r="N318" i="6" a="1"/>
  <c r="N318" i="6"/>
  <c r="S318" i="6" s="1"/>
  <c r="O318" i="6"/>
  <c r="P318" i="6"/>
  <c r="Q318" i="6"/>
  <c r="AB318" i="6" s="1"/>
  <c r="R318" i="6"/>
  <c r="A319" i="6"/>
  <c r="B319" i="6"/>
  <c r="C319" i="6"/>
  <c r="G319" i="6"/>
  <c r="E319" i="6" s="1"/>
  <c r="H319" i="6"/>
  <c r="I319" i="6"/>
  <c r="J319" i="6"/>
  <c r="K319" i="6"/>
  <c r="L319" i="6"/>
  <c r="M319" i="6" a="1"/>
  <c r="M319" i="6"/>
  <c r="N319" i="6" a="1"/>
  <c r="N319" i="6" s="1"/>
  <c r="S319" i="6" s="1"/>
  <c r="O319" i="6"/>
  <c r="P319" i="6"/>
  <c r="Q319" i="6"/>
  <c r="R319" i="6"/>
  <c r="AB319" i="6"/>
  <c r="A320" i="6"/>
  <c r="B320" i="6"/>
  <c r="C320" i="6"/>
  <c r="G320" i="6"/>
  <c r="H320" i="6" s="1"/>
  <c r="K320" i="6"/>
  <c r="L320" i="6"/>
  <c r="M320" i="6" a="1"/>
  <c r="M320" i="6" s="1"/>
  <c r="N320" i="6" a="1"/>
  <c r="N320" i="6"/>
  <c r="O320" i="6"/>
  <c r="P320" i="6"/>
  <c r="Q320" i="6"/>
  <c r="R320" i="6"/>
  <c r="AB320" i="6"/>
  <c r="A321" i="6"/>
  <c r="B321" i="6"/>
  <c r="C321" i="6"/>
  <c r="G321" i="6"/>
  <c r="K321" i="6"/>
  <c r="L321" i="6"/>
  <c r="M321" i="6" a="1"/>
  <c r="M321" i="6" s="1"/>
  <c r="N321" i="6" a="1"/>
  <c r="N321" i="6" s="1"/>
  <c r="O321" i="6"/>
  <c r="P321" i="6"/>
  <c r="Q321" i="6"/>
  <c r="AB321" i="6" s="1"/>
  <c r="R321" i="6"/>
  <c r="S321" i="6"/>
  <c r="A322" i="6"/>
  <c r="B322" i="6"/>
  <c r="C322" i="6"/>
  <c r="G322" i="6"/>
  <c r="E322" i="6" s="1"/>
  <c r="H322" i="6"/>
  <c r="I322" i="6"/>
  <c r="J322" i="6"/>
  <c r="K322" i="6"/>
  <c r="L322" i="6"/>
  <c r="M322" i="6" a="1"/>
  <c r="M322" i="6"/>
  <c r="N322" i="6" a="1"/>
  <c r="N322" i="6" s="1"/>
  <c r="O322" i="6"/>
  <c r="P322" i="6"/>
  <c r="Q322" i="6"/>
  <c r="R322" i="6"/>
  <c r="S322" i="6"/>
  <c r="AB322" i="6"/>
  <c r="A323" i="6"/>
  <c r="B323" i="6"/>
  <c r="C323" i="6"/>
  <c r="G323" i="6"/>
  <c r="K323" i="6"/>
  <c r="L323" i="6"/>
  <c r="M323" i="6" a="1"/>
  <c r="M323" i="6"/>
  <c r="N323" i="6" a="1"/>
  <c r="N323" i="6"/>
  <c r="O323" i="6"/>
  <c r="P323" i="6"/>
  <c r="Q323" i="6"/>
  <c r="R323" i="6"/>
  <c r="A324" i="6"/>
  <c r="B324" i="6"/>
  <c r="C324" i="6"/>
  <c r="G324" i="6"/>
  <c r="I324" i="6" s="1"/>
  <c r="K324" i="6"/>
  <c r="L324" i="6"/>
  <c r="M324" i="6" a="1"/>
  <c r="M324" i="6" s="1"/>
  <c r="N324" i="6" a="1"/>
  <c r="N324" i="6"/>
  <c r="O324" i="6"/>
  <c r="P324" i="6"/>
  <c r="Q324" i="6"/>
  <c r="AB324" i="6" s="1"/>
  <c r="R324" i="6"/>
  <c r="A325" i="6"/>
  <c r="B325" i="6"/>
  <c r="C325" i="6"/>
  <c r="G325" i="6"/>
  <c r="H325" i="6"/>
  <c r="J325" i="6"/>
  <c r="K325" i="6"/>
  <c r="L325" i="6"/>
  <c r="M325" i="6" a="1"/>
  <c r="M325" i="6"/>
  <c r="N325" i="6" a="1"/>
  <c r="N325" i="6" s="1"/>
  <c r="O325" i="6"/>
  <c r="P325" i="6"/>
  <c r="Q325" i="6"/>
  <c r="R325" i="6"/>
  <c r="S325" i="6"/>
  <c r="AB325" i="6"/>
  <c r="A326" i="6"/>
  <c r="B326" i="6"/>
  <c r="C326" i="6"/>
  <c r="G326" i="6"/>
  <c r="H326" i="6"/>
  <c r="J326" i="6"/>
  <c r="K326" i="6"/>
  <c r="L326" i="6"/>
  <c r="M326" i="6" a="1"/>
  <c r="M326" i="6" s="1"/>
  <c r="N326" i="6" a="1"/>
  <c r="N326" i="6"/>
  <c r="O326" i="6"/>
  <c r="P326" i="6"/>
  <c r="Q326" i="6"/>
  <c r="R326" i="6"/>
  <c r="AB326" i="6"/>
  <c r="A327" i="6"/>
  <c r="B327" i="6"/>
  <c r="C327" i="6"/>
  <c r="G327" i="6"/>
  <c r="K327" i="6"/>
  <c r="L327" i="6"/>
  <c r="M327" i="6" a="1"/>
  <c r="M327" i="6" s="1"/>
  <c r="N327" i="6" a="1"/>
  <c r="N327" i="6" s="1"/>
  <c r="O327" i="6"/>
  <c r="P327" i="6"/>
  <c r="Q327" i="6"/>
  <c r="AB327" i="6" s="1"/>
  <c r="R327" i="6"/>
  <c r="S327" i="6"/>
  <c r="A328" i="6"/>
  <c r="B328" i="6"/>
  <c r="C328" i="6"/>
  <c r="G328" i="6"/>
  <c r="E328" i="6" s="1"/>
  <c r="I328" i="6"/>
  <c r="J328" i="6"/>
  <c r="K328" i="6"/>
  <c r="L328" i="6"/>
  <c r="M328" i="6" a="1"/>
  <c r="M328" i="6"/>
  <c r="N328" i="6" a="1"/>
  <c r="N328" i="6"/>
  <c r="S328" i="6" s="1"/>
  <c r="O328" i="6"/>
  <c r="P328" i="6"/>
  <c r="Q328" i="6"/>
  <c r="R328" i="6"/>
  <c r="AB328" i="6"/>
  <c r="A329" i="6"/>
  <c r="B329" i="6"/>
  <c r="C329" i="6"/>
  <c r="G329" i="6"/>
  <c r="J329" i="6" s="1"/>
  <c r="K329" i="6"/>
  <c r="L329" i="6"/>
  <c r="M329" i="6" a="1"/>
  <c r="M329" i="6"/>
  <c r="N329" i="6" a="1"/>
  <c r="N329" i="6"/>
  <c r="O329" i="6"/>
  <c r="P329" i="6"/>
  <c r="Q329" i="6"/>
  <c r="R329" i="6"/>
  <c r="A330" i="6"/>
  <c r="B330" i="6"/>
  <c r="C330" i="6"/>
  <c r="G330" i="6"/>
  <c r="I330" i="6"/>
  <c r="K330" i="6"/>
  <c r="L330" i="6"/>
  <c r="M330" i="6" a="1"/>
  <c r="M330" i="6" s="1"/>
  <c r="N330" i="6" a="1"/>
  <c r="N330" i="6"/>
  <c r="O330" i="6"/>
  <c r="P330" i="6"/>
  <c r="Q330" i="6"/>
  <c r="R330" i="6"/>
  <c r="A331" i="6"/>
  <c r="B331" i="6"/>
  <c r="C331" i="6"/>
  <c r="G331" i="6"/>
  <c r="J331" i="6" s="1"/>
  <c r="I331" i="6"/>
  <c r="K331" i="6"/>
  <c r="L331" i="6"/>
  <c r="M331" i="6" a="1"/>
  <c r="M331" i="6" s="1"/>
  <c r="N331" i="6" a="1"/>
  <c r="N331" i="6"/>
  <c r="S331" i="6" s="1"/>
  <c r="O331" i="6"/>
  <c r="P331" i="6"/>
  <c r="Q331" i="6"/>
  <c r="R331" i="6"/>
  <c r="AB331" i="6"/>
  <c r="A332" i="6"/>
  <c r="B332" i="6"/>
  <c r="C332" i="6"/>
  <c r="G332" i="6"/>
  <c r="H332" i="6"/>
  <c r="K332" i="6"/>
  <c r="L332" i="6"/>
  <c r="M332" i="6" a="1"/>
  <c r="M332" i="6"/>
  <c r="N332" i="6" a="1"/>
  <c r="N332" i="6"/>
  <c r="O332" i="6"/>
  <c r="P332" i="6"/>
  <c r="Q332" i="6"/>
  <c r="R332" i="6"/>
  <c r="A333" i="6"/>
  <c r="B333" i="6"/>
  <c r="C333" i="6"/>
  <c r="E333" i="6"/>
  <c r="G333" i="6"/>
  <c r="H333" i="6" s="1"/>
  <c r="I333" i="6"/>
  <c r="J333" i="6"/>
  <c r="K333" i="6"/>
  <c r="L333" i="6"/>
  <c r="M333" i="6" a="1"/>
  <c r="M333" i="6"/>
  <c r="N333" i="6" a="1"/>
  <c r="N333" i="6"/>
  <c r="O333" i="6"/>
  <c r="P333" i="6"/>
  <c r="Q333" i="6"/>
  <c r="R333" i="6"/>
  <c r="S333" i="6" s="1"/>
  <c r="AB333" i="6"/>
  <c r="A334" i="6"/>
  <c r="B334" i="6"/>
  <c r="C334" i="6"/>
  <c r="E334" i="6"/>
  <c r="G334" i="6"/>
  <c r="I334" i="6" s="1"/>
  <c r="K334" i="6"/>
  <c r="L334" i="6"/>
  <c r="M334" i="6" a="1"/>
  <c r="M334" i="6" s="1"/>
  <c r="N334" i="6" a="1"/>
  <c r="N334" i="6"/>
  <c r="O334" i="6"/>
  <c r="P334" i="6"/>
  <c r="Q334" i="6"/>
  <c r="R334" i="6"/>
  <c r="A335" i="6"/>
  <c r="B335" i="6"/>
  <c r="C335" i="6"/>
  <c r="G335" i="6"/>
  <c r="J335" i="6" s="1"/>
  <c r="K335" i="6"/>
  <c r="L335" i="6"/>
  <c r="M335" i="6" a="1"/>
  <c r="M335" i="6" s="1"/>
  <c r="N335" i="6" a="1"/>
  <c r="N335" i="6"/>
  <c r="O335" i="6"/>
  <c r="P335" i="6"/>
  <c r="Q335" i="6"/>
  <c r="S335" i="6" s="1"/>
  <c r="R335" i="6"/>
  <c r="A336" i="6"/>
  <c r="B336" i="6"/>
  <c r="C336" i="6"/>
  <c r="G336" i="6"/>
  <c r="J336" i="6" s="1"/>
  <c r="K336" i="6"/>
  <c r="L336" i="6"/>
  <c r="M336" i="6" a="1"/>
  <c r="M336" i="6" s="1"/>
  <c r="N336" i="6" a="1"/>
  <c r="N336" i="6" s="1"/>
  <c r="O336" i="6"/>
  <c r="P336" i="6"/>
  <c r="Q336" i="6"/>
  <c r="S336" i="6" s="1"/>
  <c r="R336" i="6"/>
  <c r="A337" i="6"/>
  <c r="B337" i="6"/>
  <c r="C337" i="6"/>
  <c r="E337" i="6"/>
  <c r="G337" i="6"/>
  <c r="H337" i="6"/>
  <c r="I337" i="6"/>
  <c r="J337" i="6"/>
  <c r="K337" i="6"/>
  <c r="L337" i="6"/>
  <c r="M337" i="6" a="1"/>
  <c r="M337" i="6"/>
  <c r="N337" i="6" a="1"/>
  <c r="N337" i="6"/>
  <c r="S337" i="6" s="1"/>
  <c r="O337" i="6"/>
  <c r="P337" i="6"/>
  <c r="Q337" i="6"/>
  <c r="R337" i="6"/>
  <c r="AB337" i="6" s="1"/>
  <c r="A338" i="6"/>
  <c r="B338" i="6"/>
  <c r="C338" i="6"/>
  <c r="G338" i="6"/>
  <c r="E338" i="6" s="1"/>
  <c r="K338" i="6"/>
  <c r="L338" i="6"/>
  <c r="M338" i="6" a="1"/>
  <c r="M338" i="6" s="1"/>
  <c r="N338" i="6" a="1"/>
  <c r="N338" i="6"/>
  <c r="O338" i="6"/>
  <c r="P338" i="6"/>
  <c r="Q338" i="6"/>
  <c r="R338" i="6"/>
  <c r="AB338" i="6"/>
  <c r="A339" i="6"/>
  <c r="B339" i="6"/>
  <c r="C339" i="6"/>
  <c r="G339" i="6"/>
  <c r="J339" i="6" s="1"/>
  <c r="K339" i="6"/>
  <c r="L339" i="6"/>
  <c r="M339" i="6" a="1"/>
  <c r="M339" i="6"/>
  <c r="N339" i="6" a="1"/>
  <c r="N339" i="6" s="1"/>
  <c r="O339" i="6"/>
  <c r="P339" i="6"/>
  <c r="Q339" i="6"/>
  <c r="AB339" i="6" s="1"/>
  <c r="R339" i="6"/>
  <c r="S339" i="6"/>
  <c r="A340" i="6"/>
  <c r="B340" i="6"/>
  <c r="C340" i="6"/>
  <c r="G340" i="6"/>
  <c r="H340" i="6" s="1"/>
  <c r="K340" i="6"/>
  <c r="L340" i="6"/>
  <c r="M340" i="6" a="1"/>
  <c r="M340" i="6"/>
  <c r="N340" i="6" a="1"/>
  <c r="N340" i="6"/>
  <c r="O340" i="6"/>
  <c r="P340" i="6"/>
  <c r="Q340" i="6"/>
  <c r="R340" i="6"/>
  <c r="AB340" i="6" s="1"/>
  <c r="A341" i="6"/>
  <c r="B341" i="6"/>
  <c r="C341" i="6"/>
  <c r="G341" i="6"/>
  <c r="J341" i="6"/>
  <c r="K341" i="6"/>
  <c r="L341" i="6"/>
  <c r="M341" i="6" a="1"/>
  <c r="M341" i="6" s="1"/>
  <c r="N341" i="6" a="1"/>
  <c r="N341" i="6"/>
  <c r="O341" i="6"/>
  <c r="P341" i="6"/>
  <c r="Q341" i="6"/>
  <c r="R341" i="6"/>
  <c r="AB341" i="6"/>
  <c r="A342" i="6"/>
  <c r="B342" i="6"/>
  <c r="C342" i="6"/>
  <c r="G342" i="6"/>
  <c r="J342" i="6" s="1"/>
  <c r="H342" i="6"/>
  <c r="I342" i="6"/>
  <c r="K342" i="6"/>
  <c r="L342" i="6"/>
  <c r="M342" i="6" a="1"/>
  <c r="M342" i="6"/>
  <c r="N342" i="6" a="1"/>
  <c r="N342" i="6" s="1"/>
  <c r="S342" i="6" s="1"/>
  <c r="O342" i="6"/>
  <c r="P342" i="6"/>
  <c r="Q342" i="6"/>
  <c r="R342" i="6"/>
  <c r="AB342" i="6"/>
  <c r="A343" i="6"/>
  <c r="B343" i="6"/>
  <c r="C343" i="6"/>
  <c r="E343" i="6"/>
  <c r="G343" i="6"/>
  <c r="H343" i="6" s="1"/>
  <c r="I343" i="6"/>
  <c r="J343" i="6"/>
  <c r="K343" i="6"/>
  <c r="L343" i="6"/>
  <c r="M343" i="6" a="1"/>
  <c r="M343" i="6"/>
  <c r="N343" i="6" a="1"/>
  <c r="N343" i="6" s="1"/>
  <c r="O343" i="6"/>
  <c r="P343" i="6"/>
  <c r="Q343" i="6"/>
  <c r="R343" i="6"/>
  <c r="AB343" i="6" s="1"/>
  <c r="A344" i="6"/>
  <c r="B344" i="6"/>
  <c r="C344" i="6"/>
  <c r="G344" i="6"/>
  <c r="J344" i="6" s="1"/>
  <c r="K344" i="6"/>
  <c r="L344" i="6"/>
  <c r="M344" i="6" a="1"/>
  <c r="M344" i="6" s="1"/>
  <c r="N344" i="6" a="1"/>
  <c r="N344" i="6"/>
  <c r="O344" i="6"/>
  <c r="P344" i="6"/>
  <c r="Q344" i="6"/>
  <c r="S344" i="6" s="1"/>
  <c r="R344" i="6"/>
  <c r="A345" i="6"/>
  <c r="B345" i="6"/>
  <c r="C345" i="6"/>
  <c r="E345" i="6"/>
  <c r="G345" i="6"/>
  <c r="J345" i="6" s="1"/>
  <c r="I345" i="6"/>
  <c r="K345" i="6"/>
  <c r="L345" i="6"/>
  <c r="M345" i="6" a="1"/>
  <c r="M345" i="6" s="1"/>
  <c r="N345" i="6" a="1"/>
  <c r="N345" i="6" s="1"/>
  <c r="O345" i="6"/>
  <c r="P345" i="6"/>
  <c r="Q345" i="6"/>
  <c r="S345" i="6" s="1"/>
  <c r="R345" i="6"/>
  <c r="A346" i="6"/>
  <c r="B346" i="6"/>
  <c r="C346" i="6"/>
  <c r="G346" i="6"/>
  <c r="J346" i="6" s="1"/>
  <c r="I346" i="6"/>
  <c r="K346" i="6"/>
  <c r="L346" i="6"/>
  <c r="M346" i="6" a="1"/>
  <c r="M346" i="6"/>
  <c r="N346" i="6" a="1"/>
  <c r="N346" i="6"/>
  <c r="S346" i="6" s="1"/>
  <c r="O346" i="6"/>
  <c r="P346" i="6"/>
  <c r="Q346" i="6"/>
  <c r="R346" i="6"/>
  <c r="AB346" i="6" s="1"/>
  <c r="A347" i="6"/>
  <c r="B347" i="6"/>
  <c r="C347" i="6"/>
  <c r="G347" i="6"/>
  <c r="E347" i="6" s="1"/>
  <c r="K347" i="6"/>
  <c r="L347" i="6"/>
  <c r="M347" i="6" a="1"/>
  <c r="M347" i="6" s="1"/>
  <c r="N347" i="6" a="1"/>
  <c r="N347" i="6"/>
  <c r="O347" i="6"/>
  <c r="P347" i="6"/>
  <c r="Q347" i="6"/>
  <c r="R347" i="6"/>
  <c r="AB347" i="6"/>
  <c r="A348" i="6"/>
  <c r="B348" i="6"/>
  <c r="C348" i="6"/>
  <c r="G348" i="6"/>
  <c r="J348" i="6" s="1"/>
  <c r="K348" i="6"/>
  <c r="L348" i="6"/>
  <c r="M348" i="6" a="1"/>
  <c r="M348" i="6"/>
  <c r="N348" i="6" a="1"/>
  <c r="N348" i="6" s="1"/>
  <c r="O348" i="6"/>
  <c r="P348" i="6"/>
  <c r="Q348" i="6"/>
  <c r="AB348" i="6" s="1"/>
  <c r="R348" i="6"/>
  <c r="S348" i="6"/>
  <c r="A349" i="6"/>
  <c r="B349" i="6"/>
  <c r="C349" i="6"/>
  <c r="E349" i="6"/>
  <c r="G349" i="6"/>
  <c r="H349" i="6"/>
  <c r="I349" i="6"/>
  <c r="J349" i="6"/>
  <c r="K349" i="6"/>
  <c r="L349" i="6"/>
  <c r="M349" i="6" a="1"/>
  <c r="M349" i="6"/>
  <c r="N349" i="6" a="1"/>
  <c r="N349" i="6"/>
  <c r="O349" i="6"/>
  <c r="P349" i="6"/>
  <c r="Q349" i="6"/>
  <c r="R349" i="6"/>
  <c r="AB349" i="6" s="1"/>
  <c r="A350" i="6"/>
  <c r="B350" i="6"/>
  <c r="C350" i="6"/>
  <c r="G350" i="6"/>
  <c r="J350" i="6" s="1"/>
  <c r="K350" i="6"/>
  <c r="L350" i="6"/>
  <c r="M350" i="6" a="1"/>
  <c r="M350" i="6" s="1"/>
  <c r="N350" i="6" a="1"/>
  <c r="N350" i="6"/>
  <c r="O350" i="6"/>
  <c r="P350" i="6"/>
  <c r="Q350" i="6"/>
  <c r="R350" i="6"/>
  <c r="AB350" i="6"/>
  <c r="A351" i="6"/>
  <c r="B351" i="6"/>
  <c r="C351" i="6"/>
  <c r="G351" i="6"/>
  <c r="J351" i="6" s="1"/>
  <c r="I351" i="6"/>
  <c r="K351" i="6"/>
  <c r="L351" i="6"/>
  <c r="M351" i="6" a="1"/>
  <c r="M351" i="6"/>
  <c r="N351" i="6" a="1"/>
  <c r="N351" i="6" s="1"/>
  <c r="S351" i="6" s="1"/>
  <c r="O351" i="6"/>
  <c r="P351" i="6"/>
  <c r="Q351" i="6"/>
  <c r="R351" i="6"/>
  <c r="AB351" i="6"/>
  <c r="A352" i="6"/>
  <c r="B352" i="6"/>
  <c r="C352" i="6"/>
  <c r="G352" i="6"/>
  <c r="E352" i="6" s="1"/>
  <c r="H352" i="6"/>
  <c r="I352" i="6"/>
  <c r="J352" i="6"/>
  <c r="K352" i="6"/>
  <c r="L352" i="6"/>
  <c r="M352" i="6" a="1"/>
  <c r="M352" i="6"/>
  <c r="N352" i="6" a="1"/>
  <c r="N352" i="6" s="1"/>
  <c r="O352" i="6"/>
  <c r="P352" i="6"/>
  <c r="Q352" i="6"/>
  <c r="R352" i="6"/>
  <c r="AB352" i="6" s="1"/>
  <c r="A353" i="6"/>
  <c r="B353" i="6"/>
  <c r="C353" i="6"/>
  <c r="E353" i="6"/>
  <c r="G353" i="6"/>
  <c r="J353" i="6" s="1"/>
  <c r="K353" i="6"/>
  <c r="L353" i="6"/>
  <c r="M353" i="6" a="1"/>
  <c r="M353" i="6" s="1"/>
  <c r="N353" i="6" a="1"/>
  <c r="N353" i="6"/>
  <c r="O353" i="6"/>
  <c r="P353" i="6"/>
  <c r="Q353" i="6"/>
  <c r="S353" i="6" s="1"/>
  <c r="R353" i="6"/>
  <c r="A354" i="6"/>
  <c r="B354" i="6"/>
  <c r="C354" i="6"/>
  <c r="G354" i="6"/>
  <c r="J354" i="6" s="1"/>
  <c r="K354" i="6"/>
  <c r="L354" i="6"/>
  <c r="M354" i="6" a="1"/>
  <c r="M354" i="6" s="1"/>
  <c r="N354" i="6" a="1"/>
  <c r="N354" i="6" s="1"/>
  <c r="O354" i="6"/>
  <c r="P354" i="6"/>
  <c r="Q354" i="6"/>
  <c r="S354" i="6" s="1"/>
  <c r="R354" i="6"/>
  <c r="A355" i="6"/>
  <c r="B355" i="6"/>
  <c r="C355" i="6"/>
  <c r="G355" i="6"/>
  <c r="H355" i="6" s="1"/>
  <c r="K355" i="6"/>
  <c r="L355" i="6"/>
  <c r="M355" i="6" a="1"/>
  <c r="M355" i="6"/>
  <c r="N355" i="6" a="1"/>
  <c r="N355" i="6"/>
  <c r="S355" i="6" s="1"/>
  <c r="O355" i="6"/>
  <c r="P355" i="6"/>
  <c r="Q355" i="6"/>
  <c r="R355" i="6"/>
  <c r="AB355" i="6" s="1"/>
  <c r="A356" i="6"/>
  <c r="B356" i="6"/>
  <c r="C356" i="6"/>
  <c r="G356" i="6"/>
  <c r="E356" i="6" s="1"/>
  <c r="K356" i="6"/>
  <c r="L356" i="6"/>
  <c r="M356" i="6" a="1"/>
  <c r="M356" i="6" s="1"/>
  <c r="N356" i="6" a="1"/>
  <c r="N356" i="6"/>
  <c r="O356" i="6"/>
  <c r="P356" i="6"/>
  <c r="Q356" i="6"/>
  <c r="R356" i="6"/>
  <c r="AB356" i="6"/>
  <c r="A357" i="6"/>
  <c r="B357" i="6"/>
  <c r="C357" i="6"/>
  <c r="G357" i="6"/>
  <c r="J357" i="6" s="1"/>
  <c r="K357" i="6"/>
  <c r="L357" i="6"/>
  <c r="M357" i="6" a="1"/>
  <c r="M357" i="6"/>
  <c r="N357" i="6" a="1"/>
  <c r="N357" i="6" s="1"/>
  <c r="O357" i="6"/>
  <c r="P357" i="6"/>
  <c r="Q357" i="6"/>
  <c r="AB357" i="6" s="1"/>
  <c r="R357" i="6"/>
  <c r="S357" i="6"/>
  <c r="A358" i="6"/>
  <c r="B358" i="6"/>
  <c r="C358" i="6"/>
  <c r="G358" i="6"/>
  <c r="J358" i="6" s="1"/>
  <c r="I358" i="6"/>
  <c r="K358" i="6"/>
  <c r="L358" i="6"/>
  <c r="M358" i="6" a="1"/>
  <c r="M358" i="6"/>
  <c r="N358" i="6" a="1"/>
  <c r="N358" i="6"/>
  <c r="O358" i="6"/>
  <c r="P358" i="6"/>
  <c r="Q358" i="6"/>
  <c r="R358" i="6"/>
  <c r="AB358" i="6" s="1"/>
  <c r="A359" i="6"/>
  <c r="B359" i="6"/>
  <c r="C359" i="6"/>
  <c r="G359" i="6"/>
  <c r="J359" i="6"/>
  <c r="K359" i="6"/>
  <c r="L359" i="6"/>
  <c r="M359" i="6" a="1"/>
  <c r="M359" i="6" s="1"/>
  <c r="N359" i="6" a="1"/>
  <c r="N359" i="6"/>
  <c r="O359" i="6"/>
  <c r="P359" i="6"/>
  <c r="Q359" i="6"/>
  <c r="R359" i="6"/>
  <c r="AB359" i="6"/>
  <c r="A360" i="6"/>
  <c r="B360" i="6"/>
  <c r="C360" i="6"/>
  <c r="G360" i="6"/>
  <c r="J360" i="6" s="1"/>
  <c r="K360" i="6"/>
  <c r="L360" i="6"/>
  <c r="M360" i="6" a="1"/>
  <c r="M360" i="6"/>
  <c r="N360" i="6" a="1"/>
  <c r="N360" i="6" s="1"/>
  <c r="S360" i="6" s="1"/>
  <c r="O360" i="6"/>
  <c r="P360" i="6"/>
  <c r="Q360" i="6"/>
  <c r="R360" i="6"/>
  <c r="AB360" i="6"/>
  <c r="A361" i="6"/>
  <c r="B361" i="6"/>
  <c r="C361" i="6"/>
  <c r="E361" i="6"/>
  <c r="G361" i="6"/>
  <c r="I361" i="6" s="1"/>
  <c r="H361" i="6"/>
  <c r="K361" i="6"/>
  <c r="L361" i="6"/>
  <c r="M361" i="6" a="1"/>
  <c r="M361" i="6"/>
  <c r="N361" i="6" a="1"/>
  <c r="N361" i="6" s="1"/>
  <c r="O361" i="6"/>
  <c r="P361" i="6"/>
  <c r="Q361" i="6"/>
  <c r="R361" i="6"/>
  <c r="AB361" i="6" s="1"/>
  <c r="A362" i="6"/>
  <c r="B362" i="6"/>
  <c r="C362" i="6"/>
  <c r="G362" i="6"/>
  <c r="J362" i="6" s="1"/>
  <c r="K362" i="6"/>
  <c r="L362" i="6"/>
  <c r="M362" i="6" a="1"/>
  <c r="M362" i="6" s="1"/>
  <c r="N362" i="6" a="1"/>
  <c r="N362" i="6"/>
  <c r="O362" i="6"/>
  <c r="P362" i="6"/>
  <c r="Q362" i="6"/>
  <c r="S362" i="6" s="1"/>
  <c r="R362" i="6"/>
  <c r="A363" i="6"/>
  <c r="B363" i="6"/>
  <c r="C363" i="6"/>
  <c r="G363" i="6"/>
  <c r="J363" i="6" s="1"/>
  <c r="K363" i="6"/>
  <c r="L363" i="6"/>
  <c r="M363" i="6" a="1"/>
  <c r="M363" i="6" s="1"/>
  <c r="N363" i="6" a="1"/>
  <c r="N363" i="6" s="1"/>
  <c r="O363" i="6"/>
  <c r="P363" i="6"/>
  <c r="Q363" i="6"/>
  <c r="S363" i="6" s="1"/>
  <c r="R363" i="6"/>
  <c r="A364" i="6"/>
  <c r="B364" i="6"/>
  <c r="C364" i="6"/>
  <c r="G364" i="6"/>
  <c r="E364" i="6" s="1"/>
  <c r="I364" i="6"/>
  <c r="J364" i="6"/>
  <c r="K364" i="6"/>
  <c r="L364" i="6"/>
  <c r="M364" i="6" a="1"/>
  <c r="M364" i="6"/>
  <c r="N364" i="6" a="1"/>
  <c r="N364" i="6"/>
  <c r="S364" i="6" s="1"/>
  <c r="O364" i="6"/>
  <c r="P364" i="6"/>
  <c r="Q364" i="6"/>
  <c r="R364" i="6"/>
  <c r="A365" i="6"/>
  <c r="B365" i="6"/>
  <c r="C365" i="6"/>
  <c r="G365" i="6"/>
  <c r="H365" i="6" s="1"/>
  <c r="K365" i="6"/>
  <c r="L365" i="6"/>
  <c r="M365" i="6" a="1"/>
  <c r="M365" i="6" s="1"/>
  <c r="N365" i="6" a="1"/>
  <c r="N365" i="6" s="1"/>
  <c r="S365" i="6" s="1"/>
  <c r="O365" i="6"/>
  <c r="P365" i="6"/>
  <c r="Q365" i="6"/>
  <c r="AB365" i="6" s="1"/>
  <c r="R365" i="6"/>
  <c r="A366" i="6"/>
  <c r="B366" i="6"/>
  <c r="C366" i="6"/>
  <c r="E366" i="6"/>
  <c r="G366" i="6"/>
  <c r="J366" i="6" s="1"/>
  <c r="K366" i="6"/>
  <c r="L366" i="6"/>
  <c r="M366" i="6" a="1"/>
  <c r="M366" i="6" s="1"/>
  <c r="N366" i="6" a="1"/>
  <c r="N366" i="6" s="1"/>
  <c r="O366" i="6"/>
  <c r="P366" i="6"/>
  <c r="Q366" i="6"/>
  <c r="S366" i="6" s="1"/>
  <c r="R366" i="6"/>
  <c r="A367" i="6"/>
  <c r="B367" i="6"/>
  <c r="C367" i="6"/>
  <c r="G367" i="6"/>
  <c r="E367" i="6" s="1"/>
  <c r="H367" i="6"/>
  <c r="I367" i="6"/>
  <c r="J367" i="6"/>
  <c r="K367" i="6"/>
  <c r="L367" i="6"/>
  <c r="M367" i="6" a="1"/>
  <c r="M367" i="6"/>
  <c r="N367" i="6" a="1"/>
  <c r="N367" i="6"/>
  <c r="S367" i="6" s="1"/>
  <c r="O367" i="6"/>
  <c r="P367" i="6"/>
  <c r="Q367" i="6"/>
  <c r="R367" i="6"/>
  <c r="A368" i="6"/>
  <c r="B368" i="6"/>
  <c r="C368" i="6"/>
  <c r="G368" i="6"/>
  <c r="H368" i="6" s="1"/>
  <c r="K368" i="6"/>
  <c r="L368" i="6"/>
  <c r="M368" i="6" a="1"/>
  <c r="M368" i="6" s="1"/>
  <c r="N368" i="6" a="1"/>
  <c r="N368" i="6" s="1"/>
  <c r="S368" i="6" s="1"/>
  <c r="O368" i="6"/>
  <c r="P368" i="6"/>
  <c r="Q368" i="6"/>
  <c r="AB368" i="6" s="1"/>
  <c r="R368" i="6"/>
  <c r="A369" i="6"/>
  <c r="B369" i="6"/>
  <c r="C369" i="6"/>
  <c r="E369" i="6"/>
  <c r="G369" i="6"/>
  <c r="H369" i="6"/>
  <c r="I369" i="6"/>
  <c r="J369" i="6"/>
  <c r="K369" i="6"/>
  <c r="L369" i="6"/>
  <c r="M369" i="6" a="1"/>
  <c r="M369" i="6" s="1"/>
  <c r="N369" i="6" a="1"/>
  <c r="N369" i="6"/>
  <c r="S369" i="6" s="1"/>
  <c r="O369" i="6"/>
  <c r="P369" i="6"/>
  <c r="Q369" i="6"/>
  <c r="R369" i="6"/>
  <c r="AB369" i="6"/>
  <c r="A370" i="6"/>
  <c r="B370" i="6"/>
  <c r="C370" i="6"/>
  <c r="G370" i="6"/>
  <c r="I370" i="6" s="1"/>
  <c r="K370" i="6"/>
  <c r="L370" i="6"/>
  <c r="M370" i="6" a="1"/>
  <c r="M370" i="6" s="1"/>
  <c r="N370" i="6" a="1"/>
  <c r="N370" i="6" s="1"/>
  <c r="O370" i="6"/>
  <c r="P370" i="6"/>
  <c r="Q370" i="6"/>
  <c r="R370" i="6"/>
  <c r="A371" i="6"/>
  <c r="B371" i="6"/>
  <c r="C371" i="6"/>
  <c r="G371" i="6"/>
  <c r="E371" i="6" s="1"/>
  <c r="I371" i="6"/>
  <c r="J371" i="6"/>
  <c r="K371" i="6"/>
  <c r="L371" i="6"/>
  <c r="M371" i="6" a="1"/>
  <c r="M371" i="6"/>
  <c r="N371" i="6" a="1"/>
  <c r="N371" i="6" s="1"/>
  <c r="S371" i="6" s="1"/>
  <c r="O371" i="6"/>
  <c r="P371" i="6"/>
  <c r="Q371" i="6"/>
  <c r="AB371" i="6" s="1"/>
  <c r="R371" i="6"/>
  <c r="A372" i="6"/>
  <c r="B372" i="6"/>
  <c r="C372" i="6"/>
  <c r="G372" i="6"/>
  <c r="H372" i="6" s="1"/>
  <c r="K372" i="6"/>
  <c r="L372" i="6"/>
  <c r="M372" i="6" a="1"/>
  <c r="M372" i="6" s="1"/>
  <c r="N372" i="6" a="1"/>
  <c r="N372" i="6"/>
  <c r="S372" i="6" s="1"/>
  <c r="O372" i="6"/>
  <c r="P372" i="6"/>
  <c r="Q372" i="6"/>
  <c r="R372" i="6"/>
  <c r="AB372" i="6"/>
  <c r="A373" i="6"/>
  <c r="B373" i="6"/>
  <c r="C373" i="6"/>
  <c r="G373" i="6"/>
  <c r="I373" i="6" s="1"/>
  <c r="K373" i="6"/>
  <c r="L373" i="6"/>
  <c r="M373" i="6" a="1"/>
  <c r="M373" i="6" s="1"/>
  <c r="N373" i="6" a="1"/>
  <c r="N373" i="6" s="1"/>
  <c r="O373" i="6"/>
  <c r="P373" i="6"/>
  <c r="Q373" i="6"/>
  <c r="S373" i="6" s="1"/>
  <c r="R373" i="6"/>
  <c r="A374" i="6"/>
  <c r="B374" i="6"/>
  <c r="C374" i="6"/>
  <c r="G374" i="6"/>
  <c r="E374" i="6" s="1"/>
  <c r="I374" i="6"/>
  <c r="K374" i="6"/>
  <c r="L374" i="6"/>
  <c r="M374" i="6" a="1"/>
  <c r="M374" i="6"/>
  <c r="N374" i="6" a="1"/>
  <c r="N374" i="6" s="1"/>
  <c r="S374" i="6" s="1"/>
  <c r="O374" i="6"/>
  <c r="P374" i="6"/>
  <c r="Q374" i="6"/>
  <c r="AB374" i="6" s="1"/>
  <c r="R374" i="6"/>
  <c r="A375" i="6"/>
  <c r="B375" i="6"/>
  <c r="C375" i="6"/>
  <c r="G375" i="6"/>
  <c r="H375" i="6" s="1"/>
  <c r="I375" i="6"/>
  <c r="J375" i="6"/>
  <c r="K375" i="6"/>
  <c r="L375" i="6"/>
  <c r="M375" i="6" a="1"/>
  <c r="M375" i="6" s="1"/>
  <c r="N375" i="6" a="1"/>
  <c r="N375" i="6"/>
  <c r="S375" i="6" s="1"/>
  <c r="O375" i="6"/>
  <c r="P375" i="6"/>
  <c r="Q375" i="6"/>
  <c r="R375" i="6"/>
  <c r="AB375" i="6"/>
  <c r="A376" i="6"/>
  <c r="B376" i="6"/>
  <c r="C376" i="6"/>
  <c r="G376" i="6"/>
  <c r="I376" i="6" s="1"/>
  <c r="K376" i="6"/>
  <c r="L376" i="6"/>
  <c r="M376" i="6" a="1"/>
  <c r="M376" i="6" s="1"/>
  <c r="N376" i="6" a="1"/>
  <c r="N376" i="6" s="1"/>
  <c r="O376" i="6"/>
  <c r="P376" i="6"/>
  <c r="Q376" i="6"/>
  <c r="S376" i="6" s="1"/>
  <c r="R376" i="6"/>
  <c r="A377" i="6"/>
  <c r="B377" i="6"/>
  <c r="C377" i="6"/>
  <c r="G377" i="6"/>
  <c r="E377" i="6" s="1"/>
  <c r="I377" i="6"/>
  <c r="J377" i="6"/>
  <c r="K377" i="6"/>
  <c r="L377" i="6"/>
  <c r="M377" i="6" a="1"/>
  <c r="M377" i="6"/>
  <c r="N377" i="6" a="1"/>
  <c r="N377" i="6" s="1"/>
  <c r="S377" i="6" s="1"/>
  <c r="O377" i="6"/>
  <c r="P377" i="6"/>
  <c r="Q377" i="6"/>
  <c r="AB377" i="6" s="1"/>
  <c r="R377" i="6"/>
  <c r="A378" i="6"/>
  <c r="B378" i="6"/>
  <c r="C378" i="6"/>
  <c r="G378" i="6"/>
  <c r="H378" i="6" s="1"/>
  <c r="K378" i="6"/>
  <c r="L378" i="6"/>
  <c r="M378" i="6" a="1"/>
  <c r="M378" i="6" s="1"/>
  <c r="N378" i="6" a="1"/>
  <c r="N378" i="6"/>
  <c r="S378" i="6" s="1"/>
  <c r="O378" i="6"/>
  <c r="P378" i="6"/>
  <c r="Q378" i="6"/>
  <c r="R378" i="6"/>
  <c r="AB378" i="6"/>
  <c r="A379" i="6"/>
  <c r="B379" i="6"/>
  <c r="C379" i="6"/>
  <c r="G379" i="6"/>
  <c r="I379" i="6" s="1"/>
  <c r="K379" i="6"/>
  <c r="L379" i="6"/>
  <c r="M379" i="6" a="1"/>
  <c r="M379" i="6" s="1"/>
  <c r="N379" i="6" a="1"/>
  <c r="N379" i="6" s="1"/>
  <c r="O379" i="6"/>
  <c r="P379" i="6"/>
  <c r="Q379" i="6"/>
  <c r="R379" i="6"/>
  <c r="A380" i="6"/>
  <c r="B380" i="6"/>
  <c r="C380" i="6"/>
  <c r="G380" i="6"/>
  <c r="E380" i="6" s="1"/>
  <c r="I380" i="6"/>
  <c r="K380" i="6"/>
  <c r="L380" i="6"/>
  <c r="M380" i="6" a="1"/>
  <c r="M380" i="6"/>
  <c r="N380" i="6" a="1"/>
  <c r="N380" i="6" s="1"/>
  <c r="S380" i="6" s="1"/>
  <c r="O380" i="6"/>
  <c r="P380" i="6"/>
  <c r="Q380" i="6"/>
  <c r="AB380" i="6" s="1"/>
  <c r="R380" i="6"/>
  <c r="A381" i="6"/>
  <c r="B381" i="6"/>
  <c r="C381" i="6"/>
  <c r="G381" i="6"/>
  <c r="H381" i="6" s="1"/>
  <c r="I381" i="6"/>
  <c r="J381" i="6"/>
  <c r="K381" i="6"/>
  <c r="L381" i="6"/>
  <c r="M381" i="6" a="1"/>
  <c r="M381" i="6" s="1"/>
  <c r="N381" i="6" a="1"/>
  <c r="N381" i="6"/>
  <c r="S381" i="6" s="1"/>
  <c r="O381" i="6"/>
  <c r="P381" i="6"/>
  <c r="Q381" i="6"/>
  <c r="R381" i="6"/>
  <c r="AB381" i="6"/>
  <c r="A382" i="6"/>
  <c r="B382" i="6"/>
  <c r="C382" i="6"/>
  <c r="G382" i="6"/>
  <c r="I382" i="6" s="1"/>
  <c r="K382" i="6"/>
  <c r="L382" i="6"/>
  <c r="M382" i="6" a="1"/>
  <c r="M382" i="6" s="1"/>
  <c r="N382" i="6" a="1"/>
  <c r="N382" i="6" s="1"/>
  <c r="O382" i="6"/>
  <c r="P382" i="6"/>
  <c r="Q382" i="6"/>
  <c r="S382" i="6" s="1"/>
  <c r="R382" i="6"/>
  <c r="A383" i="6"/>
  <c r="B383" i="6"/>
  <c r="C383" i="6"/>
  <c r="G383" i="6"/>
  <c r="E383" i="6" s="1"/>
  <c r="I383" i="6"/>
  <c r="K383" i="6"/>
  <c r="L383" i="6"/>
  <c r="M383" i="6" a="1"/>
  <c r="M383" i="6"/>
  <c r="N383" i="6" a="1"/>
  <c r="N383" i="6" s="1"/>
  <c r="S383" i="6" s="1"/>
  <c r="O383" i="6"/>
  <c r="P383" i="6"/>
  <c r="Q383" i="6"/>
  <c r="AB383" i="6" s="1"/>
  <c r="R383" i="6"/>
  <c r="A384" i="6"/>
  <c r="B384" i="6"/>
  <c r="C384" i="6"/>
  <c r="E384" i="6"/>
  <c r="G384" i="6"/>
  <c r="H384" i="6" s="1"/>
  <c r="I384" i="6"/>
  <c r="K384" i="6"/>
  <c r="L384" i="6"/>
  <c r="M384" i="6" a="1"/>
  <c r="M384" i="6" s="1"/>
  <c r="N384" i="6" a="1"/>
  <c r="N384" i="6"/>
  <c r="S384" i="6" s="1"/>
  <c r="O384" i="6"/>
  <c r="P384" i="6"/>
  <c r="Q384" i="6"/>
  <c r="R384" i="6"/>
  <c r="AB384" i="6"/>
  <c r="A385" i="6"/>
  <c r="B385" i="6"/>
  <c r="C385" i="6"/>
  <c r="G385" i="6"/>
  <c r="I385" i="6" s="1"/>
  <c r="K385" i="6"/>
  <c r="L385" i="6"/>
  <c r="M385" i="6" a="1"/>
  <c r="M385" i="6" s="1"/>
  <c r="N385" i="6" a="1"/>
  <c r="N385" i="6" s="1"/>
  <c r="O385" i="6"/>
  <c r="P385" i="6"/>
  <c r="Q385" i="6"/>
  <c r="S385" i="6" s="1"/>
  <c r="R385" i="6"/>
  <c r="A386" i="6"/>
  <c r="B386" i="6"/>
  <c r="C386" i="6"/>
  <c r="G386" i="6"/>
  <c r="E386" i="6" s="1"/>
  <c r="H386" i="6"/>
  <c r="I386" i="6"/>
  <c r="K386" i="6"/>
  <c r="L386" i="6"/>
  <c r="M386" i="6" a="1"/>
  <c r="M386" i="6" s="1"/>
  <c r="N386" i="6" a="1"/>
  <c r="N386" i="6" s="1"/>
  <c r="S386" i="6" s="1"/>
  <c r="O386" i="6"/>
  <c r="P386" i="6"/>
  <c r="Q386" i="6"/>
  <c r="AB386" i="6" s="1"/>
  <c r="R386" i="6"/>
  <c r="A387" i="6"/>
  <c r="B387" i="6"/>
  <c r="C387" i="6"/>
  <c r="G387" i="6"/>
  <c r="H387" i="6" s="1"/>
  <c r="K387" i="6"/>
  <c r="L387" i="6"/>
  <c r="M387" i="6" a="1"/>
  <c r="M387" i="6" s="1"/>
  <c r="N387" i="6" a="1"/>
  <c r="N387" i="6" s="1"/>
  <c r="S387" i="6" s="1"/>
  <c r="O387" i="6"/>
  <c r="P387" i="6"/>
  <c r="Q387" i="6"/>
  <c r="R387" i="6"/>
  <c r="AB387" i="6"/>
  <c r="A35" i="3" a="1"/>
  <c r="A36" i="3" a="1"/>
  <c r="A37" i="3" a="1"/>
  <c r="A37" i="3" s="1"/>
  <c r="A37" i="6" s="1"/>
  <c r="A38" i="3" a="1"/>
  <c r="A38" i="3" s="1"/>
  <c r="A38" i="6" s="1"/>
  <c r="A39" i="3" a="1"/>
  <c r="A40" i="3" a="1"/>
  <c r="A41" i="3" a="1"/>
  <c r="A42" i="3" a="1"/>
  <c r="A43" i="3" a="1"/>
  <c r="A43" i="3" s="1"/>
  <c r="A43" i="6" s="1"/>
  <c r="A44" i="3" a="1"/>
  <c r="A45" i="3" a="1"/>
  <c r="A46" i="3" a="1"/>
  <c r="A47" i="3" a="1"/>
  <c r="A47" i="3" s="1"/>
  <c r="A47" i="6" s="1"/>
  <c r="A48" i="3" a="1"/>
  <c r="A48" i="3" s="1"/>
  <c r="A48" i="6" s="1"/>
  <c r="A49" i="3" a="1"/>
  <c r="A49" i="3" s="1"/>
  <c r="A49" i="6" s="1"/>
  <c r="A50" i="3" a="1"/>
  <c r="A50" i="3" s="1"/>
  <c r="A50" i="6" s="1"/>
  <c r="A51" i="3" a="1"/>
  <c r="A51" i="3" s="1"/>
  <c r="A51" i="6" s="1"/>
  <c r="A52" i="3" a="1"/>
  <c r="A52" i="3" s="1"/>
  <c r="A52" i="6" s="1"/>
  <c r="A53" i="3" a="1"/>
  <c r="A53" i="3" s="1"/>
  <c r="A53" i="6" s="1"/>
  <c r="A54" i="3" a="1"/>
  <c r="A54" i="3" s="1"/>
  <c r="A54" i="6" s="1"/>
  <c r="A55" i="3" a="1"/>
  <c r="A55" i="3" s="1"/>
  <c r="A55" i="6" s="1"/>
  <c r="A56" i="3" a="1"/>
  <c r="A56" i="3" s="1"/>
  <c r="A56" i="6" s="1"/>
  <c r="A57" i="3" a="1"/>
  <c r="A57" i="3" s="1"/>
  <c r="A57" i="6" s="1"/>
  <c r="A58" i="3" a="1"/>
  <c r="A58" i="3" s="1"/>
  <c r="A58" i="6" s="1"/>
  <c r="A59" i="3" a="1"/>
  <c r="A59" i="3" s="1"/>
  <c r="A60" i="3" a="1"/>
  <c r="A60" i="3" s="1"/>
  <c r="A60" i="6" s="1"/>
  <c r="A61" i="3" a="1"/>
  <c r="A61" i="3" s="1"/>
  <c r="A61" i="6" s="1"/>
  <c r="A62" i="3" a="1"/>
  <c r="A62" i="3" s="1"/>
  <c r="A62" i="6" s="1"/>
  <c r="A63" i="3" a="1"/>
  <c r="A63" i="3" s="1"/>
  <c r="A64" i="3" a="1"/>
  <c r="A64" i="3" s="1"/>
  <c r="A64" i="6" s="1"/>
  <c r="A65" i="3" a="1"/>
  <c r="A65" i="3" s="1"/>
  <c r="A65" i="6" s="1"/>
  <c r="A66" i="3" a="1"/>
  <c r="A66" i="3" s="1"/>
  <c r="A66" i="6" s="1"/>
  <c r="A67" i="3" a="1"/>
  <c r="A67" i="3" s="1"/>
  <c r="A67" i="6" s="1"/>
  <c r="A68" i="3" a="1"/>
  <c r="A68" i="3" s="1"/>
  <c r="A68" i="6" s="1"/>
  <c r="A69" i="3" a="1"/>
  <c r="A69" i="3" s="1"/>
  <c r="A69" i="6" s="1"/>
  <c r="A70" i="3" a="1"/>
  <c r="A70" i="3" s="1"/>
  <c r="A70" i="6" s="1"/>
  <c r="A71" i="3" a="1"/>
  <c r="A71" i="3" s="1"/>
  <c r="A71" i="6" s="1"/>
  <c r="A72" i="3" a="1"/>
  <c r="A72" i="3" s="1"/>
  <c r="A72" i="6" s="1"/>
  <c r="A73" i="3" a="1"/>
  <c r="A73" i="3" s="1"/>
  <c r="A73" i="6" s="1"/>
  <c r="A74" i="3" a="1"/>
  <c r="A74" i="3" s="1"/>
  <c r="A74" i="6" s="1"/>
  <c r="A75" i="3" a="1"/>
  <c r="A75" i="3" s="1"/>
  <c r="A75" i="6" s="1"/>
  <c r="A76" i="3" a="1"/>
  <c r="A76" i="3" s="1"/>
  <c r="A76" i="6" s="1"/>
  <c r="A77" i="3" a="1"/>
  <c r="A77" i="3" s="1"/>
  <c r="A78" i="3" a="1"/>
  <c r="A78" i="3" s="1"/>
  <c r="A78" i="6" s="1"/>
  <c r="A79" i="3" a="1"/>
  <c r="A79" i="3" s="1"/>
  <c r="A79" i="6" s="1"/>
  <c r="A80" i="3" a="1"/>
  <c r="A80" i="3" s="1"/>
  <c r="A80" i="6" s="1"/>
  <c r="A81" i="3" a="1"/>
  <c r="A81" i="3" s="1"/>
  <c r="A82" i="3" a="1"/>
  <c r="A82" i="3" s="1"/>
  <c r="A82" i="6" s="1"/>
  <c r="A83" i="3" a="1"/>
  <c r="A83" i="3" s="1"/>
  <c r="A83" i="6" s="1"/>
  <c r="A84" i="3" a="1"/>
  <c r="A84" i="3" s="1"/>
  <c r="A84" i="6" s="1"/>
  <c r="A85" i="3" a="1"/>
  <c r="A85" i="3" s="1"/>
  <c r="A85" i="6" s="1"/>
  <c r="A86" i="3" a="1"/>
  <c r="A86" i="3" s="1"/>
  <c r="A86" i="6" s="1"/>
  <c r="A87" i="3" a="1"/>
  <c r="A87" i="3" s="1"/>
  <c r="A87" i="6" s="1"/>
  <c r="A88" i="3" a="1"/>
  <c r="A88" i="3" s="1"/>
  <c r="A88" i="6" s="1"/>
  <c r="A89" i="3" a="1"/>
  <c r="A89" i="3" s="1"/>
  <c r="A89" i="6" s="1"/>
  <c r="A90" i="3" a="1"/>
  <c r="A90" i="3" s="1"/>
  <c r="A90" i="6" s="1"/>
  <c r="A91" i="3" a="1"/>
  <c r="A91" i="3" s="1"/>
  <c r="A91" i="6" s="1"/>
  <c r="A92" i="3" a="1"/>
  <c r="A92" i="3" s="1"/>
  <c r="A92" i="6" s="1"/>
  <c r="A93" i="3" a="1"/>
  <c r="A93" i="3" s="1"/>
  <c r="A93" i="6" s="1"/>
  <c r="A94" i="3" a="1"/>
  <c r="A94" i="3" s="1"/>
  <c r="A94" i="6" s="1"/>
  <c r="A95" i="3" a="1"/>
  <c r="A95" i="3" s="1"/>
  <c r="A96" i="3" a="1"/>
  <c r="A96" i="3" s="1"/>
  <c r="A96" i="6" s="1"/>
  <c r="A97" i="3" a="1"/>
  <c r="A97" i="3" s="1"/>
  <c r="A97" i="6" s="1"/>
  <c r="A98" i="3" a="1"/>
  <c r="A98" i="3" s="1"/>
  <c r="A99" i="3" a="1"/>
  <c r="A99" i="3" s="1"/>
  <c r="A99" i="6" s="1"/>
  <c r="A100" i="3" a="1"/>
  <c r="A100" i="3" s="1"/>
  <c r="A100" i="6" s="1"/>
  <c r="A101" i="3" a="1"/>
  <c r="A101" i="3" s="1"/>
  <c r="A101" i="6" s="1"/>
  <c r="A102" i="3" a="1"/>
  <c r="A102" i="3" s="1"/>
  <c r="A102" i="6" s="1"/>
  <c r="A103" i="3" a="1"/>
  <c r="A103" i="3" s="1"/>
  <c r="A103" i="6" s="1"/>
  <c r="A104" i="3" a="1"/>
  <c r="A104" i="3" s="1"/>
  <c r="A104" i="6" s="1"/>
  <c r="A105" i="3" a="1"/>
  <c r="A105" i="3" s="1"/>
  <c r="A105" i="6" s="1"/>
  <c r="A106" i="3" a="1"/>
  <c r="A106" i="3" s="1"/>
  <c r="A106" i="6" s="1"/>
  <c r="A107" i="3" a="1"/>
  <c r="A107" i="3" s="1"/>
  <c r="A107" i="6" s="1"/>
  <c r="A108" i="3" a="1"/>
  <c r="A108" i="3" s="1"/>
  <c r="A108" i="6" s="1"/>
  <c r="A109" i="3" a="1"/>
  <c r="A109" i="3" s="1"/>
  <c r="A109" i="6" s="1"/>
  <c r="A110" i="3" a="1"/>
  <c r="A110" i="3" s="1"/>
  <c r="A110" i="6" s="1"/>
  <c r="A111" i="3" a="1"/>
  <c r="A111" i="3" s="1"/>
  <c r="A111" i="6" s="1"/>
  <c r="A112" i="3" a="1"/>
  <c r="A112" i="3" s="1"/>
  <c r="A112" i="6" s="1"/>
  <c r="A113" i="3" a="1"/>
  <c r="A113" i="3" s="1"/>
  <c r="A114" i="3" a="1"/>
  <c r="A114" i="3" s="1"/>
  <c r="A114" i="6" s="1"/>
  <c r="A115" i="3" a="1"/>
  <c r="A115" i="3" s="1"/>
  <c r="A115" i="6" s="1"/>
  <c r="A116" i="3" a="1"/>
  <c r="A116" i="3" s="1"/>
  <c r="A116" i="6" s="1"/>
  <c r="A117" i="3" a="1"/>
  <c r="A117" i="3" s="1"/>
  <c r="A117" i="6" s="1"/>
  <c r="A118" i="3" a="1"/>
  <c r="A118" i="3" s="1"/>
  <c r="A118" i="6" s="1"/>
  <c r="A119" i="3" a="1"/>
  <c r="A119" i="3" s="1"/>
  <c r="A119" i="6" s="1"/>
  <c r="A120" i="3" a="1"/>
  <c r="A120" i="3" s="1"/>
  <c r="A120" i="6" s="1"/>
  <c r="A121" i="3" a="1"/>
  <c r="A121" i="3" s="1"/>
  <c r="A121" i="6" s="1"/>
  <c r="A122" i="3" a="1"/>
  <c r="A122" i="3" s="1"/>
  <c r="A122" i="6" s="1"/>
  <c r="A123" i="3" a="1"/>
  <c r="A123" i="3" s="1"/>
  <c r="A123" i="6" s="1"/>
  <c r="A124" i="3" a="1"/>
  <c r="A124" i="3" s="1"/>
  <c r="A124" i="6" s="1"/>
  <c r="A125" i="3" a="1"/>
  <c r="A125" i="3" s="1"/>
  <c r="A126" i="3" a="1"/>
  <c r="A126" i="3" s="1"/>
  <c r="A126" i="6" s="1"/>
  <c r="A127" i="3" a="1"/>
  <c r="A127" i="3" s="1"/>
  <c r="A127" i="6" s="1"/>
  <c r="A128" i="3" a="1"/>
  <c r="A128" i="3" s="1"/>
  <c r="A128" i="6" s="1"/>
  <c r="A129" i="3" a="1"/>
  <c r="A129" i="3" s="1"/>
  <c r="A130" i="3" a="1"/>
  <c r="A130" i="3" s="1"/>
  <c r="A130" i="6" s="1"/>
  <c r="A131" i="3" a="1"/>
  <c r="A131" i="3" s="1"/>
  <c r="A131" i="6" s="1"/>
  <c r="A132" i="3" a="1"/>
  <c r="A132" i="3" s="1"/>
  <c r="A133" i="3" a="1"/>
  <c r="A133" i="3" s="1"/>
  <c r="A133" i="6" s="1"/>
  <c r="A134" i="3" a="1"/>
  <c r="A134" i="3" s="1"/>
  <c r="A134" i="6" s="1"/>
  <c r="A135" i="3" a="1"/>
  <c r="A135" i="3" s="1"/>
  <c r="A135" i="6" s="1"/>
  <c r="A136" i="3" a="1"/>
  <c r="A136" i="3" s="1"/>
  <c r="A136" i="6" s="1"/>
  <c r="A137" i="3" a="1"/>
  <c r="A137" i="3" s="1"/>
  <c r="A137" i="6" s="1"/>
  <c r="A138" i="3" a="1"/>
  <c r="A138" i="3" s="1"/>
  <c r="A138" i="6" s="1"/>
  <c r="A139" i="3" a="1"/>
  <c r="A139" i="3" s="1"/>
  <c r="A139" i="6" s="1"/>
  <c r="A140" i="3" a="1"/>
  <c r="A140" i="3" s="1"/>
  <c r="A140" i="6" s="1"/>
  <c r="A141" i="3" a="1"/>
  <c r="A141" i="3" s="1"/>
  <c r="A141" i="6" s="1"/>
  <c r="A142" i="3" a="1"/>
  <c r="A142" i="3" s="1"/>
  <c r="A142" i="6" s="1"/>
  <c r="A143" i="3" a="1"/>
  <c r="A143" i="3" s="1"/>
  <c r="A143" i="6" s="1"/>
  <c r="A144" i="3" a="1"/>
  <c r="A144" i="3" s="1"/>
  <c r="A144" i="6" s="1"/>
  <c r="A145" i="3" a="1"/>
  <c r="A145" i="3" s="1"/>
  <c r="A145" i="6" s="1"/>
  <c r="A146" i="3" a="1"/>
  <c r="A146" i="3" s="1"/>
  <c r="A146" i="6" s="1"/>
  <c r="A147" i="3" a="1"/>
  <c r="A147" i="3" s="1"/>
  <c r="A148" i="3" a="1"/>
  <c r="A148" i="3" s="1"/>
  <c r="A148" i="6" s="1"/>
  <c r="A149" i="3" a="1"/>
  <c r="A149" i="3" s="1"/>
  <c r="A150" i="3" a="1"/>
  <c r="A150" i="3" s="1"/>
  <c r="A150" i="6" s="1"/>
  <c r="A151" i="3" a="1"/>
  <c r="A151" i="3" s="1"/>
  <c r="A151" i="6" s="1"/>
  <c r="A152" i="3" a="1"/>
  <c r="A152" i="3" s="1"/>
  <c r="A152" i="6" s="1"/>
  <c r="A153" i="3" a="1"/>
  <c r="A153" i="3" s="1"/>
  <c r="A153" i="6" s="1"/>
  <c r="A154" i="3" a="1"/>
  <c r="A154" i="3" s="1"/>
  <c r="A154" i="6" s="1"/>
  <c r="A155" i="3" a="1"/>
  <c r="A155" i="3" s="1"/>
  <c r="A155" i="6" s="1"/>
  <c r="A156" i="3" a="1"/>
  <c r="A156" i="3" s="1"/>
  <c r="A156" i="6" s="1"/>
  <c r="A157" i="3" a="1"/>
  <c r="A157" i="3" s="1"/>
  <c r="A157" i="6" s="1"/>
  <c r="A158" i="3" a="1"/>
  <c r="A158" i="3" s="1"/>
  <c r="A158" i="6" s="1"/>
  <c r="A159" i="3" a="1"/>
  <c r="A159" i="3" s="1"/>
  <c r="A159" i="6" s="1"/>
  <c r="A160" i="3" a="1"/>
  <c r="A160" i="3" s="1"/>
  <c r="A160" i="6" s="1"/>
  <c r="A161" i="3" a="1"/>
  <c r="A161" i="3" s="1"/>
  <c r="A161" i="6" s="1"/>
  <c r="A162" i="3" a="1"/>
  <c r="A162" i="3" s="1"/>
  <c r="A162" i="6" s="1"/>
  <c r="A163" i="3" a="1"/>
  <c r="A163" i="3" s="1"/>
  <c r="A163" i="6" s="1"/>
  <c r="A164" i="3" a="1"/>
  <c r="A164" i="3" s="1"/>
  <c r="A164" i="6" s="1"/>
  <c r="A165" i="3" a="1"/>
  <c r="A165" i="3" s="1"/>
  <c r="A165" i="6" s="1"/>
  <c r="A166" i="3" a="1"/>
  <c r="A166" i="3" s="1"/>
  <c r="A166" i="6" s="1"/>
  <c r="A167" i="3" a="1"/>
  <c r="A167" i="3" s="1"/>
  <c r="A167" i="6" s="1"/>
  <c r="A168" i="3" a="1"/>
  <c r="A168" i="3" s="1"/>
  <c r="A168" i="6" s="1"/>
  <c r="A169" i="3" a="1"/>
  <c r="A169" i="3" s="1"/>
  <c r="A169" i="6" s="1"/>
  <c r="A170" i="3" a="1"/>
  <c r="A170" i="3" s="1"/>
  <c r="A170" i="6" s="1"/>
  <c r="A171" i="3" a="1"/>
  <c r="A171" i="3" s="1"/>
  <c r="A171" i="6" s="1"/>
  <c r="A172" i="3" a="1"/>
  <c r="A172" i="3" s="1"/>
  <c r="A172" i="6" s="1"/>
  <c r="A173" i="3" a="1"/>
  <c r="A173" i="3" s="1"/>
  <c r="A173" i="6" s="1"/>
  <c r="A174" i="3" a="1"/>
  <c r="A174" i="3" s="1"/>
  <c r="A174" i="6" s="1"/>
  <c r="A175" i="3" a="1"/>
  <c r="A175" i="3" s="1"/>
  <c r="A175" i="6" s="1"/>
  <c r="A176" i="3" a="1"/>
  <c r="A176" i="3" s="1"/>
  <c r="A176" i="6" s="1"/>
  <c r="A177" i="3" a="1"/>
  <c r="A177" i="3" s="1"/>
  <c r="A177" i="6" s="1"/>
  <c r="A178" i="3" a="1"/>
  <c r="A178" i="3" s="1"/>
  <c r="A178" i="6" s="1"/>
  <c r="A179" i="3" a="1"/>
  <c r="A179" i="3" s="1"/>
  <c r="A179" i="6" s="1"/>
  <c r="A180" i="3" a="1"/>
  <c r="A180" i="3" s="1"/>
  <c r="A180" i="6" s="1"/>
  <c r="A181" i="3" a="1"/>
  <c r="A181" i="3" s="1"/>
  <c r="A181" i="6" s="1"/>
  <c r="A182" i="3" a="1"/>
  <c r="A182" i="3" s="1"/>
  <c r="A182" i="6" s="1"/>
  <c r="A183" i="3" a="1"/>
  <c r="A183" i="3" s="1"/>
  <c r="A183" i="6" s="1"/>
  <c r="A184" i="3" a="1"/>
  <c r="A184" i="3" s="1"/>
  <c r="A184" i="6" s="1"/>
  <c r="A185" i="3" a="1"/>
  <c r="A185" i="3" s="1"/>
  <c r="A185" i="6" s="1"/>
  <c r="A186" i="3" a="1"/>
  <c r="A186" i="3" s="1"/>
  <c r="A186" i="6" s="1"/>
  <c r="A187" i="3" a="1"/>
  <c r="A187" i="3" s="1"/>
  <c r="A187" i="6" s="1"/>
  <c r="A188" i="3" a="1"/>
  <c r="A188" i="3" s="1"/>
  <c r="A188" i="6" s="1"/>
  <c r="A189" i="3" a="1"/>
  <c r="A189" i="3" s="1"/>
  <c r="A190" i="3" a="1"/>
  <c r="A190" i="3" s="1"/>
  <c r="A190" i="6" s="1"/>
  <c r="A191" i="3" a="1"/>
  <c r="A191" i="3" s="1"/>
  <c r="A191" i="6" s="1"/>
  <c r="A192" i="3" a="1"/>
  <c r="A192" i="3" s="1"/>
  <c r="A192" i="6" s="1"/>
  <c r="A193" i="3" a="1"/>
  <c r="A193" i="3" s="1"/>
  <c r="A193" i="6" s="1"/>
  <c r="A194" i="3" a="1"/>
  <c r="A194" i="3" s="1"/>
  <c r="A195" i="3" a="1"/>
  <c r="A195" i="3" s="1"/>
  <c r="A195" i="6" s="1"/>
  <c r="A196" i="3" a="1"/>
  <c r="A196" i="3" s="1"/>
  <c r="A196" i="6" s="1"/>
  <c r="A197" i="3" a="1"/>
  <c r="A197" i="3" s="1"/>
  <c r="A197" i="6" s="1"/>
  <c r="A198" i="3" a="1"/>
  <c r="A198" i="3" s="1"/>
  <c r="A198" i="6" s="1"/>
  <c r="A199" i="3" a="1"/>
  <c r="A199" i="3" s="1"/>
  <c r="A199" i="6" s="1"/>
  <c r="A200" i="3" a="1"/>
  <c r="A200" i="3" s="1"/>
  <c r="A200" i="6" s="1"/>
  <c r="A201" i="3" a="1"/>
  <c r="A201" i="3" s="1"/>
  <c r="A201" i="6" s="1"/>
  <c r="A202" i="3" a="1"/>
  <c r="A202" i="3" s="1"/>
  <c r="A202" i="6" s="1"/>
  <c r="A203" i="3" a="1"/>
  <c r="A203" i="3" s="1"/>
  <c r="A203" i="6" s="1"/>
  <c r="A204" i="3" a="1"/>
  <c r="A204" i="3" s="1"/>
  <c r="A204" i="6" s="1"/>
  <c r="A205" i="3" a="1"/>
  <c r="A205" i="3" s="1"/>
  <c r="A205" i="6" s="1"/>
  <c r="A206" i="3" a="1"/>
  <c r="A206" i="3" s="1"/>
  <c r="A206" i="6" s="1"/>
  <c r="A207" i="3" a="1"/>
  <c r="A207" i="3" s="1"/>
  <c r="A207" i="6" s="1"/>
  <c r="A208" i="3" a="1"/>
  <c r="A208" i="3" s="1"/>
  <c r="A208" i="6" s="1"/>
  <c r="A209" i="3" a="1"/>
  <c r="A209" i="3" s="1"/>
  <c r="A209" i="6" s="1"/>
  <c r="A210" i="3" a="1"/>
  <c r="A210" i="3" s="1"/>
  <c r="A210" i="6" s="1"/>
  <c r="A211" i="3" a="1"/>
  <c r="A211" i="3" s="1"/>
  <c r="A211" i="6" s="1"/>
  <c r="A212" i="3" a="1"/>
  <c r="A212" i="3" s="1"/>
  <c r="A212" i="6" s="1"/>
  <c r="A213" i="3" a="1"/>
  <c r="A213" i="3" s="1"/>
  <c r="A213" i="6" s="1"/>
  <c r="A214" i="3" a="1"/>
  <c r="A214" i="3" s="1"/>
  <c r="A214" i="6" s="1"/>
  <c r="A215" i="3" a="1"/>
  <c r="A215" i="3" s="1"/>
  <c r="A215" i="6" s="1"/>
  <c r="A216" i="3" a="1"/>
  <c r="A216" i="3" s="1"/>
  <c r="A216" i="6" s="1"/>
  <c r="A217" i="3" a="1"/>
  <c r="A217" i="3" s="1"/>
  <c r="A217" i="6" s="1"/>
  <c r="A218" i="3" a="1"/>
  <c r="A218" i="3" s="1"/>
  <c r="A218" i="6" s="1"/>
  <c r="A219" i="3" a="1"/>
  <c r="A219" i="3" s="1"/>
  <c r="A220" i="3" a="1"/>
  <c r="A220" i="3" s="1"/>
  <c r="A220" i="6" s="1"/>
  <c r="A221" i="3" a="1"/>
  <c r="A221" i="3" s="1"/>
  <c r="A222" i="3" a="1"/>
  <c r="A222" i="3" s="1"/>
  <c r="A223" i="3" a="1"/>
  <c r="A223" i="3" s="1"/>
  <c r="A223" i="6" s="1"/>
  <c r="A224" i="3" a="1"/>
  <c r="A224" i="3" s="1"/>
  <c r="A225" i="3" a="1"/>
  <c r="A225" i="3" s="1"/>
  <c r="A226" i="3" a="1"/>
  <c r="A226" i="3" s="1"/>
  <c r="A226" i="6" s="1"/>
  <c r="A227" i="3" a="1"/>
  <c r="A227" i="3" s="1"/>
  <c r="A227" i="6" s="1"/>
  <c r="A228" i="3" a="1"/>
  <c r="A228" i="3" s="1"/>
  <c r="A229" i="3" a="1"/>
  <c r="A229" i="3" s="1"/>
  <c r="A229" i="6" s="1"/>
  <c r="A230" i="3" a="1"/>
  <c r="A230" i="3" s="1"/>
  <c r="A231" i="3" a="1"/>
  <c r="A231" i="3" s="1"/>
  <c r="A232" i="3" a="1"/>
  <c r="A232" i="3" s="1"/>
  <c r="A232" i="6" s="1"/>
  <c r="A233" i="3" a="1"/>
  <c r="A233" i="3" s="1"/>
  <c r="A233" i="6" s="1"/>
  <c r="A234" i="3" a="1"/>
  <c r="A234" i="3" s="1"/>
  <c r="A234" i="6" s="1"/>
  <c r="A235" i="3" a="1"/>
  <c r="A235" i="3" s="1"/>
  <c r="A235" i="6" s="1"/>
  <c r="A236" i="3" a="1"/>
  <c r="A236" i="3" s="1"/>
  <c r="A236" i="6" s="1"/>
  <c r="A237" i="3" a="1"/>
  <c r="A237" i="3" s="1"/>
  <c r="A237" i="6" s="1"/>
  <c r="A238" i="3" a="1"/>
  <c r="A238" i="3" s="1"/>
  <c r="A238" i="6" s="1"/>
  <c r="A239" i="3" a="1"/>
  <c r="A239" i="3" s="1"/>
  <c r="A239" i="6" s="1"/>
  <c r="A240" i="3" a="1"/>
  <c r="A240" i="3" s="1"/>
  <c r="A240" i="6" s="1"/>
  <c r="A241" i="3" a="1"/>
  <c r="A241" i="3" s="1"/>
  <c r="A241" i="6" s="1"/>
  <c r="A242" i="3" a="1"/>
  <c r="A242" i="3" s="1"/>
  <c r="A243" i="3" a="1"/>
  <c r="A243" i="3" s="1"/>
  <c r="A243" i="6" s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B161" i="1" s="1"/>
  <c r="A162" i="1"/>
  <c r="A163" i="1"/>
  <c r="A164" i="1"/>
  <c r="A165" i="1"/>
  <c r="A166" i="1"/>
  <c r="A167" i="1"/>
  <c r="B167" i="1" s="1"/>
  <c r="A168" i="1"/>
  <c r="A169" i="1"/>
  <c r="A11" i="1"/>
  <c r="B11" i="1" s="1"/>
  <c r="A10" i="1"/>
  <c r="A3" i="1"/>
  <c r="A4" i="1"/>
  <c r="A5" i="1"/>
  <c r="A6" i="1"/>
  <c r="A7" i="1"/>
  <c r="A8" i="1"/>
  <c r="A9" i="1"/>
  <c r="A2" i="1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1" i="5"/>
  <c r="A3" i="5"/>
  <c r="A4" i="5"/>
  <c r="A5" i="5"/>
  <c r="A6" i="5"/>
  <c r="A7" i="5"/>
  <c r="A8" i="5"/>
  <c r="A9" i="5"/>
  <c r="A10" i="5"/>
  <c r="A2" i="5"/>
  <c r="S36" i="4"/>
  <c r="S37" i="4"/>
  <c r="S38" i="4"/>
  <c r="S39" i="4"/>
  <c r="S40" i="4"/>
  <c r="S41" i="4"/>
  <c r="S42" i="4"/>
  <c r="S43" i="4"/>
  <c r="T43" i="4" s="1" a="1"/>
  <c r="T43" i="4" s="1"/>
  <c r="S44" i="4"/>
  <c r="T44" i="4" s="1" a="1"/>
  <c r="T44" i="4" s="1"/>
  <c r="S45" i="4"/>
  <c r="T45" i="4" s="1" a="1"/>
  <c r="T45" i="4" s="1"/>
  <c r="S46" i="4"/>
  <c r="T46" i="4" s="1" a="1"/>
  <c r="T46" i="4" s="1"/>
  <c r="S26" i="4"/>
  <c r="S27" i="4"/>
  <c r="S28" i="4"/>
  <c r="S29" i="4"/>
  <c r="S30" i="4"/>
  <c r="S31" i="4"/>
  <c r="S32" i="4"/>
  <c r="S33" i="4"/>
  <c r="S34" i="4"/>
  <c r="S35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S47" i="4"/>
  <c r="T47" i="4" s="1" a="1"/>
  <c r="T47" i="4" s="1"/>
  <c r="S48" i="4"/>
  <c r="T48" i="4" s="1" a="1"/>
  <c r="T48" i="4" s="1"/>
  <c r="S49" i="4"/>
  <c r="S50" i="4"/>
  <c r="S51" i="4"/>
  <c r="B6" i="1"/>
  <c r="B8" i="1"/>
  <c r="B12" i="1"/>
  <c r="B17" i="1"/>
  <c r="B21" i="1"/>
  <c r="B22" i="1"/>
  <c r="B23" i="1"/>
  <c r="B24" i="1"/>
  <c r="B27" i="1"/>
  <c r="B29" i="1"/>
  <c r="B33" i="1"/>
  <c r="B35" i="1"/>
  <c r="B39" i="1"/>
  <c r="B41" i="1"/>
  <c r="B47" i="1"/>
  <c r="B51" i="1"/>
  <c r="B53" i="1"/>
  <c r="B58" i="1"/>
  <c r="B59" i="1"/>
  <c r="B63" i="1"/>
  <c r="B65" i="1"/>
  <c r="B69" i="1"/>
  <c r="B75" i="1"/>
  <c r="B81" i="1"/>
  <c r="B82" i="1"/>
  <c r="B83" i="1"/>
  <c r="B87" i="1"/>
  <c r="B93" i="1"/>
  <c r="B94" i="1"/>
  <c r="B99" i="1"/>
  <c r="B101" i="1"/>
  <c r="B105" i="1"/>
  <c r="B111" i="1"/>
  <c r="B117" i="1"/>
  <c r="B119" i="1"/>
  <c r="B123" i="1"/>
  <c r="B129" i="1"/>
  <c r="B135" i="1"/>
  <c r="B137" i="1"/>
  <c r="B141" i="1"/>
  <c r="B147" i="1"/>
  <c r="B153" i="1"/>
  <c r="B2" i="1"/>
  <c r="P454" i="5"/>
  <c r="P455" i="5"/>
  <c r="B4" i="1"/>
  <c r="B10" i="1"/>
  <c r="B15" i="1"/>
  <c r="B19" i="1"/>
  <c r="B25" i="1"/>
  <c r="B45" i="1"/>
  <c r="B49" i="1"/>
  <c r="B55" i="1"/>
  <c r="B57" i="1"/>
  <c r="B71" i="1"/>
  <c r="B73" i="1"/>
  <c r="B77" i="1"/>
  <c r="B85" i="1"/>
  <c r="B89" i="1"/>
  <c r="B95" i="1"/>
  <c r="B107" i="1"/>
  <c r="B109" i="1"/>
  <c r="B113" i="1"/>
  <c r="B120" i="1"/>
  <c r="B121" i="1"/>
  <c r="B125" i="1"/>
  <c r="B131" i="1"/>
  <c r="B143" i="1"/>
  <c r="B145" i="1"/>
  <c r="B149" i="1"/>
  <c r="B155" i="1"/>
  <c r="B157" i="1"/>
  <c r="A43" i="4"/>
  <c r="C43" i="4"/>
  <c r="D43" i="4" s="1"/>
  <c r="G43" i="4"/>
  <c r="H43" i="4" s="1"/>
  <c r="F43" i="4" s="1"/>
  <c r="L43" i="4"/>
  <c r="N43" i="4" s="1"/>
  <c r="P43" i="4" s="1"/>
  <c r="M43" i="4"/>
  <c r="O43" i="4" s="1" a="1"/>
  <c r="O43" i="4" s="1"/>
  <c r="A44" i="4"/>
  <c r="C44" i="4"/>
  <c r="D44" i="4" s="1"/>
  <c r="G44" i="4"/>
  <c r="H44" i="4" s="1"/>
  <c r="F44" i="4" s="1"/>
  <c r="L44" i="4"/>
  <c r="N44" i="4" s="1"/>
  <c r="P44" i="4" s="1"/>
  <c r="M44" i="4"/>
  <c r="O44" i="4" s="1" a="1"/>
  <c r="O44" i="4" s="1"/>
  <c r="A45" i="4"/>
  <c r="C45" i="4"/>
  <c r="D45" i="4" s="1"/>
  <c r="G45" i="4"/>
  <c r="H45" i="4" s="1"/>
  <c r="F45" i="4" s="1"/>
  <c r="L45" i="4"/>
  <c r="N45" i="4" s="1"/>
  <c r="P45" i="4" s="1"/>
  <c r="M45" i="4"/>
  <c r="O45" i="4" s="1" a="1"/>
  <c r="O45" i="4" s="1"/>
  <c r="A46" i="4"/>
  <c r="C46" i="4"/>
  <c r="D46" i="4" s="1"/>
  <c r="G46" i="4"/>
  <c r="H46" i="4" s="1"/>
  <c r="F46" i="4" s="1"/>
  <c r="L46" i="4"/>
  <c r="N46" i="4" s="1"/>
  <c r="P46" i="4" s="1"/>
  <c r="M46" i="4"/>
  <c r="O46" i="4" s="1" a="1"/>
  <c r="O46" i="4" s="1"/>
  <c r="A47" i="4"/>
  <c r="C47" i="4"/>
  <c r="D47" i="4" s="1"/>
  <c r="G47" i="4"/>
  <c r="H47" i="4" s="1"/>
  <c r="F47" i="4" s="1"/>
  <c r="L47" i="4"/>
  <c r="N47" i="4" s="1"/>
  <c r="P47" i="4" s="1"/>
  <c r="M47" i="4"/>
  <c r="O47" i="4" s="1" a="1"/>
  <c r="O47" i="4" s="1"/>
  <c r="A48" i="4"/>
  <c r="C48" i="4"/>
  <c r="D48" i="4" s="1"/>
  <c r="G48" i="4"/>
  <c r="H48" i="4" s="1"/>
  <c r="F48" i="4" s="1"/>
  <c r="L48" i="4"/>
  <c r="N48" i="4" s="1"/>
  <c r="P48" i="4" s="1"/>
  <c r="M48" i="4"/>
  <c r="O48" i="4" s="1" a="1"/>
  <c r="O48" i="4" s="1"/>
  <c r="A49" i="4"/>
  <c r="C49" i="4"/>
  <c r="D49" i="4" s="1"/>
  <c r="G49" i="4"/>
  <c r="H49" i="4" s="1"/>
  <c r="F49" i="4" s="1"/>
  <c r="L49" i="4"/>
  <c r="N49" i="4" s="1"/>
  <c r="P49" i="4" s="1"/>
  <c r="M49" i="4"/>
  <c r="O49" i="4" s="1" a="1"/>
  <c r="O49" i="4" s="1"/>
  <c r="T49" i="4" a="1"/>
  <c r="T49" i="4" s="1"/>
  <c r="A50" i="4"/>
  <c r="C50" i="4"/>
  <c r="D50" i="4" s="1"/>
  <c r="G50" i="4"/>
  <c r="H50" i="4" s="1"/>
  <c r="F50" i="4" s="1"/>
  <c r="L50" i="4"/>
  <c r="N50" i="4" s="1"/>
  <c r="P50" i="4" s="1"/>
  <c r="M50" i="4"/>
  <c r="O50" i="4" s="1" a="1"/>
  <c r="O50" i="4" s="1"/>
  <c r="T50" i="4" a="1"/>
  <c r="T50" i="4" s="1"/>
  <c r="A51" i="4"/>
  <c r="C51" i="4"/>
  <c r="D51" i="4" s="1"/>
  <c r="G51" i="4"/>
  <c r="H51" i="4" s="1"/>
  <c r="F51" i="4" s="1"/>
  <c r="L51" i="4"/>
  <c r="N51" i="4" s="1"/>
  <c r="P51" i="4" s="1"/>
  <c r="M51" i="4"/>
  <c r="O51" i="4" s="1" a="1"/>
  <c r="O51" i="4" s="1"/>
  <c r="T51" i="4" a="1"/>
  <c r="T51" i="4" s="1"/>
  <c r="A52" i="4"/>
  <c r="C52" i="4"/>
  <c r="D52" i="4" s="1"/>
  <c r="G52" i="4"/>
  <c r="H52" i="4" s="1"/>
  <c r="F52" i="4" s="1"/>
  <c r="L52" i="4"/>
  <c r="N52" i="4" s="1"/>
  <c r="P52" i="4" s="1"/>
  <c r="M52" i="4"/>
  <c r="O52" i="4" s="1" a="1"/>
  <c r="O52" i="4" s="1"/>
  <c r="S52" i="4"/>
  <c r="T52" i="4" s="1" a="1"/>
  <c r="T52" i="4" s="1"/>
  <c r="A53" i="4"/>
  <c r="C53" i="4"/>
  <c r="D53" i="4" s="1"/>
  <c r="G53" i="4"/>
  <c r="H53" i="4" s="1"/>
  <c r="F53" i="4" s="1"/>
  <c r="L53" i="4"/>
  <c r="N53" i="4" s="1"/>
  <c r="P53" i="4" s="1"/>
  <c r="M53" i="4"/>
  <c r="O53" i="4" s="1" a="1"/>
  <c r="O53" i="4" s="1"/>
  <c r="S53" i="4"/>
  <c r="T53" i="4" s="1" a="1"/>
  <c r="T53" i="4" s="1"/>
  <c r="A54" i="4"/>
  <c r="C54" i="4"/>
  <c r="D54" i="4" s="1"/>
  <c r="G54" i="4"/>
  <c r="H54" i="4" s="1"/>
  <c r="F54" i="4" s="1"/>
  <c r="L54" i="4"/>
  <c r="N54" i="4" s="1"/>
  <c r="P54" i="4" s="1"/>
  <c r="M54" i="4"/>
  <c r="O54" i="4" s="1" a="1"/>
  <c r="O54" i="4" s="1"/>
  <c r="S54" i="4"/>
  <c r="T54" i="4" s="1" a="1"/>
  <c r="T54" i="4" s="1"/>
  <c r="A55" i="4"/>
  <c r="C55" i="4"/>
  <c r="D55" i="4" s="1"/>
  <c r="G55" i="4"/>
  <c r="H55" i="4" s="1"/>
  <c r="F55" i="4" s="1"/>
  <c r="L55" i="4"/>
  <c r="N55" i="4" s="1"/>
  <c r="P55" i="4" s="1"/>
  <c r="M55" i="4"/>
  <c r="O55" i="4" s="1" a="1"/>
  <c r="O55" i="4" s="1"/>
  <c r="S55" i="4"/>
  <c r="T55" i="4" s="1" a="1"/>
  <c r="T55" i="4" s="1"/>
  <c r="A56" i="4"/>
  <c r="C56" i="4"/>
  <c r="D56" i="4" s="1"/>
  <c r="G56" i="4"/>
  <c r="H56" i="4" s="1"/>
  <c r="F56" i="4" s="1"/>
  <c r="L56" i="4"/>
  <c r="N56" i="4" s="1"/>
  <c r="P56" i="4" s="1"/>
  <c r="M56" i="4"/>
  <c r="O56" i="4" s="1" a="1"/>
  <c r="O56" i="4" s="1"/>
  <c r="S56" i="4"/>
  <c r="T56" i="4" s="1" a="1"/>
  <c r="T56" i="4" s="1"/>
  <c r="A57" i="4"/>
  <c r="C57" i="4"/>
  <c r="D57" i="4" s="1"/>
  <c r="G57" i="4"/>
  <c r="H57" i="4" s="1"/>
  <c r="F57" i="4" s="1"/>
  <c r="L57" i="4"/>
  <c r="N57" i="4" s="1"/>
  <c r="P57" i="4" s="1"/>
  <c r="M57" i="4"/>
  <c r="O57" i="4" s="1" a="1"/>
  <c r="O57" i="4" s="1"/>
  <c r="S57" i="4"/>
  <c r="T57" i="4" s="1" a="1"/>
  <c r="T57" i="4" s="1"/>
  <c r="A58" i="4"/>
  <c r="C58" i="4"/>
  <c r="D58" i="4" s="1"/>
  <c r="G58" i="4"/>
  <c r="H58" i="4" s="1"/>
  <c r="F58" i="4" s="1"/>
  <c r="L58" i="4"/>
  <c r="N58" i="4" s="1"/>
  <c r="P58" i="4" s="1"/>
  <c r="M58" i="4"/>
  <c r="O58" i="4" s="1" a="1"/>
  <c r="O58" i="4" s="1"/>
  <c r="S58" i="4"/>
  <c r="T58" i="4" s="1" a="1"/>
  <c r="T58" i="4" s="1"/>
  <c r="A59" i="4"/>
  <c r="C59" i="4"/>
  <c r="D59" i="4" s="1"/>
  <c r="G59" i="4"/>
  <c r="H59" i="4" s="1"/>
  <c r="F59" i="4" s="1"/>
  <c r="L59" i="4"/>
  <c r="N59" i="4" s="1"/>
  <c r="P59" i="4" s="1"/>
  <c r="M59" i="4"/>
  <c r="O59" i="4" s="1" a="1"/>
  <c r="O59" i="4" s="1"/>
  <c r="S59" i="4"/>
  <c r="T59" i="4" s="1" a="1"/>
  <c r="T59" i="4" s="1"/>
  <c r="A60" i="4"/>
  <c r="C60" i="4"/>
  <c r="D60" i="4" s="1"/>
  <c r="G60" i="4"/>
  <c r="H60" i="4" s="1"/>
  <c r="F60" i="4" s="1"/>
  <c r="L60" i="4"/>
  <c r="N60" i="4" s="1"/>
  <c r="P60" i="4" s="1"/>
  <c r="M60" i="4"/>
  <c r="O60" i="4" s="1" a="1"/>
  <c r="O60" i="4" s="1"/>
  <c r="S60" i="4"/>
  <c r="T60" i="4" s="1" a="1"/>
  <c r="T60" i="4" s="1"/>
  <c r="A61" i="4"/>
  <c r="C61" i="4"/>
  <c r="D61" i="4" s="1"/>
  <c r="G61" i="4"/>
  <c r="H61" i="4" s="1"/>
  <c r="F61" i="4" s="1"/>
  <c r="L61" i="4"/>
  <c r="N61" i="4" s="1"/>
  <c r="P61" i="4" s="1"/>
  <c r="M61" i="4"/>
  <c r="O61" i="4" s="1" a="1"/>
  <c r="O61" i="4" s="1"/>
  <c r="S61" i="4"/>
  <c r="T61" i="4" s="1" a="1"/>
  <c r="T61" i="4" s="1"/>
  <c r="A62" i="4"/>
  <c r="C62" i="4"/>
  <c r="D62" i="4" s="1"/>
  <c r="G62" i="4"/>
  <c r="H62" i="4" s="1"/>
  <c r="F62" i="4" s="1"/>
  <c r="L62" i="4"/>
  <c r="N62" i="4" s="1"/>
  <c r="P62" i="4" s="1"/>
  <c r="M62" i="4"/>
  <c r="O62" i="4" s="1" a="1"/>
  <c r="O62" i="4" s="1"/>
  <c r="S62" i="4"/>
  <c r="T62" i="4" s="1" a="1"/>
  <c r="T62" i="4" s="1"/>
  <c r="A63" i="4"/>
  <c r="C63" i="4"/>
  <c r="D63" i="4" s="1"/>
  <c r="G63" i="4"/>
  <c r="H63" i="4" s="1"/>
  <c r="F63" i="4" s="1"/>
  <c r="L63" i="4"/>
  <c r="N63" i="4" s="1"/>
  <c r="P63" i="4" s="1"/>
  <c r="M63" i="4"/>
  <c r="O63" i="4" s="1" a="1"/>
  <c r="O63" i="4" s="1"/>
  <c r="S63" i="4"/>
  <c r="T63" i="4" s="1" a="1"/>
  <c r="T63" i="4" s="1"/>
  <c r="A64" i="4"/>
  <c r="C64" i="4"/>
  <c r="D64" i="4" s="1"/>
  <c r="G64" i="4"/>
  <c r="H64" i="4" s="1"/>
  <c r="F64" i="4" s="1"/>
  <c r="L64" i="4"/>
  <c r="N64" i="4" s="1"/>
  <c r="P64" i="4" s="1"/>
  <c r="M64" i="4"/>
  <c r="O64" i="4" s="1" a="1"/>
  <c r="O64" i="4" s="1"/>
  <c r="S64" i="4"/>
  <c r="T64" i="4" s="1" a="1"/>
  <c r="T64" i="4" s="1"/>
  <c r="A65" i="4"/>
  <c r="C65" i="4"/>
  <c r="D65" i="4" s="1"/>
  <c r="G65" i="4"/>
  <c r="H65" i="4" s="1"/>
  <c r="F65" i="4" s="1"/>
  <c r="L65" i="4"/>
  <c r="N65" i="4" s="1"/>
  <c r="P65" i="4" s="1"/>
  <c r="M65" i="4"/>
  <c r="O65" i="4" s="1" a="1"/>
  <c r="O65" i="4" s="1"/>
  <c r="S65" i="4"/>
  <c r="T65" i="4" s="1" a="1"/>
  <c r="T65" i="4" s="1"/>
  <c r="A66" i="4"/>
  <c r="C66" i="4"/>
  <c r="D66" i="4" s="1"/>
  <c r="G66" i="4"/>
  <c r="H66" i="4" s="1"/>
  <c r="F66" i="4" s="1"/>
  <c r="L66" i="4"/>
  <c r="N66" i="4" s="1"/>
  <c r="P66" i="4" s="1"/>
  <c r="M66" i="4"/>
  <c r="O66" i="4" s="1" a="1"/>
  <c r="O66" i="4" s="1"/>
  <c r="S66" i="4"/>
  <c r="T66" i="4" s="1" a="1"/>
  <c r="T66" i="4" s="1"/>
  <c r="A67" i="4"/>
  <c r="C67" i="4"/>
  <c r="D67" i="4" s="1"/>
  <c r="G67" i="4"/>
  <c r="H67" i="4" s="1"/>
  <c r="F67" i="4" s="1"/>
  <c r="L67" i="4"/>
  <c r="N67" i="4" s="1"/>
  <c r="P67" i="4" s="1"/>
  <c r="M67" i="4"/>
  <c r="O67" i="4" s="1" a="1"/>
  <c r="O67" i="4" s="1"/>
  <c r="S67" i="4"/>
  <c r="T67" i="4" s="1" a="1"/>
  <c r="T67" i="4" s="1"/>
  <c r="A68" i="4"/>
  <c r="C68" i="4"/>
  <c r="D68" i="4" s="1"/>
  <c r="G68" i="4"/>
  <c r="H68" i="4" s="1"/>
  <c r="F68" i="4" s="1"/>
  <c r="L68" i="4"/>
  <c r="N68" i="4" s="1"/>
  <c r="P68" i="4" s="1"/>
  <c r="M68" i="4"/>
  <c r="O68" i="4" s="1" a="1"/>
  <c r="O68" i="4" s="1"/>
  <c r="S68" i="4"/>
  <c r="T68" i="4" s="1" a="1"/>
  <c r="T68" i="4" s="1"/>
  <c r="A69" i="4"/>
  <c r="C69" i="4"/>
  <c r="D69" i="4" s="1"/>
  <c r="G69" i="4"/>
  <c r="H69" i="4" s="1"/>
  <c r="F69" i="4" s="1"/>
  <c r="L69" i="4"/>
  <c r="N69" i="4" s="1"/>
  <c r="P69" i="4" s="1"/>
  <c r="M69" i="4"/>
  <c r="O69" i="4" s="1" a="1"/>
  <c r="O69" i="4" s="1"/>
  <c r="S69" i="4"/>
  <c r="T69" i="4" s="1" a="1"/>
  <c r="T69" i="4" s="1"/>
  <c r="A70" i="4"/>
  <c r="C70" i="4"/>
  <c r="D70" i="4" s="1"/>
  <c r="G70" i="4"/>
  <c r="H70" i="4" s="1"/>
  <c r="F70" i="4" s="1"/>
  <c r="L70" i="4"/>
  <c r="N70" i="4" s="1"/>
  <c r="P70" i="4" s="1"/>
  <c r="M70" i="4"/>
  <c r="O70" i="4" s="1" a="1"/>
  <c r="O70" i="4" s="1"/>
  <c r="S70" i="4"/>
  <c r="T70" i="4" s="1" a="1"/>
  <c r="T70" i="4" s="1"/>
  <c r="A71" i="4"/>
  <c r="C71" i="4"/>
  <c r="D71" i="4" s="1"/>
  <c r="G71" i="4"/>
  <c r="H71" i="4" s="1"/>
  <c r="F71" i="4" s="1"/>
  <c r="L71" i="4"/>
  <c r="N71" i="4" s="1"/>
  <c r="P71" i="4" s="1"/>
  <c r="M71" i="4"/>
  <c r="O71" i="4" s="1" a="1"/>
  <c r="O71" i="4" s="1"/>
  <c r="S71" i="4"/>
  <c r="T71" i="4" s="1" a="1"/>
  <c r="T71" i="4" s="1"/>
  <c r="A72" i="4"/>
  <c r="C72" i="4"/>
  <c r="D72" i="4" s="1"/>
  <c r="G72" i="4"/>
  <c r="H72" i="4" s="1"/>
  <c r="F72" i="4" s="1"/>
  <c r="L72" i="4"/>
  <c r="N72" i="4" s="1"/>
  <c r="P72" i="4" s="1"/>
  <c r="M72" i="4"/>
  <c r="O72" i="4" s="1" a="1"/>
  <c r="O72" i="4" s="1"/>
  <c r="S72" i="4"/>
  <c r="T72" i="4" s="1" a="1"/>
  <c r="T72" i="4" s="1"/>
  <c r="A73" i="4"/>
  <c r="C73" i="4"/>
  <c r="D73" i="4" s="1"/>
  <c r="G73" i="4"/>
  <c r="H73" i="4" s="1"/>
  <c r="F73" i="4" s="1"/>
  <c r="L73" i="4"/>
  <c r="N73" i="4" s="1"/>
  <c r="P73" i="4" s="1"/>
  <c r="M73" i="4"/>
  <c r="O73" i="4" s="1" a="1"/>
  <c r="O73" i="4" s="1"/>
  <c r="S73" i="4"/>
  <c r="T73" i="4" s="1" a="1"/>
  <c r="T73" i="4" s="1"/>
  <c r="A74" i="4"/>
  <c r="C74" i="4"/>
  <c r="D74" i="4" s="1"/>
  <c r="G74" i="4"/>
  <c r="H74" i="4" s="1"/>
  <c r="F74" i="4" s="1"/>
  <c r="L74" i="4"/>
  <c r="N74" i="4" s="1"/>
  <c r="P74" i="4" s="1"/>
  <c r="M74" i="4"/>
  <c r="O74" i="4" s="1" a="1"/>
  <c r="O74" i="4" s="1"/>
  <c r="S74" i="4"/>
  <c r="T74" i="4" s="1" a="1"/>
  <c r="T74" i="4" s="1"/>
  <c r="A75" i="4"/>
  <c r="C75" i="4"/>
  <c r="D75" i="4" s="1"/>
  <c r="G75" i="4"/>
  <c r="H75" i="4" s="1"/>
  <c r="F75" i="4" s="1"/>
  <c r="L75" i="4"/>
  <c r="N75" i="4" s="1"/>
  <c r="P75" i="4" s="1"/>
  <c r="M75" i="4"/>
  <c r="O75" i="4" s="1" a="1"/>
  <c r="O75" i="4" s="1"/>
  <c r="S75" i="4"/>
  <c r="T75" i="4" s="1" a="1"/>
  <c r="T75" i="4" s="1"/>
  <c r="A76" i="4"/>
  <c r="C76" i="4"/>
  <c r="D76" i="4" s="1"/>
  <c r="G76" i="4"/>
  <c r="H76" i="4" s="1"/>
  <c r="F76" i="4" s="1"/>
  <c r="L76" i="4"/>
  <c r="N76" i="4" s="1"/>
  <c r="P76" i="4" s="1"/>
  <c r="M76" i="4"/>
  <c r="O76" i="4" s="1" a="1"/>
  <c r="O76" i="4" s="1"/>
  <c r="S76" i="4"/>
  <c r="T76" i="4" s="1" a="1"/>
  <c r="T76" i="4" s="1"/>
  <c r="A77" i="4"/>
  <c r="C77" i="4"/>
  <c r="D77" i="4" s="1"/>
  <c r="G77" i="4"/>
  <c r="H77" i="4" s="1"/>
  <c r="F77" i="4" s="1"/>
  <c r="L77" i="4"/>
  <c r="N77" i="4" s="1"/>
  <c r="P77" i="4" s="1"/>
  <c r="M77" i="4"/>
  <c r="O77" i="4" s="1" a="1"/>
  <c r="O77" i="4" s="1"/>
  <c r="S77" i="4"/>
  <c r="T77" i="4" s="1" a="1"/>
  <c r="T77" i="4" s="1"/>
  <c r="A78" i="4"/>
  <c r="C78" i="4"/>
  <c r="D78" i="4" s="1"/>
  <c r="G78" i="4"/>
  <c r="H78" i="4" s="1"/>
  <c r="F78" i="4" s="1"/>
  <c r="L78" i="4"/>
  <c r="N78" i="4" s="1"/>
  <c r="P78" i="4" s="1"/>
  <c r="M78" i="4"/>
  <c r="O78" i="4" s="1" a="1"/>
  <c r="O78" i="4" s="1"/>
  <c r="S78" i="4"/>
  <c r="T78" i="4" s="1" a="1"/>
  <c r="T78" i="4" s="1"/>
  <c r="A79" i="4"/>
  <c r="C79" i="4"/>
  <c r="D79" i="4" s="1"/>
  <c r="G79" i="4"/>
  <c r="H79" i="4" s="1"/>
  <c r="F79" i="4" s="1"/>
  <c r="L79" i="4"/>
  <c r="N79" i="4" s="1"/>
  <c r="P79" i="4" s="1"/>
  <c r="M79" i="4"/>
  <c r="O79" i="4" s="1" a="1"/>
  <c r="O79" i="4" s="1"/>
  <c r="S79" i="4"/>
  <c r="T79" i="4" s="1" a="1"/>
  <c r="T79" i="4" s="1"/>
  <c r="A80" i="4"/>
  <c r="C80" i="4"/>
  <c r="D80" i="4" s="1"/>
  <c r="G80" i="4"/>
  <c r="H80" i="4" s="1"/>
  <c r="F80" i="4" s="1"/>
  <c r="L80" i="4"/>
  <c r="N80" i="4" s="1"/>
  <c r="P80" i="4" s="1"/>
  <c r="M80" i="4"/>
  <c r="O80" i="4" s="1" a="1"/>
  <c r="O80" i="4" s="1"/>
  <c r="S80" i="4"/>
  <c r="T80" i="4" s="1" a="1"/>
  <c r="T80" i="4" s="1"/>
  <c r="A81" i="4"/>
  <c r="C81" i="4"/>
  <c r="D81" i="4" s="1"/>
  <c r="G81" i="4"/>
  <c r="H81" i="4" s="1"/>
  <c r="F81" i="4" s="1"/>
  <c r="L81" i="4"/>
  <c r="N81" i="4" s="1"/>
  <c r="P81" i="4" s="1"/>
  <c r="M81" i="4"/>
  <c r="O81" i="4" s="1" a="1"/>
  <c r="O81" i="4" s="1"/>
  <c r="S81" i="4"/>
  <c r="T81" i="4" s="1" a="1"/>
  <c r="T81" i="4" s="1"/>
  <c r="A82" i="4"/>
  <c r="C82" i="4"/>
  <c r="D82" i="4" s="1"/>
  <c r="G82" i="4"/>
  <c r="H82" i="4" s="1"/>
  <c r="F82" i="4" s="1"/>
  <c r="L82" i="4"/>
  <c r="N82" i="4" s="1"/>
  <c r="P82" i="4" s="1"/>
  <c r="M82" i="4"/>
  <c r="O82" i="4" s="1" a="1"/>
  <c r="O82" i="4" s="1"/>
  <c r="S82" i="4"/>
  <c r="T82" i="4" s="1" a="1"/>
  <c r="T82" i="4" s="1"/>
  <c r="A83" i="4"/>
  <c r="C83" i="4"/>
  <c r="D83" i="4" s="1"/>
  <c r="G83" i="4"/>
  <c r="H83" i="4" s="1"/>
  <c r="F83" i="4" s="1"/>
  <c r="L83" i="4"/>
  <c r="N83" i="4" s="1"/>
  <c r="P83" i="4" s="1"/>
  <c r="M83" i="4"/>
  <c r="O83" i="4" s="1" a="1"/>
  <c r="O83" i="4" s="1"/>
  <c r="S83" i="4"/>
  <c r="T83" i="4" s="1" a="1"/>
  <c r="T83" i="4" s="1"/>
  <c r="A84" i="4"/>
  <c r="C84" i="4"/>
  <c r="D84" i="4" s="1"/>
  <c r="G84" i="4"/>
  <c r="H84" i="4" s="1"/>
  <c r="F84" i="4" s="1"/>
  <c r="L84" i="4"/>
  <c r="N84" i="4" s="1"/>
  <c r="P84" i="4" s="1"/>
  <c r="M84" i="4"/>
  <c r="O84" i="4" s="1" a="1"/>
  <c r="O84" i="4" s="1"/>
  <c r="S84" i="4"/>
  <c r="T84" i="4" s="1" a="1"/>
  <c r="T84" i="4" s="1"/>
  <c r="A85" i="4"/>
  <c r="C85" i="4"/>
  <c r="D85" i="4" s="1"/>
  <c r="G85" i="4"/>
  <c r="H85" i="4" s="1"/>
  <c r="F85" i="4" s="1"/>
  <c r="L85" i="4"/>
  <c r="N85" i="4" s="1"/>
  <c r="P85" i="4" s="1"/>
  <c r="M85" i="4"/>
  <c r="O85" i="4" s="1" a="1"/>
  <c r="O85" i="4" s="1"/>
  <c r="S85" i="4"/>
  <c r="T85" i="4" s="1" a="1"/>
  <c r="T85" i="4" s="1"/>
  <c r="A86" i="4"/>
  <c r="C86" i="4"/>
  <c r="D86" i="4" s="1"/>
  <c r="G86" i="4"/>
  <c r="H86" i="4" s="1"/>
  <c r="F86" i="4" s="1"/>
  <c r="L86" i="4"/>
  <c r="N86" i="4" s="1"/>
  <c r="P86" i="4" s="1"/>
  <c r="M86" i="4"/>
  <c r="O86" i="4" s="1" a="1"/>
  <c r="O86" i="4" s="1"/>
  <c r="S86" i="4"/>
  <c r="T86" i="4" s="1" a="1"/>
  <c r="T86" i="4" s="1"/>
  <c r="A87" i="4"/>
  <c r="C87" i="4"/>
  <c r="D87" i="4" s="1"/>
  <c r="G87" i="4"/>
  <c r="H87" i="4" s="1"/>
  <c r="F87" i="4" s="1"/>
  <c r="L87" i="4"/>
  <c r="N87" i="4" s="1"/>
  <c r="P87" i="4" s="1"/>
  <c r="M87" i="4"/>
  <c r="O87" i="4" s="1" a="1"/>
  <c r="O87" i="4" s="1"/>
  <c r="S87" i="4"/>
  <c r="T87" i="4" s="1" a="1"/>
  <c r="T87" i="4" s="1"/>
  <c r="A88" i="4"/>
  <c r="C88" i="4"/>
  <c r="D88" i="4" s="1"/>
  <c r="G88" i="4"/>
  <c r="H88" i="4" s="1"/>
  <c r="F88" i="4" s="1"/>
  <c r="L88" i="4"/>
  <c r="N88" i="4" s="1"/>
  <c r="P88" i="4" s="1"/>
  <c r="M88" i="4"/>
  <c r="O88" i="4" s="1" a="1"/>
  <c r="O88" i="4" s="1"/>
  <c r="S88" i="4"/>
  <c r="T88" i="4" s="1" a="1"/>
  <c r="T88" i="4" s="1"/>
  <c r="A89" i="4"/>
  <c r="F89" i="4"/>
  <c r="L89" i="4"/>
  <c r="N89" i="4" s="1"/>
  <c r="M89" i="4"/>
  <c r="S89" i="4"/>
  <c r="T89" i="4" s="1" a="1"/>
  <c r="T89" i="4" s="1"/>
  <c r="F90" i="4"/>
  <c r="L90" i="4"/>
  <c r="N90" i="4" s="1"/>
  <c r="M90" i="4"/>
  <c r="S90" i="4"/>
  <c r="T90" i="4" s="1" a="1"/>
  <c r="T90" i="4" s="1"/>
  <c r="F91" i="4"/>
  <c r="L91" i="4"/>
  <c r="N91" i="4" s="1"/>
  <c r="M91" i="4"/>
  <c r="S91" i="4"/>
  <c r="T91" i="4" s="1" a="1"/>
  <c r="T91" i="4" s="1"/>
  <c r="F92" i="4"/>
  <c r="L92" i="4"/>
  <c r="N92" i="4" s="1"/>
  <c r="M92" i="4"/>
  <c r="S92" i="4"/>
  <c r="T92" i="4" s="1" a="1"/>
  <c r="T92" i="4" s="1"/>
  <c r="F93" i="4"/>
  <c r="L93" i="4"/>
  <c r="N93" i="4" s="1"/>
  <c r="M93" i="4"/>
  <c r="S93" i="4"/>
  <c r="T93" i="4" s="1" a="1"/>
  <c r="T93" i="4" s="1"/>
  <c r="F94" i="4"/>
  <c r="L94" i="4"/>
  <c r="N94" i="4" s="1"/>
  <c r="M94" i="4"/>
  <c r="S94" i="4"/>
  <c r="T94" i="4" s="1" a="1"/>
  <c r="T94" i="4" s="1"/>
  <c r="F95" i="4"/>
  <c r="L95" i="4"/>
  <c r="N95" i="4" s="1"/>
  <c r="M95" i="4"/>
  <c r="S95" i="4"/>
  <c r="T95" i="4" s="1" a="1"/>
  <c r="T95" i="4" s="1"/>
  <c r="F96" i="4"/>
  <c r="L96" i="4"/>
  <c r="N96" i="4" s="1"/>
  <c r="M96" i="4"/>
  <c r="S96" i="4"/>
  <c r="T96" i="4" s="1" a="1"/>
  <c r="T96" i="4" s="1"/>
  <c r="F97" i="4"/>
  <c r="L97" i="4"/>
  <c r="N97" i="4" s="1"/>
  <c r="M97" i="4"/>
  <c r="S97" i="4"/>
  <c r="T97" i="4" s="1" a="1"/>
  <c r="T97" i="4" s="1"/>
  <c r="F98" i="4"/>
  <c r="L98" i="4"/>
  <c r="N98" i="4" s="1"/>
  <c r="M98" i="4"/>
  <c r="S98" i="4"/>
  <c r="T98" i="4" s="1" a="1"/>
  <c r="T98" i="4" s="1"/>
  <c r="F99" i="4"/>
  <c r="L99" i="4"/>
  <c r="N99" i="4" s="1"/>
  <c r="M99" i="4"/>
  <c r="S99" i="4"/>
  <c r="T99" i="4" s="1" a="1"/>
  <c r="T99" i="4" s="1"/>
  <c r="F100" i="4"/>
  <c r="L100" i="4"/>
  <c r="N100" i="4" s="1"/>
  <c r="M100" i="4"/>
  <c r="S100" i="4"/>
  <c r="T100" i="4" s="1" a="1"/>
  <c r="T100" i="4" s="1"/>
  <c r="F101" i="4"/>
  <c r="L101" i="4"/>
  <c r="N101" i="4" s="1"/>
  <c r="M101" i="4"/>
  <c r="S101" i="4"/>
  <c r="T101" i="4" s="1" a="1"/>
  <c r="T101" i="4" s="1"/>
  <c r="F102" i="4"/>
  <c r="L102" i="4"/>
  <c r="N102" i="4" s="1"/>
  <c r="M102" i="4"/>
  <c r="S102" i="4"/>
  <c r="T102" i="4" s="1" a="1"/>
  <c r="T102" i="4" s="1"/>
  <c r="F103" i="4"/>
  <c r="L103" i="4"/>
  <c r="N103" i="4" s="1"/>
  <c r="M103" i="4"/>
  <c r="S103" i="4"/>
  <c r="T103" i="4" s="1" a="1"/>
  <c r="T103" i="4" s="1"/>
  <c r="F104" i="4"/>
  <c r="L104" i="4"/>
  <c r="N104" i="4" s="1"/>
  <c r="M104" i="4"/>
  <c r="S104" i="4"/>
  <c r="T104" i="4" s="1" a="1"/>
  <c r="T104" i="4" s="1"/>
  <c r="F105" i="4"/>
  <c r="L105" i="4"/>
  <c r="N105" i="4" s="1"/>
  <c r="M105" i="4"/>
  <c r="S105" i="4"/>
  <c r="T105" i="4" s="1" a="1"/>
  <c r="T105" i="4" s="1"/>
  <c r="F106" i="4"/>
  <c r="L106" i="4"/>
  <c r="N106" i="4" s="1"/>
  <c r="M106" i="4"/>
  <c r="S106" i="4"/>
  <c r="T106" i="4" s="1" a="1"/>
  <c r="T106" i="4" s="1"/>
  <c r="F107" i="4"/>
  <c r="L107" i="4"/>
  <c r="N107" i="4" s="1"/>
  <c r="M107" i="4"/>
  <c r="S107" i="4"/>
  <c r="T107" i="4" s="1" a="1"/>
  <c r="T107" i="4" s="1"/>
  <c r="F108" i="4"/>
  <c r="L108" i="4"/>
  <c r="N108" i="4" s="1"/>
  <c r="M108" i="4"/>
  <c r="S108" i="4"/>
  <c r="T108" i="4" s="1" a="1"/>
  <c r="T108" i="4" s="1"/>
  <c r="F109" i="4"/>
  <c r="L109" i="4"/>
  <c r="N109" i="4" s="1"/>
  <c r="M109" i="4"/>
  <c r="S109" i="4"/>
  <c r="T109" i="4" s="1" a="1"/>
  <c r="T109" i="4" s="1"/>
  <c r="F110" i="4"/>
  <c r="L110" i="4"/>
  <c r="N110" i="4" s="1"/>
  <c r="M110" i="4"/>
  <c r="S110" i="4"/>
  <c r="T110" i="4" s="1" a="1"/>
  <c r="T110" i="4" s="1"/>
  <c r="F111" i="4"/>
  <c r="L111" i="4"/>
  <c r="N111" i="4" s="1"/>
  <c r="M111" i="4"/>
  <c r="S111" i="4"/>
  <c r="T111" i="4" s="1" a="1"/>
  <c r="T111" i="4" s="1"/>
  <c r="F112" i="4"/>
  <c r="L112" i="4"/>
  <c r="N112" i="4" s="1"/>
  <c r="M112" i="4"/>
  <c r="S112" i="4"/>
  <c r="T112" i="4" s="1" a="1"/>
  <c r="T112" i="4" s="1"/>
  <c r="F113" i="4"/>
  <c r="L113" i="4"/>
  <c r="N113" i="4" s="1"/>
  <c r="M113" i="4"/>
  <c r="S113" i="4"/>
  <c r="T113" i="4" s="1" a="1"/>
  <c r="T113" i="4" s="1"/>
  <c r="F114" i="4"/>
  <c r="L114" i="4"/>
  <c r="N114" i="4" s="1"/>
  <c r="M114" i="4"/>
  <c r="S114" i="4"/>
  <c r="T114" i="4" s="1" a="1"/>
  <c r="T114" i="4" s="1"/>
  <c r="F115" i="4"/>
  <c r="L115" i="4"/>
  <c r="N115" i="4" s="1"/>
  <c r="M115" i="4"/>
  <c r="S115" i="4"/>
  <c r="T115" i="4" s="1" a="1"/>
  <c r="T115" i="4" s="1"/>
  <c r="F116" i="4"/>
  <c r="L116" i="4"/>
  <c r="N116" i="4" s="1"/>
  <c r="M116" i="4"/>
  <c r="S116" i="4"/>
  <c r="T116" i="4" s="1" a="1"/>
  <c r="T116" i="4" s="1"/>
  <c r="F117" i="4"/>
  <c r="L117" i="4"/>
  <c r="N117" i="4" s="1"/>
  <c r="M117" i="4"/>
  <c r="S117" i="4"/>
  <c r="T117" i="4" s="1" a="1"/>
  <c r="T117" i="4" s="1"/>
  <c r="F118" i="4"/>
  <c r="L118" i="4"/>
  <c r="N118" i="4" s="1"/>
  <c r="M118" i="4"/>
  <c r="S118" i="4"/>
  <c r="T118" i="4" s="1" a="1"/>
  <c r="T118" i="4" s="1"/>
  <c r="F119" i="4"/>
  <c r="L119" i="4"/>
  <c r="N119" i="4" s="1"/>
  <c r="M119" i="4"/>
  <c r="S119" i="4"/>
  <c r="T119" i="4" s="1" a="1"/>
  <c r="T119" i="4" s="1"/>
  <c r="F120" i="4"/>
  <c r="L120" i="4"/>
  <c r="N120" i="4" s="1"/>
  <c r="M120" i="4"/>
  <c r="S120" i="4"/>
  <c r="T120" i="4" s="1" a="1"/>
  <c r="T120" i="4" s="1"/>
  <c r="F121" i="4"/>
  <c r="L121" i="4"/>
  <c r="N121" i="4" s="1"/>
  <c r="M121" i="4"/>
  <c r="S121" i="4"/>
  <c r="T121" i="4" s="1" a="1"/>
  <c r="T121" i="4" s="1"/>
  <c r="F122" i="4"/>
  <c r="L122" i="4"/>
  <c r="N122" i="4" s="1"/>
  <c r="M122" i="4"/>
  <c r="S122" i="4"/>
  <c r="T122" i="4" s="1" a="1"/>
  <c r="T122" i="4" s="1"/>
  <c r="F123" i="4"/>
  <c r="L123" i="4"/>
  <c r="N123" i="4" s="1"/>
  <c r="M123" i="4"/>
  <c r="S123" i="4"/>
  <c r="T123" i="4" s="1" a="1"/>
  <c r="T123" i="4" s="1"/>
  <c r="F124" i="4"/>
  <c r="L124" i="4"/>
  <c r="N124" i="4" s="1"/>
  <c r="M124" i="4"/>
  <c r="S124" i="4"/>
  <c r="T124" i="4" s="1" a="1"/>
  <c r="T124" i="4" s="1"/>
  <c r="F125" i="4"/>
  <c r="L125" i="4"/>
  <c r="N125" i="4" s="1"/>
  <c r="M125" i="4"/>
  <c r="S125" i="4"/>
  <c r="T125" i="4" s="1" a="1"/>
  <c r="T125" i="4" s="1"/>
  <c r="F126" i="4"/>
  <c r="L126" i="4"/>
  <c r="N126" i="4" s="1"/>
  <c r="M126" i="4"/>
  <c r="S126" i="4"/>
  <c r="T126" i="4" s="1" a="1"/>
  <c r="T126" i="4" s="1"/>
  <c r="F127" i="4"/>
  <c r="L127" i="4"/>
  <c r="N127" i="4" s="1"/>
  <c r="M127" i="4"/>
  <c r="S127" i="4"/>
  <c r="T127" i="4" s="1" a="1"/>
  <c r="T127" i="4" s="1"/>
  <c r="F128" i="4"/>
  <c r="L128" i="4"/>
  <c r="N128" i="4" s="1"/>
  <c r="M128" i="4"/>
  <c r="S128" i="4"/>
  <c r="T128" i="4" s="1" a="1"/>
  <c r="T128" i="4" s="1"/>
  <c r="F129" i="4"/>
  <c r="L129" i="4"/>
  <c r="N129" i="4" s="1"/>
  <c r="M129" i="4"/>
  <c r="S129" i="4"/>
  <c r="T129" i="4" s="1" a="1"/>
  <c r="T129" i="4" s="1"/>
  <c r="F130" i="4"/>
  <c r="L130" i="4"/>
  <c r="N130" i="4" s="1"/>
  <c r="M130" i="4"/>
  <c r="S130" i="4"/>
  <c r="T130" i="4" s="1" a="1"/>
  <c r="T130" i="4" s="1"/>
  <c r="F131" i="4"/>
  <c r="L131" i="4"/>
  <c r="N131" i="4" s="1"/>
  <c r="M131" i="4"/>
  <c r="S131" i="4"/>
  <c r="T131" i="4" s="1" a="1"/>
  <c r="T131" i="4" s="1"/>
  <c r="F132" i="4"/>
  <c r="L132" i="4"/>
  <c r="N132" i="4" s="1"/>
  <c r="M132" i="4"/>
  <c r="S132" i="4"/>
  <c r="T132" i="4" s="1" a="1"/>
  <c r="T132" i="4" s="1"/>
  <c r="F133" i="4"/>
  <c r="L133" i="4"/>
  <c r="N133" i="4" s="1"/>
  <c r="M133" i="4"/>
  <c r="S133" i="4"/>
  <c r="T133" i="4" s="1" a="1"/>
  <c r="T133" i="4" s="1"/>
  <c r="F134" i="4"/>
  <c r="L134" i="4"/>
  <c r="N134" i="4" s="1"/>
  <c r="M134" i="4"/>
  <c r="S134" i="4"/>
  <c r="T134" i="4" s="1" a="1"/>
  <c r="T134" i="4" s="1"/>
  <c r="F135" i="4"/>
  <c r="L135" i="4"/>
  <c r="N135" i="4" s="1"/>
  <c r="M135" i="4"/>
  <c r="S135" i="4"/>
  <c r="T135" i="4" s="1" a="1"/>
  <c r="T135" i="4" s="1"/>
  <c r="F136" i="4"/>
  <c r="L136" i="4"/>
  <c r="N136" i="4" s="1"/>
  <c r="M136" i="4"/>
  <c r="S136" i="4"/>
  <c r="T136" i="4" s="1" a="1"/>
  <c r="T136" i="4" s="1"/>
  <c r="F137" i="4"/>
  <c r="L137" i="4"/>
  <c r="N137" i="4" s="1"/>
  <c r="M137" i="4"/>
  <c r="S137" i="4"/>
  <c r="T137" i="4" s="1" a="1"/>
  <c r="T137" i="4" s="1"/>
  <c r="F138" i="4"/>
  <c r="L138" i="4"/>
  <c r="N138" i="4" s="1"/>
  <c r="M138" i="4"/>
  <c r="S138" i="4"/>
  <c r="T138" i="4" s="1" a="1"/>
  <c r="T138" i="4" s="1"/>
  <c r="F139" i="4"/>
  <c r="L139" i="4"/>
  <c r="N139" i="4" s="1"/>
  <c r="M139" i="4"/>
  <c r="S139" i="4"/>
  <c r="T139" i="4" s="1" a="1"/>
  <c r="T139" i="4" s="1"/>
  <c r="F140" i="4"/>
  <c r="L140" i="4"/>
  <c r="N140" i="4" s="1"/>
  <c r="M140" i="4"/>
  <c r="S140" i="4"/>
  <c r="T140" i="4" s="1" a="1"/>
  <c r="T140" i="4" s="1"/>
  <c r="F141" i="4"/>
  <c r="L141" i="4"/>
  <c r="N141" i="4" s="1"/>
  <c r="M141" i="4"/>
  <c r="S141" i="4"/>
  <c r="T141" i="4" s="1" a="1"/>
  <c r="T141" i="4" s="1"/>
  <c r="F142" i="4"/>
  <c r="L142" i="4"/>
  <c r="N142" i="4" s="1"/>
  <c r="M142" i="4"/>
  <c r="S142" i="4"/>
  <c r="T142" i="4" s="1" a="1"/>
  <c r="T142" i="4" s="1"/>
  <c r="F143" i="4"/>
  <c r="L143" i="4"/>
  <c r="N143" i="4" s="1"/>
  <c r="M143" i="4"/>
  <c r="S143" i="4"/>
  <c r="T143" i="4" s="1" a="1"/>
  <c r="T143" i="4" s="1"/>
  <c r="F144" i="4"/>
  <c r="L144" i="4"/>
  <c r="N144" i="4" s="1"/>
  <c r="M144" i="4"/>
  <c r="S144" i="4"/>
  <c r="T144" i="4" s="1" a="1"/>
  <c r="T144" i="4" s="1"/>
  <c r="F145" i="4"/>
  <c r="L145" i="4"/>
  <c r="N145" i="4" s="1"/>
  <c r="M145" i="4"/>
  <c r="S145" i="4"/>
  <c r="T145" i="4" s="1" a="1"/>
  <c r="T145" i="4" s="1"/>
  <c r="F146" i="4"/>
  <c r="L146" i="4"/>
  <c r="N146" i="4" s="1"/>
  <c r="M146" i="4"/>
  <c r="S146" i="4"/>
  <c r="T146" i="4" s="1" a="1"/>
  <c r="T146" i="4" s="1"/>
  <c r="F147" i="4"/>
  <c r="L147" i="4"/>
  <c r="N147" i="4" s="1"/>
  <c r="M147" i="4"/>
  <c r="S147" i="4"/>
  <c r="T147" i="4" s="1" a="1"/>
  <c r="T147" i="4" s="1"/>
  <c r="F148" i="4"/>
  <c r="L148" i="4"/>
  <c r="N148" i="4" s="1"/>
  <c r="M148" i="4"/>
  <c r="S148" i="4"/>
  <c r="T148" i="4" s="1" a="1"/>
  <c r="T148" i="4" s="1"/>
  <c r="F149" i="4"/>
  <c r="L149" i="4"/>
  <c r="N149" i="4" s="1"/>
  <c r="M149" i="4"/>
  <c r="S149" i="4"/>
  <c r="T149" i="4" s="1" a="1"/>
  <c r="T149" i="4" s="1"/>
  <c r="F150" i="4"/>
  <c r="L150" i="4"/>
  <c r="N150" i="4" s="1"/>
  <c r="M150" i="4"/>
  <c r="S150" i="4"/>
  <c r="T150" i="4" s="1" a="1"/>
  <c r="T150" i="4" s="1"/>
  <c r="F151" i="4"/>
  <c r="L151" i="4"/>
  <c r="N151" i="4" s="1"/>
  <c r="M151" i="4"/>
  <c r="S151" i="4"/>
  <c r="T151" i="4" s="1" a="1"/>
  <c r="T151" i="4" s="1"/>
  <c r="F152" i="4"/>
  <c r="L152" i="4"/>
  <c r="N152" i="4" s="1"/>
  <c r="M152" i="4"/>
  <c r="S152" i="4"/>
  <c r="T152" i="4" s="1" a="1"/>
  <c r="T152" i="4" s="1"/>
  <c r="F153" i="4"/>
  <c r="L153" i="4"/>
  <c r="N153" i="4" s="1"/>
  <c r="M153" i="4"/>
  <c r="S153" i="4"/>
  <c r="T153" i="4" s="1" a="1"/>
  <c r="T153" i="4" s="1"/>
  <c r="F154" i="4"/>
  <c r="L154" i="4"/>
  <c r="N154" i="4" s="1"/>
  <c r="M154" i="4"/>
  <c r="S154" i="4"/>
  <c r="T154" i="4" s="1" a="1"/>
  <c r="T154" i="4" s="1"/>
  <c r="F155" i="4"/>
  <c r="L155" i="4"/>
  <c r="N155" i="4" s="1"/>
  <c r="M155" i="4"/>
  <c r="S155" i="4"/>
  <c r="T155" i="4" s="1" a="1"/>
  <c r="T155" i="4" s="1"/>
  <c r="F156" i="4"/>
  <c r="L156" i="4"/>
  <c r="N156" i="4" s="1"/>
  <c r="M156" i="4"/>
  <c r="S156" i="4"/>
  <c r="T156" i="4" s="1" a="1"/>
  <c r="T156" i="4" s="1"/>
  <c r="F157" i="4"/>
  <c r="L157" i="4"/>
  <c r="N157" i="4" s="1"/>
  <c r="M157" i="4"/>
  <c r="S157" i="4"/>
  <c r="T157" i="4" s="1" a="1"/>
  <c r="T157" i="4" s="1"/>
  <c r="F158" i="4"/>
  <c r="L158" i="4"/>
  <c r="N158" i="4" s="1"/>
  <c r="M158" i="4"/>
  <c r="S158" i="4"/>
  <c r="T158" i="4" s="1" a="1"/>
  <c r="T158" i="4" s="1"/>
  <c r="F159" i="4"/>
  <c r="L159" i="4"/>
  <c r="N159" i="4" s="1"/>
  <c r="M159" i="4"/>
  <c r="S159" i="4"/>
  <c r="T159" i="4" s="1" a="1"/>
  <c r="T159" i="4" s="1"/>
  <c r="F160" i="4"/>
  <c r="L160" i="4"/>
  <c r="N160" i="4" s="1"/>
  <c r="M160" i="4"/>
  <c r="S160" i="4"/>
  <c r="T160" i="4" s="1" a="1"/>
  <c r="T160" i="4" s="1"/>
  <c r="F161" i="4"/>
  <c r="L161" i="4"/>
  <c r="N161" i="4" s="1"/>
  <c r="M161" i="4"/>
  <c r="S161" i="4"/>
  <c r="T161" i="4" s="1" a="1"/>
  <c r="T161" i="4" s="1"/>
  <c r="F162" i="4"/>
  <c r="L162" i="4"/>
  <c r="N162" i="4" s="1"/>
  <c r="M162" i="4"/>
  <c r="S162" i="4"/>
  <c r="T162" i="4" s="1" a="1"/>
  <c r="T162" i="4" s="1"/>
  <c r="F163" i="4"/>
  <c r="L163" i="4"/>
  <c r="N163" i="4" s="1"/>
  <c r="M163" i="4"/>
  <c r="S163" i="4"/>
  <c r="T163" i="4" s="1" a="1"/>
  <c r="T163" i="4" s="1"/>
  <c r="F164" i="4"/>
  <c r="L164" i="4"/>
  <c r="N164" i="4" s="1"/>
  <c r="M164" i="4"/>
  <c r="S164" i="4"/>
  <c r="T164" i="4" s="1" a="1"/>
  <c r="T164" i="4" s="1"/>
  <c r="F165" i="4"/>
  <c r="L165" i="4"/>
  <c r="N165" i="4" s="1"/>
  <c r="M165" i="4"/>
  <c r="S165" i="4"/>
  <c r="T165" i="4" s="1" a="1"/>
  <c r="T165" i="4" s="1"/>
  <c r="F166" i="4"/>
  <c r="L166" i="4"/>
  <c r="N166" i="4" s="1"/>
  <c r="M166" i="4"/>
  <c r="S166" i="4"/>
  <c r="T166" i="4" s="1" a="1"/>
  <c r="T166" i="4" s="1"/>
  <c r="F167" i="4"/>
  <c r="L167" i="4"/>
  <c r="N167" i="4" s="1"/>
  <c r="M167" i="4"/>
  <c r="S167" i="4"/>
  <c r="T167" i="4" s="1" a="1"/>
  <c r="T167" i="4" s="1"/>
  <c r="F168" i="4"/>
  <c r="L168" i="4"/>
  <c r="N168" i="4" s="1"/>
  <c r="M168" i="4"/>
  <c r="S168" i="4"/>
  <c r="T168" i="4" s="1" a="1"/>
  <c r="T168" i="4" s="1"/>
  <c r="F169" i="4"/>
  <c r="L169" i="4"/>
  <c r="N169" i="4" s="1"/>
  <c r="M169" i="4"/>
  <c r="S169" i="4"/>
  <c r="T169" i="4" s="1" a="1"/>
  <c r="T169" i="4" s="1"/>
  <c r="F170" i="4"/>
  <c r="L170" i="4"/>
  <c r="N170" i="4" s="1"/>
  <c r="M170" i="4"/>
  <c r="S170" i="4"/>
  <c r="T170" i="4" s="1" a="1"/>
  <c r="T170" i="4" s="1"/>
  <c r="F171" i="4"/>
  <c r="L171" i="4"/>
  <c r="N171" i="4" s="1"/>
  <c r="M171" i="4"/>
  <c r="S171" i="4"/>
  <c r="T171" i="4" s="1" a="1"/>
  <c r="T171" i="4" s="1"/>
  <c r="F172" i="4"/>
  <c r="L172" i="4"/>
  <c r="N172" i="4" s="1"/>
  <c r="M172" i="4"/>
  <c r="S172" i="4"/>
  <c r="T172" i="4" s="1" a="1"/>
  <c r="T172" i="4" s="1"/>
  <c r="F173" i="4"/>
  <c r="L173" i="4"/>
  <c r="N173" i="4" s="1"/>
  <c r="M173" i="4"/>
  <c r="S173" i="4"/>
  <c r="T173" i="4" s="1" a="1"/>
  <c r="T173" i="4" s="1"/>
  <c r="F174" i="4"/>
  <c r="L174" i="4"/>
  <c r="N174" i="4" s="1"/>
  <c r="M174" i="4"/>
  <c r="S174" i="4"/>
  <c r="T174" i="4" s="1" a="1"/>
  <c r="T174" i="4" s="1"/>
  <c r="F175" i="4"/>
  <c r="L175" i="4"/>
  <c r="N175" i="4" s="1"/>
  <c r="M175" i="4"/>
  <c r="S175" i="4"/>
  <c r="T175" i="4" s="1" a="1"/>
  <c r="T175" i="4" s="1"/>
  <c r="F176" i="4"/>
  <c r="L176" i="4"/>
  <c r="N176" i="4" s="1"/>
  <c r="M176" i="4"/>
  <c r="S176" i="4"/>
  <c r="T176" i="4" s="1" a="1"/>
  <c r="T176" i="4" s="1"/>
  <c r="F177" i="4"/>
  <c r="L177" i="4"/>
  <c r="N177" i="4" s="1"/>
  <c r="M177" i="4"/>
  <c r="S177" i="4"/>
  <c r="T177" i="4" s="1" a="1"/>
  <c r="T177" i="4" s="1"/>
  <c r="F178" i="4"/>
  <c r="L178" i="4"/>
  <c r="N178" i="4" s="1"/>
  <c r="M178" i="4"/>
  <c r="S178" i="4"/>
  <c r="T178" i="4" s="1" a="1"/>
  <c r="T178" i="4" s="1"/>
  <c r="F179" i="4"/>
  <c r="L179" i="4"/>
  <c r="N179" i="4" s="1"/>
  <c r="M179" i="4"/>
  <c r="S179" i="4"/>
  <c r="T179" i="4" s="1" a="1"/>
  <c r="T179" i="4" s="1"/>
  <c r="F180" i="4"/>
  <c r="L180" i="4"/>
  <c r="N180" i="4" s="1"/>
  <c r="M180" i="4"/>
  <c r="S180" i="4"/>
  <c r="T180" i="4" s="1" a="1"/>
  <c r="T180" i="4" s="1"/>
  <c r="F181" i="4"/>
  <c r="L181" i="4"/>
  <c r="N181" i="4" s="1"/>
  <c r="M181" i="4"/>
  <c r="S181" i="4"/>
  <c r="T181" i="4" s="1" a="1"/>
  <c r="T181" i="4" s="1"/>
  <c r="F182" i="4"/>
  <c r="L182" i="4"/>
  <c r="N182" i="4" s="1"/>
  <c r="M182" i="4"/>
  <c r="S182" i="4"/>
  <c r="T182" i="4" s="1" a="1"/>
  <c r="T182" i="4" s="1"/>
  <c r="F183" i="4"/>
  <c r="L183" i="4"/>
  <c r="N183" i="4" s="1"/>
  <c r="M183" i="4"/>
  <c r="S183" i="4"/>
  <c r="T183" i="4" s="1" a="1"/>
  <c r="T183" i="4" s="1"/>
  <c r="F184" i="4"/>
  <c r="L184" i="4"/>
  <c r="N184" i="4" s="1"/>
  <c r="M184" i="4"/>
  <c r="S184" i="4"/>
  <c r="T184" i="4" s="1" a="1"/>
  <c r="T184" i="4" s="1"/>
  <c r="F185" i="4"/>
  <c r="L185" i="4"/>
  <c r="N185" i="4" s="1"/>
  <c r="M185" i="4"/>
  <c r="S185" i="4"/>
  <c r="T185" i="4" s="1" a="1"/>
  <c r="T185" i="4" s="1"/>
  <c r="F186" i="4"/>
  <c r="L186" i="4"/>
  <c r="N186" i="4" s="1"/>
  <c r="M186" i="4"/>
  <c r="S186" i="4"/>
  <c r="T186" i="4" s="1" a="1"/>
  <c r="T186" i="4" s="1"/>
  <c r="F187" i="4"/>
  <c r="L187" i="4"/>
  <c r="N187" i="4" s="1"/>
  <c r="M187" i="4"/>
  <c r="S187" i="4"/>
  <c r="T187" i="4" s="1" a="1"/>
  <c r="T187" i="4" s="1"/>
  <c r="F188" i="4"/>
  <c r="L188" i="4"/>
  <c r="N188" i="4" s="1"/>
  <c r="M188" i="4"/>
  <c r="S188" i="4"/>
  <c r="T188" i="4" s="1" a="1"/>
  <c r="T188" i="4" s="1"/>
  <c r="F189" i="4"/>
  <c r="L189" i="4"/>
  <c r="N189" i="4" s="1"/>
  <c r="M189" i="4"/>
  <c r="S189" i="4"/>
  <c r="T189" i="4" s="1" a="1"/>
  <c r="T189" i="4" s="1"/>
  <c r="F190" i="4"/>
  <c r="L190" i="4"/>
  <c r="N190" i="4" s="1"/>
  <c r="M190" i="4"/>
  <c r="S190" i="4"/>
  <c r="T190" i="4" s="1" a="1"/>
  <c r="T190" i="4" s="1"/>
  <c r="F191" i="4"/>
  <c r="L191" i="4"/>
  <c r="N191" i="4" s="1"/>
  <c r="M191" i="4"/>
  <c r="S191" i="4"/>
  <c r="T191" i="4" s="1" a="1"/>
  <c r="T191" i="4" s="1"/>
  <c r="F192" i="4"/>
  <c r="L192" i="4"/>
  <c r="N192" i="4" s="1"/>
  <c r="M192" i="4"/>
  <c r="S192" i="4"/>
  <c r="T192" i="4" s="1" a="1"/>
  <c r="T192" i="4" s="1"/>
  <c r="F193" i="4"/>
  <c r="L193" i="4"/>
  <c r="N193" i="4" s="1"/>
  <c r="M193" i="4"/>
  <c r="S193" i="4"/>
  <c r="T193" i="4" s="1" a="1"/>
  <c r="T193" i="4" s="1"/>
  <c r="F194" i="4"/>
  <c r="L194" i="4"/>
  <c r="N194" i="4" s="1"/>
  <c r="M194" i="4"/>
  <c r="S194" i="4"/>
  <c r="T194" i="4" s="1" a="1"/>
  <c r="T194" i="4" s="1"/>
  <c r="F195" i="4"/>
  <c r="L195" i="4"/>
  <c r="N195" i="4" s="1"/>
  <c r="M195" i="4"/>
  <c r="S195" i="4"/>
  <c r="T195" i="4" s="1" a="1"/>
  <c r="T195" i="4" s="1"/>
  <c r="F196" i="4"/>
  <c r="L196" i="4"/>
  <c r="N196" i="4" s="1"/>
  <c r="M196" i="4"/>
  <c r="S196" i="4"/>
  <c r="T196" i="4" s="1" a="1"/>
  <c r="T196" i="4" s="1"/>
  <c r="F197" i="4"/>
  <c r="L197" i="4"/>
  <c r="N197" i="4" s="1"/>
  <c r="M197" i="4"/>
  <c r="S197" i="4"/>
  <c r="T197" i="4" s="1" a="1"/>
  <c r="T197" i="4" s="1"/>
  <c r="F198" i="4"/>
  <c r="L198" i="4"/>
  <c r="N198" i="4" s="1"/>
  <c r="M198" i="4"/>
  <c r="S198" i="4"/>
  <c r="T198" i="4" s="1" a="1"/>
  <c r="T198" i="4" s="1"/>
  <c r="F199" i="4"/>
  <c r="L199" i="4"/>
  <c r="N199" i="4" s="1"/>
  <c r="M199" i="4"/>
  <c r="S199" i="4"/>
  <c r="T199" i="4" s="1" a="1"/>
  <c r="T199" i="4" s="1"/>
  <c r="F200" i="4"/>
  <c r="L200" i="4"/>
  <c r="N200" i="4" s="1"/>
  <c r="M200" i="4"/>
  <c r="S200" i="4"/>
  <c r="T200" i="4" s="1" a="1"/>
  <c r="T200" i="4" s="1"/>
  <c r="F201" i="4"/>
  <c r="L201" i="4"/>
  <c r="N201" i="4" s="1"/>
  <c r="M201" i="4"/>
  <c r="S201" i="4"/>
  <c r="T201" i="4" s="1" a="1"/>
  <c r="T201" i="4" s="1"/>
  <c r="F202" i="4"/>
  <c r="L202" i="4"/>
  <c r="N202" i="4" s="1"/>
  <c r="M202" i="4"/>
  <c r="S202" i="4"/>
  <c r="T202" i="4" s="1" a="1"/>
  <c r="T202" i="4" s="1"/>
  <c r="F203" i="4"/>
  <c r="L203" i="4"/>
  <c r="N203" i="4" s="1"/>
  <c r="M203" i="4"/>
  <c r="S203" i="4"/>
  <c r="T203" i="4" s="1" a="1"/>
  <c r="T203" i="4" s="1"/>
  <c r="F204" i="4"/>
  <c r="L204" i="4"/>
  <c r="N204" i="4" s="1"/>
  <c r="M204" i="4"/>
  <c r="S204" i="4"/>
  <c r="T204" i="4" s="1" a="1"/>
  <c r="T204" i="4" s="1"/>
  <c r="F205" i="4"/>
  <c r="L205" i="4"/>
  <c r="N205" i="4" s="1"/>
  <c r="M205" i="4"/>
  <c r="S205" i="4"/>
  <c r="T205" i="4" s="1" a="1"/>
  <c r="T205" i="4" s="1"/>
  <c r="F206" i="4"/>
  <c r="L206" i="4"/>
  <c r="N206" i="4" s="1"/>
  <c r="M206" i="4"/>
  <c r="S206" i="4"/>
  <c r="T206" i="4" s="1" a="1"/>
  <c r="T206" i="4" s="1"/>
  <c r="F207" i="4"/>
  <c r="L207" i="4"/>
  <c r="N207" i="4" s="1"/>
  <c r="M207" i="4"/>
  <c r="S207" i="4"/>
  <c r="T207" i="4" s="1" a="1"/>
  <c r="T207" i="4" s="1"/>
  <c r="F208" i="4"/>
  <c r="L208" i="4"/>
  <c r="N208" i="4" s="1"/>
  <c r="M208" i="4"/>
  <c r="S208" i="4"/>
  <c r="T208" i="4" s="1" a="1"/>
  <c r="T208" i="4" s="1"/>
  <c r="F209" i="4"/>
  <c r="L209" i="4"/>
  <c r="N209" i="4" s="1"/>
  <c r="M209" i="4"/>
  <c r="S209" i="4"/>
  <c r="T209" i="4" s="1" a="1"/>
  <c r="T209" i="4" s="1"/>
  <c r="F210" i="4"/>
  <c r="L210" i="4"/>
  <c r="N210" i="4" s="1"/>
  <c r="M210" i="4"/>
  <c r="S210" i="4"/>
  <c r="T210" i="4" s="1" a="1"/>
  <c r="T210" i="4" s="1"/>
  <c r="F211" i="4"/>
  <c r="L211" i="4"/>
  <c r="N211" i="4" s="1"/>
  <c r="M211" i="4"/>
  <c r="S211" i="4"/>
  <c r="T211" i="4" s="1" a="1"/>
  <c r="T211" i="4" s="1"/>
  <c r="F212" i="4"/>
  <c r="L212" i="4"/>
  <c r="N212" i="4" s="1"/>
  <c r="M212" i="4"/>
  <c r="S212" i="4"/>
  <c r="T212" i="4" s="1" a="1"/>
  <c r="T212" i="4" s="1"/>
  <c r="F213" i="4"/>
  <c r="L213" i="4"/>
  <c r="N213" i="4" s="1"/>
  <c r="M213" i="4"/>
  <c r="S213" i="4"/>
  <c r="T213" i="4" s="1" a="1"/>
  <c r="T213" i="4" s="1"/>
  <c r="F214" i="4"/>
  <c r="L214" i="4"/>
  <c r="N214" i="4" s="1"/>
  <c r="M214" i="4"/>
  <c r="S214" i="4"/>
  <c r="T214" i="4" s="1" a="1"/>
  <c r="T214" i="4" s="1"/>
  <c r="F215" i="4"/>
  <c r="L215" i="4"/>
  <c r="N215" i="4" s="1"/>
  <c r="M215" i="4"/>
  <c r="S215" i="4"/>
  <c r="T215" i="4" s="1" a="1"/>
  <c r="T215" i="4" s="1"/>
  <c r="F216" i="4"/>
  <c r="L216" i="4"/>
  <c r="N216" i="4" s="1"/>
  <c r="M216" i="4"/>
  <c r="S216" i="4"/>
  <c r="T216" i="4" s="1" a="1"/>
  <c r="T216" i="4" s="1"/>
  <c r="F217" i="4"/>
  <c r="L217" i="4"/>
  <c r="N217" i="4" s="1"/>
  <c r="M217" i="4"/>
  <c r="S217" i="4"/>
  <c r="T217" i="4" s="1" a="1"/>
  <c r="T217" i="4" s="1"/>
  <c r="F218" i="4"/>
  <c r="L218" i="4"/>
  <c r="N218" i="4" s="1"/>
  <c r="M218" i="4"/>
  <c r="S218" i="4"/>
  <c r="T218" i="4" s="1" a="1"/>
  <c r="T218" i="4" s="1"/>
  <c r="F219" i="4"/>
  <c r="L219" i="4"/>
  <c r="N219" i="4" s="1"/>
  <c r="M219" i="4"/>
  <c r="S219" i="4"/>
  <c r="T219" i="4" s="1" a="1"/>
  <c r="T219" i="4" s="1"/>
  <c r="F220" i="4"/>
  <c r="L220" i="4"/>
  <c r="N220" i="4" s="1"/>
  <c r="M220" i="4"/>
  <c r="S220" i="4"/>
  <c r="T220" i="4" s="1" a="1"/>
  <c r="T220" i="4" s="1"/>
  <c r="F221" i="4"/>
  <c r="L221" i="4"/>
  <c r="N221" i="4" s="1"/>
  <c r="M221" i="4"/>
  <c r="S221" i="4"/>
  <c r="T221" i="4" s="1" a="1"/>
  <c r="T221" i="4" s="1"/>
  <c r="F222" i="4"/>
  <c r="L222" i="4"/>
  <c r="N222" i="4" s="1"/>
  <c r="M222" i="4"/>
  <c r="S222" i="4"/>
  <c r="T222" i="4" s="1" a="1"/>
  <c r="T222" i="4" s="1"/>
  <c r="F223" i="4"/>
  <c r="L223" i="4"/>
  <c r="N223" i="4" s="1"/>
  <c r="M223" i="4"/>
  <c r="S223" i="4"/>
  <c r="T223" i="4" s="1" a="1"/>
  <c r="T223" i="4" s="1"/>
  <c r="F224" i="4"/>
  <c r="L224" i="4"/>
  <c r="N224" i="4" s="1"/>
  <c r="M224" i="4"/>
  <c r="S224" i="4"/>
  <c r="T224" i="4" s="1" a="1"/>
  <c r="T224" i="4" s="1"/>
  <c r="F225" i="4"/>
  <c r="L225" i="4"/>
  <c r="N225" i="4" s="1"/>
  <c r="M225" i="4"/>
  <c r="S225" i="4"/>
  <c r="T225" i="4" s="1" a="1"/>
  <c r="T225" i="4" s="1"/>
  <c r="F226" i="4"/>
  <c r="L226" i="4"/>
  <c r="N226" i="4" s="1"/>
  <c r="M226" i="4"/>
  <c r="S226" i="4"/>
  <c r="T226" i="4" s="1" a="1"/>
  <c r="T226" i="4" s="1"/>
  <c r="F227" i="4"/>
  <c r="L227" i="4"/>
  <c r="N227" i="4" s="1"/>
  <c r="M227" i="4"/>
  <c r="S227" i="4"/>
  <c r="T227" i="4" s="1" a="1"/>
  <c r="T227" i="4" s="1"/>
  <c r="F228" i="4"/>
  <c r="L228" i="4"/>
  <c r="N228" i="4" s="1"/>
  <c r="M228" i="4"/>
  <c r="S228" i="4"/>
  <c r="T228" i="4" s="1" a="1"/>
  <c r="T228" i="4" s="1"/>
  <c r="F229" i="4"/>
  <c r="L229" i="4"/>
  <c r="N229" i="4" s="1"/>
  <c r="M229" i="4"/>
  <c r="S229" i="4"/>
  <c r="T229" i="4" s="1" a="1"/>
  <c r="T229" i="4" s="1"/>
  <c r="F230" i="4"/>
  <c r="L230" i="4"/>
  <c r="N230" i="4" s="1"/>
  <c r="M230" i="4"/>
  <c r="S230" i="4"/>
  <c r="T230" i="4" s="1" a="1"/>
  <c r="T230" i="4" s="1"/>
  <c r="F231" i="4"/>
  <c r="L231" i="4"/>
  <c r="N231" i="4" s="1"/>
  <c r="M231" i="4"/>
  <c r="S231" i="4"/>
  <c r="T231" i="4" s="1" a="1"/>
  <c r="T231" i="4" s="1"/>
  <c r="F232" i="4"/>
  <c r="L232" i="4"/>
  <c r="N232" i="4" s="1"/>
  <c r="M232" i="4"/>
  <c r="S232" i="4"/>
  <c r="T232" i="4" s="1" a="1"/>
  <c r="T232" i="4" s="1"/>
  <c r="F233" i="4"/>
  <c r="L233" i="4"/>
  <c r="N233" i="4" s="1"/>
  <c r="M233" i="4"/>
  <c r="S233" i="4"/>
  <c r="T233" i="4" s="1" a="1"/>
  <c r="T233" i="4" s="1"/>
  <c r="F234" i="4"/>
  <c r="L234" i="4"/>
  <c r="N234" i="4" s="1"/>
  <c r="M234" i="4"/>
  <c r="S234" i="4"/>
  <c r="T234" i="4" s="1" a="1"/>
  <c r="T234" i="4" s="1"/>
  <c r="F235" i="4"/>
  <c r="L235" i="4"/>
  <c r="N235" i="4" s="1"/>
  <c r="M235" i="4"/>
  <c r="S235" i="4"/>
  <c r="T235" i="4" s="1" a="1"/>
  <c r="T235" i="4" s="1"/>
  <c r="F236" i="4"/>
  <c r="L236" i="4"/>
  <c r="N236" i="4" s="1"/>
  <c r="M236" i="4"/>
  <c r="S236" i="4"/>
  <c r="T236" i="4" s="1" a="1"/>
  <c r="T236" i="4" s="1"/>
  <c r="F237" i="4"/>
  <c r="L237" i="4"/>
  <c r="N237" i="4" s="1"/>
  <c r="M237" i="4"/>
  <c r="S237" i="4"/>
  <c r="T237" i="4" s="1" a="1"/>
  <c r="T237" i="4" s="1"/>
  <c r="F238" i="4"/>
  <c r="L238" i="4"/>
  <c r="N238" i="4" s="1"/>
  <c r="M238" i="4"/>
  <c r="S238" i="4"/>
  <c r="T238" i="4" s="1" a="1"/>
  <c r="T238" i="4" s="1"/>
  <c r="F239" i="4"/>
  <c r="L239" i="4"/>
  <c r="N239" i="4" s="1"/>
  <c r="M239" i="4"/>
  <c r="S239" i="4"/>
  <c r="T239" i="4" s="1" a="1"/>
  <c r="T239" i="4" s="1"/>
  <c r="F240" i="4"/>
  <c r="L240" i="4"/>
  <c r="N240" i="4" s="1"/>
  <c r="M240" i="4"/>
  <c r="S240" i="4"/>
  <c r="T240" i="4" s="1" a="1"/>
  <c r="T240" i="4" s="1"/>
  <c r="F241" i="4"/>
  <c r="L241" i="4"/>
  <c r="N241" i="4" s="1"/>
  <c r="M241" i="4"/>
  <c r="S241" i="4"/>
  <c r="T241" i="4" s="1" a="1"/>
  <c r="T241" i="4" s="1"/>
  <c r="F242" i="4"/>
  <c r="L242" i="4"/>
  <c r="N242" i="4" s="1"/>
  <c r="M242" i="4"/>
  <c r="S242" i="4"/>
  <c r="T242" i="4" s="1" a="1"/>
  <c r="T242" i="4" s="1"/>
  <c r="F243" i="4"/>
  <c r="L243" i="4"/>
  <c r="N243" i="4" s="1"/>
  <c r="M243" i="4"/>
  <c r="S243" i="4"/>
  <c r="T243" i="4" s="1" a="1"/>
  <c r="T243" i="4" s="1"/>
  <c r="F244" i="4"/>
  <c r="L244" i="4"/>
  <c r="N244" i="4" s="1"/>
  <c r="M244" i="4"/>
  <c r="S244" i="4"/>
  <c r="T244" i="4" s="1" a="1"/>
  <c r="T244" i="4" s="1"/>
  <c r="F245" i="4"/>
  <c r="L245" i="4"/>
  <c r="N245" i="4" s="1"/>
  <c r="M245" i="4"/>
  <c r="S245" i="4"/>
  <c r="T245" i="4" s="1" a="1"/>
  <c r="T245" i="4" s="1"/>
  <c r="F246" i="4"/>
  <c r="L246" i="4"/>
  <c r="N246" i="4" s="1"/>
  <c r="M246" i="4"/>
  <c r="S246" i="4"/>
  <c r="T246" i="4" s="1" a="1"/>
  <c r="T246" i="4" s="1"/>
  <c r="F247" i="4"/>
  <c r="L247" i="4"/>
  <c r="N247" i="4" s="1"/>
  <c r="M247" i="4"/>
  <c r="S247" i="4"/>
  <c r="T247" i="4" s="1" a="1"/>
  <c r="T247" i="4" s="1"/>
  <c r="F248" i="4"/>
  <c r="L248" i="4"/>
  <c r="N248" i="4" s="1"/>
  <c r="M248" i="4"/>
  <c r="S248" i="4"/>
  <c r="T248" i="4" s="1" a="1"/>
  <c r="T248" i="4" s="1"/>
  <c r="F249" i="4"/>
  <c r="L249" i="4"/>
  <c r="N249" i="4" s="1"/>
  <c r="M249" i="4"/>
  <c r="S249" i="4"/>
  <c r="T249" i="4" s="1" a="1"/>
  <c r="T249" i="4" s="1"/>
  <c r="F250" i="4"/>
  <c r="L250" i="4"/>
  <c r="N250" i="4" s="1"/>
  <c r="M250" i="4"/>
  <c r="S250" i="4"/>
  <c r="T250" i="4" s="1" a="1"/>
  <c r="T250" i="4" s="1"/>
  <c r="F251" i="4"/>
  <c r="L251" i="4"/>
  <c r="N251" i="4" s="1"/>
  <c r="M251" i="4"/>
  <c r="S251" i="4"/>
  <c r="T251" i="4" s="1" a="1"/>
  <c r="T251" i="4" s="1"/>
  <c r="F252" i="4"/>
  <c r="L252" i="4"/>
  <c r="N252" i="4" s="1"/>
  <c r="M252" i="4"/>
  <c r="S252" i="4"/>
  <c r="T252" i="4" s="1" a="1"/>
  <c r="T252" i="4" s="1"/>
  <c r="L253" i="4"/>
  <c r="N253" i="4" s="1"/>
  <c r="M253" i="4"/>
  <c r="L254" i="4"/>
  <c r="N254" i="4" s="1"/>
  <c r="M254" i="4"/>
  <c r="A1" i="10" a="1"/>
  <c r="AC18" i="10" s="1"/>
  <c r="F253" i="4"/>
  <c r="F254" i="4"/>
  <c r="S253" i="4"/>
  <c r="T253" i="4" s="1" a="1"/>
  <c r="T253" i="4" s="1"/>
  <c r="S254" i="4"/>
  <c r="T254" i="4" s="1" a="1"/>
  <c r="T254" i="4" s="1"/>
  <c r="S255" i="4"/>
  <c r="T255" i="4" s="1" a="1"/>
  <c r="T255" i="4" s="1"/>
  <c r="S256" i="4"/>
  <c r="T256" i="4" s="1" a="1"/>
  <c r="T256" i="4" s="1"/>
  <c r="S257" i="4"/>
  <c r="T257" i="4" s="1" a="1"/>
  <c r="T257" i="4" s="1"/>
  <c r="S258" i="4"/>
  <c r="T258" i="4" s="1" a="1"/>
  <c r="T258" i="4" s="1"/>
  <c r="S259" i="4"/>
  <c r="T259" i="4" s="1" a="1"/>
  <c r="T259" i="4" s="1"/>
  <c r="S260" i="4"/>
  <c r="T260" i="4" s="1" a="1"/>
  <c r="T260" i="4" s="1"/>
  <c r="U257" i="4" a="1"/>
  <c r="U257" i="4" s="1"/>
  <c r="U258" i="4" a="1"/>
  <c r="U258" i="4" s="1"/>
  <c r="U259" i="4" a="1"/>
  <c r="U259" i="4" s="1"/>
  <c r="G2" i="12" a="1"/>
  <c r="G2" i="12" s="1"/>
  <c r="A3" i="3" a="1"/>
  <c r="C3" i="6" s="1"/>
  <c r="A4" i="3" a="1"/>
  <c r="A4" i="3" s="1"/>
  <c r="A4" i="6" s="1"/>
  <c r="A5" i="3" a="1"/>
  <c r="C5" i="6" s="1"/>
  <c r="A6" i="3" a="1"/>
  <c r="C6" i="6" s="1"/>
  <c r="A7" i="3" a="1"/>
  <c r="C7" i="6" s="1"/>
  <c r="A8" i="3" a="1"/>
  <c r="C8" i="6" s="1"/>
  <c r="A9" i="3" a="1"/>
  <c r="C9" i="6" s="1"/>
  <c r="A10" i="3" a="1"/>
  <c r="A11" i="3" a="1"/>
  <c r="A12" i="3" a="1"/>
  <c r="A13" i="3" a="1"/>
  <c r="A13" i="3" s="1"/>
  <c r="A13" i="6" s="1"/>
  <c r="A14" i="3" a="1"/>
  <c r="A14" i="3" s="1"/>
  <c r="A14" i="6" s="1"/>
  <c r="A15" i="3" a="1"/>
  <c r="A15" i="3" s="1"/>
  <c r="A15" i="6" s="1"/>
  <c r="A16" i="3" a="1"/>
  <c r="A16" i="3" s="1"/>
  <c r="A16" i="6" s="1"/>
  <c r="A17" i="3" a="1"/>
  <c r="A18" i="3" a="1"/>
  <c r="A19" i="3" a="1"/>
  <c r="A19" i="3" s="1"/>
  <c r="A19" i="6" s="1"/>
  <c r="A20" i="3" a="1"/>
  <c r="A20" i="3" s="1"/>
  <c r="A20" i="6" s="1"/>
  <c r="A21" i="3" a="1"/>
  <c r="A21" i="3" s="1"/>
  <c r="A21" i="6" s="1"/>
  <c r="A22" i="3" a="1"/>
  <c r="A23" i="3" a="1"/>
  <c r="A24" i="3" a="1"/>
  <c r="A24" i="3" s="1"/>
  <c r="A24" i="6" s="1"/>
  <c r="A25" i="3" a="1"/>
  <c r="A25" i="3" s="1"/>
  <c r="A25" i="6" s="1"/>
  <c r="A26" i="3" a="1"/>
  <c r="A27" i="3" a="1"/>
  <c r="A27" i="3" s="1"/>
  <c r="A27" i="6" s="1"/>
  <c r="A28" i="3" a="1"/>
  <c r="A28" i="3" s="1"/>
  <c r="A28" i="6" s="1"/>
  <c r="A29" i="3" a="1"/>
  <c r="A29" i="3" s="1"/>
  <c r="A29" i="6" s="1"/>
  <c r="A30" i="3" a="1"/>
  <c r="A30" i="3" s="1"/>
  <c r="A30" i="6" s="1"/>
  <c r="A31" i="3" a="1"/>
  <c r="A32" i="3" a="1"/>
  <c r="A33" i="3" a="1"/>
  <c r="A33" i="3" s="1"/>
  <c r="A33" i="6" s="1"/>
  <c r="A34" i="3" a="1"/>
  <c r="A2" i="3" a="1"/>
  <c r="C2" i="6" s="1"/>
  <c r="E17" i="1" l="1"/>
  <c r="E53" i="1"/>
  <c r="E89" i="1"/>
  <c r="E125" i="1"/>
  <c r="E161" i="1"/>
  <c r="E197" i="1"/>
  <c r="E233" i="1"/>
  <c r="E269" i="1"/>
  <c r="E305" i="1"/>
  <c r="E341" i="1"/>
  <c r="E377" i="1"/>
  <c r="E413" i="1"/>
  <c r="E449" i="1"/>
  <c r="E485" i="1"/>
  <c r="B5" i="1"/>
  <c r="E5" i="1"/>
  <c r="B168" i="1"/>
  <c r="E168" i="1"/>
  <c r="B162" i="1"/>
  <c r="E162" i="1"/>
  <c r="E156" i="1"/>
  <c r="E150" i="1"/>
  <c r="B150" i="1"/>
  <c r="E144" i="1"/>
  <c r="B144" i="1"/>
  <c r="E138" i="1"/>
  <c r="E132" i="1"/>
  <c r="B132" i="1"/>
  <c r="E126" i="1"/>
  <c r="B126" i="1"/>
  <c r="E120" i="1"/>
  <c r="E114" i="1"/>
  <c r="B114" i="1"/>
  <c r="E108" i="1"/>
  <c r="B108" i="1"/>
  <c r="E102" i="1"/>
  <c r="E96" i="1"/>
  <c r="B96" i="1"/>
  <c r="E90" i="1"/>
  <c r="B90" i="1"/>
  <c r="E84" i="1"/>
  <c r="E78" i="1"/>
  <c r="B78" i="1"/>
  <c r="E72" i="1"/>
  <c r="B72" i="1"/>
  <c r="E66" i="1"/>
  <c r="B66" i="1"/>
  <c r="E60" i="1"/>
  <c r="E54" i="1"/>
  <c r="B54" i="1"/>
  <c r="E48" i="1"/>
  <c r="E42" i="1"/>
  <c r="B42" i="1"/>
  <c r="E36" i="1"/>
  <c r="E30" i="1"/>
  <c r="B30" i="1"/>
  <c r="E24" i="1"/>
  <c r="E18" i="1"/>
  <c r="B18" i="1"/>
  <c r="E12" i="1"/>
  <c r="E508" i="1"/>
  <c r="E155" i="1"/>
  <c r="E149" i="1"/>
  <c r="E143" i="1"/>
  <c r="E137" i="1"/>
  <c r="E131" i="1"/>
  <c r="E119" i="1"/>
  <c r="E113" i="1"/>
  <c r="E107" i="1"/>
  <c r="E101" i="1"/>
  <c r="E95" i="1"/>
  <c r="E83" i="1"/>
  <c r="E77" i="1"/>
  <c r="E71" i="1"/>
  <c r="E65" i="1"/>
  <c r="E59" i="1"/>
  <c r="E47" i="1"/>
  <c r="E41" i="1"/>
  <c r="E35" i="1"/>
  <c r="E29" i="1"/>
  <c r="E23" i="1"/>
  <c r="E513" i="1"/>
  <c r="B138" i="1"/>
  <c r="B84" i="1"/>
  <c r="B36" i="1"/>
  <c r="B156" i="1"/>
  <c r="B102" i="1"/>
  <c r="B48" i="1"/>
  <c r="B60" i="1"/>
  <c r="E509" i="1"/>
  <c r="E503" i="1"/>
  <c r="E497" i="1"/>
  <c r="E491" i="1"/>
  <c r="E479" i="1"/>
  <c r="E473" i="1"/>
  <c r="E467" i="1"/>
  <c r="E461" i="1"/>
  <c r="E455" i="1"/>
  <c r="E443" i="1"/>
  <c r="E437" i="1"/>
  <c r="E431" i="1"/>
  <c r="E425" i="1"/>
  <c r="E419" i="1"/>
  <c r="E407" i="1"/>
  <c r="E401" i="1"/>
  <c r="E395" i="1"/>
  <c r="E389" i="1"/>
  <c r="E383" i="1"/>
  <c r="E371" i="1"/>
  <c r="E365" i="1"/>
  <c r="E359" i="1"/>
  <c r="E353" i="1"/>
  <c r="E347" i="1"/>
  <c r="E335" i="1"/>
  <c r="E329" i="1"/>
  <c r="E323" i="1"/>
  <c r="E317" i="1"/>
  <c r="E311" i="1"/>
  <c r="E299" i="1"/>
  <c r="E293" i="1"/>
  <c r="E287" i="1"/>
  <c r="E281" i="1"/>
  <c r="E275" i="1"/>
  <c r="E263" i="1"/>
  <c r="E257" i="1"/>
  <c r="E251" i="1"/>
  <c r="E245" i="1"/>
  <c r="E239" i="1"/>
  <c r="E227" i="1"/>
  <c r="E221" i="1"/>
  <c r="E215" i="1"/>
  <c r="E209" i="1"/>
  <c r="E203" i="1"/>
  <c r="E191" i="1"/>
  <c r="E185" i="1"/>
  <c r="E179" i="1"/>
  <c r="E173" i="1"/>
  <c r="E502" i="1"/>
  <c r="E496" i="1"/>
  <c r="E490" i="1"/>
  <c r="E484" i="1"/>
  <c r="E478" i="1"/>
  <c r="E472" i="1"/>
  <c r="E466" i="1"/>
  <c r="E460" i="1"/>
  <c r="E454" i="1"/>
  <c r="E448" i="1"/>
  <c r="E442" i="1"/>
  <c r="E436" i="1"/>
  <c r="E430" i="1"/>
  <c r="E424" i="1"/>
  <c r="E418" i="1"/>
  <c r="E412" i="1"/>
  <c r="E406" i="1"/>
  <c r="E400" i="1"/>
  <c r="E394" i="1"/>
  <c r="E388" i="1"/>
  <c r="E382" i="1"/>
  <c r="E376" i="1"/>
  <c r="E370" i="1"/>
  <c r="E364" i="1"/>
  <c r="E358" i="1"/>
  <c r="E352" i="1"/>
  <c r="E346" i="1"/>
  <c r="E340" i="1"/>
  <c r="E334" i="1"/>
  <c r="E328" i="1"/>
  <c r="E322" i="1"/>
  <c r="E316" i="1"/>
  <c r="E310" i="1"/>
  <c r="E304" i="1"/>
  <c r="E298" i="1"/>
  <c r="E292" i="1"/>
  <c r="E286" i="1"/>
  <c r="E280" i="1"/>
  <c r="E274" i="1"/>
  <c r="E268" i="1"/>
  <c r="E262" i="1"/>
  <c r="E256" i="1"/>
  <c r="E250" i="1"/>
  <c r="E244" i="1"/>
  <c r="E238" i="1"/>
  <c r="E232" i="1"/>
  <c r="E226" i="1"/>
  <c r="E220" i="1"/>
  <c r="E214" i="1"/>
  <c r="E208" i="1"/>
  <c r="E202" i="1"/>
  <c r="E196" i="1"/>
  <c r="E190" i="1"/>
  <c r="E184" i="1"/>
  <c r="E178" i="1"/>
  <c r="E172" i="1"/>
  <c r="E4" i="1"/>
  <c r="E507" i="1"/>
  <c r="E501" i="1"/>
  <c r="E495" i="1"/>
  <c r="E489" i="1"/>
  <c r="E483" i="1"/>
  <c r="E477" i="1"/>
  <c r="E471" i="1"/>
  <c r="E465" i="1"/>
  <c r="E459" i="1"/>
  <c r="E453" i="1"/>
  <c r="E447" i="1"/>
  <c r="E441" i="1"/>
  <c r="E435" i="1"/>
  <c r="E429" i="1"/>
  <c r="E423" i="1"/>
  <c r="E417" i="1"/>
  <c r="E411" i="1"/>
  <c r="E405" i="1"/>
  <c r="E399" i="1"/>
  <c r="E393" i="1"/>
  <c r="E387" i="1"/>
  <c r="E381" i="1"/>
  <c r="E375" i="1"/>
  <c r="E369" i="1"/>
  <c r="E363" i="1"/>
  <c r="E357" i="1"/>
  <c r="E351" i="1"/>
  <c r="E345" i="1"/>
  <c r="E339" i="1"/>
  <c r="E333" i="1"/>
  <c r="E327" i="1"/>
  <c r="E321" i="1"/>
  <c r="E315" i="1"/>
  <c r="E309" i="1"/>
  <c r="E303" i="1"/>
  <c r="E297" i="1"/>
  <c r="E291" i="1"/>
  <c r="E285" i="1"/>
  <c r="E279" i="1"/>
  <c r="E273" i="1"/>
  <c r="E267" i="1"/>
  <c r="E261" i="1"/>
  <c r="E255" i="1"/>
  <c r="E249" i="1"/>
  <c r="E243" i="1"/>
  <c r="E237" i="1"/>
  <c r="E231" i="1"/>
  <c r="E225" i="1"/>
  <c r="E219" i="1"/>
  <c r="E213" i="1"/>
  <c r="E207" i="1"/>
  <c r="E201" i="1"/>
  <c r="E195" i="1"/>
  <c r="E189" i="1"/>
  <c r="E183" i="1"/>
  <c r="E177" i="1"/>
  <c r="E171" i="1"/>
  <c r="E11" i="1"/>
  <c r="B9" i="1"/>
  <c r="E9" i="1"/>
  <c r="B3" i="1"/>
  <c r="E3" i="1"/>
  <c r="B166" i="1"/>
  <c r="E166" i="1"/>
  <c r="B160" i="1"/>
  <c r="E160" i="1"/>
  <c r="B154" i="1"/>
  <c r="E154" i="1"/>
  <c r="B148" i="1"/>
  <c r="E148" i="1"/>
  <c r="B142" i="1"/>
  <c r="E142" i="1"/>
  <c r="B136" i="1"/>
  <c r="E136" i="1"/>
  <c r="B130" i="1"/>
  <c r="E130" i="1"/>
  <c r="B124" i="1"/>
  <c r="E124" i="1"/>
  <c r="B118" i="1"/>
  <c r="E118" i="1"/>
  <c r="B112" i="1"/>
  <c r="E112" i="1"/>
  <c r="B106" i="1"/>
  <c r="E106" i="1"/>
  <c r="B100" i="1"/>
  <c r="E100" i="1"/>
  <c r="E94" i="1"/>
  <c r="B88" i="1"/>
  <c r="E88" i="1"/>
  <c r="E82" i="1"/>
  <c r="B76" i="1"/>
  <c r="E76" i="1"/>
  <c r="B70" i="1"/>
  <c r="E70" i="1"/>
  <c r="B64" i="1"/>
  <c r="E64" i="1"/>
  <c r="E58" i="1"/>
  <c r="B52" i="1"/>
  <c r="E52" i="1"/>
  <c r="B46" i="1"/>
  <c r="E46" i="1"/>
  <c r="B40" i="1"/>
  <c r="E40" i="1"/>
  <c r="B34" i="1"/>
  <c r="E34" i="1"/>
  <c r="B28" i="1"/>
  <c r="E28" i="1"/>
  <c r="E22" i="1"/>
  <c r="B16" i="1"/>
  <c r="E16" i="1"/>
  <c r="E512" i="1"/>
  <c r="E506" i="1"/>
  <c r="E500" i="1"/>
  <c r="E494" i="1"/>
  <c r="E488" i="1"/>
  <c r="E482" i="1"/>
  <c r="E476" i="1"/>
  <c r="E470" i="1"/>
  <c r="E464" i="1"/>
  <c r="E458" i="1"/>
  <c r="E452" i="1"/>
  <c r="E446" i="1"/>
  <c r="E440" i="1"/>
  <c r="E434" i="1"/>
  <c r="E428" i="1"/>
  <c r="E422" i="1"/>
  <c r="E416" i="1"/>
  <c r="E410" i="1"/>
  <c r="E404" i="1"/>
  <c r="E398" i="1"/>
  <c r="E392" i="1"/>
  <c r="E386" i="1"/>
  <c r="E380" i="1"/>
  <c r="E374" i="1"/>
  <c r="E368" i="1"/>
  <c r="E362" i="1"/>
  <c r="E356" i="1"/>
  <c r="E350" i="1"/>
  <c r="E344" i="1"/>
  <c r="E338" i="1"/>
  <c r="E332" i="1"/>
  <c r="E326" i="1"/>
  <c r="E320" i="1"/>
  <c r="E314" i="1"/>
  <c r="E308" i="1"/>
  <c r="E302" i="1"/>
  <c r="E296" i="1"/>
  <c r="E290" i="1"/>
  <c r="E284" i="1"/>
  <c r="E278" i="1"/>
  <c r="E272" i="1"/>
  <c r="E266" i="1"/>
  <c r="E260" i="1"/>
  <c r="E254" i="1"/>
  <c r="E248" i="1"/>
  <c r="E242" i="1"/>
  <c r="E236" i="1"/>
  <c r="E230" i="1"/>
  <c r="E224" i="1"/>
  <c r="E218" i="1"/>
  <c r="E212" i="1"/>
  <c r="E206" i="1"/>
  <c r="E200" i="1"/>
  <c r="E194" i="1"/>
  <c r="E188" i="1"/>
  <c r="E182" i="1"/>
  <c r="E176" i="1"/>
  <c r="E170" i="1"/>
  <c r="E8" i="1"/>
  <c r="E10" i="1"/>
  <c r="B165" i="1"/>
  <c r="E165" i="1"/>
  <c r="B159" i="1"/>
  <c r="E159" i="1"/>
  <c r="E153" i="1"/>
  <c r="E147" i="1"/>
  <c r="E141" i="1"/>
  <c r="E135" i="1"/>
  <c r="E129" i="1"/>
  <c r="E123" i="1"/>
  <c r="E117" i="1"/>
  <c r="E111" i="1"/>
  <c r="E105" i="1"/>
  <c r="E99" i="1"/>
  <c r="E93" i="1"/>
  <c r="E87" i="1"/>
  <c r="E81" i="1"/>
  <c r="E75" i="1"/>
  <c r="E69" i="1"/>
  <c r="E63" i="1"/>
  <c r="E57" i="1"/>
  <c r="E51" i="1"/>
  <c r="E45" i="1"/>
  <c r="E39" i="1"/>
  <c r="E33" i="1"/>
  <c r="E27" i="1"/>
  <c r="E21" i="1"/>
  <c r="E15" i="1"/>
  <c r="E511" i="1"/>
  <c r="E505" i="1"/>
  <c r="E499" i="1"/>
  <c r="E493" i="1"/>
  <c r="E487" i="1"/>
  <c r="E481" i="1"/>
  <c r="E475" i="1"/>
  <c r="E469" i="1"/>
  <c r="E463" i="1"/>
  <c r="E457" i="1"/>
  <c r="E451" i="1"/>
  <c r="E445" i="1"/>
  <c r="E439" i="1"/>
  <c r="E433" i="1"/>
  <c r="E427" i="1"/>
  <c r="E421" i="1"/>
  <c r="E415" i="1"/>
  <c r="E409" i="1"/>
  <c r="E403" i="1"/>
  <c r="E397" i="1"/>
  <c r="E391" i="1"/>
  <c r="E385" i="1"/>
  <c r="E379" i="1"/>
  <c r="E373" i="1"/>
  <c r="E367" i="1"/>
  <c r="E361" i="1"/>
  <c r="E355" i="1"/>
  <c r="E349" i="1"/>
  <c r="E343" i="1"/>
  <c r="E337" i="1"/>
  <c r="E331" i="1"/>
  <c r="E325" i="1"/>
  <c r="E319" i="1"/>
  <c r="E313" i="1"/>
  <c r="E307" i="1"/>
  <c r="E301" i="1"/>
  <c r="E295" i="1"/>
  <c r="E289" i="1"/>
  <c r="E283" i="1"/>
  <c r="E277" i="1"/>
  <c r="E271" i="1"/>
  <c r="E265" i="1"/>
  <c r="E259" i="1"/>
  <c r="E253" i="1"/>
  <c r="E247" i="1"/>
  <c r="E241" i="1"/>
  <c r="E235" i="1"/>
  <c r="E229" i="1"/>
  <c r="E223" i="1"/>
  <c r="E217" i="1"/>
  <c r="E211" i="1"/>
  <c r="E205" i="1"/>
  <c r="E199" i="1"/>
  <c r="E193" i="1"/>
  <c r="E187" i="1"/>
  <c r="E181" i="1"/>
  <c r="E175" i="1"/>
  <c r="B7" i="1"/>
  <c r="E7" i="1"/>
  <c r="B164" i="1"/>
  <c r="E164" i="1"/>
  <c r="B158" i="1"/>
  <c r="E158" i="1"/>
  <c r="B152" i="1"/>
  <c r="E152" i="1"/>
  <c r="B146" i="1"/>
  <c r="E146" i="1"/>
  <c r="B140" i="1"/>
  <c r="E140" i="1"/>
  <c r="B134" i="1"/>
  <c r="E134" i="1"/>
  <c r="B128" i="1"/>
  <c r="E128" i="1"/>
  <c r="B122" i="1"/>
  <c r="E122" i="1"/>
  <c r="B116" i="1"/>
  <c r="E116" i="1"/>
  <c r="B110" i="1"/>
  <c r="E110" i="1"/>
  <c r="B104" i="1"/>
  <c r="E104" i="1"/>
  <c r="B98" i="1"/>
  <c r="E98" i="1"/>
  <c r="B92" i="1"/>
  <c r="E92" i="1"/>
  <c r="B86" i="1"/>
  <c r="E86" i="1"/>
  <c r="B80" i="1"/>
  <c r="E80" i="1"/>
  <c r="B74" i="1"/>
  <c r="E74" i="1"/>
  <c r="B68" i="1"/>
  <c r="E68" i="1"/>
  <c r="B62" i="1"/>
  <c r="E62" i="1"/>
  <c r="B56" i="1"/>
  <c r="E56" i="1"/>
  <c r="B50" i="1"/>
  <c r="E50" i="1"/>
  <c r="B44" i="1"/>
  <c r="E44" i="1"/>
  <c r="B38" i="1"/>
  <c r="E38" i="1"/>
  <c r="B32" i="1"/>
  <c r="E32" i="1"/>
  <c r="B26" i="1"/>
  <c r="E26" i="1"/>
  <c r="B20" i="1"/>
  <c r="E20" i="1"/>
  <c r="B14" i="1"/>
  <c r="E14" i="1"/>
  <c r="E510" i="1"/>
  <c r="E504" i="1"/>
  <c r="E498" i="1"/>
  <c r="E492" i="1"/>
  <c r="E486" i="1"/>
  <c r="E480" i="1"/>
  <c r="E474" i="1"/>
  <c r="E468" i="1"/>
  <c r="E462" i="1"/>
  <c r="E456" i="1"/>
  <c r="E450" i="1"/>
  <c r="E444" i="1"/>
  <c r="E438" i="1"/>
  <c r="E432" i="1"/>
  <c r="E426" i="1"/>
  <c r="E420" i="1"/>
  <c r="E414" i="1"/>
  <c r="E408" i="1"/>
  <c r="E402" i="1"/>
  <c r="E396" i="1"/>
  <c r="E390" i="1"/>
  <c r="E384" i="1"/>
  <c r="E378" i="1"/>
  <c r="E372" i="1"/>
  <c r="E366" i="1"/>
  <c r="E360" i="1"/>
  <c r="E354" i="1"/>
  <c r="E348" i="1"/>
  <c r="E342" i="1"/>
  <c r="E336" i="1"/>
  <c r="E330" i="1"/>
  <c r="E324" i="1"/>
  <c r="E318" i="1"/>
  <c r="E312" i="1"/>
  <c r="E306" i="1"/>
  <c r="E300" i="1"/>
  <c r="E294" i="1"/>
  <c r="E288" i="1"/>
  <c r="E282" i="1"/>
  <c r="E276" i="1"/>
  <c r="E270" i="1"/>
  <c r="E264" i="1"/>
  <c r="E258" i="1"/>
  <c r="E252" i="1"/>
  <c r="E246" i="1"/>
  <c r="E240" i="1"/>
  <c r="E234" i="1"/>
  <c r="E228" i="1"/>
  <c r="E222" i="1"/>
  <c r="E216" i="1"/>
  <c r="E210" i="1"/>
  <c r="E204" i="1"/>
  <c r="E198" i="1"/>
  <c r="E192" i="1"/>
  <c r="E186" i="1"/>
  <c r="E180" i="1"/>
  <c r="E174" i="1"/>
  <c r="E6" i="1"/>
  <c r="B169" i="1"/>
  <c r="E169" i="1"/>
  <c r="B163" i="1"/>
  <c r="E163" i="1"/>
  <c r="E157" i="1"/>
  <c r="B151" i="1"/>
  <c r="E151" i="1"/>
  <c r="E145" i="1"/>
  <c r="B139" i="1"/>
  <c r="E139" i="1"/>
  <c r="B133" i="1"/>
  <c r="E133" i="1"/>
  <c r="B127" i="1"/>
  <c r="E127" i="1"/>
  <c r="E121" i="1"/>
  <c r="B115" i="1"/>
  <c r="E115" i="1"/>
  <c r="E109" i="1"/>
  <c r="B103" i="1"/>
  <c r="E103" i="1"/>
  <c r="B97" i="1"/>
  <c r="E97" i="1"/>
  <c r="B91" i="1"/>
  <c r="E91" i="1"/>
  <c r="E85" i="1"/>
  <c r="B79" i="1"/>
  <c r="E79" i="1"/>
  <c r="E73" i="1"/>
  <c r="B67" i="1"/>
  <c r="E67" i="1"/>
  <c r="B61" i="1"/>
  <c r="E61" i="1"/>
  <c r="E55" i="1"/>
  <c r="E49" i="1"/>
  <c r="B43" i="1"/>
  <c r="E43" i="1"/>
  <c r="B37" i="1"/>
  <c r="E37" i="1"/>
  <c r="B31" i="1"/>
  <c r="E31" i="1"/>
  <c r="E25" i="1"/>
  <c r="E19" i="1"/>
  <c r="B13" i="1"/>
  <c r="E13" i="1"/>
  <c r="E167" i="1"/>
  <c r="AC249" i="4"/>
  <c r="AC243" i="4"/>
  <c r="AC237" i="4"/>
  <c r="AC231" i="4"/>
  <c r="AC225" i="4"/>
  <c r="AC219" i="4"/>
  <c r="AC213" i="4"/>
  <c r="AC207" i="4"/>
  <c r="AC201" i="4"/>
  <c r="AC195" i="4"/>
  <c r="AC189" i="4"/>
  <c r="AC183" i="4"/>
  <c r="AC177" i="4"/>
  <c r="AC171" i="4"/>
  <c r="AC165" i="4"/>
  <c r="AC159" i="4"/>
  <c r="AC153" i="4"/>
  <c r="AC147" i="4"/>
  <c r="AC141" i="4"/>
  <c r="AC135" i="4"/>
  <c r="AC129" i="4"/>
  <c r="AC123" i="4"/>
  <c r="AC117" i="4"/>
  <c r="AC111" i="4"/>
  <c r="AC105" i="4"/>
  <c r="AC99" i="4"/>
  <c r="AC93" i="4"/>
  <c r="AC981" i="10"/>
  <c r="AC967" i="10"/>
  <c r="AC938" i="10"/>
  <c r="AC920" i="10"/>
  <c r="AC893" i="10"/>
  <c r="AC866" i="10"/>
  <c r="AC848" i="10"/>
  <c r="AC816" i="10"/>
  <c r="AC773" i="10"/>
  <c r="AC739" i="10"/>
  <c r="AC675" i="10"/>
  <c r="AC611" i="10"/>
  <c r="AC546" i="10"/>
  <c r="AC428" i="10"/>
  <c r="AC235" i="10"/>
  <c r="AC104" i="10"/>
  <c r="AC987" i="10"/>
  <c r="AC965" i="10"/>
  <c r="AC944" i="10"/>
  <c r="AC919" i="10"/>
  <c r="AC901" i="10"/>
  <c r="AC883" i="10"/>
  <c r="AC856" i="10"/>
  <c r="AC825" i="10"/>
  <c r="AC793" i="10"/>
  <c r="AC761" i="10"/>
  <c r="AC721" i="10"/>
  <c r="AC674" i="10"/>
  <c r="AC609" i="10"/>
  <c r="AC545" i="10"/>
  <c r="AC523" i="10"/>
  <c r="AC361" i="10"/>
  <c r="AC164" i="10"/>
  <c r="AC993" i="10"/>
  <c r="AC986" i="10"/>
  <c r="AC979" i="10"/>
  <c r="AC971" i="10"/>
  <c r="AC964" i="10"/>
  <c r="AC957" i="10"/>
  <c r="AC950" i="10"/>
  <c r="AC943" i="10"/>
  <c r="AC935" i="10"/>
  <c r="AC926" i="10"/>
  <c r="AC917" i="10"/>
  <c r="AC908" i="10"/>
  <c r="AC899" i="10"/>
  <c r="AC890" i="10"/>
  <c r="AC881" i="10"/>
  <c r="AC872" i="10"/>
  <c r="AC863" i="10"/>
  <c r="AC854" i="10"/>
  <c r="AC845" i="10"/>
  <c r="AC834" i="10"/>
  <c r="AC823" i="10"/>
  <c r="AC812" i="10"/>
  <c r="AC801" i="10"/>
  <c r="AC791" i="10"/>
  <c r="AC780" i="10"/>
  <c r="AC769" i="10"/>
  <c r="AC758" i="10"/>
  <c r="AC747" i="10"/>
  <c r="AC733" i="10"/>
  <c r="AC719" i="10"/>
  <c r="AC704" i="10"/>
  <c r="AC690" i="10"/>
  <c r="AC668" i="10"/>
  <c r="AC647" i="10"/>
  <c r="AC625" i="10"/>
  <c r="AC603" i="10"/>
  <c r="AC582" i="10"/>
  <c r="AC560" i="10"/>
  <c r="AC539" i="10"/>
  <c r="AC517" i="10"/>
  <c r="AC470" i="10"/>
  <c r="AC409" i="10"/>
  <c r="AC343" i="10"/>
  <c r="AC278" i="10"/>
  <c r="AC212" i="10"/>
  <c r="AC146" i="10"/>
  <c r="AC85" i="10"/>
  <c r="A1" i="10"/>
  <c r="AC8" i="10"/>
  <c r="AC14" i="10"/>
  <c r="AC20" i="10"/>
  <c r="AC27" i="10"/>
  <c r="AC33" i="10"/>
  <c r="AC39" i="10"/>
  <c r="AC45" i="10"/>
  <c r="AC51" i="10"/>
  <c r="AC57" i="10"/>
  <c r="AC63" i="10"/>
  <c r="AC69" i="10"/>
  <c r="AC75" i="10"/>
  <c r="AC81" i="10"/>
  <c r="AC87" i="10"/>
  <c r="AC93" i="10"/>
  <c r="AC99" i="10"/>
  <c r="AC105" i="10"/>
  <c r="AC111" i="10"/>
  <c r="AC117" i="10"/>
  <c r="AC123" i="10"/>
  <c r="AC129" i="10"/>
  <c r="AC135" i="10"/>
  <c r="AC141" i="10"/>
  <c r="AC147" i="10"/>
  <c r="AC153" i="10"/>
  <c r="AC159" i="10"/>
  <c r="AC165" i="10"/>
  <c r="AC171" i="10"/>
  <c r="AC177" i="10"/>
  <c r="AC183" i="10"/>
  <c r="AC189" i="10"/>
  <c r="AC195" i="10"/>
  <c r="AC201" i="10"/>
  <c r="AC207" i="10"/>
  <c r="AC213" i="10"/>
  <c r="AC219" i="10"/>
  <c r="AC225" i="10"/>
  <c r="AC231" i="10"/>
  <c r="AC237" i="10"/>
  <c r="AC243" i="10"/>
  <c r="AC249" i="10"/>
  <c r="AC255" i="10"/>
  <c r="AC261" i="10"/>
  <c r="AC267" i="10"/>
  <c r="AC273" i="10"/>
  <c r="AC279" i="10"/>
  <c r="AC285" i="10"/>
  <c r="AC291" i="10"/>
  <c r="AC297" i="10"/>
  <c r="AC303" i="10"/>
  <c r="AC309" i="10"/>
  <c r="AC315" i="10"/>
  <c r="AC321" i="10"/>
  <c r="AC327" i="10"/>
  <c r="AC333" i="10"/>
  <c r="AC339" i="10"/>
  <c r="AC345" i="10"/>
  <c r="AC351" i="10"/>
  <c r="AC357" i="10"/>
  <c r="AC363" i="10"/>
  <c r="AC369" i="10"/>
  <c r="AC375" i="10"/>
  <c r="AC381" i="10"/>
  <c r="AC387" i="10"/>
  <c r="AC393" i="10"/>
  <c r="AC399" i="10"/>
  <c r="AC405" i="10"/>
  <c r="AC411" i="10"/>
  <c r="AC417" i="10"/>
  <c r="AC423" i="10"/>
  <c r="AC429" i="10"/>
  <c r="AC435" i="10"/>
  <c r="AC441" i="10"/>
  <c r="AC447" i="10"/>
  <c r="AC453" i="10"/>
  <c r="AC459" i="10"/>
  <c r="AC465" i="10"/>
  <c r="AC471" i="10"/>
  <c r="AC477" i="10"/>
  <c r="AC483" i="10"/>
  <c r="AC489" i="10"/>
  <c r="AC495" i="10"/>
  <c r="AC501" i="10"/>
  <c r="AC507" i="10"/>
  <c r="AC513" i="10"/>
  <c r="AC3" i="10"/>
  <c r="AC9" i="10"/>
  <c r="AC15" i="10"/>
  <c r="AC21" i="10"/>
  <c r="AC28" i="10"/>
  <c r="AC34" i="10"/>
  <c r="AC40" i="10"/>
  <c r="AC46" i="10"/>
  <c r="AC52" i="10"/>
  <c r="AC58" i="10"/>
  <c r="AC64" i="10"/>
  <c r="AC70" i="10"/>
  <c r="AC76" i="10"/>
  <c r="AC82" i="10"/>
  <c r="AC88" i="10"/>
  <c r="AC94" i="10"/>
  <c r="AC100" i="10"/>
  <c r="AC106" i="10"/>
  <c r="AC112" i="10"/>
  <c r="AC118" i="10"/>
  <c r="AC124" i="10"/>
  <c r="AC130" i="10"/>
  <c r="AC136" i="10"/>
  <c r="AC142" i="10"/>
  <c r="AC148" i="10"/>
  <c r="AC154" i="10"/>
  <c r="AC160" i="10"/>
  <c r="AC166" i="10"/>
  <c r="AC172" i="10"/>
  <c r="AC178" i="10"/>
  <c r="AC184" i="10"/>
  <c r="AC190" i="10"/>
  <c r="AC196" i="10"/>
  <c r="AC202" i="10"/>
  <c r="AC208" i="10"/>
  <c r="AC214" i="10"/>
  <c r="AC220" i="10"/>
  <c r="AC226" i="10"/>
  <c r="AC232" i="10"/>
  <c r="AC238" i="10"/>
  <c r="AC244" i="10"/>
  <c r="AC250" i="10"/>
  <c r="AC256" i="10"/>
  <c r="AC262" i="10"/>
  <c r="AC268" i="10"/>
  <c r="AC274" i="10"/>
  <c r="AC280" i="10"/>
  <c r="AC286" i="10"/>
  <c r="AC292" i="10"/>
  <c r="AC298" i="10"/>
  <c r="AC304" i="10"/>
  <c r="AC310" i="10"/>
  <c r="AC316" i="10"/>
  <c r="AC322" i="10"/>
  <c r="AC328" i="10"/>
  <c r="AC334" i="10"/>
  <c r="AC340" i="10"/>
  <c r="AC346" i="10"/>
  <c r="AC352" i="10"/>
  <c r="AC358" i="10"/>
  <c r="AC364" i="10"/>
  <c r="AC370" i="10"/>
  <c r="AC376" i="10"/>
  <c r="AC382" i="10"/>
  <c r="AC388" i="10"/>
  <c r="AC394" i="10"/>
  <c r="AC400" i="10"/>
  <c r="AC406" i="10"/>
  <c r="AC412" i="10"/>
  <c r="AC418" i="10"/>
  <c r="AC424" i="10"/>
  <c r="AC430" i="10"/>
  <c r="AC436" i="10"/>
  <c r="AC442" i="10"/>
  <c r="AC448" i="10"/>
  <c r="AC454" i="10"/>
  <c r="AC460" i="10"/>
  <c r="AC466" i="10"/>
  <c r="AC472" i="10"/>
  <c r="AC478" i="10"/>
  <c r="AC484" i="10"/>
  <c r="AC490" i="10"/>
  <c r="AC496" i="10"/>
  <c r="AC502" i="10"/>
  <c r="AC4" i="10"/>
  <c r="AC10" i="10"/>
  <c r="AC16" i="10"/>
  <c r="AC22" i="10"/>
  <c r="AC29" i="10"/>
  <c r="AC35" i="10"/>
  <c r="AC41" i="10"/>
  <c r="AC47" i="10"/>
  <c r="AC53" i="10"/>
  <c r="AC59" i="10"/>
  <c r="AC65" i="10"/>
  <c r="AC71" i="10"/>
  <c r="AC77" i="10"/>
  <c r="AC83" i="10"/>
  <c r="AC89" i="10"/>
  <c r="AC95" i="10"/>
  <c r="AC101" i="10"/>
  <c r="AC107" i="10"/>
  <c r="AC113" i="10"/>
  <c r="AC119" i="10"/>
  <c r="AC125" i="10"/>
  <c r="AC131" i="10"/>
  <c r="AC137" i="10"/>
  <c r="AC143" i="10"/>
  <c r="AC149" i="10"/>
  <c r="AC155" i="10"/>
  <c r="AC161" i="10"/>
  <c r="AC167" i="10"/>
  <c r="AC173" i="10"/>
  <c r="AC179" i="10"/>
  <c r="AC185" i="10"/>
  <c r="AC191" i="10"/>
  <c r="AC197" i="10"/>
  <c r="AC203" i="10"/>
  <c r="AC209" i="10"/>
  <c r="AC215" i="10"/>
  <c r="AC221" i="10"/>
  <c r="AC227" i="10"/>
  <c r="AC233" i="10"/>
  <c r="AC239" i="10"/>
  <c r="AC245" i="10"/>
  <c r="AC251" i="10"/>
  <c r="AC257" i="10"/>
  <c r="AC263" i="10"/>
  <c r="AC269" i="10"/>
  <c r="AC275" i="10"/>
  <c r="AC281" i="10"/>
  <c r="AC287" i="10"/>
  <c r="AC293" i="10"/>
  <c r="AC299" i="10"/>
  <c r="AC305" i="10"/>
  <c r="AC311" i="10"/>
  <c r="AC317" i="10"/>
  <c r="AC323" i="10"/>
  <c r="AC329" i="10"/>
  <c r="AC335" i="10"/>
  <c r="AC341" i="10"/>
  <c r="AC347" i="10"/>
  <c r="AC353" i="10"/>
  <c r="AC359" i="10"/>
  <c r="AC365" i="10"/>
  <c r="AC371" i="10"/>
  <c r="AC377" i="10"/>
  <c r="AC383" i="10"/>
  <c r="AC389" i="10"/>
  <c r="AC395" i="10"/>
  <c r="AC401" i="10"/>
  <c r="AC407" i="10"/>
  <c r="AC413" i="10"/>
  <c r="AC419" i="10"/>
  <c r="AC425" i="10"/>
  <c r="AC431" i="10"/>
  <c r="AC437" i="10"/>
  <c r="AC443" i="10"/>
  <c r="AC449" i="10"/>
  <c r="AC455" i="10"/>
  <c r="AC461" i="10"/>
  <c r="AC467" i="10"/>
  <c r="AC473" i="10"/>
  <c r="AC479" i="10"/>
  <c r="AC485" i="10"/>
  <c r="AC491" i="10"/>
  <c r="AC497" i="10"/>
  <c r="AC503" i="10"/>
  <c r="AC5" i="10"/>
  <c r="AC11" i="10"/>
  <c r="AC17" i="10"/>
  <c r="AC23" i="10"/>
  <c r="AC30" i="10"/>
  <c r="AC36" i="10"/>
  <c r="AC42" i="10"/>
  <c r="AC48" i="10"/>
  <c r="AC54" i="10"/>
  <c r="AC60" i="10"/>
  <c r="AC66" i="10"/>
  <c r="AC72" i="10"/>
  <c r="AC78" i="10"/>
  <c r="AC84" i="10"/>
  <c r="AC90" i="10"/>
  <c r="AC96" i="10"/>
  <c r="AC102" i="10"/>
  <c r="AC108" i="10"/>
  <c r="AC114" i="10"/>
  <c r="AC120" i="10"/>
  <c r="AC126" i="10"/>
  <c r="AC132" i="10"/>
  <c r="AC138" i="10"/>
  <c r="AC144" i="10"/>
  <c r="AC150" i="10"/>
  <c r="AC156" i="10"/>
  <c r="AC162" i="10"/>
  <c r="AC168" i="10"/>
  <c r="AC174" i="10"/>
  <c r="AC180" i="10"/>
  <c r="AC186" i="10"/>
  <c r="AC192" i="10"/>
  <c r="AC198" i="10"/>
  <c r="AC204" i="10"/>
  <c r="AC210" i="10"/>
  <c r="AC216" i="10"/>
  <c r="AC222" i="10"/>
  <c r="AC228" i="10"/>
  <c r="AC234" i="10"/>
  <c r="AC240" i="10"/>
  <c r="AC246" i="10"/>
  <c r="AC252" i="10"/>
  <c r="AC258" i="10"/>
  <c r="AC264" i="10"/>
  <c r="AC270" i="10"/>
  <c r="AC276" i="10"/>
  <c r="AC282" i="10"/>
  <c r="AC288" i="10"/>
  <c r="AC294" i="10"/>
  <c r="AC300" i="10"/>
  <c r="AC306" i="10"/>
  <c r="AC312" i="10"/>
  <c r="AC318" i="10"/>
  <c r="AC324" i="10"/>
  <c r="AC330" i="10"/>
  <c r="AC336" i="10"/>
  <c r="AC342" i="10"/>
  <c r="AC348" i="10"/>
  <c r="AC354" i="10"/>
  <c r="AC360" i="10"/>
  <c r="AC366" i="10"/>
  <c r="AC372" i="10"/>
  <c r="AC378" i="10"/>
  <c r="AC384" i="10"/>
  <c r="AC390" i="10"/>
  <c r="AC396" i="10"/>
  <c r="AC402" i="10"/>
  <c r="AC408" i="10"/>
  <c r="AC414" i="10"/>
  <c r="AC420" i="10"/>
  <c r="AC426" i="10"/>
  <c r="AC432" i="10"/>
  <c r="AC438" i="10"/>
  <c r="AC444" i="10"/>
  <c r="AC450" i="10"/>
  <c r="AC456" i="10"/>
  <c r="AC462" i="10"/>
  <c r="AC468" i="10"/>
  <c r="AC474" i="10"/>
  <c r="AC480" i="10"/>
  <c r="AC486" i="10"/>
  <c r="AC492" i="10"/>
  <c r="AC498" i="10"/>
  <c r="AC24" i="10"/>
  <c r="AC6" i="10"/>
  <c r="AC25" i="10"/>
  <c r="AC43" i="10"/>
  <c r="AC61" i="10"/>
  <c r="AC79" i="10"/>
  <c r="AC97" i="10"/>
  <c r="AC115" i="10"/>
  <c r="AC133" i="10"/>
  <c r="AC151" i="10"/>
  <c r="AC169" i="10"/>
  <c r="AC187" i="10"/>
  <c r="AC205" i="10"/>
  <c r="AC223" i="10"/>
  <c r="AC241" i="10"/>
  <c r="AC259" i="10"/>
  <c r="AC277" i="10"/>
  <c r="AC295" i="10"/>
  <c r="AC313" i="10"/>
  <c r="AC331" i="10"/>
  <c r="AC349" i="10"/>
  <c r="AC367" i="10"/>
  <c r="AC385" i="10"/>
  <c r="AC403" i="10"/>
  <c r="AC421" i="10"/>
  <c r="AC439" i="10"/>
  <c r="AC457" i="10"/>
  <c r="AC475" i="10"/>
  <c r="AC493" i="10"/>
  <c r="AC506" i="10"/>
  <c r="AC514" i="10"/>
  <c r="AC520" i="10"/>
  <c r="AC526" i="10"/>
  <c r="AC532" i="10"/>
  <c r="AC538" i="10"/>
  <c r="AC544" i="10"/>
  <c r="AC550" i="10"/>
  <c r="AC556" i="10"/>
  <c r="AC562" i="10"/>
  <c r="AC568" i="10"/>
  <c r="AC574" i="10"/>
  <c r="AC580" i="10"/>
  <c r="AC586" i="10"/>
  <c r="AC592" i="10"/>
  <c r="AC598" i="10"/>
  <c r="AC604" i="10"/>
  <c r="AC610" i="10"/>
  <c r="AC616" i="10"/>
  <c r="AC622" i="10"/>
  <c r="AC628" i="10"/>
  <c r="AC634" i="10"/>
  <c r="AC640" i="10"/>
  <c r="AC646" i="10"/>
  <c r="AC652" i="10"/>
  <c r="AC658" i="10"/>
  <c r="AC664" i="10"/>
  <c r="AC670" i="10"/>
  <c r="AC676" i="10"/>
  <c r="AC682" i="10"/>
  <c r="AC688" i="10"/>
  <c r="AC694" i="10"/>
  <c r="AC700" i="10"/>
  <c r="AC706" i="10"/>
  <c r="AC712" i="10"/>
  <c r="AC718" i="10"/>
  <c r="AC724" i="10"/>
  <c r="AC730" i="10"/>
  <c r="AC736" i="10"/>
  <c r="AC742" i="10"/>
  <c r="AC748" i="10"/>
  <c r="AC754" i="10"/>
  <c r="AC760" i="10"/>
  <c r="AC766" i="10"/>
  <c r="AC772" i="10"/>
  <c r="AC778" i="10"/>
  <c r="AC784" i="10"/>
  <c r="AC790" i="10"/>
  <c r="AC796" i="10"/>
  <c r="AC802" i="10"/>
  <c r="AC808" i="10"/>
  <c r="AC814" i="10"/>
  <c r="AC820" i="10"/>
  <c r="AC826" i="10"/>
  <c r="AC832" i="10"/>
  <c r="AC838" i="10"/>
  <c r="AC844" i="10"/>
  <c r="AC19" i="10"/>
  <c r="AC44" i="10"/>
  <c r="AC67" i="10"/>
  <c r="AC86" i="10"/>
  <c r="AC109" i="10"/>
  <c r="AC128" i="10"/>
  <c r="AC152" i="10"/>
  <c r="AC175" i="10"/>
  <c r="AC194" i="10"/>
  <c r="AC217" i="10"/>
  <c r="AC236" i="10"/>
  <c r="AC260" i="10"/>
  <c r="AC283" i="10"/>
  <c r="AC302" i="10"/>
  <c r="AC325" i="10"/>
  <c r="AC344" i="10"/>
  <c r="AC368" i="10"/>
  <c r="AC391" i="10"/>
  <c r="AC410" i="10"/>
  <c r="AC433" i="10"/>
  <c r="AC452" i="10"/>
  <c r="AC476" i="10"/>
  <c r="AC499" i="10"/>
  <c r="AC510" i="10"/>
  <c r="AC518" i="10"/>
  <c r="AC525" i="10"/>
  <c r="AC533" i="10"/>
  <c r="AC540" i="10"/>
  <c r="AC547" i="10"/>
  <c r="AC554" i="10"/>
  <c r="AC561" i="10"/>
  <c r="AC569" i="10"/>
  <c r="AC576" i="10"/>
  <c r="AC583" i="10"/>
  <c r="AC590" i="10"/>
  <c r="AC597" i="10"/>
  <c r="AC605" i="10"/>
  <c r="AC612" i="10"/>
  <c r="AC619" i="10"/>
  <c r="AC626" i="10"/>
  <c r="AC633" i="10"/>
  <c r="AC641" i="10"/>
  <c r="AC648" i="10"/>
  <c r="AC655" i="10"/>
  <c r="AC662" i="10"/>
  <c r="AC669" i="10"/>
  <c r="AC677" i="10"/>
  <c r="AC684" i="10"/>
  <c r="AC691" i="10"/>
  <c r="AC698" i="10"/>
  <c r="AC705" i="10"/>
  <c r="AC713" i="10"/>
  <c r="AC720" i="10"/>
  <c r="AC727" i="10"/>
  <c r="AC734" i="10"/>
  <c r="AC741" i="10"/>
  <c r="AC749" i="10"/>
  <c r="AC756" i="10"/>
  <c r="AC763" i="10"/>
  <c r="AC770" i="10"/>
  <c r="AC777" i="10"/>
  <c r="AC785" i="10"/>
  <c r="AC792" i="10"/>
  <c r="AC799" i="10"/>
  <c r="AC806" i="10"/>
  <c r="AC813" i="10"/>
  <c r="AC821" i="10"/>
  <c r="AC828" i="10"/>
  <c r="AC835" i="10"/>
  <c r="AC842" i="10"/>
  <c r="AC849" i="10"/>
  <c r="AC855" i="10"/>
  <c r="AC861" i="10"/>
  <c r="AC867" i="10"/>
  <c r="AC873" i="10"/>
  <c r="AC879" i="10"/>
  <c r="AC885" i="10"/>
  <c r="AC891" i="10"/>
  <c r="AC897" i="10"/>
  <c r="AC903" i="10"/>
  <c r="AC909" i="10"/>
  <c r="AC915" i="10"/>
  <c r="AC921" i="10"/>
  <c r="AC927" i="10"/>
  <c r="AC933" i="10"/>
  <c r="AC26" i="10"/>
  <c r="AC49" i="10"/>
  <c r="AC68" i="10"/>
  <c r="AC91" i="10"/>
  <c r="AC110" i="10"/>
  <c r="AC134" i="10"/>
  <c r="AC157" i="10"/>
  <c r="AC176" i="10"/>
  <c r="AC199" i="10"/>
  <c r="AC218" i="10"/>
  <c r="AC242" i="10"/>
  <c r="AC265" i="10"/>
  <c r="AC284" i="10"/>
  <c r="AC307" i="10"/>
  <c r="AC326" i="10"/>
  <c r="AC350" i="10"/>
  <c r="AC373" i="10"/>
  <c r="AC392" i="10"/>
  <c r="AC415" i="10"/>
  <c r="AC434" i="10"/>
  <c r="AC458" i="10"/>
  <c r="AC481" i="10"/>
  <c r="AC500" i="10"/>
  <c r="AC511" i="10"/>
  <c r="AC519" i="10"/>
  <c r="AC527" i="10"/>
  <c r="AC534" i="10"/>
  <c r="AC541" i="10"/>
  <c r="AC548" i="10"/>
  <c r="AC555" i="10"/>
  <c r="AC563" i="10"/>
  <c r="AC570" i="10"/>
  <c r="AC577" i="10"/>
  <c r="AC584" i="10"/>
  <c r="AC591" i="10"/>
  <c r="AC599" i="10"/>
  <c r="AC606" i="10"/>
  <c r="AC613" i="10"/>
  <c r="AC620" i="10"/>
  <c r="AC627" i="10"/>
  <c r="AC635" i="10"/>
  <c r="AC642" i="10"/>
  <c r="AC649" i="10"/>
  <c r="AC656" i="10"/>
  <c r="AC663" i="10"/>
  <c r="AC671" i="10"/>
  <c r="AC678" i="10"/>
  <c r="AC685" i="10"/>
  <c r="AC7" i="10"/>
  <c r="AC31" i="10"/>
  <c r="AC50" i="10"/>
  <c r="AC73" i="10"/>
  <c r="AC92" i="10"/>
  <c r="AC116" i="10"/>
  <c r="AC139" i="10"/>
  <c r="AC158" i="10"/>
  <c r="AC181" i="10"/>
  <c r="AC200" i="10"/>
  <c r="AC224" i="10"/>
  <c r="AC247" i="10"/>
  <c r="AC266" i="10"/>
  <c r="AC289" i="10"/>
  <c r="AC308" i="10"/>
  <c r="AC332" i="10"/>
  <c r="AC355" i="10"/>
  <c r="AC374" i="10"/>
  <c r="AC397" i="10"/>
  <c r="AC416" i="10"/>
  <c r="AC440" i="10"/>
  <c r="AC463" i="10"/>
  <c r="AC482" i="10"/>
  <c r="AC504" i="10"/>
  <c r="AC512" i="10"/>
  <c r="AC521" i="10"/>
  <c r="AC528" i="10"/>
  <c r="AC535" i="10"/>
  <c r="AC542" i="10"/>
  <c r="AC549" i="10"/>
  <c r="AC557" i="10"/>
  <c r="AC564" i="10"/>
  <c r="AC571" i="10"/>
  <c r="AC578" i="10"/>
  <c r="AC585" i="10"/>
  <c r="AC593" i="10"/>
  <c r="AC600" i="10"/>
  <c r="AC607" i="10"/>
  <c r="AC614" i="10"/>
  <c r="AC621" i="10"/>
  <c r="AC629" i="10"/>
  <c r="AC636" i="10"/>
  <c r="AC643" i="10"/>
  <c r="AC650" i="10"/>
  <c r="AC657" i="10"/>
  <c r="AC665" i="10"/>
  <c r="AC672" i="10"/>
  <c r="AC679" i="10"/>
  <c r="AC686" i="10"/>
  <c r="AC693" i="10"/>
  <c r="AC701" i="10"/>
  <c r="AC708" i="10"/>
  <c r="AC715" i="10"/>
  <c r="AC722" i="10"/>
  <c r="AC729" i="10"/>
  <c r="AC737" i="10"/>
  <c r="AC744" i="10"/>
  <c r="AC12" i="10"/>
  <c r="AC32" i="10"/>
  <c r="AC55" i="10"/>
  <c r="AC74" i="10"/>
  <c r="AC98" i="10"/>
  <c r="AC121" i="10"/>
  <c r="AC140" i="10"/>
  <c r="AC163" i="10"/>
  <c r="AC182" i="10"/>
  <c r="AC206" i="10"/>
  <c r="AC229" i="10"/>
  <c r="AC248" i="10"/>
  <c r="AC271" i="10"/>
  <c r="AC290" i="10"/>
  <c r="AC314" i="10"/>
  <c r="AC337" i="10"/>
  <c r="AC356" i="10"/>
  <c r="AC379" i="10"/>
  <c r="AC398" i="10"/>
  <c r="AC422" i="10"/>
  <c r="AC445" i="10"/>
  <c r="AC464" i="10"/>
  <c r="AC487" i="10"/>
  <c r="AC505" i="10"/>
  <c r="AC515" i="10"/>
  <c r="AC522" i="10"/>
  <c r="AC529" i="10"/>
  <c r="AC536" i="10"/>
  <c r="AC543" i="10"/>
  <c r="AC551" i="10"/>
  <c r="AC558" i="10"/>
  <c r="AC565" i="10"/>
  <c r="AC572" i="10"/>
  <c r="AC579" i="10"/>
  <c r="AC587" i="10"/>
  <c r="AC594" i="10"/>
  <c r="AC601" i="10"/>
  <c r="AC608" i="10"/>
  <c r="AC615" i="10"/>
  <c r="AC623" i="10"/>
  <c r="AC630" i="10"/>
  <c r="AC637" i="10"/>
  <c r="AC644" i="10"/>
  <c r="AC651" i="10"/>
  <c r="AC659" i="10"/>
  <c r="AC666" i="10"/>
  <c r="AC673" i="10"/>
  <c r="AC680" i="10"/>
  <c r="AC687" i="10"/>
  <c r="AC695" i="10"/>
  <c r="AC702" i="10"/>
  <c r="AC709" i="10"/>
  <c r="AC716" i="10"/>
  <c r="AC723" i="10"/>
  <c r="AC731" i="10"/>
  <c r="AC738" i="10"/>
  <c r="AC745" i="10"/>
  <c r="AC752" i="10"/>
  <c r="AC759" i="10"/>
  <c r="AC767" i="10"/>
  <c r="AC774" i="10"/>
  <c r="AC781" i="10"/>
  <c r="AC788" i="10"/>
  <c r="AC795" i="10"/>
  <c r="AC803" i="10"/>
  <c r="AC810" i="10"/>
  <c r="AC817" i="10"/>
  <c r="AC824" i="10"/>
  <c r="AC831" i="10"/>
  <c r="AC839" i="10"/>
  <c r="AC846" i="10"/>
  <c r="AC852" i="10"/>
  <c r="AC858" i="10"/>
  <c r="AC864" i="10"/>
  <c r="AC870" i="10"/>
  <c r="AC876" i="10"/>
  <c r="AC882" i="10"/>
  <c r="AC888" i="10"/>
  <c r="AC894" i="10"/>
  <c r="AC900" i="10"/>
  <c r="AC906" i="10"/>
  <c r="AC912" i="10"/>
  <c r="AC918" i="10"/>
  <c r="AC924" i="10"/>
  <c r="AC930" i="10"/>
  <c r="AC936" i="10"/>
  <c r="AC942" i="10"/>
  <c r="AC948" i="10"/>
  <c r="AC954" i="10"/>
  <c r="AC960" i="10"/>
  <c r="AC966" i="10"/>
  <c r="AC972" i="10"/>
  <c r="AC978" i="10"/>
  <c r="AC984" i="10"/>
  <c r="AC990" i="10"/>
  <c r="AC996" i="10"/>
  <c r="AC988" i="10"/>
  <c r="AC959" i="10"/>
  <c r="AC945" i="10"/>
  <c r="AC911" i="10"/>
  <c r="AC875" i="10"/>
  <c r="AC837" i="10"/>
  <c r="AC805" i="10"/>
  <c r="AC783" i="10"/>
  <c r="AC751" i="10"/>
  <c r="AC710" i="10"/>
  <c r="AC632" i="10"/>
  <c r="AC589" i="10"/>
  <c r="AC524" i="10"/>
  <c r="AC362" i="10"/>
  <c r="AC170" i="10"/>
  <c r="AC994" i="10"/>
  <c r="AC973" i="10"/>
  <c r="AC951" i="10"/>
  <c r="AC937" i="10"/>
  <c r="AC910" i="10"/>
  <c r="AC874" i="10"/>
  <c r="AC836" i="10"/>
  <c r="AC804" i="10"/>
  <c r="AC771" i="10"/>
  <c r="AC735" i="10"/>
  <c r="AC707" i="10"/>
  <c r="AC653" i="10"/>
  <c r="AC588" i="10"/>
  <c r="AC488" i="10"/>
  <c r="AC296" i="10"/>
  <c r="AC103" i="10"/>
  <c r="AC992" i="10"/>
  <c r="AC985" i="10"/>
  <c r="AC977" i="10"/>
  <c r="AC970" i="10"/>
  <c r="AC963" i="10"/>
  <c r="AC956" i="10"/>
  <c r="AC949" i="10"/>
  <c r="AC941" i="10"/>
  <c r="AC934" i="10"/>
  <c r="AC925" i="10"/>
  <c r="AC916" i="10"/>
  <c r="AC907" i="10"/>
  <c r="AC898" i="10"/>
  <c r="AC889" i="10"/>
  <c r="AC880" i="10"/>
  <c r="AC871" i="10"/>
  <c r="AC862" i="10"/>
  <c r="AC853" i="10"/>
  <c r="AC843" i="10"/>
  <c r="AC833" i="10"/>
  <c r="AC822" i="10"/>
  <c r="AC811" i="10"/>
  <c r="AC800" i="10"/>
  <c r="AC789" i="10"/>
  <c r="AC779" i="10"/>
  <c r="AC768" i="10"/>
  <c r="AC757" i="10"/>
  <c r="AC746" i="10"/>
  <c r="AC732" i="10"/>
  <c r="AC717" i="10"/>
  <c r="AC703" i="10"/>
  <c r="AC689" i="10"/>
  <c r="AC667" i="10"/>
  <c r="AC645" i="10"/>
  <c r="AC624" i="10"/>
  <c r="AC602" i="10"/>
  <c r="AC581" i="10"/>
  <c r="AC559" i="10"/>
  <c r="AC537" i="10"/>
  <c r="AC516" i="10"/>
  <c r="AC469" i="10"/>
  <c r="AC404" i="10"/>
  <c r="AC338" i="10"/>
  <c r="AC272" i="10"/>
  <c r="AC211" i="10"/>
  <c r="AC145" i="10"/>
  <c r="AC80" i="10"/>
  <c r="AC13" i="10"/>
  <c r="AC995" i="10"/>
  <c r="AC974" i="10"/>
  <c r="AC952" i="10"/>
  <c r="AC929" i="10"/>
  <c r="AC902" i="10"/>
  <c r="AC884" i="10"/>
  <c r="AC857" i="10"/>
  <c r="AC827" i="10"/>
  <c r="AC794" i="10"/>
  <c r="AC762" i="10"/>
  <c r="AC725" i="10"/>
  <c r="AC696" i="10"/>
  <c r="AC654" i="10"/>
  <c r="AC567" i="10"/>
  <c r="AC494" i="10"/>
  <c r="AC301" i="10"/>
  <c r="AC38" i="10"/>
  <c r="AC980" i="10"/>
  <c r="AC958" i="10"/>
  <c r="AC928" i="10"/>
  <c r="AC892" i="10"/>
  <c r="AC865" i="10"/>
  <c r="AC847" i="10"/>
  <c r="AC815" i="10"/>
  <c r="AC782" i="10"/>
  <c r="AC750" i="10"/>
  <c r="AC692" i="10"/>
  <c r="AC631" i="10"/>
  <c r="AC566" i="10"/>
  <c r="AC427" i="10"/>
  <c r="AC230" i="10"/>
  <c r="AC37" i="10"/>
  <c r="AC991" i="10"/>
  <c r="AC983" i="10"/>
  <c r="AC976" i="10"/>
  <c r="AC969" i="10"/>
  <c r="AC962" i="10"/>
  <c r="AC955" i="10"/>
  <c r="AC947" i="10"/>
  <c r="AC940" i="10"/>
  <c r="AC932" i="10"/>
  <c r="AC923" i="10"/>
  <c r="AC914" i="10"/>
  <c r="AC905" i="10"/>
  <c r="AC896" i="10"/>
  <c r="AC887" i="10"/>
  <c r="AC878" i="10"/>
  <c r="AC869" i="10"/>
  <c r="AC860" i="10"/>
  <c r="AC851" i="10"/>
  <c r="AC841" i="10"/>
  <c r="AC830" i="10"/>
  <c r="AC819" i="10"/>
  <c r="AC809" i="10"/>
  <c r="AC798" i="10"/>
  <c r="AC787" i="10"/>
  <c r="AC776" i="10"/>
  <c r="AC765" i="10"/>
  <c r="AC755" i="10"/>
  <c r="AC743" i="10"/>
  <c r="AC728" i="10"/>
  <c r="AC714" i="10"/>
  <c r="AC699" i="10"/>
  <c r="AC683" i="10"/>
  <c r="AC661" i="10"/>
  <c r="AC639" i="10"/>
  <c r="AC618" i="10"/>
  <c r="AC596" i="10"/>
  <c r="AC575" i="10"/>
  <c r="AC553" i="10"/>
  <c r="AC531" i="10"/>
  <c r="AC509" i="10"/>
  <c r="AC451" i="10"/>
  <c r="AC386" i="10"/>
  <c r="AC320" i="10"/>
  <c r="AC254" i="10"/>
  <c r="AC193" i="10"/>
  <c r="AC127" i="10"/>
  <c r="AC62" i="10"/>
  <c r="AC2" i="10"/>
  <c r="AC989" i="10"/>
  <c r="AC982" i="10"/>
  <c r="AC975" i="10"/>
  <c r="AC968" i="10"/>
  <c r="AC961" i="10"/>
  <c r="AC953" i="10"/>
  <c r="AC946" i="10"/>
  <c r="AC939" i="10"/>
  <c r="AC931" i="10"/>
  <c r="AC922" i="10"/>
  <c r="AC913" i="10"/>
  <c r="AC904" i="10"/>
  <c r="AC895" i="10"/>
  <c r="AC886" i="10"/>
  <c r="AC877" i="10"/>
  <c r="AC868" i="10"/>
  <c r="AC859" i="10"/>
  <c r="AC850" i="10"/>
  <c r="AC840" i="10"/>
  <c r="AC829" i="10"/>
  <c r="AC818" i="10"/>
  <c r="AC807" i="10"/>
  <c r="AC797" i="10"/>
  <c r="AC786" i="10"/>
  <c r="AC775" i="10"/>
  <c r="AC764" i="10"/>
  <c r="AC753" i="10"/>
  <c r="AC740" i="10"/>
  <c r="AC726" i="10"/>
  <c r="AC711" i="10"/>
  <c r="AC697" i="10"/>
  <c r="AC681" i="10"/>
  <c r="AC660" i="10"/>
  <c r="AC638" i="10"/>
  <c r="AC617" i="10"/>
  <c r="AC595" i="10"/>
  <c r="AC573" i="10"/>
  <c r="AC552" i="10"/>
  <c r="AC530" i="10"/>
  <c r="AC508" i="10"/>
  <c r="AC446" i="10"/>
  <c r="AC380" i="10"/>
  <c r="AC319" i="10"/>
  <c r="AC253" i="10"/>
  <c r="AC188" i="10"/>
  <c r="AC122" i="10"/>
  <c r="AC56" i="10"/>
  <c r="E301" i="6"/>
  <c r="J301" i="6"/>
  <c r="E292" i="6"/>
  <c r="H292" i="6"/>
  <c r="E286" i="6"/>
  <c r="J286" i="6"/>
  <c r="E273" i="6"/>
  <c r="I273" i="6"/>
  <c r="E271" i="6"/>
  <c r="J271" i="6"/>
  <c r="E253" i="6"/>
  <c r="I253" i="6"/>
  <c r="E215" i="6"/>
  <c r="J215" i="6"/>
  <c r="H206" i="6"/>
  <c r="J206" i="6"/>
  <c r="E154" i="6"/>
  <c r="I154" i="6"/>
  <c r="H108" i="6"/>
  <c r="E108" i="6"/>
  <c r="I108" i="6"/>
  <c r="E101" i="6"/>
  <c r="H101" i="6"/>
  <c r="I101" i="6"/>
  <c r="J101" i="6"/>
  <c r="E387" i="6"/>
  <c r="H380" i="6"/>
  <c r="E378" i="6"/>
  <c r="H374" i="6"/>
  <c r="E372" i="6"/>
  <c r="E363" i="6"/>
  <c r="H358" i="6"/>
  <c r="E355" i="6"/>
  <c r="I354" i="6"/>
  <c r="H351" i="6"/>
  <c r="H346" i="6"/>
  <c r="E344" i="6"/>
  <c r="E340" i="6"/>
  <c r="E336" i="6"/>
  <c r="E247" i="6"/>
  <c r="H247" i="6"/>
  <c r="I239" i="6"/>
  <c r="H239" i="6"/>
  <c r="H235" i="6"/>
  <c r="H216" i="6"/>
  <c r="J214" i="6"/>
  <c r="J213" i="6"/>
  <c r="E213" i="6"/>
  <c r="J208" i="6"/>
  <c r="I207" i="6"/>
  <c r="E206" i="6"/>
  <c r="H198" i="6"/>
  <c r="J195" i="6"/>
  <c r="H194" i="6"/>
  <c r="E192" i="6"/>
  <c r="J189" i="6"/>
  <c r="H188" i="6"/>
  <c r="H184" i="6"/>
  <c r="H181" i="6"/>
  <c r="E181" i="6"/>
  <c r="I174" i="6"/>
  <c r="E173" i="6"/>
  <c r="I173" i="6"/>
  <c r="I170" i="6"/>
  <c r="E169" i="6"/>
  <c r="J166" i="6"/>
  <c r="E166" i="6"/>
  <c r="I163" i="6"/>
  <c r="H163" i="6"/>
  <c r="J161" i="6"/>
  <c r="H151" i="6"/>
  <c r="I148" i="6"/>
  <c r="H147" i="6"/>
  <c r="E145" i="6"/>
  <c r="J142" i="6"/>
  <c r="E142" i="6"/>
  <c r="J129" i="6"/>
  <c r="E129" i="6"/>
  <c r="H129" i="6"/>
  <c r="E316" i="6"/>
  <c r="I316" i="6"/>
  <c r="E274" i="6"/>
  <c r="J274" i="6"/>
  <c r="E261" i="6"/>
  <c r="J261" i="6"/>
  <c r="I214" i="6"/>
  <c r="I211" i="6"/>
  <c r="J211" i="6"/>
  <c r="I208" i="6"/>
  <c r="H195" i="6"/>
  <c r="H189" i="6"/>
  <c r="H170" i="6"/>
  <c r="I161" i="6"/>
  <c r="I140" i="6"/>
  <c r="J140" i="6"/>
  <c r="E131" i="6"/>
  <c r="J131" i="6"/>
  <c r="I127" i="6"/>
  <c r="J127" i="6"/>
  <c r="J110" i="6"/>
  <c r="E110" i="6"/>
  <c r="H110" i="6"/>
  <c r="E100" i="6"/>
  <c r="H100" i="6"/>
  <c r="I100" i="6"/>
  <c r="J100" i="6"/>
  <c r="I94" i="6"/>
  <c r="E94" i="6"/>
  <c r="H94" i="6"/>
  <c r="J94" i="6"/>
  <c r="E362" i="6"/>
  <c r="E358" i="6"/>
  <c r="J355" i="6"/>
  <c r="E354" i="6"/>
  <c r="E346" i="6"/>
  <c r="J340" i="6"/>
  <c r="E335" i="6"/>
  <c r="E325" i="6"/>
  <c r="I325" i="6"/>
  <c r="E298" i="6"/>
  <c r="H298" i="6"/>
  <c r="E295" i="6"/>
  <c r="I295" i="6"/>
  <c r="E285" i="6"/>
  <c r="H285" i="6"/>
  <c r="E283" i="6"/>
  <c r="I283" i="6"/>
  <c r="J277" i="6"/>
  <c r="E268" i="6"/>
  <c r="I268" i="6"/>
  <c r="E250" i="6"/>
  <c r="I250" i="6"/>
  <c r="E244" i="6"/>
  <c r="H244" i="6"/>
  <c r="I240" i="6"/>
  <c r="J240" i="6"/>
  <c r="E235" i="6"/>
  <c r="I182" i="6"/>
  <c r="H182" i="6"/>
  <c r="E174" i="6"/>
  <c r="J174" i="6"/>
  <c r="J168" i="6"/>
  <c r="H168" i="6"/>
  <c r="E147" i="6"/>
  <c r="J144" i="6"/>
  <c r="H144" i="6"/>
  <c r="E140" i="6"/>
  <c r="E127" i="6"/>
  <c r="H125" i="6"/>
  <c r="E125" i="6"/>
  <c r="I125" i="6"/>
  <c r="E103" i="6"/>
  <c r="H103" i="6"/>
  <c r="J103" i="6"/>
  <c r="J387" i="6"/>
  <c r="H383" i="6"/>
  <c r="E381" i="6"/>
  <c r="J378" i="6"/>
  <c r="H377" i="6"/>
  <c r="E375" i="6"/>
  <c r="J372" i="6"/>
  <c r="H371" i="6"/>
  <c r="I366" i="6"/>
  <c r="H364" i="6"/>
  <c r="J361" i="6"/>
  <c r="I360" i="6"/>
  <c r="I355" i="6"/>
  <c r="I340" i="6"/>
  <c r="H328" i="6"/>
  <c r="J320" i="6"/>
  <c r="I301" i="6"/>
  <c r="J292" i="6"/>
  <c r="I286" i="6"/>
  <c r="J284" i="6"/>
  <c r="I277" i="6"/>
  <c r="J273" i="6"/>
  <c r="I271" i="6"/>
  <c r="J253" i="6"/>
  <c r="J245" i="6"/>
  <c r="H245" i="6"/>
  <c r="J241" i="6"/>
  <c r="E240" i="6"/>
  <c r="E236" i="6"/>
  <c r="I215" i="6"/>
  <c r="E214" i="6"/>
  <c r="H212" i="6"/>
  <c r="E208" i="6"/>
  <c r="H205" i="6"/>
  <c r="I205" i="6"/>
  <c r="E195" i="6"/>
  <c r="J192" i="6"/>
  <c r="H191" i="6"/>
  <c r="E189" i="6"/>
  <c r="J185" i="6"/>
  <c r="E185" i="6"/>
  <c r="E182" i="6"/>
  <c r="I169" i="6"/>
  <c r="E168" i="6"/>
  <c r="H165" i="6"/>
  <c r="E161" i="6"/>
  <c r="J154" i="6"/>
  <c r="E153" i="6"/>
  <c r="H153" i="6"/>
  <c r="H150" i="6"/>
  <c r="E148" i="6"/>
  <c r="I145" i="6"/>
  <c r="E144" i="6"/>
  <c r="H130" i="6"/>
  <c r="J130" i="6"/>
  <c r="E114" i="6"/>
  <c r="J114" i="6"/>
  <c r="H114" i="6"/>
  <c r="I109" i="6"/>
  <c r="H109" i="6"/>
  <c r="E109" i="6"/>
  <c r="E102" i="6"/>
  <c r="H102" i="6"/>
  <c r="I102" i="6"/>
  <c r="J102" i="6"/>
  <c r="I387" i="6"/>
  <c r="J384" i="6"/>
  <c r="J380" i="6"/>
  <c r="I378" i="6"/>
  <c r="J374" i="6"/>
  <c r="I372" i="6"/>
  <c r="I363" i="6"/>
  <c r="H360" i="6"/>
  <c r="I336" i="6"/>
  <c r="J314" i="6"/>
  <c r="H308" i="6"/>
  <c r="H301" i="6"/>
  <c r="I292" i="6"/>
  <c r="H286" i="6"/>
  <c r="H277" i="6"/>
  <c r="H273" i="6"/>
  <c r="H271" i="6"/>
  <c r="H253" i="6"/>
  <c r="J247" i="6"/>
  <c r="I241" i="6"/>
  <c r="I237" i="6"/>
  <c r="E237" i="6"/>
  <c r="H234" i="6"/>
  <c r="I234" i="6"/>
  <c r="J216" i="6"/>
  <c r="H215" i="6"/>
  <c r="I213" i="6"/>
  <c r="H209" i="6"/>
  <c r="E209" i="6"/>
  <c r="I206" i="6"/>
  <c r="J198" i="6"/>
  <c r="H192" i="6"/>
  <c r="I183" i="6"/>
  <c r="J183" i="6"/>
  <c r="E172" i="6"/>
  <c r="H172" i="6"/>
  <c r="H169" i="6"/>
  <c r="H162" i="6"/>
  <c r="E162" i="6"/>
  <c r="H154" i="6"/>
  <c r="J151" i="6"/>
  <c r="H145" i="6"/>
  <c r="E130" i="6"/>
  <c r="J108" i="6"/>
  <c r="I106" i="6"/>
  <c r="I98" i="6"/>
  <c r="J98" i="6"/>
  <c r="E97" i="6"/>
  <c r="J93" i="6"/>
  <c r="E93" i="6"/>
  <c r="E79" i="6"/>
  <c r="I76" i="6"/>
  <c r="H56" i="6"/>
  <c r="J56" i="6"/>
  <c r="I56" i="6"/>
  <c r="J91" i="6"/>
  <c r="J90" i="6"/>
  <c r="H69" i="6"/>
  <c r="I69" i="6"/>
  <c r="J66" i="6"/>
  <c r="J126" i="6"/>
  <c r="E106" i="6"/>
  <c r="H96" i="6"/>
  <c r="E96" i="6"/>
  <c r="J92" i="6"/>
  <c r="J78" i="6"/>
  <c r="I73" i="6"/>
  <c r="E73" i="6"/>
  <c r="E69" i="6"/>
  <c r="H66" i="6"/>
  <c r="E66" i="6"/>
  <c r="H97" i="6"/>
  <c r="H75" i="6"/>
  <c r="I75" i="6"/>
  <c r="I70" i="6"/>
  <c r="J79" i="6"/>
  <c r="H79" i="6"/>
  <c r="I53" i="6"/>
  <c r="I50" i="6"/>
  <c r="I62" i="6"/>
  <c r="E57" i="6"/>
  <c r="I55" i="6"/>
  <c r="E54" i="6"/>
  <c r="I52" i="6"/>
  <c r="E51" i="6"/>
  <c r="I49" i="6"/>
  <c r="J53" i="6"/>
  <c r="J50" i="6"/>
  <c r="J48" i="6"/>
  <c r="A46" i="3"/>
  <c r="A46" i="6" s="1"/>
  <c r="B46" i="6"/>
  <c r="M46" i="6" a="1"/>
  <c r="M46" i="6" s="1"/>
  <c r="R46" i="6"/>
  <c r="C46" i="6"/>
  <c r="N46" i="6" a="1"/>
  <c r="N46" i="6" s="1"/>
  <c r="L46" i="6"/>
  <c r="P46" i="6"/>
  <c r="K46" i="6"/>
  <c r="Q46" i="6"/>
  <c r="O46" i="6"/>
  <c r="G46" i="6"/>
  <c r="J46" i="6" s="1"/>
  <c r="A44" i="3"/>
  <c r="A44" i="6" s="1"/>
  <c r="M44" i="6" a="1"/>
  <c r="M44" i="6" s="1"/>
  <c r="R44" i="6"/>
  <c r="A42" i="3"/>
  <c r="A42" i="6" s="1"/>
  <c r="M42" i="6" a="1"/>
  <c r="M42" i="6" s="1"/>
  <c r="C42" i="6"/>
  <c r="N42" i="6" a="1"/>
  <c r="N42" i="6" s="1"/>
  <c r="R42" i="6"/>
  <c r="A36" i="3"/>
  <c r="A36" i="6" s="1"/>
  <c r="M36" i="6" a="1"/>
  <c r="M36" i="6" s="1"/>
  <c r="Q36" i="6"/>
  <c r="R36" i="6"/>
  <c r="A31" i="3"/>
  <c r="A31" i="6" s="1"/>
  <c r="Q31" i="3"/>
  <c r="A41" i="3"/>
  <c r="A41" i="6" s="1"/>
  <c r="C41" i="6"/>
  <c r="A35" i="3"/>
  <c r="A35" i="6" s="1"/>
  <c r="K35" i="6"/>
  <c r="A40" i="3"/>
  <c r="A40" i="6" s="1"/>
  <c r="R40" i="6"/>
  <c r="A34" i="3"/>
  <c r="A34" i="6" s="1"/>
  <c r="B34" i="6"/>
  <c r="Q34" i="3"/>
  <c r="K34" i="6"/>
  <c r="A32" i="3"/>
  <c r="A32" i="6" s="1"/>
  <c r="Q32" i="3"/>
  <c r="A26" i="3"/>
  <c r="A26" i="6" s="1"/>
  <c r="Q26" i="3"/>
  <c r="A45" i="3"/>
  <c r="A45" i="6" s="1"/>
  <c r="C45" i="6"/>
  <c r="A39" i="3"/>
  <c r="A39" i="6" s="1"/>
  <c r="M39" i="6" a="1"/>
  <c r="M39" i="6" s="1"/>
  <c r="Q39" i="6"/>
  <c r="R39" i="6"/>
  <c r="B39" i="6"/>
  <c r="N45" i="6" a="1"/>
  <c r="N45" i="6" s="1"/>
  <c r="L39" i="6"/>
  <c r="Q28" i="3"/>
  <c r="Q34" i="6"/>
  <c r="R45" i="6"/>
  <c r="M45" i="6" a="1"/>
  <c r="M45" i="6" s="1"/>
  <c r="B42" i="6"/>
  <c r="M40" i="6" a="1"/>
  <c r="M40" i="6" s="1"/>
  <c r="C39" i="6"/>
  <c r="C36" i="6"/>
  <c r="L36" i="6"/>
  <c r="O34" i="6"/>
  <c r="Q45" i="6"/>
  <c r="S45" i="6" s="1"/>
  <c r="L45" i="6"/>
  <c r="Q41" i="6"/>
  <c r="C40" i="6"/>
  <c r="B36" i="6"/>
  <c r="F36" i="6" s="1"/>
  <c r="B45" i="6"/>
  <c r="L34" i="6"/>
  <c r="P45" i="6"/>
  <c r="K45" i="6"/>
  <c r="L41" i="6"/>
  <c r="P35" i="6"/>
  <c r="R34" i="6"/>
  <c r="N40" i="6" a="1"/>
  <c r="N40" i="6" s="1"/>
  <c r="Q33" i="3"/>
  <c r="O45" i="6"/>
  <c r="G45" i="6"/>
  <c r="J45" i="6" s="1"/>
  <c r="P34" i="6"/>
  <c r="G34" i="6"/>
  <c r="H34" i="6" s="1"/>
  <c r="F385" i="6"/>
  <c r="F358" i="6"/>
  <c r="F347" i="6"/>
  <c r="F246" i="6"/>
  <c r="F239" i="6"/>
  <c r="F219" i="6"/>
  <c r="F198" i="6"/>
  <c r="F195" i="6"/>
  <c r="F123" i="6"/>
  <c r="F76" i="6"/>
  <c r="Q44" i="6"/>
  <c r="AB44" i="6" s="1"/>
  <c r="L44" i="6"/>
  <c r="C44" i="6"/>
  <c r="R43" i="6"/>
  <c r="M43" i="6" a="1"/>
  <c r="M43" i="6" s="1"/>
  <c r="C43" i="6"/>
  <c r="Q42" i="6"/>
  <c r="L42" i="6"/>
  <c r="P41" i="6"/>
  <c r="K41" i="6"/>
  <c r="B41" i="6"/>
  <c r="Q40" i="6"/>
  <c r="L40" i="6"/>
  <c r="B40" i="6"/>
  <c r="P39" i="6"/>
  <c r="K39" i="6"/>
  <c r="P37" i="6"/>
  <c r="K37" i="6"/>
  <c r="B37" i="6"/>
  <c r="P36" i="6"/>
  <c r="K36" i="6"/>
  <c r="O35" i="6"/>
  <c r="F351" i="6"/>
  <c r="F321" i="6"/>
  <c r="F286" i="6"/>
  <c r="F228" i="6"/>
  <c r="F128" i="6"/>
  <c r="F61" i="6"/>
  <c r="F49" i="6"/>
  <c r="F47" i="6"/>
  <c r="N43" i="6" a="1"/>
  <c r="N43" i="6" s="1"/>
  <c r="Q37" i="6"/>
  <c r="L37" i="6"/>
  <c r="C37" i="6"/>
  <c r="Q30" i="3"/>
  <c r="F375" i="6"/>
  <c r="F263" i="6"/>
  <c r="F230" i="6"/>
  <c r="F189" i="6"/>
  <c r="F136" i="6"/>
  <c r="F120" i="6"/>
  <c r="P44" i="6"/>
  <c r="K44" i="6"/>
  <c r="B44" i="6"/>
  <c r="Q43" i="6"/>
  <c r="L43" i="6"/>
  <c r="B43" i="6"/>
  <c r="P42" i="6"/>
  <c r="K42" i="6"/>
  <c r="O41" i="6"/>
  <c r="P40" i="6"/>
  <c r="K40" i="6"/>
  <c r="O39" i="6"/>
  <c r="G38" i="6"/>
  <c r="J38" i="6" s="1"/>
  <c r="O37" i="6"/>
  <c r="O36" i="6"/>
  <c r="G35" i="6"/>
  <c r="J35" i="6" s="1"/>
  <c r="C34" i="6"/>
  <c r="N34" i="6" a="1"/>
  <c r="N34" i="6" s="1"/>
  <c r="F368" i="6"/>
  <c r="F337" i="6"/>
  <c r="F316" i="6"/>
  <c r="F298" i="6"/>
  <c r="F124" i="6"/>
  <c r="F112" i="6"/>
  <c r="F48" i="6"/>
  <c r="O44" i="6"/>
  <c r="P43" i="6"/>
  <c r="K43" i="6"/>
  <c r="O42" i="6"/>
  <c r="G42" i="6"/>
  <c r="J42" i="6" s="1"/>
  <c r="G41" i="6"/>
  <c r="O40" i="6"/>
  <c r="G39" i="6"/>
  <c r="G37" i="6"/>
  <c r="G36" i="6"/>
  <c r="N35" i="6" a="1"/>
  <c r="N35" i="6" s="1"/>
  <c r="Q27" i="3"/>
  <c r="S34" i="6"/>
  <c r="M34" i="6" a="1"/>
  <c r="M34" i="6" s="1"/>
  <c r="F343" i="6"/>
  <c r="F333" i="6"/>
  <c r="F319" i="6"/>
  <c r="F200" i="6"/>
  <c r="F173" i="6"/>
  <c r="F107" i="6"/>
  <c r="F100" i="6"/>
  <c r="G44" i="6"/>
  <c r="O43" i="6"/>
  <c r="F42" i="6"/>
  <c r="N41" i="6" a="1"/>
  <c r="N41" i="6" s="1"/>
  <c r="G40" i="6"/>
  <c r="N39" i="6" a="1"/>
  <c r="N39" i="6" s="1"/>
  <c r="S39" i="6" s="1"/>
  <c r="N37" i="6" a="1"/>
  <c r="N37" i="6" s="1"/>
  <c r="N36" i="6" a="1"/>
  <c r="N36" i="6" s="1"/>
  <c r="S36" i="6" s="1"/>
  <c r="R35" i="6"/>
  <c r="M35" i="6" a="1"/>
  <c r="M35" i="6" s="1"/>
  <c r="C35" i="6"/>
  <c r="F363" i="6"/>
  <c r="F344" i="6"/>
  <c r="F251" i="6"/>
  <c r="F166" i="6"/>
  <c r="F131" i="6"/>
  <c r="F52" i="6"/>
  <c r="N44" i="6" a="1"/>
  <c r="N44" i="6" s="1"/>
  <c r="G43" i="6"/>
  <c r="R41" i="6"/>
  <c r="AB41" i="6" s="1"/>
  <c r="M41" i="6" a="1"/>
  <c r="M41" i="6" s="1"/>
  <c r="R37" i="6"/>
  <c r="M37" i="6" a="1"/>
  <c r="M37" i="6" s="1"/>
  <c r="Q35" i="6"/>
  <c r="S35" i="6" s="1"/>
  <c r="L35" i="6"/>
  <c r="B35" i="6"/>
  <c r="F387" i="6"/>
  <c r="F384" i="6"/>
  <c r="F382" i="6"/>
  <c r="F380" i="6"/>
  <c r="F373" i="6"/>
  <c r="F371" i="6"/>
  <c r="F367" i="6"/>
  <c r="F365" i="6"/>
  <c r="F360" i="6"/>
  <c r="F356" i="6"/>
  <c r="F353" i="6"/>
  <c r="F352" i="6"/>
  <c r="F346" i="6"/>
  <c r="F339" i="6"/>
  <c r="F323" i="6"/>
  <c r="F314" i="6"/>
  <c r="F312" i="6"/>
  <c r="F311" i="6"/>
  <c r="F305" i="6"/>
  <c r="F294" i="6"/>
  <c r="F293" i="6"/>
  <c r="F278" i="6"/>
  <c r="F262" i="6"/>
  <c r="F250" i="6"/>
  <c r="F236" i="6"/>
  <c r="F234" i="6"/>
  <c r="F231" i="6"/>
  <c r="F225" i="6"/>
  <c r="F214" i="6"/>
  <c r="F196" i="6"/>
  <c r="F184" i="6"/>
  <c r="F167" i="6"/>
  <c r="F158" i="6"/>
  <c r="F156" i="6"/>
  <c r="F152" i="6"/>
  <c r="F150" i="6"/>
  <c r="F143" i="6"/>
  <c r="F137" i="6"/>
  <c r="F117" i="6"/>
  <c r="F101" i="6"/>
  <c r="F98" i="6"/>
  <c r="F88" i="6"/>
  <c r="F75" i="6"/>
  <c r="F67" i="6"/>
  <c r="F60" i="6"/>
  <c r="F55" i="6"/>
  <c r="F53" i="6"/>
  <c r="F46" i="6"/>
  <c r="F43" i="6"/>
  <c r="F40" i="6"/>
  <c r="F39" i="6"/>
  <c r="N38" i="6" a="1"/>
  <c r="N38" i="6" s="1"/>
  <c r="F381" i="6"/>
  <c r="F372" i="6"/>
  <c r="F364" i="6"/>
  <c r="F362" i="6"/>
  <c r="F361" i="6"/>
  <c r="F355" i="6"/>
  <c r="F348" i="6"/>
  <c r="F341" i="6"/>
  <c r="F327" i="6"/>
  <c r="F324" i="6"/>
  <c r="F313" i="6"/>
  <c r="F269" i="6"/>
  <c r="F258" i="6"/>
  <c r="F257" i="6"/>
  <c r="F242" i="6"/>
  <c r="F232" i="6"/>
  <c r="F221" i="6"/>
  <c r="F204" i="6"/>
  <c r="F191" i="6"/>
  <c r="F185" i="6"/>
  <c r="F162" i="6"/>
  <c r="F160" i="6"/>
  <c r="F159" i="6"/>
  <c r="F153" i="6"/>
  <c r="F113" i="6"/>
  <c r="F108" i="6"/>
  <c r="F64" i="6"/>
  <c r="F62" i="6"/>
  <c r="F51" i="6"/>
  <c r="R38" i="6"/>
  <c r="M38" i="6" a="1"/>
  <c r="M38" i="6" s="1"/>
  <c r="E38" i="6"/>
  <c r="F379" i="6"/>
  <c r="F377" i="6"/>
  <c r="F370" i="6"/>
  <c r="F357" i="6"/>
  <c r="F350" i="6"/>
  <c r="F336" i="6"/>
  <c r="F334" i="6"/>
  <c r="F326" i="6"/>
  <c r="F317" i="6"/>
  <c r="F310" i="6"/>
  <c r="F308" i="6"/>
  <c r="F284" i="6"/>
  <c r="F240" i="6"/>
  <c r="F227" i="6"/>
  <c r="F215" i="6"/>
  <c r="F209" i="6"/>
  <c r="F197" i="6"/>
  <c r="F179" i="6"/>
  <c r="F176" i="6"/>
  <c r="F174" i="6"/>
  <c r="F164" i="6"/>
  <c r="F146" i="6"/>
  <c r="F144" i="6"/>
  <c r="F138" i="6"/>
  <c r="F134" i="6"/>
  <c r="F132" i="6"/>
  <c r="F125" i="6"/>
  <c r="F119" i="6"/>
  <c r="F110" i="6"/>
  <c r="F95" i="6"/>
  <c r="F92" i="6"/>
  <c r="F79" i="6"/>
  <c r="F71" i="6"/>
  <c r="F70" i="6"/>
  <c r="F58" i="6"/>
  <c r="F54" i="6"/>
  <c r="Q38" i="6"/>
  <c r="L38" i="6"/>
  <c r="C38" i="6"/>
  <c r="F386" i="6"/>
  <c r="F378" i="6"/>
  <c r="F359" i="6"/>
  <c r="F345" i="6"/>
  <c r="F340" i="6"/>
  <c r="F329" i="6"/>
  <c r="F318" i="6"/>
  <c r="F304" i="6"/>
  <c r="F302" i="6"/>
  <c r="F296" i="6"/>
  <c r="F292" i="6"/>
  <c r="F290" i="6"/>
  <c r="F281" i="6"/>
  <c r="F275" i="6"/>
  <c r="F272" i="6"/>
  <c r="F248" i="6"/>
  <c r="F233" i="6"/>
  <c r="F202" i="6"/>
  <c r="F186" i="6"/>
  <c r="F177" i="6"/>
  <c r="F168" i="6"/>
  <c r="F148" i="6"/>
  <c r="F147" i="6"/>
  <c r="F140" i="6"/>
  <c r="F130" i="6"/>
  <c r="F114" i="6"/>
  <c r="F111" i="6"/>
  <c r="F106" i="6"/>
  <c r="F102" i="6"/>
  <c r="F66" i="6"/>
  <c r="F65" i="6"/>
  <c r="P38" i="6"/>
  <c r="K38" i="6"/>
  <c r="B38" i="6"/>
  <c r="F383" i="6"/>
  <c r="F376" i="6"/>
  <c r="F374" i="6"/>
  <c r="F369" i="6"/>
  <c r="F366" i="6"/>
  <c r="F354" i="6"/>
  <c r="F349" i="6"/>
  <c r="F342" i="6"/>
  <c r="F338" i="6"/>
  <c r="F335" i="6"/>
  <c r="F330" i="6"/>
  <c r="F320" i="6"/>
  <c r="F299" i="6"/>
  <c r="F287" i="6"/>
  <c r="F282" i="6"/>
  <c r="F276" i="6"/>
  <c r="F274" i="6"/>
  <c r="F268" i="6"/>
  <c r="F266" i="6"/>
  <c r="F260" i="6"/>
  <c r="F256" i="6"/>
  <c r="F254" i="6"/>
  <c r="F245" i="6"/>
  <c r="F238" i="6"/>
  <c r="F222" i="6"/>
  <c r="F218" i="6"/>
  <c r="F216" i="6"/>
  <c r="F210" i="6"/>
  <c r="F203" i="6"/>
  <c r="F194" i="6"/>
  <c r="F192" i="6"/>
  <c r="F188" i="6"/>
  <c r="F180" i="6"/>
  <c r="F170" i="6"/>
  <c r="F161" i="6"/>
  <c r="F155" i="6"/>
  <c r="F149" i="6"/>
  <c r="F126" i="6"/>
  <c r="F122" i="6"/>
  <c r="F104" i="6"/>
  <c r="F94" i="6"/>
  <c r="F91" i="6"/>
  <c r="F89" i="6"/>
  <c r="F85" i="6"/>
  <c r="F83" i="6"/>
  <c r="F82" i="6"/>
  <c r="F73" i="6"/>
  <c r="F69" i="6"/>
  <c r="F59" i="6"/>
  <c r="F57" i="6"/>
  <c r="F50" i="6"/>
  <c r="F45" i="6"/>
  <c r="O38" i="6"/>
  <c r="S379" i="6"/>
  <c r="S370" i="6"/>
  <c r="F291" i="6"/>
  <c r="J386" i="6"/>
  <c r="H385" i="6"/>
  <c r="J383" i="6"/>
  <c r="H382" i="6"/>
  <c r="H379" i="6"/>
  <c r="H376" i="6"/>
  <c r="H373" i="6"/>
  <c r="H370" i="6"/>
  <c r="I368" i="6"/>
  <c r="I365" i="6"/>
  <c r="S361" i="6"/>
  <c r="S359" i="6"/>
  <c r="H357" i="6"/>
  <c r="J356" i="6"/>
  <c r="S352" i="6"/>
  <c r="S350" i="6"/>
  <c r="H348" i="6"/>
  <c r="J347" i="6"/>
  <c r="S343" i="6"/>
  <c r="S341" i="6"/>
  <c r="H339" i="6"/>
  <c r="J338" i="6"/>
  <c r="F303" i="6"/>
  <c r="E294" i="6"/>
  <c r="H294" i="6"/>
  <c r="I294" i="6"/>
  <c r="J294" i="6"/>
  <c r="S269" i="6"/>
  <c r="AB269" i="6"/>
  <c r="F255" i="6"/>
  <c r="F212" i="6"/>
  <c r="S257" i="6"/>
  <c r="AB257" i="6"/>
  <c r="E321" i="6"/>
  <c r="J321" i="6"/>
  <c r="H321" i="6"/>
  <c r="I321" i="6"/>
  <c r="AB309" i="6"/>
  <c r="S309" i="6"/>
  <c r="S305" i="6"/>
  <c r="AB305" i="6"/>
  <c r="AB385" i="6"/>
  <c r="E385" i="6"/>
  <c r="AB382" i="6"/>
  <c r="E382" i="6"/>
  <c r="AB379" i="6"/>
  <c r="E379" i="6"/>
  <c r="AB376" i="6"/>
  <c r="E376" i="6"/>
  <c r="AB373" i="6"/>
  <c r="E373" i="6"/>
  <c r="AB370" i="6"/>
  <c r="E370" i="6"/>
  <c r="E368" i="6"/>
  <c r="AB366" i="6"/>
  <c r="E365" i="6"/>
  <c r="AB363" i="6"/>
  <c r="E357" i="6"/>
  <c r="E348" i="6"/>
  <c r="E339" i="6"/>
  <c r="I332" i="6"/>
  <c r="J332" i="6"/>
  <c r="E323" i="6"/>
  <c r="I323" i="6"/>
  <c r="H323" i="6"/>
  <c r="J323" i="6"/>
  <c r="E309" i="6"/>
  <c r="J309" i="6"/>
  <c r="H309" i="6"/>
  <c r="I309" i="6"/>
  <c r="S308" i="6"/>
  <c r="AB308" i="6"/>
  <c r="S293" i="6"/>
  <c r="AB293" i="6"/>
  <c r="E263" i="6"/>
  <c r="I263" i="6"/>
  <c r="H263" i="6"/>
  <c r="J263" i="6"/>
  <c r="H347" i="6"/>
  <c r="I347" i="6"/>
  <c r="S334" i="6"/>
  <c r="AB334" i="6"/>
  <c r="H359" i="6"/>
  <c r="I359" i="6"/>
  <c r="AB354" i="6"/>
  <c r="H350" i="6"/>
  <c r="I350" i="6"/>
  <c r="AB345" i="6"/>
  <c r="H341" i="6"/>
  <c r="I341" i="6"/>
  <c r="AB336" i="6"/>
  <c r="E332" i="6"/>
  <c r="H331" i="6"/>
  <c r="E331" i="6"/>
  <c r="AB330" i="6"/>
  <c r="S330" i="6"/>
  <c r="E327" i="6"/>
  <c r="J327" i="6"/>
  <c r="H327" i="6"/>
  <c r="I327" i="6"/>
  <c r="E299" i="6"/>
  <c r="I299" i="6"/>
  <c r="H299" i="6"/>
  <c r="J299" i="6"/>
  <c r="S276" i="6"/>
  <c r="AB276" i="6"/>
  <c r="E267" i="6"/>
  <c r="J267" i="6"/>
  <c r="H267" i="6"/>
  <c r="I267" i="6"/>
  <c r="E251" i="6"/>
  <c r="I251" i="6"/>
  <c r="H251" i="6"/>
  <c r="J251" i="6"/>
  <c r="J385" i="6"/>
  <c r="J382" i="6"/>
  <c r="J379" i="6"/>
  <c r="J376" i="6"/>
  <c r="J373" i="6"/>
  <c r="J370" i="6"/>
  <c r="AB367" i="6"/>
  <c r="H366" i="6"/>
  <c r="AB364" i="6"/>
  <c r="H363" i="6"/>
  <c r="AB362" i="6"/>
  <c r="E360" i="6"/>
  <c r="E359" i="6"/>
  <c r="S358" i="6"/>
  <c r="S356" i="6"/>
  <c r="H354" i="6"/>
  <c r="AB353" i="6"/>
  <c r="E351" i="6"/>
  <c r="E350" i="6"/>
  <c r="S349" i="6"/>
  <c r="S347" i="6"/>
  <c r="H345" i="6"/>
  <c r="AB344" i="6"/>
  <c r="E342" i="6"/>
  <c r="E341" i="6"/>
  <c r="S340" i="6"/>
  <c r="S338" i="6"/>
  <c r="H336" i="6"/>
  <c r="AB335" i="6"/>
  <c r="J334" i="6"/>
  <c r="S332" i="6"/>
  <c r="AB332" i="6"/>
  <c r="E303" i="6"/>
  <c r="J303" i="6"/>
  <c r="H303" i="6"/>
  <c r="I303" i="6"/>
  <c r="E287" i="6"/>
  <c r="I287" i="6"/>
  <c r="H287" i="6"/>
  <c r="J287" i="6"/>
  <c r="E255" i="6"/>
  <c r="H255" i="6"/>
  <c r="J255" i="6"/>
  <c r="I255" i="6"/>
  <c r="H356" i="6"/>
  <c r="I356" i="6"/>
  <c r="H338" i="6"/>
  <c r="I338" i="6"/>
  <c r="S272" i="6"/>
  <c r="AB272" i="6"/>
  <c r="J368" i="6"/>
  <c r="J365" i="6"/>
  <c r="H362" i="6"/>
  <c r="I362" i="6"/>
  <c r="I357" i="6"/>
  <c r="H353" i="6"/>
  <c r="I353" i="6"/>
  <c r="I348" i="6"/>
  <c r="H344" i="6"/>
  <c r="I344" i="6"/>
  <c r="I339" i="6"/>
  <c r="H335" i="6"/>
  <c r="I335" i="6"/>
  <c r="H334" i="6"/>
  <c r="E317" i="6"/>
  <c r="I317" i="6"/>
  <c r="H317" i="6"/>
  <c r="J317" i="6"/>
  <c r="E291" i="6"/>
  <c r="H291" i="6"/>
  <c r="J291" i="6"/>
  <c r="I291" i="6"/>
  <c r="F267" i="6"/>
  <c r="E258" i="6"/>
  <c r="H258" i="6"/>
  <c r="I258" i="6"/>
  <c r="J258" i="6"/>
  <c r="S329" i="6"/>
  <c r="AB329" i="6"/>
  <c r="E315" i="6"/>
  <c r="J315" i="6"/>
  <c r="H315" i="6"/>
  <c r="S312" i="6"/>
  <c r="E311" i="6"/>
  <c r="I311" i="6"/>
  <c r="H311" i="6"/>
  <c r="F307" i="6"/>
  <c r="E306" i="6"/>
  <c r="H306" i="6"/>
  <c r="I306" i="6"/>
  <c r="J306" i="6"/>
  <c r="S298" i="6"/>
  <c r="S286" i="6"/>
  <c r="S281" i="6"/>
  <c r="AB281" i="6"/>
  <c r="AB277" i="6"/>
  <c r="S277" i="6"/>
  <c r="S273" i="6"/>
  <c r="F271" i="6"/>
  <c r="E270" i="6"/>
  <c r="H270" i="6"/>
  <c r="I270" i="6"/>
  <c r="J270" i="6"/>
  <c r="S262" i="6"/>
  <c r="S250" i="6"/>
  <c r="S245" i="6"/>
  <c r="AB245" i="6"/>
  <c r="AB241" i="6"/>
  <c r="S241" i="6"/>
  <c r="F208" i="6"/>
  <c r="F178" i="6"/>
  <c r="AB175" i="6"/>
  <c r="S175" i="6"/>
  <c r="F171" i="6"/>
  <c r="F224" i="6"/>
  <c r="AB219" i="6"/>
  <c r="S219" i="6"/>
  <c r="AB216" i="6"/>
  <c r="S216" i="6"/>
  <c r="AB213" i="6"/>
  <c r="S213" i="6"/>
  <c r="F207" i="6"/>
  <c r="AB186" i="6"/>
  <c r="S186" i="6"/>
  <c r="S315" i="6"/>
  <c r="F300" i="6"/>
  <c r="F288" i="6"/>
  <c r="E279" i="6"/>
  <c r="H279" i="6"/>
  <c r="J279" i="6"/>
  <c r="F264" i="6"/>
  <c r="F252" i="6"/>
  <c r="E243" i="6"/>
  <c r="H243" i="6"/>
  <c r="J243" i="6"/>
  <c r="F229" i="6"/>
  <c r="F223" i="6"/>
  <c r="AB211" i="6"/>
  <c r="S211" i="6"/>
  <c r="F193" i="6"/>
  <c r="AB183" i="6"/>
  <c r="S183" i="6"/>
  <c r="AB181" i="6"/>
  <c r="S181" i="6"/>
  <c r="F332" i="6"/>
  <c r="F331" i="6"/>
  <c r="AB301" i="6"/>
  <c r="S301" i="6"/>
  <c r="S297" i="6"/>
  <c r="AB289" i="6"/>
  <c r="S289" i="6"/>
  <c r="S284" i="6"/>
  <c r="AB284" i="6"/>
  <c r="F283" i="6"/>
  <c r="S274" i="6"/>
  <c r="AB265" i="6"/>
  <c r="S265" i="6"/>
  <c r="S261" i="6"/>
  <c r="AB253" i="6"/>
  <c r="S253" i="6"/>
  <c r="S248" i="6"/>
  <c r="AB248" i="6"/>
  <c r="F247" i="6"/>
  <c r="AB236" i="6"/>
  <c r="S236" i="6"/>
  <c r="AB233" i="6"/>
  <c r="S233" i="6"/>
  <c r="AB224" i="6"/>
  <c r="S224" i="6"/>
  <c r="F220" i="6"/>
  <c r="AB207" i="6"/>
  <c r="S207" i="6"/>
  <c r="AB200" i="6"/>
  <c r="S200" i="6"/>
  <c r="AB197" i="6"/>
  <c r="S197" i="6"/>
  <c r="F187" i="6"/>
  <c r="E329" i="6"/>
  <c r="I329" i="6"/>
  <c r="H329" i="6"/>
  <c r="F328" i="6"/>
  <c r="S300" i="6"/>
  <c r="AB300" i="6"/>
  <c r="S296" i="6"/>
  <c r="AB296" i="6"/>
  <c r="F295" i="6"/>
  <c r="S288" i="6"/>
  <c r="AB288" i="6"/>
  <c r="S285" i="6"/>
  <c r="E282" i="6"/>
  <c r="H282" i="6"/>
  <c r="I282" i="6"/>
  <c r="J282" i="6"/>
  <c r="F279" i="6"/>
  <c r="E275" i="6"/>
  <c r="I275" i="6"/>
  <c r="H275" i="6"/>
  <c r="S264" i="6"/>
  <c r="AB264" i="6"/>
  <c r="S260" i="6"/>
  <c r="AB260" i="6"/>
  <c r="F259" i="6"/>
  <c r="S252" i="6"/>
  <c r="AB252" i="6"/>
  <c r="S249" i="6"/>
  <c r="E246" i="6"/>
  <c r="H246" i="6"/>
  <c r="I246" i="6"/>
  <c r="J246" i="6"/>
  <c r="F243" i="6"/>
  <c r="S231" i="6"/>
  <c r="F213" i="6"/>
  <c r="AB188" i="6"/>
  <c r="S188" i="6"/>
  <c r="AB170" i="6"/>
  <c r="S170" i="6"/>
  <c r="AB167" i="6"/>
  <c r="S167" i="6"/>
  <c r="AB164" i="6"/>
  <c r="S164" i="6"/>
  <c r="AB187" i="6"/>
  <c r="S187" i="6"/>
  <c r="F182" i="6"/>
  <c r="F172" i="6"/>
  <c r="E330" i="6"/>
  <c r="H330" i="6"/>
  <c r="F325" i="6"/>
  <c r="S324" i="6"/>
  <c r="E324" i="6"/>
  <c r="H324" i="6"/>
  <c r="F322" i="6"/>
  <c r="E318" i="6"/>
  <c r="H318" i="6"/>
  <c r="E312" i="6"/>
  <c r="H312" i="6"/>
  <c r="E300" i="6"/>
  <c r="H300" i="6"/>
  <c r="I300" i="6"/>
  <c r="AB297" i="6"/>
  <c r="E293" i="6"/>
  <c r="I293" i="6"/>
  <c r="S292" i="6"/>
  <c r="S290" i="6"/>
  <c r="S287" i="6"/>
  <c r="AB287" i="6"/>
  <c r="F285" i="6"/>
  <c r="S282" i="6"/>
  <c r="F277" i="6"/>
  <c r="E264" i="6"/>
  <c r="H264" i="6"/>
  <c r="I264" i="6"/>
  <c r="AB261" i="6"/>
  <c r="E257" i="6"/>
  <c r="I257" i="6"/>
  <c r="S256" i="6"/>
  <c r="S254" i="6"/>
  <c r="S251" i="6"/>
  <c r="AB251" i="6"/>
  <c r="F249" i="6"/>
  <c r="S246" i="6"/>
  <c r="F241" i="6"/>
  <c r="AB239" i="6"/>
  <c r="S239" i="6"/>
  <c r="AB234" i="6"/>
  <c r="S234" i="6"/>
  <c r="AB230" i="6"/>
  <c r="S230" i="6"/>
  <c r="S225" i="6"/>
  <c r="AB217" i="6"/>
  <c r="S217" i="6"/>
  <c r="AB215" i="6"/>
  <c r="S215" i="6"/>
  <c r="F206" i="6"/>
  <c r="F201" i="6"/>
  <c r="F190" i="6"/>
  <c r="AB162" i="6"/>
  <c r="S162" i="6"/>
  <c r="S153" i="6"/>
  <c r="AB128" i="6"/>
  <c r="S128" i="6"/>
  <c r="S323" i="6"/>
  <c r="AB323" i="6"/>
  <c r="S317" i="6"/>
  <c r="AB317" i="6"/>
  <c r="F315" i="6"/>
  <c r="S311" i="6"/>
  <c r="AB311" i="6"/>
  <c r="F309" i="6"/>
  <c r="F306" i="6"/>
  <c r="E305" i="6"/>
  <c r="I305" i="6"/>
  <c r="S304" i="6"/>
  <c r="S302" i="6"/>
  <c r="S299" i="6"/>
  <c r="AB299" i="6"/>
  <c r="F297" i="6"/>
  <c r="S294" i="6"/>
  <c r="F289" i="6"/>
  <c r="I285" i="6"/>
  <c r="F280" i="6"/>
  <c r="E276" i="6"/>
  <c r="H276" i="6"/>
  <c r="I276" i="6"/>
  <c r="AB273" i="6"/>
  <c r="F270" i="6"/>
  <c r="E269" i="6"/>
  <c r="I269" i="6"/>
  <c r="S268" i="6"/>
  <c r="S266" i="6"/>
  <c r="S263" i="6"/>
  <c r="AB263" i="6"/>
  <c r="F261" i="6"/>
  <c r="S258" i="6"/>
  <c r="F253" i="6"/>
  <c r="I249" i="6"/>
  <c r="F244" i="6"/>
  <c r="F235" i="6"/>
  <c r="AB209" i="6"/>
  <c r="S209" i="6"/>
  <c r="F205" i="6"/>
  <c r="AB203" i="6"/>
  <c r="S203" i="6"/>
  <c r="AB198" i="6"/>
  <c r="S198" i="6"/>
  <c r="AB194" i="6"/>
  <c r="S194" i="6"/>
  <c r="AB185" i="6"/>
  <c r="S185" i="6"/>
  <c r="AB179" i="6"/>
  <c r="S179" i="6"/>
  <c r="AB168" i="6"/>
  <c r="S168" i="6"/>
  <c r="F163" i="6"/>
  <c r="F141" i="6"/>
  <c r="F165" i="6"/>
  <c r="AB150" i="6"/>
  <c r="S150" i="6"/>
  <c r="AB145" i="6"/>
  <c r="S145" i="6"/>
  <c r="AB143" i="6"/>
  <c r="S143" i="6"/>
  <c r="F142" i="6"/>
  <c r="J330" i="6"/>
  <c r="S326" i="6"/>
  <c r="J324" i="6"/>
  <c r="S320" i="6"/>
  <c r="J318" i="6"/>
  <c r="S314" i="6"/>
  <c r="J312" i="6"/>
  <c r="S306" i="6"/>
  <c r="F301" i="6"/>
  <c r="E288" i="6"/>
  <c r="H288" i="6"/>
  <c r="I288" i="6"/>
  <c r="AB285" i="6"/>
  <c r="E281" i="6"/>
  <c r="I281" i="6"/>
  <c r="S278" i="6"/>
  <c r="S275" i="6"/>
  <c r="AB275" i="6"/>
  <c r="F273" i="6"/>
  <c r="S270" i="6"/>
  <c r="F265" i="6"/>
  <c r="E252" i="6"/>
  <c r="H252" i="6"/>
  <c r="I252" i="6"/>
  <c r="AB249" i="6"/>
  <c r="E245" i="6"/>
  <c r="I245" i="6"/>
  <c r="S242" i="6"/>
  <c r="F237" i="6"/>
  <c r="F226" i="6"/>
  <c r="AB218" i="6"/>
  <c r="S218" i="6"/>
  <c r="F199" i="6"/>
  <c r="F183" i="6"/>
  <c r="F169" i="6"/>
  <c r="F154" i="6"/>
  <c r="AB152" i="6"/>
  <c r="S152" i="6"/>
  <c r="AB147" i="6"/>
  <c r="S147" i="6"/>
  <c r="AB227" i="6"/>
  <c r="S227" i="6"/>
  <c r="F217" i="6"/>
  <c r="AB212" i="6"/>
  <c r="S212" i="6"/>
  <c r="AB191" i="6"/>
  <c r="S191" i="6"/>
  <c r="AB189" i="6"/>
  <c r="S189" i="6"/>
  <c r="F175" i="6"/>
  <c r="AB158" i="6"/>
  <c r="S158" i="6"/>
  <c r="F157" i="6"/>
  <c r="AB126" i="6"/>
  <c r="S126" i="6"/>
  <c r="E326" i="6"/>
  <c r="I326" i="6"/>
  <c r="E320" i="6"/>
  <c r="I320" i="6"/>
  <c r="E314" i="6"/>
  <c r="I314" i="6"/>
  <c r="E308" i="6"/>
  <c r="I308" i="6"/>
  <c r="E302" i="6"/>
  <c r="I302" i="6"/>
  <c r="E296" i="6"/>
  <c r="I296" i="6"/>
  <c r="E290" i="6"/>
  <c r="I290" i="6"/>
  <c r="E284" i="6"/>
  <c r="I284" i="6"/>
  <c r="E278" i="6"/>
  <c r="I278" i="6"/>
  <c r="E272" i="6"/>
  <c r="I272" i="6"/>
  <c r="E266" i="6"/>
  <c r="I266" i="6"/>
  <c r="E260" i="6"/>
  <c r="I260" i="6"/>
  <c r="E254" i="6"/>
  <c r="I254" i="6"/>
  <c r="E248" i="6"/>
  <c r="I248" i="6"/>
  <c r="E242" i="6"/>
  <c r="I242" i="6"/>
  <c r="AB221" i="6"/>
  <c r="S221" i="6"/>
  <c r="F211" i="6"/>
  <c r="AB206" i="6"/>
  <c r="S206" i="6"/>
  <c r="AB182" i="6"/>
  <c r="S182" i="6"/>
  <c r="AB173" i="6"/>
  <c r="S173" i="6"/>
  <c r="S159" i="6"/>
  <c r="AB111" i="6"/>
  <c r="S111" i="6"/>
  <c r="F116" i="6"/>
  <c r="AB107" i="6"/>
  <c r="S107" i="6"/>
  <c r="F105" i="6"/>
  <c r="F118" i="6"/>
  <c r="AB109" i="6"/>
  <c r="S109" i="6"/>
  <c r="F133" i="6"/>
  <c r="S123" i="6"/>
  <c r="S97" i="6"/>
  <c r="H99" i="6"/>
  <c r="E99" i="6"/>
  <c r="I99" i="6"/>
  <c r="J99" i="6"/>
  <c r="F181" i="6"/>
  <c r="AB176" i="6"/>
  <c r="S176" i="6"/>
  <c r="AB155" i="6"/>
  <c r="S155" i="6"/>
  <c r="F145" i="6"/>
  <c r="AB140" i="6"/>
  <c r="S140" i="6"/>
  <c r="F135" i="6"/>
  <c r="AB119" i="6"/>
  <c r="S119" i="6"/>
  <c r="S117" i="6"/>
  <c r="S115" i="6"/>
  <c r="F109" i="6"/>
  <c r="AB104" i="6"/>
  <c r="S104" i="6"/>
  <c r="S96" i="6"/>
  <c r="AB93" i="6"/>
  <c r="S93" i="6"/>
  <c r="S86" i="6"/>
  <c r="AB86" i="6"/>
  <c r="F81" i="6"/>
  <c r="AB149" i="6"/>
  <c r="S149" i="6"/>
  <c r="F139" i="6"/>
  <c r="AB134" i="6"/>
  <c r="S134" i="6"/>
  <c r="F129" i="6"/>
  <c r="AB113" i="6"/>
  <c r="S113" i="6"/>
  <c r="F103" i="6"/>
  <c r="AB97" i="6"/>
  <c r="I95" i="6"/>
  <c r="J95" i="6"/>
  <c r="H95" i="6"/>
  <c r="F97" i="6"/>
  <c r="AB137" i="6"/>
  <c r="S137" i="6"/>
  <c r="S135" i="6"/>
  <c r="S133" i="6"/>
  <c r="F127" i="6"/>
  <c r="AB122" i="6"/>
  <c r="S122" i="6"/>
  <c r="S114" i="6"/>
  <c r="AB101" i="6"/>
  <c r="S101" i="6"/>
  <c r="S89" i="6"/>
  <c r="AB89" i="6"/>
  <c r="AB131" i="6"/>
  <c r="S131" i="6"/>
  <c r="F121" i="6"/>
  <c r="AB116" i="6"/>
  <c r="S116" i="6"/>
  <c r="S98" i="6"/>
  <c r="AB98" i="6"/>
  <c r="S95" i="6"/>
  <c r="AB95" i="6"/>
  <c r="AB161" i="6"/>
  <c r="S161" i="6"/>
  <c r="F151" i="6"/>
  <c r="AB146" i="6"/>
  <c r="S146" i="6"/>
  <c r="AB125" i="6"/>
  <c r="S125" i="6"/>
  <c r="F115" i="6"/>
  <c r="AB110" i="6"/>
  <c r="S110" i="6"/>
  <c r="F99" i="6"/>
  <c r="F96" i="6"/>
  <c r="F86" i="6"/>
  <c r="I89" i="6"/>
  <c r="J89" i="6"/>
  <c r="H87" i="6"/>
  <c r="J87" i="6"/>
  <c r="I87" i="6"/>
  <c r="H84" i="6"/>
  <c r="E84" i="6"/>
  <c r="I80" i="6"/>
  <c r="E80" i="6"/>
  <c r="J80" i="6"/>
  <c r="F78" i="6"/>
  <c r="H81" i="6"/>
  <c r="J81" i="6"/>
  <c r="I81" i="6"/>
  <c r="F77" i="6"/>
  <c r="F84" i="6"/>
  <c r="E81" i="6"/>
  <c r="S80" i="6"/>
  <c r="AB80" i="6"/>
  <c r="F80" i="6"/>
  <c r="F90" i="6"/>
  <c r="F87" i="6"/>
  <c r="AB82" i="6"/>
  <c r="I96" i="6"/>
  <c r="H89" i="6"/>
  <c r="I86" i="6"/>
  <c r="E86" i="6"/>
  <c r="J86" i="6"/>
  <c r="S85" i="6"/>
  <c r="I84" i="6"/>
  <c r="H80" i="6"/>
  <c r="F93" i="6"/>
  <c r="S92" i="6"/>
  <c r="S83" i="6"/>
  <c r="AB83" i="6"/>
  <c r="S77" i="6"/>
  <c r="AB77" i="6"/>
  <c r="H71" i="6"/>
  <c r="E71" i="6"/>
  <c r="I71" i="6"/>
  <c r="J71" i="6"/>
  <c r="S74" i="6"/>
  <c r="I78" i="6"/>
  <c r="S75" i="6"/>
  <c r="AB75" i="6"/>
  <c r="F74" i="6"/>
  <c r="F68" i="6"/>
  <c r="H77" i="6"/>
  <c r="E77" i="6"/>
  <c r="I77" i="6"/>
  <c r="S69" i="6"/>
  <c r="AB69" i="6"/>
  <c r="I83" i="6"/>
  <c r="E83" i="6"/>
  <c r="E78" i="6"/>
  <c r="F72" i="6"/>
  <c r="H65" i="6"/>
  <c r="E65" i="6"/>
  <c r="S59" i="6"/>
  <c r="E67" i="6"/>
  <c r="H64" i="6"/>
  <c r="J64" i="6"/>
  <c r="AB63" i="6"/>
  <c r="AB60" i="6"/>
  <c r="H76" i="6"/>
  <c r="J76" i="6"/>
  <c r="H70" i="6"/>
  <c r="J70" i="6"/>
  <c r="H61" i="6"/>
  <c r="E61" i="6"/>
  <c r="J61" i="6"/>
  <c r="H58" i="6"/>
  <c r="E58" i="6"/>
  <c r="J58" i="6"/>
  <c r="H74" i="6"/>
  <c r="E74" i="6"/>
  <c r="H68" i="6"/>
  <c r="E68" i="6"/>
  <c r="E64" i="6"/>
  <c r="S72" i="6"/>
  <c r="S66" i="6"/>
  <c r="J65" i="6"/>
  <c r="F63" i="6"/>
  <c r="H73" i="6"/>
  <c r="J73" i="6"/>
  <c r="H67" i="6"/>
  <c r="J67" i="6"/>
  <c r="S56" i="6"/>
  <c r="F56" i="6"/>
  <c r="S46" i="6"/>
  <c r="S43" i="6"/>
  <c r="S40" i="6"/>
  <c r="S37" i="6"/>
  <c r="E62" i="6"/>
  <c r="E59" i="6"/>
  <c r="E56" i="6"/>
  <c r="J55" i="6"/>
  <c r="E53" i="6"/>
  <c r="J52" i="6"/>
  <c r="E50" i="6"/>
  <c r="J49" i="6"/>
  <c r="H47" i="6"/>
  <c r="I47" i="6"/>
  <c r="AB46" i="6"/>
  <c r="E45" i="6"/>
  <c r="H44" i="6"/>
  <c r="I44" i="6"/>
  <c r="AB43" i="6"/>
  <c r="E42" i="6"/>
  <c r="H41" i="6"/>
  <c r="I41" i="6"/>
  <c r="AB40" i="6"/>
  <c r="H38" i="6"/>
  <c r="I38" i="6"/>
  <c r="AB37" i="6"/>
  <c r="H35" i="6"/>
  <c r="I35" i="6"/>
  <c r="E35" i="6"/>
  <c r="AB48" i="6"/>
  <c r="H46" i="6"/>
  <c r="I46" i="6"/>
  <c r="AB45" i="6"/>
  <c r="H43" i="6"/>
  <c r="I43" i="6"/>
  <c r="AB42" i="6"/>
  <c r="H40" i="6"/>
  <c r="I40" i="6"/>
  <c r="AB39" i="6"/>
  <c r="H37" i="6"/>
  <c r="I37" i="6"/>
  <c r="AB36" i="6"/>
  <c r="S47" i="6"/>
  <c r="S44" i="6"/>
  <c r="S41" i="6"/>
  <c r="E55" i="6"/>
  <c r="E52" i="6"/>
  <c r="E49" i="6"/>
  <c r="H48" i="6"/>
  <c r="I48" i="6"/>
  <c r="AB47" i="6"/>
  <c r="E46" i="6"/>
  <c r="H45" i="6"/>
  <c r="I45" i="6"/>
  <c r="H42" i="6"/>
  <c r="I42" i="6"/>
  <c r="H39" i="6"/>
  <c r="I39" i="6"/>
  <c r="H36" i="6"/>
  <c r="I36" i="6"/>
  <c r="AB35" i="6"/>
  <c r="B31" i="6"/>
  <c r="C29" i="6"/>
  <c r="R33" i="6"/>
  <c r="M33" i="6" a="1"/>
  <c r="M33" i="6" s="1"/>
  <c r="R32" i="6"/>
  <c r="M32" i="6" a="1"/>
  <c r="M32" i="6" s="1"/>
  <c r="N31" i="6" a="1"/>
  <c r="N31" i="6" s="1"/>
  <c r="R30" i="6"/>
  <c r="M30" i="6" a="1"/>
  <c r="M30" i="6" s="1"/>
  <c r="R29" i="6"/>
  <c r="M29" i="6" a="1"/>
  <c r="M29" i="6" s="1"/>
  <c r="Q28" i="6"/>
  <c r="L28" i="6"/>
  <c r="P27" i="6"/>
  <c r="K27" i="6"/>
  <c r="P26" i="6"/>
  <c r="K26" i="6"/>
  <c r="B30" i="6"/>
  <c r="C28" i="6"/>
  <c r="Q33" i="6"/>
  <c r="L33" i="6"/>
  <c r="Q32" i="6"/>
  <c r="L32" i="6"/>
  <c r="R31" i="6"/>
  <c r="M31" i="6" a="1"/>
  <c r="M31" i="6" s="1"/>
  <c r="Q30" i="6"/>
  <c r="AB30" i="6" s="1"/>
  <c r="L30" i="6"/>
  <c r="Q29" i="6"/>
  <c r="L29" i="6"/>
  <c r="P28" i="6"/>
  <c r="K28" i="6"/>
  <c r="O27" i="6"/>
  <c r="O26" i="6"/>
  <c r="G26" i="6"/>
  <c r="H26" i="6" s="1"/>
  <c r="B29" i="6"/>
  <c r="C33" i="6"/>
  <c r="C27" i="6"/>
  <c r="P33" i="6"/>
  <c r="K33" i="6"/>
  <c r="P32" i="6"/>
  <c r="K32" i="6"/>
  <c r="Q31" i="6"/>
  <c r="L31" i="6"/>
  <c r="P30" i="6"/>
  <c r="K30" i="6"/>
  <c r="P29" i="6"/>
  <c r="K29" i="6"/>
  <c r="O28" i="6"/>
  <c r="G28" i="6"/>
  <c r="H28" i="6" s="1"/>
  <c r="G27" i="6"/>
  <c r="B28" i="6"/>
  <c r="C32" i="6"/>
  <c r="C26" i="6"/>
  <c r="O33" i="6"/>
  <c r="O32" i="6"/>
  <c r="P31" i="6"/>
  <c r="K31" i="6"/>
  <c r="O30" i="6"/>
  <c r="O29" i="6"/>
  <c r="G29" i="6"/>
  <c r="N27" i="6" a="1"/>
  <c r="N27" i="6" s="1"/>
  <c r="N26" i="6" a="1"/>
  <c r="N26" i="6" s="1"/>
  <c r="B33" i="6"/>
  <c r="F33" i="6" s="1"/>
  <c r="B27" i="6"/>
  <c r="F27" i="6" s="1"/>
  <c r="C31" i="6"/>
  <c r="G33" i="6"/>
  <c r="O31" i="6"/>
  <c r="G30" i="6"/>
  <c r="I30" i="6" s="1"/>
  <c r="N28" i="6" a="1"/>
  <c r="N28" i="6" s="1"/>
  <c r="R27" i="6"/>
  <c r="M27" i="6" a="1"/>
  <c r="M27" i="6" s="1"/>
  <c r="R26" i="6"/>
  <c r="M26" i="6" a="1"/>
  <c r="M26" i="6" s="1"/>
  <c r="Q29" i="3"/>
  <c r="B32" i="6"/>
  <c r="B26" i="6"/>
  <c r="F26" i="6" s="1"/>
  <c r="C30" i="6"/>
  <c r="N33" i="6" a="1"/>
  <c r="N33" i="6" s="1"/>
  <c r="N32" i="6" a="1"/>
  <c r="N32" i="6" s="1"/>
  <c r="G32" i="6"/>
  <c r="E32" i="6" s="1"/>
  <c r="G31" i="6"/>
  <c r="E31" i="6" s="1"/>
  <c r="N30" i="6" a="1"/>
  <c r="N30" i="6" s="1"/>
  <c r="N29" i="6" a="1"/>
  <c r="N29" i="6" s="1"/>
  <c r="R28" i="6"/>
  <c r="M28" i="6" a="1"/>
  <c r="M28" i="6" s="1"/>
  <c r="Q27" i="6"/>
  <c r="L27" i="6"/>
  <c r="Q26" i="6"/>
  <c r="L26" i="6"/>
  <c r="E34" i="6"/>
  <c r="J29" i="6"/>
  <c r="E33" i="6"/>
  <c r="E27" i="6"/>
  <c r="J34" i="6"/>
  <c r="I29" i="6"/>
  <c r="I34" i="6"/>
  <c r="J33" i="6"/>
  <c r="J27" i="6"/>
  <c r="AC248" i="4"/>
  <c r="AC242" i="4"/>
  <c r="AC238" i="4"/>
  <c r="AC226" i="4"/>
  <c r="AC214" i="4"/>
  <c r="AC202" i="4"/>
  <c r="AC190" i="4"/>
  <c r="AC172" i="4"/>
  <c r="AC160" i="4"/>
  <c r="AC148" i="4"/>
  <c r="AC136" i="4"/>
  <c r="AC124" i="4"/>
  <c r="AC112" i="4"/>
  <c r="AC100" i="4"/>
  <c r="AC83" i="4"/>
  <c r="AC65" i="4"/>
  <c r="AC250" i="4"/>
  <c r="AC244" i="4"/>
  <c r="AC232" i="4"/>
  <c r="AC220" i="4"/>
  <c r="AC208" i="4"/>
  <c r="AC196" i="4"/>
  <c r="AC184" i="4"/>
  <c r="AC178" i="4"/>
  <c r="AC166" i="4"/>
  <c r="AC154" i="4"/>
  <c r="AC142" i="4"/>
  <c r="AC130" i="4"/>
  <c r="AC118" i="4"/>
  <c r="AC106" i="4"/>
  <c r="AC94" i="4"/>
  <c r="AC77" i="4"/>
  <c r="AC71" i="4"/>
  <c r="AC59" i="4"/>
  <c r="AC88" i="4"/>
  <c r="AC82" i="4"/>
  <c r="AC76" i="4"/>
  <c r="AC70" i="4"/>
  <c r="AC64" i="4"/>
  <c r="AC58" i="4"/>
  <c r="AC52" i="4"/>
  <c r="AC46" i="4"/>
  <c r="AC230" i="4"/>
  <c r="AC224" i="4"/>
  <c r="AC218" i="4"/>
  <c r="AC212" i="4"/>
  <c r="AC206" i="4"/>
  <c r="AC200" i="4"/>
  <c r="AC194" i="4"/>
  <c r="AC188" i="4"/>
  <c r="AC182" i="4"/>
  <c r="AC176" i="4"/>
  <c r="AC170" i="4"/>
  <c r="AC164" i="4"/>
  <c r="AC158" i="4"/>
  <c r="AC152" i="4"/>
  <c r="AC146" i="4"/>
  <c r="AC140" i="4"/>
  <c r="AC134" i="4"/>
  <c r="AC128" i="4"/>
  <c r="AC122" i="4"/>
  <c r="AC116" i="4"/>
  <c r="AC110" i="4"/>
  <c r="AC104" i="4"/>
  <c r="AC98" i="4"/>
  <c r="AC92" i="4"/>
  <c r="AC87" i="4"/>
  <c r="AC81" i="4"/>
  <c r="AC75" i="4"/>
  <c r="AC69" i="4"/>
  <c r="AC63" i="4"/>
  <c r="AC57" i="4"/>
  <c r="AC51" i="4"/>
  <c r="AC86" i="4"/>
  <c r="AC80" i="4"/>
  <c r="AC74" i="4"/>
  <c r="AC68" i="4"/>
  <c r="AC62" i="4"/>
  <c r="AC56" i="4"/>
  <c r="AC50" i="4"/>
  <c r="AC44" i="4"/>
  <c r="AC53" i="4"/>
  <c r="AC47" i="4"/>
  <c r="AC45" i="4"/>
  <c r="AC251" i="4"/>
  <c r="AC245" i="4"/>
  <c r="AC239" i="4"/>
  <c r="AC236" i="4"/>
  <c r="AC233" i="4"/>
  <c r="AC227" i="4"/>
  <c r="AC221" i="4"/>
  <c r="AC215" i="4"/>
  <c r="AC209" i="4"/>
  <c r="AC203" i="4"/>
  <c r="AC197" i="4"/>
  <c r="AC191" i="4"/>
  <c r="AC185" i="4"/>
  <c r="AC179" i="4"/>
  <c r="AC173" i="4"/>
  <c r="AC167" i="4"/>
  <c r="AC161" i="4"/>
  <c r="AC155" i="4"/>
  <c r="AC149" i="4"/>
  <c r="AC143" i="4"/>
  <c r="AC137" i="4"/>
  <c r="AC131" i="4"/>
  <c r="AC125" i="4"/>
  <c r="AC119" i="4"/>
  <c r="AC113" i="4"/>
  <c r="AC107" i="4"/>
  <c r="AC101" i="4"/>
  <c r="AC95" i="4"/>
  <c r="AC89" i="4"/>
  <c r="AC210" i="4"/>
  <c r="AC204" i="4"/>
  <c r="AC198" i="4"/>
  <c r="AC192" i="4"/>
  <c r="AC186" i="4"/>
  <c r="AC180" i="4"/>
  <c r="AC174" i="4"/>
  <c r="AC156" i="4"/>
  <c r="AC138" i="4"/>
  <c r="AC132" i="4"/>
  <c r="AC90" i="4"/>
  <c r="AC256" i="4"/>
  <c r="AC246" i="4"/>
  <c r="AC240" i="4"/>
  <c r="AC234" i="4"/>
  <c r="AC228" i="4"/>
  <c r="AC222" i="4"/>
  <c r="AC216" i="4"/>
  <c r="AC168" i="4"/>
  <c r="AC162" i="4"/>
  <c r="AC150" i="4"/>
  <c r="AC144" i="4"/>
  <c r="AC126" i="4"/>
  <c r="AC120" i="4"/>
  <c r="AC114" i="4"/>
  <c r="AC108" i="4"/>
  <c r="AC102" i="4"/>
  <c r="AC96" i="4"/>
  <c r="AC84" i="4"/>
  <c r="AC78" i="4"/>
  <c r="AC72" i="4"/>
  <c r="AC66" i="4"/>
  <c r="AC60" i="4"/>
  <c r="AC54" i="4"/>
  <c r="AC48" i="4"/>
  <c r="AC223" i="4"/>
  <c r="AC217" i="4"/>
  <c r="AC211" i="4"/>
  <c r="AC205" i="4"/>
  <c r="AC199" i="4"/>
  <c r="AC193" i="4"/>
  <c r="AC187" i="4"/>
  <c r="AC181" i="4"/>
  <c r="AC175" i="4"/>
  <c r="AC169" i="4"/>
  <c r="AC163" i="4"/>
  <c r="AC157" i="4"/>
  <c r="AC151" i="4"/>
  <c r="AC145" i="4"/>
  <c r="AC139" i="4"/>
  <c r="AC133" i="4"/>
  <c r="AC127" i="4"/>
  <c r="AC121" i="4"/>
  <c r="AC115" i="4"/>
  <c r="AC109" i="4"/>
  <c r="AC103" i="4"/>
  <c r="AC97" i="4"/>
  <c r="AC91" i="4"/>
  <c r="AC253" i="4"/>
  <c r="AC247" i="4"/>
  <c r="AC241" i="4"/>
  <c r="AC235" i="4"/>
  <c r="AC229" i="4"/>
  <c r="AC85" i="4"/>
  <c r="AC79" i="4"/>
  <c r="AC73" i="4"/>
  <c r="AC67" i="4"/>
  <c r="AC61" i="4"/>
  <c r="AC55" i="4"/>
  <c r="AC49" i="4"/>
  <c r="AC254" i="4"/>
  <c r="AC252" i="4"/>
  <c r="AC255" i="4"/>
  <c r="AC43" i="4"/>
  <c r="A22" i="3"/>
  <c r="A22" i="6" s="1"/>
  <c r="Q22" i="3"/>
  <c r="A10" i="3"/>
  <c r="A10" i="6" s="1"/>
  <c r="Q10" i="3"/>
  <c r="A18" i="3"/>
  <c r="A18" i="6" s="1"/>
  <c r="Q18" i="3"/>
  <c r="A12" i="3"/>
  <c r="A12" i="6" s="1"/>
  <c r="Q12" i="3"/>
  <c r="A23" i="3"/>
  <c r="A23" i="6" s="1"/>
  <c r="Q23" i="3"/>
  <c r="A17" i="3"/>
  <c r="A17" i="6" s="1"/>
  <c r="Q17" i="3"/>
  <c r="A11" i="3"/>
  <c r="A11" i="6" s="1"/>
  <c r="Q11" i="3"/>
  <c r="R16" i="6"/>
  <c r="Q16" i="3"/>
  <c r="Q13" i="3"/>
  <c r="Q20" i="3"/>
  <c r="Q25" i="3"/>
  <c r="Q24" i="3"/>
  <c r="B21" i="6"/>
  <c r="B14" i="6"/>
  <c r="F14" i="6" s="1"/>
  <c r="C22" i="6"/>
  <c r="C15" i="6"/>
  <c r="Q25" i="6"/>
  <c r="L25" i="6"/>
  <c r="P24" i="6"/>
  <c r="K24" i="6"/>
  <c r="O23" i="6"/>
  <c r="G22" i="6"/>
  <c r="I22" i="6" s="1"/>
  <c r="N21" i="6" a="1"/>
  <c r="N21" i="6" s="1"/>
  <c r="R20" i="6"/>
  <c r="M20" i="6" a="1"/>
  <c r="M20" i="6" s="1"/>
  <c r="Q19" i="6"/>
  <c r="L19" i="6"/>
  <c r="P18" i="6"/>
  <c r="K18" i="6"/>
  <c r="O17" i="6"/>
  <c r="G16" i="6"/>
  <c r="I16" i="6" s="1"/>
  <c r="N15" i="6" a="1"/>
  <c r="N15" i="6" s="1"/>
  <c r="R14" i="6"/>
  <c r="M14" i="6" a="1"/>
  <c r="M14" i="6" s="1"/>
  <c r="Q13" i="6"/>
  <c r="L13" i="6"/>
  <c r="P12" i="6"/>
  <c r="K12" i="6"/>
  <c r="O11" i="6"/>
  <c r="N10" i="6" a="1"/>
  <c r="N10" i="6" s="1"/>
  <c r="B20" i="6"/>
  <c r="F20" i="6" s="1"/>
  <c r="B13" i="6"/>
  <c r="C21" i="6"/>
  <c r="C14" i="6"/>
  <c r="P25" i="6"/>
  <c r="K25" i="6"/>
  <c r="O24" i="6"/>
  <c r="G23" i="6"/>
  <c r="I23" i="6" s="1"/>
  <c r="N22" i="6" a="1"/>
  <c r="N22" i="6" s="1"/>
  <c r="R21" i="6"/>
  <c r="M21" i="6" a="1"/>
  <c r="M21" i="6" s="1"/>
  <c r="Q20" i="6"/>
  <c r="L20" i="6"/>
  <c r="P19" i="6"/>
  <c r="K19" i="6"/>
  <c r="O18" i="6"/>
  <c r="G17" i="6"/>
  <c r="H17" i="6" s="1"/>
  <c r="N16" i="6" a="1"/>
  <c r="N16" i="6" s="1"/>
  <c r="R15" i="6"/>
  <c r="M15" i="6" a="1"/>
  <c r="M15" i="6" s="1"/>
  <c r="Q14" i="6"/>
  <c r="L14" i="6"/>
  <c r="P13" i="6"/>
  <c r="K13" i="6"/>
  <c r="O12" i="6"/>
  <c r="G11" i="6"/>
  <c r="M10" i="6" a="1"/>
  <c r="M10" i="6" s="1"/>
  <c r="B25" i="6"/>
  <c r="F25" i="6" s="1"/>
  <c r="B18" i="6"/>
  <c r="F18" i="6" s="1"/>
  <c r="B12" i="6"/>
  <c r="F12" i="6" s="1"/>
  <c r="C20" i="6"/>
  <c r="C13" i="6"/>
  <c r="O25" i="6"/>
  <c r="G24" i="6"/>
  <c r="H24" i="6" s="1"/>
  <c r="N23" i="6" a="1"/>
  <c r="N23" i="6" s="1"/>
  <c r="R22" i="6"/>
  <c r="M22" i="6" a="1"/>
  <c r="M22" i="6" s="1"/>
  <c r="Q21" i="6"/>
  <c r="L21" i="6"/>
  <c r="P20" i="6"/>
  <c r="K20" i="6"/>
  <c r="O19" i="6"/>
  <c r="G18" i="6"/>
  <c r="H18" i="6" s="1"/>
  <c r="N17" i="6" a="1"/>
  <c r="N17" i="6" s="1"/>
  <c r="M16" i="6" a="1"/>
  <c r="M16" i="6" s="1"/>
  <c r="Q15" i="6"/>
  <c r="L15" i="6"/>
  <c r="P14" i="6"/>
  <c r="K14" i="6"/>
  <c r="O13" i="6"/>
  <c r="G12" i="6"/>
  <c r="I12" i="6" s="1"/>
  <c r="N11" i="6" a="1"/>
  <c r="N11" i="6" s="1"/>
  <c r="R10" i="6"/>
  <c r="L10" i="6"/>
  <c r="B24" i="6"/>
  <c r="F24" i="6" s="1"/>
  <c r="B17" i="6"/>
  <c r="B11" i="6"/>
  <c r="F11" i="6" s="1"/>
  <c r="C25" i="6"/>
  <c r="C18" i="6"/>
  <c r="C12" i="6"/>
  <c r="G25" i="6"/>
  <c r="H25" i="6" s="1"/>
  <c r="N24" i="6" a="1"/>
  <c r="N24" i="6" s="1"/>
  <c r="R23" i="6"/>
  <c r="M23" i="6" a="1"/>
  <c r="M23" i="6" s="1"/>
  <c r="Q22" i="6"/>
  <c r="L22" i="6"/>
  <c r="P21" i="6"/>
  <c r="K21" i="6"/>
  <c r="O20" i="6"/>
  <c r="G19" i="6"/>
  <c r="H19" i="6" s="1"/>
  <c r="N18" i="6" a="1"/>
  <c r="N18" i="6" s="1"/>
  <c r="R17" i="6"/>
  <c r="M17" i="6" a="1"/>
  <c r="M17" i="6" s="1"/>
  <c r="Q16" i="6"/>
  <c r="AB16" i="6" s="1"/>
  <c r="L16" i="6"/>
  <c r="P15" i="6"/>
  <c r="K15" i="6"/>
  <c r="O14" i="6"/>
  <c r="G13" i="6"/>
  <c r="I13" i="6" s="1"/>
  <c r="N12" i="6" a="1"/>
  <c r="N12" i="6" s="1"/>
  <c r="R11" i="6"/>
  <c r="M11" i="6" a="1"/>
  <c r="M11" i="6" s="1"/>
  <c r="Q10" i="6"/>
  <c r="AB10" i="6" s="1"/>
  <c r="K10" i="6"/>
  <c r="B23" i="6"/>
  <c r="B16" i="6"/>
  <c r="F16" i="6" s="1"/>
  <c r="B10" i="6"/>
  <c r="F10" i="6" s="1"/>
  <c r="C24" i="6"/>
  <c r="C17" i="6"/>
  <c r="C11" i="6"/>
  <c r="N25" i="6" a="1"/>
  <c r="N25" i="6" s="1"/>
  <c r="R24" i="6"/>
  <c r="M24" i="6" a="1"/>
  <c r="M24" i="6" s="1"/>
  <c r="Q23" i="6"/>
  <c r="L23" i="6"/>
  <c r="P22" i="6"/>
  <c r="K22" i="6"/>
  <c r="O21" i="6"/>
  <c r="G20" i="6"/>
  <c r="H20" i="6" s="1"/>
  <c r="N19" i="6" a="1"/>
  <c r="N19" i="6" s="1"/>
  <c r="R18" i="6"/>
  <c r="M18" i="6" a="1"/>
  <c r="M18" i="6" s="1"/>
  <c r="Q17" i="6"/>
  <c r="L17" i="6"/>
  <c r="P16" i="6"/>
  <c r="K16" i="6"/>
  <c r="O15" i="6"/>
  <c r="G14" i="6"/>
  <c r="I14" i="6" s="1"/>
  <c r="N13" i="6" a="1"/>
  <c r="N13" i="6" s="1"/>
  <c r="R12" i="6"/>
  <c r="M12" i="6" a="1"/>
  <c r="M12" i="6" s="1"/>
  <c r="Q11" i="6"/>
  <c r="L11" i="6"/>
  <c r="P10" i="6"/>
  <c r="Q15" i="3"/>
  <c r="Q21" i="3"/>
  <c r="Q14" i="3"/>
  <c r="B22" i="6"/>
  <c r="F22" i="6" s="1"/>
  <c r="B15" i="6"/>
  <c r="C23" i="6"/>
  <c r="C16" i="6"/>
  <c r="C10" i="6"/>
  <c r="C4" i="6"/>
  <c r="R25" i="6"/>
  <c r="M25" i="6" a="1"/>
  <c r="M25" i="6" s="1"/>
  <c r="Q24" i="6"/>
  <c r="L24" i="6"/>
  <c r="P23" i="6"/>
  <c r="K23" i="6"/>
  <c r="O22" i="6"/>
  <c r="G21" i="6"/>
  <c r="I21" i="6" s="1"/>
  <c r="N20" i="6" a="1"/>
  <c r="N20" i="6" s="1"/>
  <c r="R19" i="6"/>
  <c r="M19" i="6" a="1"/>
  <c r="M19" i="6" s="1"/>
  <c r="Q18" i="6"/>
  <c r="L18" i="6"/>
  <c r="P17" i="6"/>
  <c r="K17" i="6"/>
  <c r="O16" i="6"/>
  <c r="G15" i="6"/>
  <c r="I15" i="6" s="1"/>
  <c r="N14" i="6" a="1"/>
  <c r="N14" i="6" s="1"/>
  <c r="R13" i="6"/>
  <c r="M13" i="6" a="1"/>
  <c r="M13" i="6" s="1"/>
  <c r="Q12" i="6"/>
  <c r="L12" i="6"/>
  <c r="P11" i="6"/>
  <c r="K11" i="6"/>
  <c r="O10" i="6"/>
  <c r="G10" i="6"/>
  <c r="J10" i="6" s="1"/>
  <c r="I24" i="6"/>
  <c r="H23" i="6"/>
  <c r="I19" i="6"/>
  <c r="H16" i="6"/>
  <c r="I11" i="6"/>
  <c r="C19" i="6"/>
  <c r="B19" i="6"/>
  <c r="F19" i="6" s="1"/>
  <c r="Q19" i="3"/>
  <c r="F32" i="6"/>
  <c r="F811" i="6"/>
  <c r="F793" i="6"/>
  <c r="F739" i="6"/>
  <c r="F775" i="6"/>
  <c r="F757" i="6"/>
  <c r="F703" i="6"/>
  <c r="F631" i="6"/>
  <c r="F577" i="6"/>
  <c r="F806" i="6"/>
  <c r="F788" i="6"/>
  <c r="F770" i="6"/>
  <c r="F752" i="6"/>
  <c r="F734" i="6"/>
  <c r="F716" i="6"/>
  <c r="F698" i="6"/>
  <c r="F680" i="6"/>
  <c r="F662" i="6"/>
  <c r="F644" i="6"/>
  <c r="F626" i="6"/>
  <c r="F608" i="6"/>
  <c r="F590" i="6"/>
  <c r="F572" i="6"/>
  <c r="F554" i="6"/>
  <c r="F536" i="6"/>
  <c r="F518" i="6"/>
  <c r="F497" i="6"/>
  <c r="F471" i="6"/>
  <c r="F398" i="6"/>
  <c r="F685" i="6"/>
  <c r="F559" i="6"/>
  <c r="F541" i="6"/>
  <c r="F416" i="6"/>
  <c r="F805" i="6"/>
  <c r="F787" i="6"/>
  <c r="F769" i="6"/>
  <c r="F751" i="6"/>
  <c r="F733" i="6"/>
  <c r="F715" i="6"/>
  <c r="F697" i="6"/>
  <c r="F679" i="6"/>
  <c r="F661" i="6"/>
  <c r="F643" i="6"/>
  <c r="F625" i="6"/>
  <c r="F607" i="6"/>
  <c r="F589" i="6"/>
  <c r="F571" i="6"/>
  <c r="F553" i="6"/>
  <c r="F535" i="6"/>
  <c r="F517" i="6"/>
  <c r="F496" i="6"/>
  <c r="F470" i="6"/>
  <c r="F800" i="6"/>
  <c r="F782" i="6"/>
  <c r="F764" i="6"/>
  <c r="F746" i="6"/>
  <c r="F728" i="6"/>
  <c r="F710" i="6"/>
  <c r="F692" i="6"/>
  <c r="F674" i="6"/>
  <c r="F656" i="6"/>
  <c r="F638" i="6"/>
  <c r="F620" i="6"/>
  <c r="F602" i="6"/>
  <c r="F584" i="6"/>
  <c r="F566" i="6"/>
  <c r="F548" i="6"/>
  <c r="F530" i="6"/>
  <c r="F512" i="6"/>
  <c r="F489" i="6"/>
  <c r="F460" i="6"/>
  <c r="F721" i="6"/>
  <c r="F649" i="6"/>
  <c r="F595" i="6"/>
  <c r="F503" i="6"/>
  <c r="F799" i="6"/>
  <c r="F781" i="6"/>
  <c r="F763" i="6"/>
  <c r="F745" i="6"/>
  <c r="F727" i="6"/>
  <c r="F709" i="6"/>
  <c r="F691" i="6"/>
  <c r="F673" i="6"/>
  <c r="F655" i="6"/>
  <c r="F637" i="6"/>
  <c r="F619" i="6"/>
  <c r="F601" i="6"/>
  <c r="F583" i="6"/>
  <c r="F565" i="6"/>
  <c r="F547" i="6"/>
  <c r="F529" i="6"/>
  <c r="F510" i="6"/>
  <c r="F488" i="6"/>
  <c r="F448" i="6"/>
  <c r="F667" i="6"/>
  <c r="F613" i="6"/>
  <c r="F523" i="6"/>
  <c r="F478" i="6"/>
  <c r="F812" i="6"/>
  <c r="F794" i="6"/>
  <c r="F776" i="6"/>
  <c r="F758" i="6"/>
  <c r="F740" i="6"/>
  <c r="F722" i="6"/>
  <c r="F704" i="6"/>
  <c r="F686" i="6"/>
  <c r="F668" i="6"/>
  <c r="F650" i="6"/>
  <c r="F632" i="6"/>
  <c r="F614" i="6"/>
  <c r="F596" i="6"/>
  <c r="F578" i="6"/>
  <c r="F560" i="6"/>
  <c r="F542" i="6"/>
  <c r="F524" i="6"/>
  <c r="F504" i="6"/>
  <c r="F479" i="6"/>
  <c r="F434" i="6"/>
  <c r="F810" i="6"/>
  <c r="F804" i="6"/>
  <c r="F798" i="6"/>
  <c r="F792" i="6"/>
  <c r="F786" i="6"/>
  <c r="F780" i="6"/>
  <c r="F774" i="6"/>
  <c r="F768" i="6"/>
  <c r="F762" i="6"/>
  <c r="F756" i="6"/>
  <c r="F750" i="6"/>
  <c r="F744" i="6"/>
  <c r="F738" i="6"/>
  <c r="F732" i="6"/>
  <c r="F726" i="6"/>
  <c r="F720" i="6"/>
  <c r="F714" i="6"/>
  <c r="F708" i="6"/>
  <c r="F702" i="6"/>
  <c r="F696" i="6"/>
  <c r="F690" i="6"/>
  <c r="F684" i="6"/>
  <c r="F678" i="6"/>
  <c r="F672" i="6"/>
  <c r="F666" i="6"/>
  <c r="F660" i="6"/>
  <c r="F654" i="6"/>
  <c r="F648" i="6"/>
  <c r="F642" i="6"/>
  <c r="F636" i="6"/>
  <c r="F630" i="6"/>
  <c r="F624" i="6"/>
  <c r="F618" i="6"/>
  <c r="F612" i="6"/>
  <c r="F606" i="6"/>
  <c r="F600" i="6"/>
  <c r="F594" i="6"/>
  <c r="F588" i="6"/>
  <c r="F582" i="6"/>
  <c r="F576" i="6"/>
  <c r="F570" i="6"/>
  <c r="F564" i="6"/>
  <c r="F558" i="6"/>
  <c r="F552" i="6"/>
  <c r="F546" i="6"/>
  <c r="F540" i="6"/>
  <c r="F534" i="6"/>
  <c r="F528" i="6"/>
  <c r="F522" i="6"/>
  <c r="F516" i="6"/>
  <c r="F509" i="6"/>
  <c r="F502" i="6"/>
  <c r="F495" i="6"/>
  <c r="F485" i="6"/>
  <c r="F477" i="6"/>
  <c r="F467" i="6"/>
  <c r="F458" i="6"/>
  <c r="F446" i="6"/>
  <c r="F428" i="6"/>
  <c r="F410" i="6"/>
  <c r="F392" i="6"/>
  <c r="F15" i="6"/>
  <c r="F21" i="6"/>
  <c r="F388" i="6"/>
  <c r="F394" i="6"/>
  <c r="F400" i="6"/>
  <c r="F406" i="6"/>
  <c r="F412" i="6"/>
  <c r="F418" i="6"/>
  <c r="F424" i="6"/>
  <c r="F430" i="6"/>
  <c r="F436" i="6"/>
  <c r="F442" i="6"/>
  <c r="F28" i="6"/>
  <c r="F34" i="6"/>
  <c r="F389" i="6"/>
  <c r="F395" i="6"/>
  <c r="F401" i="6"/>
  <c r="F407" i="6"/>
  <c r="F413" i="6"/>
  <c r="F419" i="6"/>
  <c r="F425" i="6"/>
  <c r="F431" i="6"/>
  <c r="F437" i="6"/>
  <c r="F443" i="6"/>
  <c r="F449" i="6"/>
  <c r="F455" i="6"/>
  <c r="F461" i="6"/>
  <c r="F17" i="6"/>
  <c r="F23" i="6"/>
  <c r="F29" i="6"/>
  <c r="F390" i="6"/>
  <c r="F396" i="6"/>
  <c r="F402" i="6"/>
  <c r="F408" i="6"/>
  <c r="F414" i="6"/>
  <c r="F420" i="6"/>
  <c r="F426" i="6"/>
  <c r="F432" i="6"/>
  <c r="F438" i="6"/>
  <c r="F444" i="6"/>
  <c r="F450" i="6"/>
  <c r="F456" i="6"/>
  <c r="F462" i="6"/>
  <c r="F468" i="6"/>
  <c r="F474" i="6"/>
  <c r="F480" i="6"/>
  <c r="F486" i="6"/>
  <c r="F492" i="6"/>
  <c r="F30" i="6"/>
  <c r="F391" i="6"/>
  <c r="F397" i="6"/>
  <c r="F403" i="6"/>
  <c r="F409" i="6"/>
  <c r="F415" i="6"/>
  <c r="F421" i="6"/>
  <c r="F427" i="6"/>
  <c r="F433" i="6"/>
  <c r="F439" i="6"/>
  <c r="F445" i="6"/>
  <c r="F451" i="6"/>
  <c r="F457" i="6"/>
  <c r="F463" i="6"/>
  <c r="F469" i="6"/>
  <c r="F475" i="6"/>
  <c r="F481" i="6"/>
  <c r="F487" i="6"/>
  <c r="F493" i="6"/>
  <c r="F499" i="6"/>
  <c r="F505" i="6"/>
  <c r="F511" i="6"/>
  <c r="F13" i="6"/>
  <c r="F31" i="6"/>
  <c r="F809" i="6"/>
  <c r="F803" i="6"/>
  <c r="F797" i="6"/>
  <c r="F791" i="6"/>
  <c r="F785" i="6"/>
  <c r="F779" i="6"/>
  <c r="F773" i="6"/>
  <c r="F767" i="6"/>
  <c r="F761" i="6"/>
  <c r="F755" i="6"/>
  <c r="F749" i="6"/>
  <c r="F743" i="6"/>
  <c r="F737" i="6"/>
  <c r="F731" i="6"/>
  <c r="F725" i="6"/>
  <c r="F719" i="6"/>
  <c r="F713" i="6"/>
  <c r="F707" i="6"/>
  <c r="F701" i="6"/>
  <c r="F695" i="6"/>
  <c r="F689" i="6"/>
  <c r="F683" i="6"/>
  <c r="F677" i="6"/>
  <c r="F671" i="6"/>
  <c r="F665" i="6"/>
  <c r="F659" i="6"/>
  <c r="F653" i="6"/>
  <c r="F647" i="6"/>
  <c r="F641" i="6"/>
  <c r="F635" i="6"/>
  <c r="F629" i="6"/>
  <c r="F623" i="6"/>
  <c r="F617" i="6"/>
  <c r="F611" i="6"/>
  <c r="F605" i="6"/>
  <c r="F599" i="6"/>
  <c r="F593" i="6"/>
  <c r="F587" i="6"/>
  <c r="F581" i="6"/>
  <c r="F575" i="6"/>
  <c r="F569" i="6"/>
  <c r="F563" i="6"/>
  <c r="F557" i="6"/>
  <c r="F551" i="6"/>
  <c r="F545" i="6"/>
  <c r="F539" i="6"/>
  <c r="F533" i="6"/>
  <c r="F527" i="6"/>
  <c r="F521" i="6"/>
  <c r="F515" i="6"/>
  <c r="F508" i="6"/>
  <c r="F501" i="6"/>
  <c r="F494" i="6"/>
  <c r="F484" i="6"/>
  <c r="F476" i="6"/>
  <c r="F466" i="6"/>
  <c r="F454" i="6"/>
  <c r="F441" i="6"/>
  <c r="F423" i="6"/>
  <c r="F405" i="6"/>
  <c r="F459" i="6"/>
  <c r="F429" i="6"/>
  <c r="F393" i="6"/>
  <c r="F808" i="6"/>
  <c r="F802" i="6"/>
  <c r="F796" i="6"/>
  <c r="F790" i="6"/>
  <c r="F784" i="6"/>
  <c r="F778" i="6"/>
  <c r="F772" i="6"/>
  <c r="F766" i="6"/>
  <c r="F760" i="6"/>
  <c r="F754" i="6"/>
  <c r="F748" i="6"/>
  <c r="F742" i="6"/>
  <c r="F736" i="6"/>
  <c r="F730" i="6"/>
  <c r="F724" i="6"/>
  <c r="F718" i="6"/>
  <c r="F712" i="6"/>
  <c r="F706" i="6"/>
  <c r="F700" i="6"/>
  <c r="F694" i="6"/>
  <c r="F688" i="6"/>
  <c r="F682" i="6"/>
  <c r="F676" i="6"/>
  <c r="F670" i="6"/>
  <c r="F664" i="6"/>
  <c r="F658" i="6"/>
  <c r="F652" i="6"/>
  <c r="F646" i="6"/>
  <c r="F640" i="6"/>
  <c r="F634" i="6"/>
  <c r="F628" i="6"/>
  <c r="F622" i="6"/>
  <c r="F616" i="6"/>
  <c r="F610" i="6"/>
  <c r="F604" i="6"/>
  <c r="F598" i="6"/>
  <c r="F592" i="6"/>
  <c r="F586" i="6"/>
  <c r="F580" i="6"/>
  <c r="F574" i="6"/>
  <c r="F568" i="6"/>
  <c r="F562" i="6"/>
  <c r="F556" i="6"/>
  <c r="F550" i="6"/>
  <c r="F544" i="6"/>
  <c r="F538" i="6"/>
  <c r="F532" i="6"/>
  <c r="F526" i="6"/>
  <c r="F520" i="6"/>
  <c r="F514" i="6"/>
  <c r="F507" i="6"/>
  <c r="F500" i="6"/>
  <c r="F491" i="6"/>
  <c r="F483" i="6"/>
  <c r="F473" i="6"/>
  <c r="F465" i="6"/>
  <c r="F453" i="6"/>
  <c r="F440" i="6"/>
  <c r="F422" i="6"/>
  <c r="F404" i="6"/>
  <c r="F447" i="6"/>
  <c r="F411" i="6"/>
  <c r="F807" i="6"/>
  <c r="F801" i="6"/>
  <c r="F795" i="6"/>
  <c r="F789" i="6"/>
  <c r="F783" i="6"/>
  <c r="F777" i="6"/>
  <c r="F771" i="6"/>
  <c r="F765" i="6"/>
  <c r="F759" i="6"/>
  <c r="F753" i="6"/>
  <c r="F747" i="6"/>
  <c r="F741" i="6"/>
  <c r="F735" i="6"/>
  <c r="F729" i="6"/>
  <c r="F723" i="6"/>
  <c r="F717" i="6"/>
  <c r="F711" i="6"/>
  <c r="F705" i="6"/>
  <c r="F699" i="6"/>
  <c r="F693" i="6"/>
  <c r="F687" i="6"/>
  <c r="F681" i="6"/>
  <c r="F675" i="6"/>
  <c r="F669" i="6"/>
  <c r="F663" i="6"/>
  <c r="F657" i="6"/>
  <c r="F651" i="6"/>
  <c r="F645" i="6"/>
  <c r="F639" i="6"/>
  <c r="F633" i="6"/>
  <c r="F627" i="6"/>
  <c r="F621" i="6"/>
  <c r="F615" i="6"/>
  <c r="F609" i="6"/>
  <c r="F603" i="6"/>
  <c r="F597" i="6"/>
  <c r="F591" i="6"/>
  <c r="F585" i="6"/>
  <c r="F579" i="6"/>
  <c r="F573" i="6"/>
  <c r="F567" i="6"/>
  <c r="F561" i="6"/>
  <c r="F555" i="6"/>
  <c r="F549" i="6"/>
  <c r="F543" i="6"/>
  <c r="F537" i="6"/>
  <c r="F531" i="6"/>
  <c r="F525" i="6"/>
  <c r="F519" i="6"/>
  <c r="F513" i="6"/>
  <c r="F506" i="6"/>
  <c r="F498" i="6"/>
  <c r="F490" i="6"/>
  <c r="F482" i="6"/>
  <c r="F472" i="6"/>
  <c r="F464" i="6"/>
  <c r="F452" i="6"/>
  <c r="F435" i="6"/>
  <c r="F417" i="6"/>
  <c r="F399" i="6"/>
  <c r="A3" i="3"/>
  <c r="A3" i="6" s="1"/>
  <c r="R3" i="6"/>
  <c r="N3" i="6" a="1"/>
  <c r="N3" i="6" s="1"/>
  <c r="K3" i="6"/>
  <c r="Q3" i="6"/>
  <c r="P3" i="6"/>
  <c r="A7" i="3"/>
  <c r="A7" i="6" s="1"/>
  <c r="Q7" i="6"/>
  <c r="P7" i="6"/>
  <c r="L7" i="6"/>
  <c r="Q7" i="3"/>
  <c r="R7" i="6"/>
  <c r="G7" i="6"/>
  <c r="J7" i="6" s="1"/>
  <c r="K7" i="6"/>
  <c r="B7" i="6"/>
  <c r="F7" i="6" s="1"/>
  <c r="N7" i="6" a="1"/>
  <c r="N7" i="6" s="1"/>
  <c r="O7" i="6"/>
  <c r="M7" i="6" a="1"/>
  <c r="M7" i="6" s="1"/>
  <c r="A6" i="3"/>
  <c r="A6" i="6" s="1"/>
  <c r="Q6" i="3"/>
  <c r="R6" i="6"/>
  <c r="A5" i="3"/>
  <c r="A5" i="6" s="1"/>
  <c r="G5" i="6"/>
  <c r="H5" i="6" s="1"/>
  <c r="N5" i="6" a="1"/>
  <c r="N5" i="6" s="1"/>
  <c r="Q5" i="6"/>
  <c r="Q5" i="3"/>
  <c r="R5" i="6"/>
  <c r="P5" i="6"/>
  <c r="L5" i="6"/>
  <c r="A9" i="3"/>
  <c r="A9" i="6" s="1"/>
  <c r="R9" i="6"/>
  <c r="A2" i="3"/>
  <c r="A2" i="6" s="1"/>
  <c r="N2" i="6" a="1"/>
  <c r="N2" i="6" s="1"/>
  <c r="Q2" i="3"/>
  <c r="R2" i="6"/>
  <c r="A8" i="3"/>
  <c r="A8" i="6" s="1"/>
  <c r="N8" i="6" a="1"/>
  <c r="N8" i="6" s="1"/>
  <c r="G8" i="6"/>
  <c r="H8" i="6" s="1"/>
  <c r="M8" i="6" a="1"/>
  <c r="M8" i="6" s="1"/>
  <c r="K8" i="6"/>
  <c r="B8" i="6"/>
  <c r="F8" i="6" s="1"/>
  <c r="Q8" i="6"/>
  <c r="P8" i="6"/>
  <c r="L8" i="6"/>
  <c r="O8" i="6"/>
  <c r="B2" i="4" a="1"/>
  <c r="Q6" i="6"/>
  <c r="N6" i="6" a="1"/>
  <c r="N6" i="6" s="1"/>
  <c r="M5" i="6" a="1"/>
  <c r="M5" i="6" s="1"/>
  <c r="Q9" i="6"/>
  <c r="AB9" i="6" s="1"/>
  <c r="R8" i="6"/>
  <c r="Q8" i="3"/>
  <c r="N4" i="6" a="1"/>
  <c r="N4" i="6" s="1"/>
  <c r="B5" i="6"/>
  <c r="F5" i="6" s="1"/>
  <c r="K5" i="6"/>
  <c r="O5" i="6"/>
  <c r="Q9" i="3"/>
  <c r="Q3" i="3"/>
  <c r="G4" i="6"/>
  <c r="I4" i="6" s="1"/>
  <c r="M3" i="6" a="1"/>
  <c r="M3" i="6" s="1"/>
  <c r="Q4" i="3"/>
  <c r="G3" i="6"/>
  <c r="B3" i="6"/>
  <c r="F3" i="6" s="1"/>
  <c r="L3" i="6"/>
  <c r="O3" i="6"/>
  <c r="Q4" i="6"/>
  <c r="R4" i="6"/>
  <c r="M2" i="6" a="1"/>
  <c r="M2" i="6" s="1"/>
  <c r="L2" i="6"/>
  <c r="G2" i="6"/>
  <c r="H2" i="6" s="1"/>
  <c r="K2" i="6"/>
  <c r="B2" i="6"/>
  <c r="F2" i="6" s="1"/>
  <c r="O2" i="6"/>
  <c r="Q2" i="6"/>
  <c r="P2" i="6"/>
  <c r="O9" i="6"/>
  <c r="L9" i="6"/>
  <c r="N9" i="6" a="1"/>
  <c r="N9" i="6" s="1"/>
  <c r="P9" i="6"/>
  <c r="M9" i="6" a="1"/>
  <c r="M9" i="6" s="1"/>
  <c r="K9" i="6"/>
  <c r="B9" i="6"/>
  <c r="F9" i="6" s="1"/>
  <c r="G9" i="6"/>
  <c r="O4" i="6"/>
  <c r="K4" i="6"/>
  <c r="B4" i="6"/>
  <c r="F4" i="6" s="1"/>
  <c r="L4" i="6"/>
  <c r="M4" i="6" a="1"/>
  <c r="M4" i="6" s="1"/>
  <c r="P4" i="6"/>
  <c r="P6" i="6"/>
  <c r="L6" i="6"/>
  <c r="O6" i="6"/>
  <c r="K6" i="6"/>
  <c r="B6" i="6"/>
  <c r="F6" i="6" s="1"/>
  <c r="G6" i="6"/>
  <c r="M6" i="6" a="1"/>
  <c r="M6" i="6" s="1"/>
  <c r="H21" i="6" l="1"/>
  <c r="H22" i="6"/>
  <c r="AB11" i="6"/>
  <c r="I31" i="6"/>
  <c r="AB14" i="6"/>
  <c r="I26" i="6"/>
  <c r="AB34" i="6"/>
  <c r="F35" i="6"/>
  <c r="E39" i="6"/>
  <c r="J39" i="6"/>
  <c r="F41" i="6"/>
  <c r="J43" i="6"/>
  <c r="E43" i="6"/>
  <c r="F44" i="6"/>
  <c r="E26" i="6"/>
  <c r="J26" i="6"/>
  <c r="AB22" i="6"/>
  <c r="I20" i="6"/>
  <c r="J28" i="6"/>
  <c r="J44" i="6"/>
  <c r="E44" i="6"/>
  <c r="E36" i="6"/>
  <c r="J36" i="6"/>
  <c r="E41" i="6"/>
  <c r="J41" i="6"/>
  <c r="E28" i="6"/>
  <c r="E40" i="6"/>
  <c r="J40" i="6"/>
  <c r="F37" i="6"/>
  <c r="S42" i="6"/>
  <c r="I28" i="6"/>
  <c r="S38" i="6"/>
  <c r="E37" i="6"/>
  <c r="J37" i="6"/>
  <c r="F38" i="6"/>
  <c r="AB38" i="6"/>
  <c r="H33" i="6"/>
  <c r="I33" i="6"/>
  <c r="H29" i="6"/>
  <c r="E29" i="6"/>
  <c r="AB31" i="6"/>
  <c r="S31" i="6"/>
  <c r="S28" i="6"/>
  <c r="AB28" i="6"/>
  <c r="AB21" i="6"/>
  <c r="AB26" i="6"/>
  <c r="S26" i="6"/>
  <c r="S29" i="6"/>
  <c r="AB29" i="6"/>
  <c r="X65" i="1" s="1"/>
  <c r="AB32" i="6"/>
  <c r="S32" i="6"/>
  <c r="H31" i="6"/>
  <c r="J31" i="6"/>
  <c r="AB27" i="6"/>
  <c r="X63" i="1" s="1"/>
  <c r="S27" i="6"/>
  <c r="H32" i="6"/>
  <c r="I32" i="6"/>
  <c r="J32" i="6"/>
  <c r="H30" i="6"/>
  <c r="E30" i="6"/>
  <c r="J30" i="6"/>
  <c r="H27" i="6"/>
  <c r="I27" i="6"/>
  <c r="S33" i="6"/>
  <c r="AB33" i="6"/>
  <c r="S30" i="6"/>
  <c r="H15" i="6"/>
  <c r="AB17" i="6"/>
  <c r="I18" i="6"/>
  <c r="H14" i="6"/>
  <c r="S13" i="4"/>
  <c r="S19" i="4"/>
  <c r="S25" i="4"/>
  <c r="Q9" i="4"/>
  <c r="Q15" i="4"/>
  <c r="Q21" i="4"/>
  <c r="S14" i="4"/>
  <c r="S20" i="4"/>
  <c r="Q10" i="4"/>
  <c r="Q16" i="4"/>
  <c r="Q22" i="4"/>
  <c r="S9" i="4"/>
  <c r="S15" i="4"/>
  <c r="S21" i="4"/>
  <c r="Q11" i="4"/>
  <c r="Q17" i="4"/>
  <c r="Q23" i="4"/>
  <c r="S10" i="4"/>
  <c r="S16" i="4"/>
  <c r="S22" i="4"/>
  <c r="Q12" i="4"/>
  <c r="Q18" i="4"/>
  <c r="Q24" i="4"/>
  <c r="S11" i="4"/>
  <c r="S17" i="4"/>
  <c r="S23" i="4"/>
  <c r="Q13" i="4"/>
  <c r="Q19" i="4"/>
  <c r="Q25" i="4"/>
  <c r="S12" i="4"/>
  <c r="S18" i="4"/>
  <c r="S24" i="4"/>
  <c r="Q14" i="4"/>
  <c r="Q20" i="4"/>
  <c r="S7" i="4"/>
  <c r="Q8" i="4"/>
  <c r="Q7" i="4"/>
  <c r="S8" i="4"/>
  <c r="Q3" i="4"/>
  <c r="S3" i="4"/>
  <c r="Q4" i="4"/>
  <c r="S6" i="4"/>
  <c r="S4" i="4"/>
  <c r="Q5" i="4"/>
  <c r="S5" i="4"/>
  <c r="Q6" i="4"/>
  <c r="AB6" i="6"/>
  <c r="AB7" i="6"/>
  <c r="I17" i="6"/>
  <c r="X40" i="1"/>
  <c r="AB5" i="6"/>
  <c r="AB2" i="6"/>
  <c r="X21" i="1" s="1"/>
  <c r="AB8" i="6"/>
  <c r="S23" i="6"/>
  <c r="AB23" i="6"/>
  <c r="X99" i="1"/>
  <c r="X87" i="1"/>
  <c r="X45" i="1"/>
  <c r="X29" i="1"/>
  <c r="X101" i="1"/>
  <c r="X137" i="1"/>
  <c r="X6" i="1"/>
  <c r="X42" i="1"/>
  <c r="X78" i="1"/>
  <c r="X114" i="1"/>
  <c r="X150" i="1"/>
  <c r="X25" i="1"/>
  <c r="X133" i="1"/>
  <c r="X142" i="1"/>
  <c r="X44" i="1"/>
  <c r="X92" i="1"/>
  <c r="X57" i="1"/>
  <c r="X129" i="1"/>
  <c r="X165" i="1"/>
  <c r="AB18" i="6"/>
  <c r="AB20" i="6"/>
  <c r="AB13" i="6"/>
  <c r="AB25" i="6"/>
  <c r="X61" i="1" s="1"/>
  <c r="X69" i="1"/>
  <c r="X94" i="1"/>
  <c r="X97" i="1"/>
  <c r="X35" i="1"/>
  <c r="X71" i="1"/>
  <c r="X107" i="1"/>
  <c r="X143" i="1"/>
  <c r="X48" i="1"/>
  <c r="X84" i="1"/>
  <c r="X120" i="1"/>
  <c r="X156" i="1"/>
  <c r="X136" i="1"/>
  <c r="X67" i="1"/>
  <c r="X103" i="1"/>
  <c r="X139" i="1"/>
  <c r="X166" i="1"/>
  <c r="X50" i="1"/>
  <c r="X98" i="1"/>
  <c r="X106" i="1"/>
  <c r="X135" i="1"/>
  <c r="X93" i="1"/>
  <c r="X16" i="1"/>
  <c r="X81" i="1"/>
  <c r="X5" i="1"/>
  <c r="X41" i="1"/>
  <c r="X77" i="1"/>
  <c r="X113" i="1"/>
  <c r="X149" i="1"/>
  <c r="X18" i="1"/>
  <c r="X54" i="1"/>
  <c r="X126" i="1"/>
  <c r="X162" i="1"/>
  <c r="X160" i="1"/>
  <c r="X37" i="1"/>
  <c r="X73" i="1"/>
  <c r="X109" i="1"/>
  <c r="X145" i="1"/>
  <c r="X8" i="1"/>
  <c r="X62" i="1"/>
  <c r="X124" i="1"/>
  <c r="X105" i="1"/>
  <c r="X141" i="1"/>
  <c r="X56" i="1"/>
  <c r="X110" i="1"/>
  <c r="X146" i="1"/>
  <c r="X140" i="1"/>
  <c r="X10" i="1"/>
  <c r="X64" i="1"/>
  <c r="X116" i="1"/>
  <c r="X152" i="1"/>
  <c r="X20" i="1"/>
  <c r="X74" i="1"/>
  <c r="X122" i="1"/>
  <c r="X158" i="1"/>
  <c r="X28" i="1"/>
  <c r="X82" i="1"/>
  <c r="X128" i="1"/>
  <c r="X164" i="1"/>
  <c r="X104" i="1"/>
  <c r="X38" i="1"/>
  <c r="X90" i="1"/>
  <c r="X134" i="1"/>
  <c r="X46" i="1"/>
  <c r="AB3" i="6"/>
  <c r="AB4" i="6"/>
  <c r="I25" i="6"/>
  <c r="I61" i="1" s="1"/>
  <c r="AB15" i="6"/>
  <c r="X51" i="1" s="1"/>
  <c r="X100" i="1"/>
  <c r="X34" i="1"/>
  <c r="X88" i="1"/>
  <c r="X11" i="1"/>
  <c r="X47" i="1"/>
  <c r="X83" i="1"/>
  <c r="X119" i="1"/>
  <c r="X155" i="1"/>
  <c r="X112" i="1"/>
  <c r="X24" i="1"/>
  <c r="X60" i="1"/>
  <c r="X132" i="1"/>
  <c r="X7" i="1"/>
  <c r="X43" i="1"/>
  <c r="X79" i="1"/>
  <c r="X115" i="1"/>
  <c r="X151" i="1"/>
  <c r="X76" i="1"/>
  <c r="X14" i="1"/>
  <c r="X68" i="1"/>
  <c r="X3" i="1"/>
  <c r="X39" i="1"/>
  <c r="X75" i="1"/>
  <c r="X111" i="1"/>
  <c r="X147" i="1"/>
  <c r="X154" i="1"/>
  <c r="AB12" i="6"/>
  <c r="X12" i="1" s="1"/>
  <c r="AB24" i="6"/>
  <c r="AB19" i="6"/>
  <c r="X55" i="1" s="1"/>
  <c r="X15" i="1"/>
  <c r="X2" i="1"/>
  <c r="X52" i="1"/>
  <c r="X9" i="1"/>
  <c r="X96" i="1"/>
  <c r="X17" i="1"/>
  <c r="X53" i="1"/>
  <c r="X89" i="1"/>
  <c r="X125" i="1"/>
  <c r="X161" i="1"/>
  <c r="X130" i="1"/>
  <c r="X30" i="1"/>
  <c r="X66" i="1"/>
  <c r="X102" i="1"/>
  <c r="X138" i="1"/>
  <c r="X13" i="1"/>
  <c r="X49" i="1"/>
  <c r="X85" i="1"/>
  <c r="X121" i="1"/>
  <c r="X157" i="1"/>
  <c r="X26" i="1"/>
  <c r="X80" i="1"/>
  <c r="X22" i="1"/>
  <c r="X117" i="1"/>
  <c r="X153" i="1"/>
  <c r="X33" i="1"/>
  <c r="X70" i="1"/>
  <c r="X27" i="1"/>
  <c r="X23" i="1"/>
  <c r="X59" i="1"/>
  <c r="X95" i="1"/>
  <c r="X131" i="1"/>
  <c r="X4" i="1"/>
  <c r="X148" i="1"/>
  <c r="X36" i="1"/>
  <c r="X72" i="1"/>
  <c r="X108" i="1"/>
  <c r="X144" i="1"/>
  <c r="X19" i="1"/>
  <c r="X91" i="1"/>
  <c r="X127" i="1"/>
  <c r="X163" i="1"/>
  <c r="X118" i="1"/>
  <c r="X32" i="1"/>
  <c r="X86" i="1"/>
  <c r="X58" i="1"/>
  <c r="X123" i="1"/>
  <c r="X159" i="1"/>
  <c r="S12" i="6"/>
  <c r="S17" i="6"/>
  <c r="J8" i="6"/>
  <c r="E7" i="6"/>
  <c r="E8" i="6"/>
  <c r="H7" i="6"/>
  <c r="S7" i="6"/>
  <c r="S11" i="6"/>
  <c r="S18" i="6"/>
  <c r="J20" i="6"/>
  <c r="E20" i="6"/>
  <c r="E18" i="6"/>
  <c r="J18" i="6"/>
  <c r="J15" i="6"/>
  <c r="E15" i="6"/>
  <c r="S10" i="6"/>
  <c r="S22" i="6"/>
  <c r="S20" i="6"/>
  <c r="S13" i="6"/>
  <c r="S25" i="6"/>
  <c r="I5" i="6"/>
  <c r="I24" i="1" s="1"/>
  <c r="E5" i="6"/>
  <c r="J5" i="6"/>
  <c r="E19" i="6"/>
  <c r="J19" i="6"/>
  <c r="S15" i="6"/>
  <c r="E17" i="6"/>
  <c r="J17" i="6"/>
  <c r="E22" i="6"/>
  <c r="J22" i="6"/>
  <c r="S24" i="6"/>
  <c r="J14" i="6"/>
  <c r="E14" i="6"/>
  <c r="H12" i="6"/>
  <c r="E12" i="6"/>
  <c r="J12" i="6"/>
  <c r="E24" i="6"/>
  <c r="J24" i="6"/>
  <c r="I10" i="6"/>
  <c r="I29" i="1" s="1"/>
  <c r="E10" i="6"/>
  <c r="H10" i="6"/>
  <c r="J21" i="6"/>
  <c r="E21" i="6"/>
  <c r="S16" i="6"/>
  <c r="S14" i="6"/>
  <c r="S19" i="6"/>
  <c r="H13" i="6"/>
  <c r="E13" i="6"/>
  <c r="J13" i="6"/>
  <c r="E25" i="6"/>
  <c r="J25" i="6"/>
  <c r="S21" i="6"/>
  <c r="H11" i="6"/>
  <c r="E11" i="6"/>
  <c r="J11" i="6"/>
  <c r="E23" i="6"/>
  <c r="J23" i="6"/>
  <c r="E16" i="6"/>
  <c r="J16" i="6"/>
  <c r="L10" i="4"/>
  <c r="N10" i="4" s="1"/>
  <c r="L6" i="4"/>
  <c r="N6" i="4" s="1"/>
  <c r="I8" i="6"/>
  <c r="I27" i="1" s="1"/>
  <c r="I7" i="6"/>
  <c r="I26" i="1" s="1"/>
  <c r="H4" i="6"/>
  <c r="S3" i="6"/>
  <c r="S8" i="6"/>
  <c r="S5" i="6"/>
  <c r="L3" i="4"/>
  <c r="N3" i="4" s="1"/>
  <c r="A4" i="4"/>
  <c r="L5" i="4"/>
  <c r="N5" i="4" s="1"/>
  <c r="M6" i="4"/>
  <c r="O6" i="4" s="1" a="1"/>
  <c r="O6" i="4" s="1"/>
  <c r="A7" i="4"/>
  <c r="T7" i="4" a="1"/>
  <c r="T7" i="4" s="1"/>
  <c r="AC7" i="4" s="1"/>
  <c r="M9" i="4"/>
  <c r="O9" i="4" s="1" a="1"/>
  <c r="O9" i="4" s="1"/>
  <c r="A10" i="4"/>
  <c r="G11" i="4"/>
  <c r="H11" i="4" s="1"/>
  <c r="F11" i="4" s="1"/>
  <c r="L12" i="4"/>
  <c r="N12" i="4" s="1"/>
  <c r="M3" i="4"/>
  <c r="O3" i="4" s="1" a="1"/>
  <c r="O3" i="4" s="1"/>
  <c r="C4" i="4"/>
  <c r="D4" i="4" s="1"/>
  <c r="M5" i="4"/>
  <c r="O5" i="4" s="1" a="1"/>
  <c r="O5" i="4" s="1"/>
  <c r="A6" i="4"/>
  <c r="C7" i="4"/>
  <c r="D7" i="4" s="1"/>
  <c r="G8" i="4"/>
  <c r="H8" i="4" s="1"/>
  <c r="F8" i="4" s="1"/>
  <c r="C10" i="4"/>
  <c r="D10" i="4" s="1"/>
  <c r="L11" i="4"/>
  <c r="N11" i="4" s="1"/>
  <c r="M12" i="4"/>
  <c r="O12" i="4" s="1" a="1"/>
  <c r="O12" i="4" s="1"/>
  <c r="G13" i="4"/>
  <c r="H13" i="4" s="1"/>
  <c r="F13" i="4" s="1"/>
  <c r="T13" i="4" a="1"/>
  <c r="T13" i="4" s="1"/>
  <c r="A15" i="4"/>
  <c r="T15" i="4" a="1"/>
  <c r="T15" i="4" s="1"/>
  <c r="C16" i="4"/>
  <c r="D16" i="4" s="1"/>
  <c r="L17" i="4"/>
  <c r="N17" i="4" s="1"/>
  <c r="L18" i="4"/>
  <c r="N18" i="4" s="1"/>
  <c r="M19" i="4"/>
  <c r="O19" i="4" s="1" a="1"/>
  <c r="O19" i="4" s="1"/>
  <c r="L20" i="4"/>
  <c r="N20" i="4" s="1"/>
  <c r="L21" i="4"/>
  <c r="N21" i="4" s="1"/>
  <c r="M22" i="4"/>
  <c r="O22" i="4" s="1" a="1"/>
  <c r="O22" i="4" s="1"/>
  <c r="A23" i="4"/>
  <c r="A24" i="4"/>
  <c r="M25" i="4"/>
  <c r="O25" i="4" s="1" a="1"/>
  <c r="O25" i="4" s="1"/>
  <c r="A26" i="4"/>
  <c r="M26" i="4"/>
  <c r="O26" i="4" s="1" a="1"/>
  <c r="O26" i="4" s="1"/>
  <c r="A27" i="4"/>
  <c r="T27" i="4" a="1"/>
  <c r="T27" i="4" s="1"/>
  <c r="AC27" i="4" s="1"/>
  <c r="C28" i="4"/>
  <c r="D28" i="4" s="1"/>
  <c r="T3" i="4" a="1"/>
  <c r="T3" i="4" s="1"/>
  <c r="G4" i="4"/>
  <c r="H4" i="4" s="1"/>
  <c r="F4" i="4" s="1"/>
  <c r="C6" i="4"/>
  <c r="D6" i="4" s="1"/>
  <c r="T6" i="4" a="1"/>
  <c r="T6" i="4" s="1"/>
  <c r="AC6" i="4" s="1"/>
  <c r="G7" i="4"/>
  <c r="H7" i="4" s="1"/>
  <c r="F7" i="4" s="1"/>
  <c r="L8" i="4"/>
  <c r="N8" i="4" s="1"/>
  <c r="A9" i="4"/>
  <c r="T9" i="4" a="1"/>
  <c r="T9" i="4" s="1"/>
  <c r="G10" i="4"/>
  <c r="H10" i="4" s="1"/>
  <c r="F10" i="4" s="1"/>
  <c r="M11" i="4"/>
  <c r="O11" i="4" s="1" a="1"/>
  <c r="O11" i="4" s="1"/>
  <c r="L13" i="4"/>
  <c r="N13" i="4" s="1"/>
  <c r="G14" i="4"/>
  <c r="H14" i="4" s="1"/>
  <c r="F14" i="4" s="1"/>
  <c r="A3" i="4"/>
  <c r="L4" i="4"/>
  <c r="N4" i="4" s="1"/>
  <c r="A5" i="4"/>
  <c r="T5" i="4" a="1"/>
  <c r="T5" i="4" s="1"/>
  <c r="AC5" i="4" s="1"/>
  <c r="L7" i="4"/>
  <c r="N7" i="4" s="1"/>
  <c r="M8" i="4"/>
  <c r="O8" i="4" s="1" a="1"/>
  <c r="O8" i="4" s="1"/>
  <c r="C9" i="4"/>
  <c r="D9" i="4" s="1"/>
  <c r="A11" i="4"/>
  <c r="A12" i="4"/>
  <c r="M13" i="4"/>
  <c r="O13" i="4" s="1" a="1"/>
  <c r="O13" i="4" s="1"/>
  <c r="T14" i="4" a="1"/>
  <c r="T14" i="4" s="1"/>
  <c r="G15" i="4"/>
  <c r="H15" i="4" s="1"/>
  <c r="F15" i="4" s="1"/>
  <c r="G16" i="4"/>
  <c r="H16" i="4" s="1"/>
  <c r="F16" i="4" s="1"/>
  <c r="T16" i="4" a="1"/>
  <c r="T16" i="4" s="1"/>
  <c r="C17" i="4"/>
  <c r="D17" i="4" s="1"/>
  <c r="A18" i="4"/>
  <c r="A19" i="4"/>
  <c r="A22" i="4"/>
  <c r="T22" i="4" a="1"/>
  <c r="T22" i="4" s="1"/>
  <c r="T23" i="4" a="1"/>
  <c r="T23" i="4" s="1"/>
  <c r="AC23" i="4" s="1"/>
  <c r="G24" i="4"/>
  <c r="H24" i="4" s="1"/>
  <c r="F24" i="4" s="1"/>
  <c r="T24" i="4" a="1"/>
  <c r="T24" i="4" s="1"/>
  <c r="C25" i="4"/>
  <c r="D25" i="4" s="1"/>
  <c r="T25" i="4" a="1"/>
  <c r="T25" i="4" s="1"/>
  <c r="T26" i="4" a="1"/>
  <c r="T26" i="4" s="1"/>
  <c r="AC26" i="4" s="1"/>
  <c r="G27" i="4"/>
  <c r="H27" i="4" s="1"/>
  <c r="F27" i="4" s="1"/>
  <c r="G28" i="4"/>
  <c r="H28" i="4" s="1"/>
  <c r="F28" i="4" s="1"/>
  <c r="T28" i="4" a="1"/>
  <c r="T28" i="4" s="1"/>
  <c r="AC28" i="4" s="1"/>
  <c r="C29" i="4"/>
  <c r="D29" i="4" s="1"/>
  <c r="A30" i="4"/>
  <c r="A31" i="4"/>
  <c r="C3" i="4"/>
  <c r="D3" i="4" s="1"/>
  <c r="M4" i="4"/>
  <c r="O4" i="4" s="1" a="1"/>
  <c r="O4" i="4" s="1"/>
  <c r="C5" i="4"/>
  <c r="D5" i="4" s="1"/>
  <c r="G6" i="4"/>
  <c r="H6" i="4" s="1"/>
  <c r="F6" i="4" s="1"/>
  <c r="M7" i="4"/>
  <c r="O7" i="4" s="1" a="1"/>
  <c r="O7" i="4" s="1"/>
  <c r="A8" i="4"/>
  <c r="T8" i="4" a="1"/>
  <c r="T8" i="4" s="1"/>
  <c r="G9" i="4"/>
  <c r="H9" i="4" s="1"/>
  <c r="F9" i="4" s="1"/>
  <c r="M10" i="4"/>
  <c r="O10" i="4" s="1" a="1"/>
  <c r="O10" i="4" s="1"/>
  <c r="C11" i="4"/>
  <c r="D11" i="4" s="1"/>
  <c r="C12" i="4"/>
  <c r="D12" i="4" s="1"/>
  <c r="A13" i="4"/>
  <c r="L14" i="4"/>
  <c r="N14" i="4" s="1"/>
  <c r="L15" i="4"/>
  <c r="N15" i="4" s="1"/>
  <c r="C18" i="4"/>
  <c r="D18" i="4" s="1"/>
  <c r="C19" i="4"/>
  <c r="D19" i="4" s="1"/>
  <c r="A20" i="4"/>
  <c r="G3" i="4"/>
  <c r="H3" i="4" s="1"/>
  <c r="F3" i="4" s="1"/>
  <c r="T4" i="4" a="1"/>
  <c r="T4" i="4" s="1"/>
  <c r="AC4" i="4" s="1"/>
  <c r="G5" i="4"/>
  <c r="H5" i="4" s="1"/>
  <c r="F5" i="4" s="1"/>
  <c r="C8" i="4"/>
  <c r="D8" i="4" s="1"/>
  <c r="L9" i="4"/>
  <c r="N9" i="4" s="1"/>
  <c r="T10" i="4" a="1"/>
  <c r="T10" i="4" s="1"/>
  <c r="T11" i="4" a="1"/>
  <c r="T11" i="4" s="1"/>
  <c r="G12" i="4"/>
  <c r="H12" i="4" s="1"/>
  <c r="F12" i="4" s="1"/>
  <c r="T12" i="4" a="1"/>
  <c r="T12" i="4" s="1"/>
  <c r="AC12" i="4" s="1"/>
  <c r="C13" i="4"/>
  <c r="D13" i="4" s="1"/>
  <c r="A14" i="4"/>
  <c r="M14" i="4"/>
  <c r="O14" i="4" s="1" a="1"/>
  <c r="O14" i="4" s="1"/>
  <c r="M15" i="4"/>
  <c r="O15" i="4" s="1" a="1"/>
  <c r="O15" i="4" s="1"/>
  <c r="L16" i="4"/>
  <c r="N16" i="4" s="1"/>
  <c r="G17" i="4"/>
  <c r="H17" i="4" s="1"/>
  <c r="F17" i="4" s="1"/>
  <c r="T17" i="4" a="1"/>
  <c r="T17" i="4" s="1"/>
  <c r="AC17" i="4" s="1"/>
  <c r="T18" i="4" a="1"/>
  <c r="T18" i="4" s="1"/>
  <c r="G19" i="4"/>
  <c r="H19" i="4" s="1"/>
  <c r="F19" i="4" s="1"/>
  <c r="T19" i="4" a="1"/>
  <c r="T19" i="4" s="1"/>
  <c r="C20" i="4"/>
  <c r="D20" i="4" s="1"/>
  <c r="C21" i="4"/>
  <c r="D21" i="4" s="1"/>
  <c r="T21" i="4" a="1"/>
  <c r="T21" i="4" s="1"/>
  <c r="G22" i="4"/>
  <c r="H22" i="4" s="1"/>
  <c r="F22" i="4" s="1"/>
  <c r="L23" i="4"/>
  <c r="N23" i="4" s="1"/>
  <c r="M24" i="4"/>
  <c r="O24" i="4" s="1" a="1"/>
  <c r="O24" i="4" s="1"/>
  <c r="G25" i="4"/>
  <c r="H25" i="4" s="1"/>
  <c r="F25" i="4" s="1"/>
  <c r="M27" i="4"/>
  <c r="O27" i="4" s="1" a="1"/>
  <c r="O27" i="4" s="1"/>
  <c r="L28" i="4"/>
  <c r="N28" i="4" s="1"/>
  <c r="G29" i="4"/>
  <c r="H29" i="4" s="1"/>
  <c r="F29" i="4" s="1"/>
  <c r="T29" i="4" a="1"/>
  <c r="T29" i="4" s="1"/>
  <c r="T30" i="4" a="1"/>
  <c r="T30" i="4" s="1"/>
  <c r="G31" i="4"/>
  <c r="H31" i="4" s="1"/>
  <c r="F31" i="4" s="1"/>
  <c r="T31" i="4" a="1"/>
  <c r="T31" i="4" s="1"/>
  <c r="AC31" i="4" s="1"/>
  <c r="C32" i="4"/>
  <c r="D32" i="4" s="1"/>
  <c r="C33" i="4"/>
  <c r="D33" i="4" s="1"/>
  <c r="T33" i="4" a="1"/>
  <c r="T33" i="4" s="1"/>
  <c r="G34" i="4"/>
  <c r="H34" i="4" s="1"/>
  <c r="F34" i="4" s="1"/>
  <c r="L35" i="4"/>
  <c r="N35" i="4" s="1"/>
  <c r="M39" i="4"/>
  <c r="O39" i="4" s="1" a="1"/>
  <c r="O39" i="4" s="1"/>
  <c r="C42" i="4"/>
  <c r="D42" i="4" s="1"/>
  <c r="C14" i="4"/>
  <c r="D14" i="4" s="1"/>
  <c r="A16" i="4"/>
  <c r="G20" i="4"/>
  <c r="H20" i="4" s="1"/>
  <c r="F20" i="4" s="1"/>
  <c r="M21" i="4"/>
  <c r="O21" i="4" s="1" a="1"/>
  <c r="O21" i="4" s="1"/>
  <c r="A32" i="4"/>
  <c r="T32" i="4" a="1"/>
  <c r="T32" i="4" s="1"/>
  <c r="L33" i="4"/>
  <c r="N33" i="4" s="1"/>
  <c r="T34" i="4" a="1"/>
  <c r="T34" i="4" s="1"/>
  <c r="G35" i="4"/>
  <c r="H35" i="4" s="1"/>
  <c r="F35" i="4" s="1"/>
  <c r="A36" i="4"/>
  <c r="C37" i="4"/>
  <c r="D37" i="4" s="1"/>
  <c r="T37" i="4" a="1"/>
  <c r="T37" i="4" s="1"/>
  <c r="G38" i="4"/>
  <c r="H38" i="4" s="1"/>
  <c r="F38" i="4" s="1"/>
  <c r="C40" i="4"/>
  <c r="D40" i="4" s="1"/>
  <c r="C41" i="4"/>
  <c r="D41" i="4" s="1"/>
  <c r="T41" i="4" a="1"/>
  <c r="T41" i="4" s="1"/>
  <c r="G42" i="4"/>
  <c r="H42" i="4" s="1"/>
  <c r="F42" i="4" s="1"/>
  <c r="M17" i="4"/>
  <c r="O17" i="4" s="1" a="1"/>
  <c r="O17" i="4" s="1"/>
  <c r="M20" i="4"/>
  <c r="O20" i="4" s="1" a="1"/>
  <c r="O20" i="4" s="1"/>
  <c r="L29" i="4"/>
  <c r="N29" i="4" s="1"/>
  <c r="C30" i="4"/>
  <c r="D30" i="4" s="1"/>
  <c r="G32" i="4"/>
  <c r="H32" i="4" s="1"/>
  <c r="F32" i="4" s="1"/>
  <c r="M33" i="4"/>
  <c r="O33" i="4" s="1" a="1"/>
  <c r="O33" i="4" s="1"/>
  <c r="A34" i="4"/>
  <c r="M35" i="4"/>
  <c r="O35" i="4" s="1" a="1"/>
  <c r="O35" i="4" s="1"/>
  <c r="C36" i="4"/>
  <c r="D36" i="4" s="1"/>
  <c r="T36" i="4" a="1"/>
  <c r="T36" i="4" s="1"/>
  <c r="AC36" i="4" s="1"/>
  <c r="L38" i="4"/>
  <c r="N38" i="4" s="1"/>
  <c r="A39" i="4"/>
  <c r="T39" i="4" a="1"/>
  <c r="T39" i="4" s="1"/>
  <c r="AC39" i="4" s="1"/>
  <c r="T40" i="4" a="1"/>
  <c r="T40" i="4" s="1"/>
  <c r="G41" i="4"/>
  <c r="H41" i="4" s="1"/>
  <c r="F41" i="4" s="1"/>
  <c r="L42" i="4"/>
  <c r="N42" i="4" s="1"/>
  <c r="P42" i="4" s="1"/>
  <c r="M16" i="4"/>
  <c r="O16" i="4" s="1" a="1"/>
  <c r="O16" i="4" s="1"/>
  <c r="L19" i="4"/>
  <c r="N19" i="4" s="1"/>
  <c r="T20" i="4" a="1"/>
  <c r="T20" i="4" s="1"/>
  <c r="A28" i="4"/>
  <c r="M29" i="4"/>
  <c r="O29" i="4" s="1" a="1"/>
  <c r="O29" i="4" s="1"/>
  <c r="G30" i="4"/>
  <c r="H30" i="4" s="1"/>
  <c r="F30" i="4" s="1"/>
  <c r="L32" i="4"/>
  <c r="N32" i="4" s="1"/>
  <c r="C34" i="4"/>
  <c r="D34" i="4" s="1"/>
  <c r="G36" i="4"/>
  <c r="H36" i="4" s="1"/>
  <c r="F36" i="4" s="1"/>
  <c r="G37" i="4"/>
  <c r="H37" i="4" s="1"/>
  <c r="F37" i="4" s="1"/>
  <c r="M38" i="4"/>
  <c r="O38" i="4" s="1" a="1"/>
  <c r="O38" i="4" s="1"/>
  <c r="C39" i="4"/>
  <c r="D39" i="4" s="1"/>
  <c r="G40" i="4"/>
  <c r="H40" i="4" s="1"/>
  <c r="F40" i="4" s="1"/>
  <c r="M42" i="4"/>
  <c r="O42" i="4" s="1" a="1"/>
  <c r="O42" i="4" s="1"/>
  <c r="C15" i="4"/>
  <c r="D15" i="4" s="1"/>
  <c r="C23" i="4"/>
  <c r="D23" i="4" s="1"/>
  <c r="C24" i="4"/>
  <c r="D24" i="4" s="1"/>
  <c r="A25" i="4"/>
  <c r="C26" i="4"/>
  <c r="D26" i="4" s="1"/>
  <c r="C27" i="4"/>
  <c r="D27" i="4" s="1"/>
  <c r="L30" i="4"/>
  <c r="N30" i="4" s="1"/>
  <c r="C31" i="4"/>
  <c r="D31" i="4" s="1"/>
  <c r="M32" i="4"/>
  <c r="O32" i="4" s="1" a="1"/>
  <c r="O32" i="4" s="1"/>
  <c r="L34" i="4"/>
  <c r="N34" i="4" s="1"/>
  <c r="A35" i="4"/>
  <c r="T35" i="4" a="1"/>
  <c r="T35" i="4" s="1"/>
  <c r="L36" i="4"/>
  <c r="N36" i="4" s="1"/>
  <c r="L37" i="4"/>
  <c r="N37" i="4" s="1"/>
  <c r="A38" i="4"/>
  <c r="G39" i="4"/>
  <c r="H39" i="4" s="1"/>
  <c r="F39" i="4" s="1"/>
  <c r="L40" i="4"/>
  <c r="N40" i="4" s="1"/>
  <c r="L41" i="4"/>
  <c r="N41" i="4" s="1"/>
  <c r="G18" i="4"/>
  <c r="H18" i="4" s="1"/>
  <c r="F18" i="4" s="1"/>
  <c r="A21" i="4"/>
  <c r="C22" i="4"/>
  <c r="D22" i="4" s="1"/>
  <c r="G23" i="4"/>
  <c r="H23" i="4" s="1"/>
  <c r="F23" i="4" s="1"/>
  <c r="L24" i="4"/>
  <c r="N24" i="4" s="1"/>
  <c r="G26" i="4"/>
  <c r="H26" i="4" s="1"/>
  <c r="F26" i="4" s="1"/>
  <c r="L27" i="4"/>
  <c r="N27" i="4" s="1"/>
  <c r="P27" i="4" s="1"/>
  <c r="A29" i="4"/>
  <c r="M30" i="4"/>
  <c r="O30" i="4" s="1" a="1"/>
  <c r="O30" i="4" s="1"/>
  <c r="L31" i="4"/>
  <c r="N31" i="4" s="1"/>
  <c r="A33" i="4"/>
  <c r="M34" i="4"/>
  <c r="O34" i="4" s="1" a="1"/>
  <c r="O34" i="4" s="1"/>
  <c r="C35" i="4"/>
  <c r="D35" i="4" s="1"/>
  <c r="M36" i="4"/>
  <c r="O36" i="4" s="1" a="1"/>
  <c r="O36" i="4" s="1"/>
  <c r="M37" i="4"/>
  <c r="O37" i="4" s="1" a="1"/>
  <c r="O37" i="4" s="1"/>
  <c r="C38" i="4"/>
  <c r="D38" i="4" s="1"/>
  <c r="T38" i="4" a="1"/>
  <c r="T38" i="4" s="1"/>
  <c r="AC38" i="4" s="1"/>
  <c r="L39" i="4"/>
  <c r="N39" i="4" s="1"/>
  <c r="M40" i="4"/>
  <c r="O40" i="4" s="1" a="1"/>
  <c r="O40" i="4" s="1"/>
  <c r="M41" i="4"/>
  <c r="O41" i="4" s="1" a="1"/>
  <c r="O41" i="4" s="1"/>
  <c r="A42" i="4"/>
  <c r="T42" i="4" a="1"/>
  <c r="T42" i="4" s="1"/>
  <c r="A17" i="4"/>
  <c r="M18" i="4"/>
  <c r="O18" i="4" s="1" a="1"/>
  <c r="O18" i="4" s="1"/>
  <c r="G21" i="4"/>
  <c r="H21" i="4" s="1"/>
  <c r="F21" i="4" s="1"/>
  <c r="L22" i="4"/>
  <c r="N22" i="4" s="1"/>
  <c r="P22" i="4" s="1"/>
  <c r="M23" i="4"/>
  <c r="O23" i="4" s="1" a="1"/>
  <c r="O23" i="4" s="1"/>
  <c r="L25" i="4"/>
  <c r="N25" i="4" s="1"/>
  <c r="P25" i="4" s="1"/>
  <c r="L26" i="4"/>
  <c r="N26" i="4" s="1"/>
  <c r="M28" i="4"/>
  <c r="O28" i="4" s="1" a="1"/>
  <c r="O28" i="4" s="1"/>
  <c r="M31" i="4"/>
  <c r="O31" i="4" s="1" a="1"/>
  <c r="O31" i="4" s="1"/>
  <c r="G33" i="4"/>
  <c r="H33" i="4" s="1"/>
  <c r="F33" i="4" s="1"/>
  <c r="A37" i="4"/>
  <c r="A40" i="4"/>
  <c r="A41" i="4"/>
  <c r="B2" i="4"/>
  <c r="U2" i="4" s="1" a="1"/>
  <c r="U2" i="4" s="1"/>
  <c r="I7" i="1"/>
  <c r="I4" i="1"/>
  <c r="I17" i="1"/>
  <c r="I23" i="1"/>
  <c r="I35" i="1"/>
  <c r="I41" i="1"/>
  <c r="I47" i="1"/>
  <c r="I53" i="1"/>
  <c r="I59" i="1"/>
  <c r="I65" i="1"/>
  <c r="I71" i="1"/>
  <c r="I77" i="1"/>
  <c r="I83" i="1"/>
  <c r="I89" i="1"/>
  <c r="I95" i="1"/>
  <c r="I101" i="1"/>
  <c r="I107" i="1"/>
  <c r="I113" i="1"/>
  <c r="I119" i="1"/>
  <c r="I125" i="1"/>
  <c r="I131" i="1"/>
  <c r="I137" i="1"/>
  <c r="I143" i="1"/>
  <c r="I149" i="1"/>
  <c r="I155" i="1"/>
  <c r="I161" i="1"/>
  <c r="I167" i="1"/>
  <c r="I46" i="1"/>
  <c r="I64" i="1"/>
  <c r="I82" i="1"/>
  <c r="I100" i="1"/>
  <c r="I124" i="1"/>
  <c r="I142" i="1"/>
  <c r="I160" i="1"/>
  <c r="I12" i="1"/>
  <c r="I18" i="1"/>
  <c r="I30" i="1"/>
  <c r="I36" i="1"/>
  <c r="I42" i="1"/>
  <c r="I48" i="1"/>
  <c r="I54" i="1"/>
  <c r="I60" i="1"/>
  <c r="I66" i="1"/>
  <c r="I72" i="1"/>
  <c r="I78" i="1"/>
  <c r="I84" i="1"/>
  <c r="I90" i="1"/>
  <c r="I96" i="1"/>
  <c r="I102" i="1"/>
  <c r="I108" i="1"/>
  <c r="I114" i="1"/>
  <c r="I120" i="1"/>
  <c r="I126" i="1"/>
  <c r="I132" i="1"/>
  <c r="I138" i="1"/>
  <c r="I144" i="1"/>
  <c r="I150" i="1"/>
  <c r="I156" i="1"/>
  <c r="I162" i="1"/>
  <c r="I168" i="1"/>
  <c r="I16" i="1"/>
  <c r="I34" i="1"/>
  <c r="I52" i="1"/>
  <c r="I70" i="1"/>
  <c r="I88" i="1"/>
  <c r="I106" i="1"/>
  <c r="I130" i="1"/>
  <c r="I148" i="1"/>
  <c r="I166" i="1"/>
  <c r="I13" i="1"/>
  <c r="I19" i="1"/>
  <c r="I31" i="1"/>
  <c r="I37" i="1"/>
  <c r="I43" i="1"/>
  <c r="I49" i="1"/>
  <c r="I55" i="1"/>
  <c r="I67" i="1"/>
  <c r="I73" i="1"/>
  <c r="I79" i="1"/>
  <c r="I85" i="1"/>
  <c r="I91" i="1"/>
  <c r="I97" i="1"/>
  <c r="I103" i="1"/>
  <c r="I109" i="1"/>
  <c r="I115" i="1"/>
  <c r="I121" i="1"/>
  <c r="I127" i="1"/>
  <c r="I133" i="1"/>
  <c r="I139" i="1"/>
  <c r="I145" i="1"/>
  <c r="I151" i="1"/>
  <c r="I157" i="1"/>
  <c r="I163" i="1"/>
  <c r="I169" i="1"/>
  <c r="I40" i="1"/>
  <c r="I58" i="1"/>
  <c r="I76" i="1"/>
  <c r="I94" i="1"/>
  <c r="I118" i="1"/>
  <c r="I136" i="1"/>
  <c r="I154" i="1"/>
  <c r="I14" i="1"/>
  <c r="I20" i="1"/>
  <c r="I32" i="1"/>
  <c r="I38" i="1"/>
  <c r="I44" i="1"/>
  <c r="I50" i="1"/>
  <c r="I56" i="1"/>
  <c r="I62" i="1"/>
  <c r="I68" i="1"/>
  <c r="I74" i="1"/>
  <c r="I80" i="1"/>
  <c r="I86" i="1"/>
  <c r="I92" i="1"/>
  <c r="I98" i="1"/>
  <c r="I104" i="1"/>
  <c r="I110" i="1"/>
  <c r="I116" i="1"/>
  <c r="I122" i="1"/>
  <c r="I128" i="1"/>
  <c r="I134" i="1"/>
  <c r="I140" i="1"/>
  <c r="I146" i="1"/>
  <c r="I152" i="1"/>
  <c r="I158" i="1"/>
  <c r="I164" i="1"/>
  <c r="I170" i="1"/>
  <c r="I112" i="1"/>
  <c r="I15" i="1"/>
  <c r="I33" i="1"/>
  <c r="I39" i="1"/>
  <c r="I45" i="1"/>
  <c r="I51" i="1"/>
  <c r="I57" i="1"/>
  <c r="I63" i="1"/>
  <c r="I69" i="1"/>
  <c r="I75" i="1"/>
  <c r="I87" i="1"/>
  <c r="I93" i="1"/>
  <c r="I99" i="1"/>
  <c r="I105" i="1"/>
  <c r="I111" i="1"/>
  <c r="I117" i="1"/>
  <c r="I123" i="1"/>
  <c r="I129" i="1"/>
  <c r="I135" i="1"/>
  <c r="I141" i="1"/>
  <c r="I147" i="1"/>
  <c r="I153" i="1"/>
  <c r="I159" i="1"/>
  <c r="I165" i="1"/>
  <c r="S4" i="6"/>
  <c r="S9" i="6"/>
  <c r="A49" i="8"/>
  <c r="B49" i="8" s="1"/>
  <c r="C49" i="8" s="1"/>
  <c r="A53" i="8"/>
  <c r="B53" i="8" s="1"/>
  <c r="C53" i="8" s="1"/>
  <c r="A57" i="8"/>
  <c r="B57" i="8" s="1"/>
  <c r="C57" i="8" s="1"/>
  <c r="A61" i="8"/>
  <c r="B61" i="8" s="1"/>
  <c r="C61" i="8" s="1"/>
  <c r="A65" i="8"/>
  <c r="B65" i="8" s="1"/>
  <c r="C65" i="8" s="1"/>
  <c r="A69" i="8"/>
  <c r="B69" i="8" s="1"/>
  <c r="C69" i="8" s="1"/>
  <c r="A73" i="8"/>
  <c r="B73" i="8" s="1"/>
  <c r="C73" i="8" s="1"/>
  <c r="A77" i="8"/>
  <c r="B77" i="8" s="1"/>
  <c r="C77" i="8" s="1"/>
  <c r="A81" i="8"/>
  <c r="B81" i="8" s="1"/>
  <c r="C81" i="8" s="1"/>
  <c r="A85" i="8"/>
  <c r="B85" i="8" s="1"/>
  <c r="C85" i="8" s="1"/>
  <c r="A89" i="8"/>
  <c r="B89" i="8" s="1"/>
  <c r="C89" i="8" s="1"/>
  <c r="A102" i="8"/>
  <c r="B102" i="8" s="1"/>
  <c r="C102" i="8" s="1"/>
  <c r="A4" i="8"/>
  <c r="B4" i="8" s="1"/>
  <c r="C4" i="8" s="1"/>
  <c r="A7" i="8"/>
  <c r="B7" i="8" s="1"/>
  <c r="C7" i="8" s="1"/>
  <c r="A10" i="8"/>
  <c r="B10" i="8" s="1"/>
  <c r="C10" i="8" s="1"/>
  <c r="A13" i="8"/>
  <c r="B13" i="8" s="1"/>
  <c r="C13" i="8" s="1"/>
  <c r="A96" i="8"/>
  <c r="B96" i="8" s="1"/>
  <c r="C96" i="8" s="1"/>
  <c r="A99" i="8"/>
  <c r="B99" i="8" s="1"/>
  <c r="C99" i="8" s="1"/>
  <c r="A103" i="8"/>
  <c r="B103" i="8" s="1"/>
  <c r="C103" i="8" s="1"/>
  <c r="A51" i="8"/>
  <c r="B51" i="8" s="1"/>
  <c r="C51" i="8" s="1"/>
  <c r="A55" i="8"/>
  <c r="B55" i="8" s="1"/>
  <c r="C55" i="8" s="1"/>
  <c r="A59" i="8"/>
  <c r="B59" i="8" s="1"/>
  <c r="C59" i="8" s="1"/>
  <c r="A63" i="8"/>
  <c r="B63" i="8" s="1"/>
  <c r="C63" i="8" s="1"/>
  <c r="A67" i="8"/>
  <c r="B67" i="8" s="1"/>
  <c r="C67" i="8" s="1"/>
  <c r="A71" i="8"/>
  <c r="B71" i="8" s="1"/>
  <c r="C71" i="8" s="1"/>
  <c r="A75" i="8"/>
  <c r="B75" i="8" s="1"/>
  <c r="C75" i="8" s="1"/>
  <c r="A79" i="8"/>
  <c r="B79" i="8" s="1"/>
  <c r="C79" i="8" s="1"/>
  <c r="A83" i="8"/>
  <c r="B83" i="8" s="1"/>
  <c r="C83" i="8" s="1"/>
  <c r="A87" i="8"/>
  <c r="B87" i="8" s="1"/>
  <c r="C87" i="8" s="1"/>
  <c r="A91" i="8"/>
  <c r="B91" i="8" s="1"/>
  <c r="C91" i="8" s="1"/>
  <c r="A100" i="8"/>
  <c r="B100" i="8" s="1"/>
  <c r="C100" i="8" s="1"/>
  <c r="A104" i="8"/>
  <c r="B104" i="8" s="1"/>
  <c r="C104" i="8" s="1"/>
  <c r="A50" i="8"/>
  <c r="B50" i="8" s="1"/>
  <c r="C50" i="8" s="1"/>
  <c r="A58" i="8"/>
  <c r="B58" i="8" s="1"/>
  <c r="C58" i="8" s="1"/>
  <c r="A66" i="8"/>
  <c r="B66" i="8" s="1"/>
  <c r="C66" i="8" s="1"/>
  <c r="A74" i="8"/>
  <c r="B74" i="8" s="1"/>
  <c r="C74" i="8" s="1"/>
  <c r="A82" i="8"/>
  <c r="B82" i="8" s="1"/>
  <c r="C82" i="8" s="1"/>
  <c r="A90" i="8"/>
  <c r="B90" i="8" s="1"/>
  <c r="C90" i="8" s="1"/>
  <c r="A97" i="8"/>
  <c r="B97" i="8" s="1"/>
  <c r="C97" i="8" s="1"/>
  <c r="A8" i="8"/>
  <c r="B8" i="8" s="1"/>
  <c r="C8" i="8" s="1"/>
  <c r="A14" i="8"/>
  <c r="B14" i="8" s="1"/>
  <c r="C14" i="8" s="1"/>
  <c r="A70" i="8"/>
  <c r="B70" i="8" s="1"/>
  <c r="C70" i="8" s="1"/>
  <c r="A21" i="8"/>
  <c r="B21" i="8" s="1"/>
  <c r="C21" i="8" s="1"/>
  <c r="A27" i="8"/>
  <c r="B27" i="8" s="1"/>
  <c r="C27" i="8" s="1"/>
  <c r="A36" i="8"/>
  <c r="B36" i="8" s="1"/>
  <c r="C36" i="8" s="1"/>
  <c r="A42" i="8"/>
  <c r="B42" i="8" s="1"/>
  <c r="C42" i="8" s="1"/>
  <c r="A98" i="8"/>
  <c r="B98" i="8" s="1"/>
  <c r="C98" i="8" s="1"/>
  <c r="A3" i="8"/>
  <c r="B3" i="8" s="1"/>
  <c r="C3" i="8" s="1"/>
  <c r="A9" i="8"/>
  <c r="B9" i="8" s="1"/>
  <c r="C9" i="8" s="1"/>
  <c r="A15" i="8"/>
  <c r="B15" i="8" s="1"/>
  <c r="C15" i="8" s="1"/>
  <c r="A19" i="8"/>
  <c r="B19" i="8" s="1"/>
  <c r="C19" i="8" s="1"/>
  <c r="A23" i="8"/>
  <c r="B23" i="8" s="1"/>
  <c r="C23" i="8" s="1"/>
  <c r="A26" i="8"/>
  <c r="B26" i="8" s="1"/>
  <c r="C26" i="8" s="1"/>
  <c r="A29" i="8"/>
  <c r="B29" i="8" s="1"/>
  <c r="C29" i="8" s="1"/>
  <c r="A32" i="8"/>
  <c r="B32" i="8" s="1"/>
  <c r="C32" i="8" s="1"/>
  <c r="A35" i="8"/>
  <c r="B35" i="8" s="1"/>
  <c r="C35" i="8" s="1"/>
  <c r="A38" i="8"/>
  <c r="B38" i="8" s="1"/>
  <c r="C38" i="8" s="1"/>
  <c r="A41" i="8"/>
  <c r="B41" i="8" s="1"/>
  <c r="C41" i="8" s="1"/>
  <c r="A44" i="8"/>
  <c r="B44" i="8" s="1"/>
  <c r="C44" i="8" s="1"/>
  <c r="A47" i="8"/>
  <c r="B47" i="8" s="1"/>
  <c r="C47" i="8" s="1"/>
  <c r="A54" i="8"/>
  <c r="B54" i="8" s="1"/>
  <c r="C54" i="8" s="1"/>
  <c r="A78" i="8"/>
  <c r="B78" i="8" s="1"/>
  <c r="C78" i="8" s="1"/>
  <c r="A93" i="8"/>
  <c r="B93" i="8" s="1"/>
  <c r="C93" i="8" s="1"/>
  <c r="A16" i="8"/>
  <c r="B16" i="8" s="1"/>
  <c r="C16" i="8" s="1"/>
  <c r="A30" i="8"/>
  <c r="B30" i="8" s="1"/>
  <c r="C30" i="8" s="1"/>
  <c r="A45" i="8"/>
  <c r="B45" i="8" s="1"/>
  <c r="C45" i="8" s="1"/>
  <c r="A52" i="8"/>
  <c r="B52" i="8" s="1"/>
  <c r="C52" i="8" s="1"/>
  <c r="A60" i="8"/>
  <c r="B60" i="8" s="1"/>
  <c r="C60" i="8" s="1"/>
  <c r="A68" i="8"/>
  <c r="B68" i="8" s="1"/>
  <c r="C68" i="8" s="1"/>
  <c r="A76" i="8"/>
  <c r="B76" i="8" s="1"/>
  <c r="C76" i="8" s="1"/>
  <c r="A84" i="8"/>
  <c r="B84" i="8" s="1"/>
  <c r="C84" i="8" s="1"/>
  <c r="A92" i="8"/>
  <c r="B92" i="8" s="1"/>
  <c r="C92" i="8" s="1"/>
  <c r="A20" i="8"/>
  <c r="B20" i="8" s="1"/>
  <c r="C20" i="8" s="1"/>
  <c r="A62" i="8"/>
  <c r="B62" i="8" s="1"/>
  <c r="C62" i="8" s="1"/>
  <c r="A86" i="8"/>
  <c r="B86" i="8" s="1"/>
  <c r="C86" i="8" s="1"/>
  <c r="A11" i="8"/>
  <c r="B11" i="8" s="1"/>
  <c r="C11" i="8" s="1"/>
  <c r="A24" i="8"/>
  <c r="B24" i="8" s="1"/>
  <c r="C24" i="8" s="1"/>
  <c r="A33" i="8"/>
  <c r="B33" i="8" s="1"/>
  <c r="C33" i="8" s="1"/>
  <c r="A39" i="8"/>
  <c r="B39" i="8" s="1"/>
  <c r="C39" i="8" s="1"/>
  <c r="A5" i="8"/>
  <c r="B5" i="8" s="1"/>
  <c r="C5" i="8" s="1"/>
  <c r="A6" i="8"/>
  <c r="B6" i="8" s="1"/>
  <c r="C6" i="8" s="1"/>
  <c r="A48" i="8"/>
  <c r="B48" i="8" s="1"/>
  <c r="C48" i="8" s="1"/>
  <c r="A64" i="8"/>
  <c r="B64" i="8" s="1"/>
  <c r="C64" i="8" s="1"/>
  <c r="A22" i="8"/>
  <c r="B22" i="8" s="1"/>
  <c r="C22" i="8" s="1"/>
  <c r="A40" i="8"/>
  <c r="B40" i="8" s="1"/>
  <c r="C40" i="8" s="1"/>
  <c r="A94" i="8"/>
  <c r="B94" i="8" s="1"/>
  <c r="C94" i="8" s="1"/>
  <c r="A12" i="8"/>
  <c r="B12" i="8" s="1"/>
  <c r="C12" i="8" s="1"/>
  <c r="A72" i="8"/>
  <c r="B72" i="8" s="1"/>
  <c r="C72" i="8" s="1"/>
  <c r="A95" i="8"/>
  <c r="B95" i="8" s="1"/>
  <c r="C95" i="8" s="1"/>
  <c r="A25" i="8"/>
  <c r="B25" i="8" s="1"/>
  <c r="C25" i="8" s="1"/>
  <c r="A34" i="8"/>
  <c r="B34" i="8" s="1"/>
  <c r="C34" i="8" s="1"/>
  <c r="A43" i="8"/>
  <c r="B43" i="8" s="1"/>
  <c r="C43" i="8" s="1"/>
  <c r="A101" i="8"/>
  <c r="B101" i="8" s="1"/>
  <c r="C101" i="8" s="1"/>
  <c r="A17" i="8"/>
  <c r="B17" i="8" s="1"/>
  <c r="C17" i="8" s="1"/>
  <c r="A56" i="8"/>
  <c r="B56" i="8" s="1"/>
  <c r="C56" i="8" s="1"/>
  <c r="A80" i="8"/>
  <c r="B80" i="8" s="1"/>
  <c r="C80" i="8" s="1"/>
  <c r="A18" i="8"/>
  <c r="B18" i="8" s="1"/>
  <c r="C18" i="8" s="1"/>
  <c r="A28" i="8"/>
  <c r="B28" i="8" s="1"/>
  <c r="C28" i="8" s="1"/>
  <c r="A37" i="8"/>
  <c r="B37" i="8" s="1"/>
  <c r="C37" i="8" s="1"/>
  <c r="A46" i="8"/>
  <c r="B46" i="8" s="1"/>
  <c r="C46" i="8" s="1"/>
  <c r="A88" i="8"/>
  <c r="B88" i="8" s="1"/>
  <c r="C88" i="8" s="1"/>
  <c r="A31" i="8"/>
  <c r="B31" i="8" s="1"/>
  <c r="C31" i="8" s="1"/>
  <c r="I3" i="6"/>
  <c r="I5" i="1" s="1"/>
  <c r="E3" i="6"/>
  <c r="H3" i="6"/>
  <c r="J3" i="6"/>
  <c r="E2" i="6"/>
  <c r="S6" i="6"/>
  <c r="I6" i="6"/>
  <c r="I8" i="1" s="1"/>
  <c r="E6" i="6"/>
  <c r="I9" i="6"/>
  <c r="I11" i="1" s="1"/>
  <c r="E9" i="6"/>
  <c r="J4" i="6"/>
  <c r="E4" i="6"/>
  <c r="I2" i="6"/>
  <c r="I2" i="1" s="1"/>
  <c r="S2" i="6"/>
  <c r="J2" i="6"/>
  <c r="J9" i="6"/>
  <c r="H9" i="6"/>
  <c r="H6" i="6"/>
  <c r="J6" i="6"/>
  <c r="X31" i="1" l="1"/>
  <c r="I25" i="1"/>
  <c r="I22" i="1"/>
  <c r="I21" i="1"/>
  <c r="I28" i="1"/>
  <c r="S2" i="4"/>
  <c r="T2" i="4" s="1" a="1"/>
  <c r="T2" i="4" s="1"/>
  <c r="Q2" i="4"/>
  <c r="L2" i="4"/>
  <c r="AC30" i="4"/>
  <c r="AC11" i="4"/>
  <c r="AC29" i="4"/>
  <c r="AC18" i="4"/>
  <c r="AC16" i="4"/>
  <c r="AC9" i="4"/>
  <c r="AC13" i="4"/>
  <c r="AC21" i="4"/>
  <c r="AC25" i="4"/>
  <c r="AC41" i="4"/>
  <c r="AC20" i="4"/>
  <c r="AC19" i="4"/>
  <c r="AC24" i="4"/>
  <c r="AC14" i="4"/>
  <c r="AC33" i="4"/>
  <c r="AC32" i="4"/>
  <c r="AC37" i="4"/>
  <c r="AC42" i="4"/>
  <c r="AC35" i="4"/>
  <c r="AC22" i="4"/>
  <c r="AC15" i="4"/>
  <c r="AC40" i="4"/>
  <c r="AC8" i="4"/>
  <c r="I9" i="1"/>
  <c r="AC34" i="4"/>
  <c r="AC10" i="4"/>
  <c r="AC3" i="4"/>
  <c r="I6" i="1"/>
  <c r="I3" i="1"/>
  <c r="I10" i="1"/>
  <c r="I81" i="1"/>
  <c r="P26" i="4"/>
  <c r="P24" i="4"/>
  <c r="P6" i="4"/>
  <c r="P28" i="4"/>
  <c r="P9" i="4"/>
  <c r="P19" i="4"/>
  <c r="P11" i="4"/>
  <c r="P15" i="4"/>
  <c r="P39" i="4"/>
  <c r="P36" i="4"/>
  <c r="P37" i="4"/>
  <c r="P32" i="4"/>
  <c r="P38" i="4"/>
  <c r="P29" i="4"/>
  <c r="P10" i="4"/>
  <c r="P8" i="4"/>
  <c r="P20" i="4"/>
  <c r="P17" i="4"/>
  <c r="P40" i="4"/>
  <c r="P33" i="4"/>
  <c r="P35" i="4"/>
  <c r="P5" i="4"/>
  <c r="P12" i="4"/>
  <c r="P31" i="4"/>
  <c r="P4" i="4"/>
  <c r="P23" i="4"/>
  <c r="P16" i="4"/>
  <c r="P13" i="4"/>
  <c r="P21" i="4"/>
  <c r="P18" i="4"/>
  <c r="P3" i="4"/>
  <c r="P41" i="4"/>
  <c r="P34" i="4"/>
  <c r="P30" i="4"/>
  <c r="P14" i="4"/>
  <c r="P7" i="4"/>
  <c r="M2" i="4"/>
  <c r="O2" i="4" s="1" a="1"/>
  <c r="O2" i="4" s="1"/>
  <c r="F5" i="8"/>
  <c r="D5" i="8"/>
  <c r="G5" i="8" s="1"/>
  <c r="E5" i="8"/>
  <c r="H5" i="8" s="1"/>
  <c r="F99" i="8"/>
  <c r="D99" i="8"/>
  <c r="G99" i="8" s="1"/>
  <c r="E99" i="8"/>
  <c r="H99" i="8" s="1"/>
  <c r="D102" i="8"/>
  <c r="G102" i="8" s="1"/>
  <c r="F102" i="8"/>
  <c r="E102" i="8"/>
  <c r="H102" i="8" s="1"/>
  <c r="F69" i="8"/>
  <c r="E69" i="8"/>
  <c r="H69" i="8" s="1"/>
  <c r="D69" i="8"/>
  <c r="G69" i="8" s="1"/>
  <c r="F62" i="8"/>
  <c r="D62" i="8"/>
  <c r="G62" i="8" s="1"/>
  <c r="E62" i="8"/>
  <c r="H62" i="8" s="1"/>
  <c r="D98" i="8"/>
  <c r="G98" i="8" s="1"/>
  <c r="E98" i="8"/>
  <c r="H98" i="8" s="1"/>
  <c r="F98" i="8"/>
  <c r="F14" i="8"/>
  <c r="D14" i="8"/>
  <c r="G14" i="8" s="1"/>
  <c r="E14" i="8"/>
  <c r="H14" i="8" s="1"/>
  <c r="D66" i="8"/>
  <c r="G66" i="8" s="1"/>
  <c r="F66" i="8"/>
  <c r="E66" i="8"/>
  <c r="H66" i="8" s="1"/>
  <c r="E87" i="8"/>
  <c r="H87" i="8" s="1"/>
  <c r="F87" i="8"/>
  <c r="D87" i="8"/>
  <c r="G87" i="8" s="1"/>
  <c r="E63" i="8"/>
  <c r="H63" i="8" s="1"/>
  <c r="F63" i="8"/>
  <c r="D63" i="8"/>
  <c r="G63" i="8" s="1"/>
  <c r="D89" i="8"/>
  <c r="G89" i="8" s="1"/>
  <c r="E89" i="8"/>
  <c r="H89" i="8" s="1"/>
  <c r="F89" i="8"/>
  <c r="F65" i="8"/>
  <c r="D65" i="8"/>
  <c r="G65" i="8" s="1"/>
  <c r="E65" i="8"/>
  <c r="H65" i="8" s="1"/>
  <c r="A2" i="8"/>
  <c r="F37" i="8"/>
  <c r="D37" i="8"/>
  <c r="G37" i="8" s="1"/>
  <c r="E37" i="8"/>
  <c r="H37" i="8" s="1"/>
  <c r="F28" i="8"/>
  <c r="D28" i="8"/>
  <c r="G28" i="8" s="1"/>
  <c r="E28" i="8"/>
  <c r="H28" i="8" s="1"/>
  <c r="D60" i="8"/>
  <c r="G60" i="8" s="1"/>
  <c r="E60" i="8"/>
  <c r="H60" i="8" s="1"/>
  <c r="F60" i="8"/>
  <c r="G2" i="4"/>
  <c r="H2" i="4" s="1"/>
  <c r="F2" i="4" s="1"/>
  <c r="D18" i="8"/>
  <c r="G18" i="8" s="1"/>
  <c r="F18" i="8"/>
  <c r="E18" i="8"/>
  <c r="H18" i="8" s="1"/>
  <c r="F34" i="8"/>
  <c r="D34" i="8"/>
  <c r="G34" i="8" s="1"/>
  <c r="E34" i="8"/>
  <c r="H34" i="8" s="1"/>
  <c r="F40" i="8"/>
  <c r="D40" i="8"/>
  <c r="G40" i="8" s="1"/>
  <c r="E40" i="8"/>
  <c r="H40" i="8" s="1"/>
  <c r="E39" i="8"/>
  <c r="H39" i="8" s="1"/>
  <c r="F39" i="8"/>
  <c r="D39" i="8"/>
  <c r="G39" i="8" s="1"/>
  <c r="F20" i="8"/>
  <c r="D20" i="8"/>
  <c r="G20" i="8" s="1"/>
  <c r="E20" i="8"/>
  <c r="H20" i="8" s="1"/>
  <c r="F52" i="8"/>
  <c r="D52" i="8"/>
  <c r="G52" i="8" s="1"/>
  <c r="E52" i="8"/>
  <c r="H52" i="8" s="1"/>
  <c r="D54" i="8"/>
  <c r="G54" i="8" s="1"/>
  <c r="F54" i="8"/>
  <c r="E54" i="8"/>
  <c r="H54" i="8" s="1"/>
  <c r="F32" i="8"/>
  <c r="D32" i="8"/>
  <c r="G32" i="8" s="1"/>
  <c r="E32" i="8"/>
  <c r="H32" i="8" s="1"/>
  <c r="F9" i="8"/>
  <c r="E9" i="8"/>
  <c r="H9" i="8" s="1"/>
  <c r="D9" i="8"/>
  <c r="G9" i="8" s="1"/>
  <c r="F21" i="8"/>
  <c r="E21" i="8"/>
  <c r="H21" i="8" s="1"/>
  <c r="D21" i="8"/>
  <c r="G21" i="8" s="1"/>
  <c r="D82" i="8"/>
  <c r="G82" i="8" s="1"/>
  <c r="E82" i="8"/>
  <c r="H82" i="8" s="1"/>
  <c r="F82" i="8"/>
  <c r="F31" i="8"/>
  <c r="D31" i="8"/>
  <c r="G31" i="8" s="1"/>
  <c r="E31" i="8"/>
  <c r="H31" i="8" s="1"/>
  <c r="F80" i="8"/>
  <c r="D80" i="8"/>
  <c r="G80" i="8" s="1"/>
  <c r="E80" i="8"/>
  <c r="H80" i="8" s="1"/>
  <c r="F25" i="8"/>
  <c r="D25" i="8"/>
  <c r="G25" i="8" s="1"/>
  <c r="E25" i="8"/>
  <c r="H25" i="8" s="1"/>
  <c r="F22" i="8"/>
  <c r="D22" i="8"/>
  <c r="G22" i="8" s="1"/>
  <c r="E22" i="8"/>
  <c r="H22" i="8" s="1"/>
  <c r="F33" i="8"/>
  <c r="E33" i="8"/>
  <c r="H33" i="8" s="1"/>
  <c r="D33" i="8"/>
  <c r="G33" i="8" s="1"/>
  <c r="D92" i="8"/>
  <c r="G92" i="8" s="1"/>
  <c r="F92" i="8"/>
  <c r="E92" i="8"/>
  <c r="H92" i="8" s="1"/>
  <c r="F45" i="8"/>
  <c r="E45" i="8"/>
  <c r="H45" i="8" s="1"/>
  <c r="D45" i="8"/>
  <c r="G45" i="8" s="1"/>
  <c r="F47" i="8"/>
  <c r="D47" i="8"/>
  <c r="G47" i="8" s="1"/>
  <c r="E47" i="8"/>
  <c r="H47" i="8" s="1"/>
  <c r="F29" i="8"/>
  <c r="D29" i="8"/>
  <c r="G29" i="8" s="1"/>
  <c r="E29" i="8"/>
  <c r="H29" i="8" s="1"/>
  <c r="E3" i="8"/>
  <c r="H3" i="8" s="1"/>
  <c r="F3" i="8"/>
  <c r="D3" i="8"/>
  <c r="G3" i="8" s="1"/>
  <c r="F70" i="8"/>
  <c r="D70" i="8"/>
  <c r="G70" i="8" s="1"/>
  <c r="E70" i="8"/>
  <c r="H70" i="8" s="1"/>
  <c r="E74" i="8"/>
  <c r="H74" i="8" s="1"/>
  <c r="D74" i="8"/>
  <c r="G74" i="8" s="1"/>
  <c r="F74" i="8"/>
  <c r="F91" i="8"/>
  <c r="D91" i="8"/>
  <c r="G91" i="8" s="1"/>
  <c r="E91" i="8"/>
  <c r="H91" i="8" s="1"/>
  <c r="F67" i="8"/>
  <c r="D67" i="8"/>
  <c r="G67" i="8" s="1"/>
  <c r="E67" i="8"/>
  <c r="H67" i="8" s="1"/>
  <c r="D88" i="8"/>
  <c r="G88" i="8" s="1"/>
  <c r="F88" i="8"/>
  <c r="E88" i="8"/>
  <c r="H88" i="8" s="1"/>
  <c r="F56" i="8"/>
  <c r="D56" i="8"/>
  <c r="G56" i="8" s="1"/>
  <c r="E56" i="8"/>
  <c r="H56" i="8" s="1"/>
  <c r="F95" i="8"/>
  <c r="D95" i="8"/>
  <c r="G95" i="8" s="1"/>
  <c r="E95" i="8"/>
  <c r="H95" i="8" s="1"/>
  <c r="F64" i="8"/>
  <c r="D64" i="8"/>
  <c r="G64" i="8" s="1"/>
  <c r="E64" i="8"/>
  <c r="H64" i="8" s="1"/>
  <c r="D24" i="8"/>
  <c r="G24" i="8" s="1"/>
  <c r="E24" i="8"/>
  <c r="H24" i="8" s="1"/>
  <c r="F24" i="8"/>
  <c r="F84" i="8"/>
  <c r="D84" i="8"/>
  <c r="G84" i="8" s="1"/>
  <c r="E84" i="8"/>
  <c r="H84" i="8" s="1"/>
  <c r="D30" i="8"/>
  <c r="G30" i="8" s="1"/>
  <c r="F30" i="8"/>
  <c r="E30" i="8"/>
  <c r="H30" i="8" s="1"/>
  <c r="F44" i="8"/>
  <c r="D44" i="8"/>
  <c r="G44" i="8" s="1"/>
  <c r="E44" i="8"/>
  <c r="H44" i="8" s="1"/>
  <c r="F26" i="8"/>
  <c r="D26" i="8"/>
  <c r="G26" i="8" s="1"/>
  <c r="E26" i="8"/>
  <c r="H26" i="8" s="1"/>
  <c r="D96" i="8"/>
  <c r="G96" i="8" s="1"/>
  <c r="E96" i="8"/>
  <c r="H96" i="8" s="1"/>
  <c r="F96" i="8"/>
  <c r="F46" i="8"/>
  <c r="D46" i="8"/>
  <c r="G46" i="8" s="1"/>
  <c r="E46" i="8"/>
  <c r="H46" i="8" s="1"/>
  <c r="F17" i="8"/>
  <c r="D17" i="8"/>
  <c r="G17" i="8" s="1"/>
  <c r="E17" i="8"/>
  <c r="H17" i="8" s="1"/>
  <c r="D72" i="8"/>
  <c r="G72" i="8" s="1"/>
  <c r="E72" i="8"/>
  <c r="H72" i="8" s="1"/>
  <c r="F72" i="8"/>
  <c r="D48" i="8"/>
  <c r="G48" i="8" s="1"/>
  <c r="E48" i="8"/>
  <c r="H48" i="8" s="1"/>
  <c r="F48" i="8"/>
  <c r="F11" i="8"/>
  <c r="D11" i="8"/>
  <c r="G11" i="8" s="1"/>
  <c r="E11" i="8"/>
  <c r="H11" i="8" s="1"/>
  <c r="F76" i="8"/>
  <c r="D76" i="8"/>
  <c r="G76" i="8" s="1"/>
  <c r="E76" i="8"/>
  <c r="H76" i="8" s="1"/>
  <c r="F16" i="8"/>
  <c r="D16" i="8"/>
  <c r="G16" i="8" s="1"/>
  <c r="E16" i="8"/>
  <c r="H16" i="8" s="1"/>
  <c r="F41" i="8"/>
  <c r="D41" i="8"/>
  <c r="G41" i="8" s="1"/>
  <c r="E41" i="8"/>
  <c r="H41" i="8" s="1"/>
  <c r="F23" i="8"/>
  <c r="D23" i="8"/>
  <c r="G23" i="8" s="1"/>
  <c r="E23" i="8"/>
  <c r="H23" i="8" s="1"/>
  <c r="D42" i="8"/>
  <c r="G42" i="8" s="1"/>
  <c r="F42" i="8"/>
  <c r="E42" i="8"/>
  <c r="H42" i="8" s="1"/>
  <c r="F8" i="8"/>
  <c r="D8" i="8"/>
  <c r="G8" i="8" s="1"/>
  <c r="E8" i="8"/>
  <c r="H8" i="8" s="1"/>
  <c r="F58" i="8"/>
  <c r="D58" i="8"/>
  <c r="G58" i="8" s="1"/>
  <c r="E58" i="8"/>
  <c r="H58" i="8" s="1"/>
  <c r="D83" i="8"/>
  <c r="G83" i="8" s="1"/>
  <c r="F83" i="8"/>
  <c r="E83" i="8"/>
  <c r="H83" i="8" s="1"/>
  <c r="F59" i="8"/>
  <c r="D59" i="8"/>
  <c r="G59" i="8" s="1"/>
  <c r="E59" i="8"/>
  <c r="H59" i="8" s="1"/>
  <c r="F13" i="8"/>
  <c r="D13" i="8"/>
  <c r="G13" i="8" s="1"/>
  <c r="E13" i="8"/>
  <c r="H13" i="8" s="1"/>
  <c r="D85" i="8"/>
  <c r="G85" i="8" s="1"/>
  <c r="E85" i="8"/>
  <c r="H85" i="8" s="1"/>
  <c r="F85" i="8"/>
  <c r="F61" i="8"/>
  <c r="D61" i="8"/>
  <c r="G61" i="8" s="1"/>
  <c r="E61" i="8"/>
  <c r="H61" i="8" s="1"/>
  <c r="F101" i="8"/>
  <c r="D101" i="8"/>
  <c r="G101" i="8" s="1"/>
  <c r="E101" i="8"/>
  <c r="H101" i="8" s="1"/>
  <c r="D12" i="8"/>
  <c r="G12" i="8" s="1"/>
  <c r="E12" i="8"/>
  <c r="H12" i="8" s="1"/>
  <c r="F12" i="8"/>
  <c r="D6" i="8"/>
  <c r="G6" i="8" s="1"/>
  <c r="F6" i="8"/>
  <c r="E6" i="8"/>
  <c r="H6" i="8" s="1"/>
  <c r="D86" i="8"/>
  <c r="G86" i="8" s="1"/>
  <c r="E86" i="8"/>
  <c r="H86" i="8" s="1"/>
  <c r="F86" i="8"/>
  <c r="F68" i="8"/>
  <c r="D68" i="8"/>
  <c r="G68" i="8" s="1"/>
  <c r="E68" i="8"/>
  <c r="H68" i="8" s="1"/>
  <c r="F93" i="8"/>
  <c r="D93" i="8"/>
  <c r="G93" i="8" s="1"/>
  <c r="E93" i="8"/>
  <c r="H93" i="8" s="1"/>
  <c r="F38" i="8"/>
  <c r="D38" i="8"/>
  <c r="G38" i="8" s="1"/>
  <c r="E38" i="8"/>
  <c r="H38" i="8" s="1"/>
  <c r="F19" i="8"/>
  <c r="D19" i="8"/>
  <c r="G19" i="8" s="1"/>
  <c r="E19" i="8"/>
  <c r="H19" i="8" s="1"/>
  <c r="D36" i="8"/>
  <c r="G36" i="8" s="1"/>
  <c r="E36" i="8"/>
  <c r="H36" i="8" s="1"/>
  <c r="F36" i="8"/>
  <c r="D97" i="8"/>
  <c r="G97" i="8" s="1"/>
  <c r="E97" i="8"/>
  <c r="H97" i="8" s="1"/>
  <c r="F97" i="8"/>
  <c r="F50" i="8"/>
  <c r="D50" i="8"/>
  <c r="G50" i="8" s="1"/>
  <c r="E50" i="8"/>
  <c r="H50" i="8" s="1"/>
  <c r="F79" i="8"/>
  <c r="D79" i="8"/>
  <c r="G79" i="8" s="1"/>
  <c r="E79" i="8"/>
  <c r="H79" i="8" s="1"/>
  <c r="F55" i="8"/>
  <c r="D55" i="8"/>
  <c r="G55" i="8" s="1"/>
  <c r="E55" i="8"/>
  <c r="H55" i="8" s="1"/>
  <c r="F10" i="8"/>
  <c r="D10" i="8"/>
  <c r="G10" i="8" s="1"/>
  <c r="E10" i="8"/>
  <c r="H10" i="8" s="1"/>
  <c r="D81" i="8"/>
  <c r="G81" i="8" s="1"/>
  <c r="F81" i="8"/>
  <c r="E81" i="8"/>
  <c r="H81" i="8" s="1"/>
  <c r="F57" i="8"/>
  <c r="E57" i="8"/>
  <c r="H57" i="8" s="1"/>
  <c r="D57" i="8"/>
  <c r="G57" i="8" s="1"/>
  <c r="D94" i="8"/>
  <c r="G94" i="8" s="1"/>
  <c r="E94" i="8"/>
  <c r="H94" i="8" s="1"/>
  <c r="F94" i="8"/>
  <c r="E78" i="8"/>
  <c r="H78" i="8" s="1"/>
  <c r="F78" i="8"/>
  <c r="D78" i="8"/>
  <c r="G78" i="8" s="1"/>
  <c r="F35" i="8"/>
  <c r="D35" i="8"/>
  <c r="G35" i="8" s="1"/>
  <c r="E35" i="8"/>
  <c r="H35" i="8" s="1"/>
  <c r="E15" i="8"/>
  <c r="H15" i="8" s="1"/>
  <c r="F15" i="8"/>
  <c r="D15" i="8"/>
  <c r="G15" i="8" s="1"/>
  <c r="E27" i="8"/>
  <c r="H27" i="8" s="1"/>
  <c r="F27" i="8"/>
  <c r="D27" i="8"/>
  <c r="G27" i="8" s="1"/>
  <c r="D90" i="8"/>
  <c r="G90" i="8" s="1"/>
  <c r="E90" i="8"/>
  <c r="H90" i="8" s="1"/>
  <c r="F90" i="8"/>
  <c r="D104" i="8"/>
  <c r="G104" i="8" s="1"/>
  <c r="E104" i="8"/>
  <c r="H104" i="8" s="1"/>
  <c r="F104" i="8"/>
  <c r="F75" i="8"/>
  <c r="D75" i="8"/>
  <c r="G75" i="8" s="1"/>
  <c r="E75" i="8"/>
  <c r="H75" i="8" s="1"/>
  <c r="E51" i="8"/>
  <c r="H51" i="8" s="1"/>
  <c r="F51" i="8"/>
  <c r="D51" i="8"/>
  <c r="G51" i="8" s="1"/>
  <c r="F7" i="8"/>
  <c r="D7" i="8"/>
  <c r="G7" i="8" s="1"/>
  <c r="E7" i="8"/>
  <c r="H7" i="8" s="1"/>
  <c r="F77" i="8"/>
  <c r="D77" i="8"/>
  <c r="G77" i="8" s="1"/>
  <c r="E77" i="8"/>
  <c r="H77" i="8" s="1"/>
  <c r="F53" i="8"/>
  <c r="D53" i="8"/>
  <c r="G53" i="8" s="1"/>
  <c r="E53" i="8"/>
  <c r="H53" i="8" s="1"/>
  <c r="F43" i="8"/>
  <c r="D43" i="8"/>
  <c r="G43" i="8" s="1"/>
  <c r="E43" i="8"/>
  <c r="H43" i="8" s="1"/>
  <c r="D100" i="8"/>
  <c r="G100" i="8" s="1"/>
  <c r="F100" i="8"/>
  <c r="E100" i="8"/>
  <c r="H100" i="8" s="1"/>
  <c r="F71" i="8"/>
  <c r="D71" i="8"/>
  <c r="G71" i="8" s="1"/>
  <c r="E71" i="8"/>
  <c r="H71" i="8" s="1"/>
  <c r="D103" i="8"/>
  <c r="G103" i="8" s="1"/>
  <c r="F103" i="8"/>
  <c r="E103" i="8"/>
  <c r="H103" i="8" s="1"/>
  <c r="F4" i="8"/>
  <c r="D4" i="8"/>
  <c r="G4" i="8" s="1"/>
  <c r="E4" i="8"/>
  <c r="H4" i="8" s="1"/>
  <c r="F73" i="8"/>
  <c r="D73" i="8"/>
  <c r="G73" i="8" s="1"/>
  <c r="E73" i="8"/>
  <c r="H73" i="8" s="1"/>
  <c r="F49" i="8"/>
  <c r="D49" i="8"/>
  <c r="G49" i="8" s="1"/>
  <c r="E49" i="8"/>
  <c r="H49" i="8" s="1"/>
  <c r="C2" i="4"/>
  <c r="D2" i="4" s="1"/>
  <c r="A2" i="4"/>
  <c r="N2" i="4"/>
  <c r="J26" i="1" l="1" a="1"/>
  <c r="J26" i="1" s="1"/>
  <c r="J27" i="1" a="1"/>
  <c r="J27" i="1" s="1"/>
  <c r="J28" i="1" a="1"/>
  <c r="J28" i="1" s="1"/>
  <c r="C49" i="1" a="1"/>
  <c r="C49" i="1" s="1"/>
  <c r="C22" i="1" a="1"/>
  <c r="C22" i="1" s="1"/>
  <c r="O50" i="1"/>
  <c r="O86" i="1"/>
  <c r="O122" i="1"/>
  <c r="O158" i="1"/>
  <c r="O32" i="1"/>
  <c r="O116" i="1"/>
  <c r="O56" i="1"/>
  <c r="O92" i="1"/>
  <c r="O128" i="1"/>
  <c r="O164" i="1"/>
  <c r="O44" i="1"/>
  <c r="O62" i="1"/>
  <c r="O98" i="1"/>
  <c r="O134" i="1"/>
  <c r="O8" i="1"/>
  <c r="O80" i="1"/>
  <c r="O68" i="1"/>
  <c r="O104" i="1"/>
  <c r="O140" i="1"/>
  <c r="O14" i="1"/>
  <c r="O152" i="1"/>
  <c r="O38" i="1"/>
  <c r="O74" i="1"/>
  <c r="O110" i="1"/>
  <c r="O146" i="1"/>
  <c r="O20" i="1"/>
  <c r="O26" i="1"/>
  <c r="O87" i="1"/>
  <c r="O51" i="1"/>
  <c r="O15" i="1"/>
  <c r="O70" i="1"/>
  <c r="O25" i="1"/>
  <c r="O151" i="1"/>
  <c r="O115" i="1"/>
  <c r="O73" i="1"/>
  <c r="O37" i="1"/>
  <c r="O12" i="1"/>
  <c r="O138" i="1"/>
  <c r="O102" i="1"/>
  <c r="O54" i="1"/>
  <c r="O23" i="1"/>
  <c r="O149" i="1"/>
  <c r="O113" i="1"/>
  <c r="O77" i="1"/>
  <c r="O41" i="1"/>
  <c r="O148" i="1"/>
  <c r="O112" i="1"/>
  <c r="O21" i="1"/>
  <c r="O135" i="1"/>
  <c r="O75" i="1"/>
  <c r="O81" i="1"/>
  <c r="O45" i="1"/>
  <c r="O9" i="1"/>
  <c r="O100" i="1"/>
  <c r="O52" i="1"/>
  <c r="O19" i="1"/>
  <c r="O145" i="1"/>
  <c r="O109" i="1"/>
  <c r="O67" i="1"/>
  <c r="O6" i="1"/>
  <c r="O132" i="1"/>
  <c r="O84" i="1"/>
  <c r="O48" i="1"/>
  <c r="O17" i="1"/>
  <c r="O143" i="1"/>
  <c r="O107" i="1"/>
  <c r="O71" i="1"/>
  <c r="O142" i="1"/>
  <c r="O106" i="1"/>
  <c r="O3" i="1"/>
  <c r="O129" i="1"/>
  <c r="O57" i="1"/>
  <c r="O28" i="1"/>
  <c r="O96" i="1"/>
  <c r="O13" i="1"/>
  <c r="O139" i="1"/>
  <c r="O103" i="1"/>
  <c r="O61" i="1"/>
  <c r="O2" i="1"/>
  <c r="O162" i="1"/>
  <c r="O126" i="1"/>
  <c r="O78" i="1"/>
  <c r="O42" i="1"/>
  <c r="O11" i="1"/>
  <c r="O137" i="1"/>
  <c r="O101" i="1"/>
  <c r="O65" i="1"/>
  <c r="O136" i="1"/>
  <c r="O76" i="1"/>
  <c r="O159" i="1"/>
  <c r="O123" i="1"/>
  <c r="O39" i="1"/>
  <c r="O69" i="1"/>
  <c r="O33" i="1"/>
  <c r="O46" i="1"/>
  <c r="O90" i="1"/>
  <c r="O88" i="1"/>
  <c r="O7" i="1"/>
  <c r="O133" i="1"/>
  <c r="O91" i="1"/>
  <c r="O55" i="1"/>
  <c r="O30" i="1"/>
  <c r="O156" i="1"/>
  <c r="O120" i="1"/>
  <c r="O72" i="1"/>
  <c r="O36" i="1"/>
  <c r="O5" i="1"/>
  <c r="O131" i="1"/>
  <c r="O95" i="1"/>
  <c r="O59" i="1"/>
  <c r="O4" i="1"/>
  <c r="O130" i="1"/>
  <c r="O58" i="1"/>
  <c r="O153" i="1"/>
  <c r="O117" i="1"/>
  <c r="O16" i="1"/>
  <c r="O99" i="1"/>
  <c r="O63" i="1"/>
  <c r="O27" i="1"/>
  <c r="O10" i="1"/>
  <c r="O64" i="1"/>
  <c r="O163" i="1"/>
  <c r="O127" i="1"/>
  <c r="O85" i="1"/>
  <c r="O49" i="1"/>
  <c r="O24" i="1"/>
  <c r="O150" i="1"/>
  <c r="O114" i="1"/>
  <c r="O66" i="1"/>
  <c r="O35" i="1"/>
  <c r="O161" i="1"/>
  <c r="O125" i="1"/>
  <c r="O89" i="1"/>
  <c r="O53" i="1"/>
  <c r="O160" i="1"/>
  <c r="O124" i="1"/>
  <c r="O40" i="1"/>
  <c r="O147" i="1"/>
  <c r="O111" i="1"/>
  <c r="O93" i="1"/>
  <c r="O82" i="1"/>
  <c r="O97" i="1"/>
  <c r="O94" i="1"/>
  <c r="O34" i="1"/>
  <c r="O31" i="1"/>
  <c r="O157" i="1"/>
  <c r="O121" i="1"/>
  <c r="O79" i="1"/>
  <c r="O43" i="1"/>
  <c r="O18" i="1"/>
  <c r="O144" i="1"/>
  <c r="O108" i="1"/>
  <c r="O60" i="1"/>
  <c r="O29" i="1"/>
  <c r="O155" i="1"/>
  <c r="O119" i="1"/>
  <c r="O83" i="1"/>
  <c r="O47" i="1"/>
  <c r="O154" i="1"/>
  <c r="O118" i="1"/>
  <c r="O141" i="1"/>
  <c r="O105" i="1"/>
  <c r="AC2" i="4"/>
  <c r="O22" i="1" s="1"/>
  <c r="D38" i="1" a="1"/>
  <c r="D38" i="1" s="1"/>
  <c r="D36" i="1" a="1"/>
  <c r="D36" i="1" s="1"/>
  <c r="D37" i="1" a="1"/>
  <c r="D37" i="1" s="1"/>
  <c r="K45" i="4"/>
  <c r="K51" i="4"/>
  <c r="K44" i="4"/>
  <c r="K43" i="4"/>
  <c r="K49" i="4"/>
  <c r="K55" i="4"/>
  <c r="K61" i="4"/>
  <c r="K67" i="4"/>
  <c r="K73" i="4"/>
  <c r="K48" i="4"/>
  <c r="K54" i="4"/>
  <c r="K47" i="4"/>
  <c r="K53" i="4"/>
  <c r="K46" i="4"/>
  <c r="K52" i="4"/>
  <c r="K59" i="4"/>
  <c r="K50" i="4"/>
  <c r="K57" i="4"/>
  <c r="K62" i="4"/>
  <c r="K64" i="4"/>
  <c r="K66" i="4"/>
  <c r="K78" i="4"/>
  <c r="K84" i="4"/>
  <c r="K58" i="4"/>
  <c r="K60" i="4"/>
  <c r="K77" i="4"/>
  <c r="K76" i="4"/>
  <c r="K82" i="4"/>
  <c r="K69" i="4"/>
  <c r="K71" i="4"/>
  <c r="K75" i="4"/>
  <c r="K81" i="4"/>
  <c r="K87" i="4"/>
  <c r="K90" i="4"/>
  <c r="K96" i="4"/>
  <c r="K102" i="4"/>
  <c r="K108" i="4"/>
  <c r="K114" i="4"/>
  <c r="K56" i="4"/>
  <c r="K63" i="4"/>
  <c r="K65" i="4"/>
  <c r="K74" i="4"/>
  <c r="K80" i="4"/>
  <c r="K86" i="4"/>
  <c r="K85" i="4"/>
  <c r="K119" i="4"/>
  <c r="K125" i="4"/>
  <c r="K131" i="4"/>
  <c r="K137" i="4"/>
  <c r="K143" i="4"/>
  <c r="K149" i="4"/>
  <c r="K155" i="4"/>
  <c r="K161" i="4"/>
  <c r="K167" i="4"/>
  <c r="K173" i="4"/>
  <c r="K179" i="4"/>
  <c r="K185" i="4"/>
  <c r="K191" i="4"/>
  <c r="K197" i="4"/>
  <c r="K203" i="4"/>
  <c r="K209" i="4"/>
  <c r="K215" i="4"/>
  <c r="K221" i="4"/>
  <c r="K227" i="4"/>
  <c r="K233" i="4"/>
  <c r="K239" i="4"/>
  <c r="K245" i="4"/>
  <c r="K251" i="4"/>
  <c r="K68" i="4"/>
  <c r="K70" i="4"/>
  <c r="K79" i="4"/>
  <c r="K91" i="4"/>
  <c r="K93" i="4"/>
  <c r="K100" i="4"/>
  <c r="K101" i="4"/>
  <c r="K109" i="4"/>
  <c r="K111" i="4"/>
  <c r="K104" i="4"/>
  <c r="K115" i="4"/>
  <c r="K117" i="4"/>
  <c r="K120" i="4"/>
  <c r="K121" i="4"/>
  <c r="K123" i="4"/>
  <c r="K126" i="4"/>
  <c r="K127" i="4"/>
  <c r="K129" i="4"/>
  <c r="K132" i="4"/>
  <c r="K133" i="4"/>
  <c r="K135" i="4"/>
  <c r="K138" i="4"/>
  <c r="K139" i="4"/>
  <c r="K141" i="4"/>
  <c r="K144" i="4"/>
  <c r="K145" i="4"/>
  <c r="K147" i="4"/>
  <c r="K150" i="4"/>
  <c r="K151" i="4"/>
  <c r="K153" i="4"/>
  <c r="K156" i="4"/>
  <c r="K157" i="4"/>
  <c r="K159" i="4"/>
  <c r="K162" i="4"/>
  <c r="K163" i="4"/>
  <c r="K165" i="4"/>
  <c r="K168" i="4"/>
  <c r="K169" i="4"/>
  <c r="K171" i="4"/>
  <c r="K174" i="4"/>
  <c r="K175" i="4"/>
  <c r="K177" i="4"/>
  <c r="K180" i="4"/>
  <c r="K181" i="4"/>
  <c r="K183" i="4"/>
  <c r="K186" i="4"/>
  <c r="K187" i="4"/>
  <c r="K189" i="4"/>
  <c r="K192" i="4"/>
  <c r="K193" i="4"/>
  <c r="K195" i="4"/>
  <c r="K198" i="4"/>
  <c r="K199" i="4"/>
  <c r="K201" i="4"/>
  <c r="K204" i="4"/>
  <c r="K205" i="4"/>
  <c r="K207" i="4"/>
  <c r="K210" i="4"/>
  <c r="K211" i="4"/>
  <c r="K213" i="4"/>
  <c r="K216" i="4"/>
  <c r="K217" i="4"/>
  <c r="K219" i="4"/>
  <c r="K222" i="4"/>
  <c r="K223" i="4"/>
  <c r="K225" i="4"/>
  <c r="K228" i="4"/>
  <c r="K229" i="4"/>
  <c r="K231" i="4"/>
  <c r="K234" i="4"/>
  <c r="K235" i="4"/>
  <c r="K237" i="4"/>
  <c r="K240" i="4"/>
  <c r="K241" i="4"/>
  <c r="K243" i="4"/>
  <c r="K246" i="4"/>
  <c r="K247" i="4"/>
  <c r="K249" i="4"/>
  <c r="K252" i="4"/>
  <c r="K88" i="4"/>
  <c r="K94" i="4"/>
  <c r="K95" i="4"/>
  <c r="K103" i="4"/>
  <c r="K105" i="4"/>
  <c r="K112" i="4"/>
  <c r="K113" i="4"/>
  <c r="K116" i="4"/>
  <c r="K118" i="4"/>
  <c r="K122" i="4"/>
  <c r="K124" i="4"/>
  <c r="K128" i="4"/>
  <c r="K130" i="4"/>
  <c r="K134" i="4"/>
  <c r="K136" i="4"/>
  <c r="K140" i="4"/>
  <c r="K142" i="4"/>
  <c r="K146" i="4"/>
  <c r="K148" i="4"/>
  <c r="K152" i="4"/>
  <c r="K154" i="4"/>
  <c r="K158" i="4"/>
  <c r="K160" i="4"/>
  <c r="K164" i="4"/>
  <c r="K166" i="4"/>
  <c r="K170" i="4"/>
  <c r="K172" i="4"/>
  <c r="K176" i="4"/>
  <c r="K178" i="4"/>
  <c r="K182" i="4"/>
  <c r="K184" i="4"/>
  <c r="K188" i="4"/>
  <c r="K190" i="4"/>
  <c r="K194" i="4"/>
  <c r="K196" i="4"/>
  <c r="K200" i="4"/>
  <c r="K202" i="4"/>
  <c r="K206" i="4"/>
  <c r="K208" i="4"/>
  <c r="K212" i="4"/>
  <c r="K214" i="4"/>
  <c r="K218" i="4"/>
  <c r="K220" i="4"/>
  <c r="K224" i="4"/>
  <c r="K226" i="4"/>
  <c r="K230" i="4"/>
  <c r="K232" i="4"/>
  <c r="K236" i="4"/>
  <c r="K238" i="4"/>
  <c r="K242" i="4"/>
  <c r="K244" i="4"/>
  <c r="K248" i="4"/>
  <c r="K250" i="4"/>
  <c r="K72" i="4"/>
  <c r="K83" i="4"/>
  <c r="K92" i="4"/>
  <c r="K107" i="4"/>
  <c r="K99" i="4"/>
  <c r="K106" i="4"/>
  <c r="K98" i="4"/>
  <c r="K97" i="4"/>
  <c r="K110" i="4"/>
  <c r="B2" i="8"/>
  <c r="I87" i="8"/>
  <c r="Q93" i="1" a="1"/>
  <c r="Q93" i="1" s="1"/>
  <c r="F71" i="1" a="1"/>
  <c r="F71" i="1" s="1"/>
  <c r="F48" i="1" a="1"/>
  <c r="F48" i="1" s="1"/>
  <c r="F85" i="1" a="1"/>
  <c r="F85" i="1" s="1"/>
  <c r="F76" i="1" a="1"/>
  <c r="F76" i="1" s="1"/>
  <c r="F31" i="1" a="1"/>
  <c r="F31" i="1" s="1"/>
  <c r="F63" i="1" a="1"/>
  <c r="F63" i="1" s="1"/>
  <c r="F68" i="1" a="1"/>
  <c r="F68" i="1" s="1"/>
  <c r="F60" i="1" a="1"/>
  <c r="F60" i="1" s="1"/>
  <c r="F18" i="1" a="1"/>
  <c r="F18" i="1" s="1"/>
  <c r="J2" i="1" a="1"/>
  <c r="J2" i="1" s="1"/>
  <c r="F2" i="1" a="1"/>
  <c r="F2" i="1" s="1"/>
  <c r="F52" i="1" a="1"/>
  <c r="F52" i="1" s="1"/>
  <c r="F95" i="1" a="1"/>
  <c r="F95" i="1" s="1"/>
  <c r="F19" i="1" a="1"/>
  <c r="F19" i="1" s="1"/>
  <c r="F8" i="1" a="1"/>
  <c r="F8" i="1" s="1"/>
  <c r="H11" i="1" a="1"/>
  <c r="H11" i="1" s="1"/>
  <c r="Q98" i="1" a="1"/>
  <c r="Q98" i="1" s="1"/>
  <c r="Q88" i="1" a="1"/>
  <c r="Q88" i="1" s="1"/>
  <c r="Q37" i="1" a="1"/>
  <c r="Q37" i="1" s="1"/>
  <c r="Q87" i="1" a="1"/>
  <c r="Q87" i="1" s="1"/>
  <c r="Q103" i="1" a="1"/>
  <c r="Q103" i="1" s="1"/>
  <c r="Q40" i="1" a="1"/>
  <c r="Q40" i="1" s="1"/>
  <c r="P104" i="1" a="1"/>
  <c r="P104" i="1" s="1"/>
  <c r="F66" i="1" a="1"/>
  <c r="F66" i="1" s="1"/>
  <c r="F98" i="1" a="1"/>
  <c r="F98" i="1" s="1"/>
  <c r="F72" i="1" a="1"/>
  <c r="F72" i="1" s="1"/>
  <c r="F92" i="1" a="1"/>
  <c r="F92" i="1" s="1"/>
  <c r="F77" i="1" a="1"/>
  <c r="F77" i="1" s="1"/>
  <c r="J8" i="1" a="1"/>
  <c r="J8" i="1" s="1"/>
  <c r="F22" i="1" a="1"/>
  <c r="F22" i="1" s="1"/>
  <c r="F87" i="1" a="1"/>
  <c r="F87" i="1" s="1"/>
  <c r="F89" i="1" a="1"/>
  <c r="F89" i="1" s="1"/>
  <c r="F15" i="1" a="1"/>
  <c r="F15" i="1" s="1"/>
  <c r="F29" i="1" a="1"/>
  <c r="F29" i="1" s="1"/>
  <c r="D8" i="1" a="1"/>
  <c r="D8" i="1" s="1"/>
  <c r="F88" i="1" a="1"/>
  <c r="F88" i="1" s="1"/>
  <c r="F51" i="1" a="1"/>
  <c r="F51" i="1" s="1"/>
  <c r="F83" i="1" a="1"/>
  <c r="F83" i="1" s="1"/>
  <c r="Q90" i="1" a="1"/>
  <c r="Q90" i="1" s="1"/>
  <c r="P108" i="1" a="1"/>
  <c r="P108" i="1" s="1"/>
  <c r="P113" i="1" a="1"/>
  <c r="P113" i="1" s="1"/>
  <c r="P121" i="1" a="1"/>
  <c r="P121" i="1" s="1"/>
  <c r="P125" i="1" a="1"/>
  <c r="P125" i="1" s="1"/>
  <c r="P130" i="1" a="1"/>
  <c r="P130" i="1" s="1"/>
  <c r="P134" i="1" a="1"/>
  <c r="P134" i="1" s="1"/>
  <c r="P142" i="1" a="1"/>
  <c r="P142" i="1" s="1"/>
  <c r="P154" i="1" a="1"/>
  <c r="P154" i="1" s="1"/>
  <c r="P158" i="1" a="1"/>
  <c r="P158" i="1" s="1"/>
  <c r="P162" i="1" a="1"/>
  <c r="P162" i="1" s="1"/>
  <c r="P167" i="1" a="1"/>
  <c r="P167" i="1" s="1"/>
  <c r="Q108" i="1" a="1"/>
  <c r="Q108" i="1" s="1"/>
  <c r="Q112" i="1" a="1"/>
  <c r="Q112" i="1" s="1"/>
  <c r="Q117" i="1" a="1"/>
  <c r="Q117" i="1" s="1"/>
  <c r="Q121" i="1" a="1"/>
  <c r="Q121" i="1" s="1"/>
  <c r="Q126" i="1" a="1"/>
  <c r="Q126" i="1" s="1"/>
  <c r="Q130" i="1" a="1"/>
  <c r="Q130" i="1" s="1"/>
  <c r="Q135" i="1" a="1"/>
  <c r="Q135" i="1" s="1"/>
  <c r="Q139" i="1" a="1"/>
  <c r="Q139" i="1" s="1"/>
  <c r="Q144" i="1" a="1"/>
  <c r="Q144" i="1" s="1"/>
  <c r="Q152" i="1" a="1"/>
  <c r="Q152" i="1" s="1"/>
  <c r="Q156" i="1" a="1"/>
  <c r="Q156" i="1" s="1"/>
  <c r="Q160" i="1" a="1"/>
  <c r="Q160" i="1" s="1"/>
  <c r="Q165" i="1" a="1"/>
  <c r="Q165" i="1" s="1"/>
  <c r="P109" i="1" a="1"/>
  <c r="P109" i="1" s="1"/>
  <c r="P117" i="1" a="1"/>
  <c r="P117" i="1" s="1"/>
  <c r="P122" i="1" a="1"/>
  <c r="P122" i="1" s="1"/>
  <c r="P138" i="1" a="1"/>
  <c r="P138" i="1" s="1"/>
  <c r="P146" i="1" a="1"/>
  <c r="P146" i="1" s="1"/>
  <c r="P150" i="1" a="1"/>
  <c r="P150" i="1" s="1"/>
  <c r="P163" i="1" a="1"/>
  <c r="P163" i="1" s="1"/>
  <c r="Q113" i="1" a="1"/>
  <c r="Q113" i="1" s="1"/>
  <c r="Q118" i="1" a="1"/>
  <c r="Q118" i="1" s="1"/>
  <c r="Q122" i="1" a="1"/>
  <c r="Q122" i="1" s="1"/>
  <c r="Q131" i="1" a="1"/>
  <c r="Q131" i="1" s="1"/>
  <c r="Q136" i="1" a="1"/>
  <c r="Q136" i="1" s="1"/>
  <c r="Q140" i="1" a="1"/>
  <c r="Q140" i="1" s="1"/>
  <c r="Q148" i="1" a="1"/>
  <c r="Q148" i="1" s="1"/>
  <c r="Q153" i="1" a="1"/>
  <c r="Q153" i="1" s="1"/>
  <c r="Q161" i="1" a="1"/>
  <c r="Q161" i="1" s="1"/>
  <c r="O166" i="1"/>
  <c r="M3" i="1" a="1"/>
  <c r="M3" i="1" s="1"/>
  <c r="M6" i="1" a="1"/>
  <c r="M6" i="1" s="1"/>
  <c r="M9" i="1" a="1"/>
  <c r="M9" i="1" s="1"/>
  <c r="M12" i="1" a="1"/>
  <c r="M12" i="1" s="1"/>
  <c r="P114" i="1" a="1"/>
  <c r="P114" i="1" s="1"/>
  <c r="P118" i="1" a="1"/>
  <c r="P118" i="1" s="1"/>
  <c r="P126" i="1" a="1"/>
  <c r="P126" i="1" s="1"/>
  <c r="P131" i="1" a="1"/>
  <c r="P131" i="1" s="1"/>
  <c r="P135" i="1" a="1"/>
  <c r="P135" i="1" s="1"/>
  <c r="P139" i="1" a="1"/>
  <c r="P139" i="1" s="1"/>
  <c r="P143" i="1" a="1"/>
  <c r="P143" i="1" s="1"/>
  <c r="P147" i="1" a="1"/>
  <c r="P147" i="1" s="1"/>
  <c r="P151" i="1" a="1"/>
  <c r="P151" i="1" s="1"/>
  <c r="P155" i="1" a="1"/>
  <c r="P155" i="1" s="1"/>
  <c r="P159" i="1" a="1"/>
  <c r="P159" i="1" s="1"/>
  <c r="P168" i="1" a="1"/>
  <c r="P168" i="1" s="1"/>
  <c r="Q109" i="1" a="1"/>
  <c r="Q109" i="1" s="1"/>
  <c r="Q119" i="1" a="1"/>
  <c r="Q119" i="1" s="1"/>
  <c r="Q127" i="1" a="1"/>
  <c r="Q127" i="1" s="1"/>
  <c r="Q137" i="1" a="1"/>
  <c r="Q137" i="1" s="1"/>
  <c r="Q145" i="1" a="1"/>
  <c r="Q145" i="1" s="1"/>
  <c r="Q149" i="1" a="1"/>
  <c r="Q149" i="1" s="1"/>
  <c r="Q157" i="1" a="1"/>
  <c r="Q157" i="1" s="1"/>
  <c r="Q162" i="1" a="1"/>
  <c r="Q162" i="1" s="1"/>
  <c r="Q166" i="1" a="1"/>
  <c r="Q166" i="1" s="1"/>
  <c r="O167" i="1"/>
  <c r="P106" i="1" a="1"/>
  <c r="P106" i="1" s="1"/>
  <c r="P110" i="1" a="1"/>
  <c r="P110" i="1" s="1"/>
  <c r="P115" i="1" a="1"/>
  <c r="P115" i="1" s="1"/>
  <c r="P123" i="1" a="1"/>
  <c r="P123" i="1" s="1"/>
  <c r="P127" i="1" a="1"/>
  <c r="P127" i="1" s="1"/>
  <c r="P132" i="1" a="1"/>
  <c r="P132" i="1" s="1"/>
  <c r="P136" i="1" a="1"/>
  <c r="P136" i="1" s="1"/>
  <c r="P140" i="1" a="1"/>
  <c r="P140" i="1" s="1"/>
  <c r="P148" i="1" a="1"/>
  <c r="P148" i="1" s="1"/>
  <c r="P160" i="1" a="1"/>
  <c r="P160" i="1" s="1"/>
  <c r="P164" i="1" a="1"/>
  <c r="P164" i="1" s="1"/>
  <c r="Q110" i="1" a="1"/>
  <c r="Q110" i="1" s="1"/>
  <c r="Q114" i="1" a="1"/>
  <c r="Q114" i="1" s="1"/>
  <c r="Q123" i="1" a="1"/>
  <c r="Q123" i="1" s="1"/>
  <c r="Q128" i="1" a="1"/>
  <c r="Q128" i="1" s="1"/>
  <c r="Q132" i="1" a="1"/>
  <c r="Q132" i="1" s="1"/>
  <c r="Q141" i="1" a="1"/>
  <c r="Q141" i="1" s="1"/>
  <c r="Q146" i="1" a="1"/>
  <c r="Q146" i="1" s="1"/>
  <c r="Q154" i="1" a="1"/>
  <c r="Q154" i="1" s="1"/>
  <c r="Q158" i="1" a="1"/>
  <c r="Q158" i="1" s="1"/>
  <c r="Q167" i="1" a="1"/>
  <c r="Q167" i="1" s="1"/>
  <c r="O168" i="1"/>
  <c r="M4" i="1" a="1"/>
  <c r="M4" i="1" s="1"/>
  <c r="M7" i="1" a="1"/>
  <c r="M7" i="1" s="1"/>
  <c r="M10" i="1" a="1"/>
  <c r="M10" i="1" s="1"/>
  <c r="M13" i="1" a="1"/>
  <c r="M13" i="1" s="1"/>
  <c r="M16" i="1" a="1"/>
  <c r="M16" i="1" s="1"/>
  <c r="P128" i="1" a="1"/>
  <c r="P128" i="1" s="1"/>
  <c r="P152" i="1" a="1"/>
  <c r="P152" i="1" s="1"/>
  <c r="P165" i="1" a="1"/>
  <c r="P165" i="1" s="1"/>
  <c r="Q106" i="1" a="1"/>
  <c r="Q106" i="1" s="1"/>
  <c r="Q120" i="1" a="1"/>
  <c r="Q120" i="1" s="1"/>
  <c r="Q133" i="1" a="1"/>
  <c r="Q133" i="1" s="1"/>
  <c r="O169" i="1"/>
  <c r="M8" i="1" a="1"/>
  <c r="M8" i="1" s="1"/>
  <c r="M14" i="1" a="1"/>
  <c r="M14" i="1" s="1"/>
  <c r="M18" i="1" a="1"/>
  <c r="M18" i="1" s="1"/>
  <c r="M22" i="1" a="1"/>
  <c r="M22" i="1" s="1"/>
  <c r="M29" i="1" a="1"/>
  <c r="M29" i="1" s="1"/>
  <c r="M36" i="1" a="1"/>
  <c r="M36" i="1" s="1"/>
  <c r="M40" i="1" a="1"/>
  <c r="M40" i="1" s="1"/>
  <c r="M47" i="1" a="1"/>
  <c r="M47" i="1" s="1"/>
  <c r="M54" i="1" a="1"/>
  <c r="M54" i="1" s="1"/>
  <c r="M58" i="1" a="1"/>
  <c r="M58" i="1" s="1"/>
  <c r="M65" i="1" a="1"/>
  <c r="M65" i="1" s="1"/>
  <c r="M72" i="1" a="1"/>
  <c r="M72" i="1" s="1"/>
  <c r="L3" i="1" a="1"/>
  <c r="L3" i="1" s="1"/>
  <c r="L6" i="1" a="1"/>
  <c r="L6" i="1" s="1"/>
  <c r="L9" i="1" a="1"/>
  <c r="L9" i="1" s="1"/>
  <c r="L12" i="1" a="1"/>
  <c r="L12" i="1" s="1"/>
  <c r="L15" i="1" a="1"/>
  <c r="L15" i="1" s="1"/>
  <c r="L18" i="1" a="1"/>
  <c r="L18" i="1" s="1"/>
  <c r="L21" i="1" a="1"/>
  <c r="L21" i="1" s="1"/>
  <c r="L24" i="1" a="1"/>
  <c r="L24" i="1" s="1"/>
  <c r="L27" i="1" a="1"/>
  <c r="L27" i="1" s="1"/>
  <c r="L30" i="1" a="1"/>
  <c r="L30" i="1" s="1"/>
  <c r="L36" i="1" a="1"/>
  <c r="L36" i="1" s="1"/>
  <c r="P116" i="1" a="1"/>
  <c r="P116" i="1" s="1"/>
  <c r="P129" i="1" a="1"/>
  <c r="P129" i="1" s="1"/>
  <c r="P141" i="1" a="1"/>
  <c r="P141" i="1" s="1"/>
  <c r="P153" i="1" a="1"/>
  <c r="P153" i="1" s="1"/>
  <c r="P166" i="1" a="1"/>
  <c r="P166" i="1" s="1"/>
  <c r="Q107" i="1" a="1"/>
  <c r="Q107" i="1" s="1"/>
  <c r="Q134" i="1" a="1"/>
  <c r="Q134" i="1" s="1"/>
  <c r="Q147" i="1" a="1"/>
  <c r="Q147" i="1" s="1"/>
  <c r="Q159" i="1" a="1"/>
  <c r="Q159" i="1" s="1"/>
  <c r="O170" i="1"/>
  <c r="M19" i="1" a="1"/>
  <c r="M19" i="1" s="1"/>
  <c r="M26" i="1" a="1"/>
  <c r="M26" i="1" s="1"/>
  <c r="M33" i="1" a="1"/>
  <c r="M33" i="1" s="1"/>
  <c r="M37" i="1" a="1"/>
  <c r="M37" i="1" s="1"/>
  <c r="M44" i="1" a="1"/>
  <c r="M44" i="1" s="1"/>
  <c r="M51" i="1" a="1"/>
  <c r="M51" i="1" s="1"/>
  <c r="M55" i="1" a="1"/>
  <c r="M55" i="1" s="1"/>
  <c r="M62" i="1" a="1"/>
  <c r="M62" i="1" s="1"/>
  <c r="M69" i="1" a="1"/>
  <c r="M69" i="1" s="1"/>
  <c r="M73" i="1" a="1"/>
  <c r="M73" i="1" s="1"/>
  <c r="M76" i="1" a="1"/>
  <c r="M76" i="1" s="1"/>
  <c r="M79" i="1" a="1"/>
  <c r="M79" i="1" s="1"/>
  <c r="M82" i="1" a="1"/>
  <c r="M82" i="1" s="1"/>
  <c r="P107" i="1" a="1"/>
  <c r="P107" i="1" s="1"/>
  <c r="P119" i="1" a="1"/>
  <c r="P119" i="1" s="1"/>
  <c r="P133" i="1" a="1"/>
  <c r="P133" i="1" s="1"/>
  <c r="P144" i="1" a="1"/>
  <c r="P144" i="1" s="1"/>
  <c r="P156" i="1" a="1"/>
  <c r="P156" i="1" s="1"/>
  <c r="Q111" i="1" a="1"/>
  <c r="Q111" i="1" s="1"/>
  <c r="Q124" i="1" a="1"/>
  <c r="Q124" i="1" s="1"/>
  <c r="Q138" i="1" a="1"/>
  <c r="Q138" i="1" s="1"/>
  <c r="Q150" i="1" a="1"/>
  <c r="Q150" i="1" s="1"/>
  <c r="Q163" i="1" a="1"/>
  <c r="Q163" i="1" s="1"/>
  <c r="M15" i="1" a="1"/>
  <c r="M15" i="1" s="1"/>
  <c r="M23" i="1" a="1"/>
  <c r="M23" i="1" s="1"/>
  <c r="M30" i="1" a="1"/>
  <c r="M30" i="1" s="1"/>
  <c r="M34" i="1" a="1"/>
  <c r="M34" i="1" s="1"/>
  <c r="M41" i="1" a="1"/>
  <c r="M41" i="1" s="1"/>
  <c r="M48" i="1" a="1"/>
  <c r="M48" i="1" s="1"/>
  <c r="M52" i="1" a="1"/>
  <c r="M52" i="1" s="1"/>
  <c r="M59" i="1" a="1"/>
  <c r="M59" i="1" s="1"/>
  <c r="M66" i="1" a="1"/>
  <c r="M66" i="1" s="1"/>
  <c r="M70" i="1" a="1"/>
  <c r="M70" i="1" s="1"/>
  <c r="P120" i="1" a="1"/>
  <c r="P120" i="1" s="1"/>
  <c r="P145" i="1" a="1"/>
  <c r="P145" i="1" s="1"/>
  <c r="P157" i="1" a="1"/>
  <c r="P157" i="1" s="1"/>
  <c r="Q125" i="1" a="1"/>
  <c r="Q125" i="1" s="1"/>
  <c r="Q151" i="1" a="1"/>
  <c r="Q151" i="1" s="1"/>
  <c r="Q164" i="1" a="1"/>
  <c r="Q164" i="1" s="1"/>
  <c r="M5" i="1" a="1"/>
  <c r="M5" i="1" s="1"/>
  <c r="M11" i="1" a="1"/>
  <c r="M11" i="1" s="1"/>
  <c r="M20" i="1" a="1"/>
  <c r="M20" i="1" s="1"/>
  <c r="M27" i="1" a="1"/>
  <c r="M27" i="1" s="1"/>
  <c r="M31" i="1" a="1"/>
  <c r="M31" i="1" s="1"/>
  <c r="M38" i="1" a="1"/>
  <c r="M38" i="1" s="1"/>
  <c r="M45" i="1" a="1"/>
  <c r="M45" i="1" s="1"/>
  <c r="M49" i="1" a="1"/>
  <c r="M49" i="1" s="1"/>
  <c r="M56" i="1" a="1"/>
  <c r="M56" i="1" s="1"/>
  <c r="M63" i="1" a="1"/>
  <c r="M63" i="1" s="1"/>
  <c r="M67" i="1" a="1"/>
  <c r="M67" i="1" s="1"/>
  <c r="M74" i="1" a="1"/>
  <c r="M74" i="1" s="1"/>
  <c r="M77" i="1" a="1"/>
  <c r="M77" i="1" s="1"/>
  <c r="M80" i="1" a="1"/>
  <c r="M80" i="1" s="1"/>
  <c r="M83" i="1" a="1"/>
  <c r="M83" i="1" s="1"/>
  <c r="M86" i="1" a="1"/>
  <c r="M86" i="1" s="1"/>
  <c r="M89" i="1" a="1"/>
  <c r="M89" i="1" s="1"/>
  <c r="M92" i="1" a="1"/>
  <c r="M92" i="1" s="1"/>
  <c r="M95" i="1" a="1"/>
  <c r="M95" i="1" s="1"/>
  <c r="M98" i="1" a="1"/>
  <c r="M98" i="1" s="1"/>
  <c r="M101" i="1" a="1"/>
  <c r="M101" i="1" s="1"/>
  <c r="P111" i="1" a="1"/>
  <c r="P111" i="1" s="1"/>
  <c r="P124" i="1" a="1"/>
  <c r="P124" i="1" s="1"/>
  <c r="P161" i="1" a="1"/>
  <c r="P161" i="1" s="1"/>
  <c r="Q115" i="1" a="1"/>
  <c r="Q115" i="1" s="1"/>
  <c r="Q129" i="1" a="1"/>
  <c r="Q129" i="1" s="1"/>
  <c r="Q142" i="1" a="1"/>
  <c r="Q142" i="1" s="1"/>
  <c r="Q155" i="1" a="1"/>
  <c r="Q155" i="1" s="1"/>
  <c r="O165" i="1"/>
  <c r="M17" i="1" a="1"/>
  <c r="M17" i="1" s="1"/>
  <c r="M24" i="1" a="1"/>
  <c r="M24" i="1" s="1"/>
  <c r="M28" i="1" a="1"/>
  <c r="M28" i="1" s="1"/>
  <c r="M35" i="1" a="1"/>
  <c r="M35" i="1" s="1"/>
  <c r="M42" i="1" a="1"/>
  <c r="M42" i="1" s="1"/>
  <c r="M46" i="1" a="1"/>
  <c r="M46" i="1" s="1"/>
  <c r="M53" i="1" a="1"/>
  <c r="M53" i="1" s="1"/>
  <c r="M60" i="1" a="1"/>
  <c r="M60" i="1" s="1"/>
  <c r="M64" i="1" a="1"/>
  <c r="M64" i="1" s="1"/>
  <c r="M71" i="1" a="1"/>
  <c r="M71" i="1" s="1"/>
  <c r="L5" i="1" a="1"/>
  <c r="L5" i="1" s="1"/>
  <c r="L8" i="1" a="1"/>
  <c r="L8" i="1" s="1"/>
  <c r="L11" i="1" a="1"/>
  <c r="L11" i="1" s="1"/>
  <c r="L14" i="1" a="1"/>
  <c r="L14" i="1" s="1"/>
  <c r="L17" i="1" a="1"/>
  <c r="L17" i="1" s="1"/>
  <c r="L20" i="1" a="1"/>
  <c r="L20" i="1" s="1"/>
  <c r="L23" i="1" a="1"/>
  <c r="L23" i="1" s="1"/>
  <c r="L26" i="1" a="1"/>
  <c r="L26" i="1" s="1"/>
  <c r="L29" i="1" a="1"/>
  <c r="L29" i="1" s="1"/>
  <c r="L32" i="1" a="1"/>
  <c r="L32" i="1" s="1"/>
  <c r="L35" i="1" a="1"/>
  <c r="L35" i="1" s="1"/>
  <c r="L38" i="1" a="1"/>
  <c r="L38" i="1" s="1"/>
  <c r="P112" i="1" a="1"/>
  <c r="P112" i="1" s="1"/>
  <c r="Q116" i="1" a="1"/>
  <c r="Q116" i="1" s="1"/>
  <c r="M39" i="1" a="1"/>
  <c r="M39" i="1" s="1"/>
  <c r="M61" i="1" a="1"/>
  <c r="M61" i="1" s="1"/>
  <c r="M81" i="1" a="1"/>
  <c r="M81" i="1" s="1"/>
  <c r="M106" i="1" a="1"/>
  <c r="M106" i="1" s="1"/>
  <c r="M110" i="1" a="1"/>
  <c r="M110" i="1" s="1"/>
  <c r="M115" i="1" a="1"/>
  <c r="M115" i="1" s="1"/>
  <c r="M119" i="1" a="1"/>
  <c r="M119" i="1" s="1"/>
  <c r="M124" i="1" a="1"/>
  <c r="M124" i="1" s="1"/>
  <c r="M128" i="1" a="1"/>
  <c r="M128" i="1" s="1"/>
  <c r="M133" i="1" a="1"/>
  <c r="M133" i="1" s="1"/>
  <c r="M137" i="1" a="1"/>
  <c r="M137" i="1" s="1"/>
  <c r="M142" i="1" a="1"/>
  <c r="M142" i="1" s="1"/>
  <c r="M146" i="1" a="1"/>
  <c r="M146" i="1" s="1"/>
  <c r="M151" i="1" a="1"/>
  <c r="M151" i="1" s="1"/>
  <c r="M155" i="1" a="1"/>
  <c r="M155" i="1" s="1"/>
  <c r="M160" i="1" a="1"/>
  <c r="M160" i="1" s="1"/>
  <c r="M164" i="1" a="1"/>
  <c r="M164" i="1" s="1"/>
  <c r="M169" i="1" a="1"/>
  <c r="M169" i="1" s="1"/>
  <c r="L40" i="1" a="1"/>
  <c r="L40" i="1" s="1"/>
  <c r="L43" i="1" a="1"/>
  <c r="L43" i="1" s="1"/>
  <c r="L46" i="1" a="1"/>
  <c r="L46" i="1" s="1"/>
  <c r="L49" i="1" a="1"/>
  <c r="L49" i="1" s="1"/>
  <c r="M21" i="1" a="1"/>
  <c r="M21" i="1" s="1"/>
  <c r="M43" i="1" a="1"/>
  <c r="M43" i="1" s="1"/>
  <c r="M84" i="1" a="1"/>
  <c r="M84" i="1" s="1"/>
  <c r="M90" i="1" a="1"/>
  <c r="M90" i="1" s="1"/>
  <c r="M96" i="1" a="1"/>
  <c r="M96" i="1" s="1"/>
  <c r="M102" i="1" a="1"/>
  <c r="M102" i="1" s="1"/>
  <c r="M111" i="1" a="1"/>
  <c r="M111" i="1" s="1"/>
  <c r="M120" i="1" a="1"/>
  <c r="M120" i="1" s="1"/>
  <c r="M129" i="1" a="1"/>
  <c r="M129" i="1" s="1"/>
  <c r="M138" i="1" a="1"/>
  <c r="M138" i="1" s="1"/>
  <c r="M147" i="1" a="1"/>
  <c r="M147" i="1" s="1"/>
  <c r="M156" i="1" a="1"/>
  <c r="M156" i="1" s="1"/>
  <c r="M165" i="1" a="1"/>
  <c r="M165" i="1" s="1"/>
  <c r="L10" i="1" a="1"/>
  <c r="L10" i="1" s="1"/>
  <c r="L19" i="1" a="1"/>
  <c r="L19" i="1" s="1"/>
  <c r="L28" i="1" a="1"/>
  <c r="L28" i="1" s="1"/>
  <c r="L37" i="1" a="1"/>
  <c r="L37" i="1" s="1"/>
  <c r="P137" i="1" a="1"/>
  <c r="P137" i="1" s="1"/>
  <c r="Q143" i="1" a="1"/>
  <c r="Q143" i="1" s="1"/>
  <c r="M25" i="1" a="1"/>
  <c r="M25" i="1" s="1"/>
  <c r="M68" i="1" a="1"/>
  <c r="M68" i="1" s="1"/>
  <c r="M85" i="1" a="1"/>
  <c r="M85" i="1" s="1"/>
  <c r="M91" i="1" a="1"/>
  <c r="M91" i="1" s="1"/>
  <c r="M97" i="1" a="1"/>
  <c r="M97" i="1" s="1"/>
  <c r="M103" i="1" a="1"/>
  <c r="M103" i="1" s="1"/>
  <c r="M107" i="1" a="1"/>
  <c r="M107" i="1" s="1"/>
  <c r="M112" i="1" a="1"/>
  <c r="M112" i="1" s="1"/>
  <c r="M116" i="1" a="1"/>
  <c r="M116" i="1" s="1"/>
  <c r="M121" i="1" a="1"/>
  <c r="M121" i="1" s="1"/>
  <c r="M125" i="1" a="1"/>
  <c r="M125" i="1" s="1"/>
  <c r="M130" i="1" a="1"/>
  <c r="M130" i="1" s="1"/>
  <c r="M134" i="1" a="1"/>
  <c r="M134" i="1" s="1"/>
  <c r="M139" i="1" a="1"/>
  <c r="M139" i="1" s="1"/>
  <c r="M143" i="1" a="1"/>
  <c r="M143" i="1" s="1"/>
  <c r="M148" i="1" a="1"/>
  <c r="M148" i="1" s="1"/>
  <c r="M152" i="1" a="1"/>
  <c r="M152" i="1" s="1"/>
  <c r="M157" i="1" a="1"/>
  <c r="M157" i="1" s="1"/>
  <c r="M161" i="1" a="1"/>
  <c r="M161" i="1" s="1"/>
  <c r="M166" i="1" a="1"/>
  <c r="M166" i="1" s="1"/>
  <c r="P149" i="1" a="1"/>
  <c r="P149" i="1" s="1"/>
  <c r="M50" i="1" a="1"/>
  <c r="M50" i="1" s="1"/>
  <c r="M108" i="1" a="1"/>
  <c r="M108" i="1" s="1"/>
  <c r="M117" i="1" a="1"/>
  <c r="M117" i="1" s="1"/>
  <c r="M126" i="1" a="1"/>
  <c r="M126" i="1" s="1"/>
  <c r="M135" i="1" a="1"/>
  <c r="M135" i="1" s="1"/>
  <c r="M144" i="1" a="1"/>
  <c r="M144" i="1" s="1"/>
  <c r="M153" i="1" a="1"/>
  <c r="M153" i="1" s="1"/>
  <c r="M162" i="1" a="1"/>
  <c r="M162" i="1" s="1"/>
  <c r="M2" i="1" a="1"/>
  <c r="M2" i="1" s="1"/>
  <c r="L16" i="1" a="1"/>
  <c r="L16" i="1" s="1"/>
  <c r="L25" i="1" a="1"/>
  <c r="L25" i="1" s="1"/>
  <c r="L34" i="1" a="1"/>
  <c r="L34" i="1" s="1"/>
  <c r="K37" i="1" a="1"/>
  <c r="K37" i="1" s="1"/>
  <c r="Q168" i="1" a="1"/>
  <c r="Q168" i="1" s="1"/>
  <c r="M32" i="1" a="1"/>
  <c r="M32" i="1" s="1"/>
  <c r="M75" i="1" a="1"/>
  <c r="M75" i="1" s="1"/>
  <c r="M87" i="1" a="1"/>
  <c r="M87" i="1" s="1"/>
  <c r="M93" i="1" a="1"/>
  <c r="M93" i="1" s="1"/>
  <c r="M99" i="1" a="1"/>
  <c r="M99" i="1" s="1"/>
  <c r="M104" i="1" a="1"/>
  <c r="M104" i="1" s="1"/>
  <c r="M109" i="1" a="1"/>
  <c r="M109" i="1" s="1"/>
  <c r="M113" i="1" a="1"/>
  <c r="M113" i="1" s="1"/>
  <c r="M118" i="1" a="1"/>
  <c r="M118" i="1" s="1"/>
  <c r="M122" i="1" a="1"/>
  <c r="M122" i="1" s="1"/>
  <c r="M127" i="1" a="1"/>
  <c r="M127" i="1" s="1"/>
  <c r="M131" i="1" a="1"/>
  <c r="M131" i="1" s="1"/>
  <c r="M136" i="1" a="1"/>
  <c r="M136" i="1" s="1"/>
  <c r="M140" i="1" a="1"/>
  <c r="M140" i="1" s="1"/>
  <c r="M145" i="1" a="1"/>
  <c r="M145" i="1" s="1"/>
  <c r="M149" i="1" a="1"/>
  <c r="M149" i="1" s="1"/>
  <c r="M154" i="1" a="1"/>
  <c r="M154" i="1" s="1"/>
  <c r="M158" i="1" a="1"/>
  <c r="M158" i="1" s="1"/>
  <c r="M163" i="1" a="1"/>
  <c r="M163" i="1" s="1"/>
  <c r="M167" i="1" a="1"/>
  <c r="M167" i="1" s="1"/>
  <c r="L39" i="1" a="1"/>
  <c r="L39" i="1" s="1"/>
  <c r="L42" i="1" a="1"/>
  <c r="L42" i="1" s="1"/>
  <c r="L45" i="1" a="1"/>
  <c r="L45" i="1" s="1"/>
  <c r="L48" i="1" a="1"/>
  <c r="L48" i="1" s="1"/>
  <c r="L51" i="1" a="1"/>
  <c r="L51" i="1" s="1"/>
  <c r="L54" i="1" a="1"/>
  <c r="L54" i="1" s="1"/>
  <c r="L60" i="1" a="1"/>
  <c r="L60" i="1" s="1"/>
  <c r="L63" i="1" a="1"/>
  <c r="L63" i="1" s="1"/>
  <c r="L66" i="1" a="1"/>
  <c r="L66" i="1" s="1"/>
  <c r="L69" i="1" a="1"/>
  <c r="L69" i="1" s="1"/>
  <c r="L72" i="1" a="1"/>
  <c r="L72" i="1" s="1"/>
  <c r="L75" i="1" a="1"/>
  <c r="L75" i="1" s="1"/>
  <c r="L78" i="1" a="1"/>
  <c r="L78" i="1" s="1"/>
  <c r="L81" i="1" a="1"/>
  <c r="L81" i="1" s="1"/>
  <c r="L84" i="1" a="1"/>
  <c r="L84" i="1" s="1"/>
  <c r="L87" i="1" a="1"/>
  <c r="L87" i="1" s="1"/>
  <c r="M78" i="1" a="1"/>
  <c r="M78" i="1" s="1"/>
  <c r="M114" i="1" a="1"/>
  <c r="M114" i="1" s="1"/>
  <c r="M141" i="1" a="1"/>
  <c r="M141" i="1" s="1"/>
  <c r="M168" i="1" a="1"/>
  <c r="M168" i="1" s="1"/>
  <c r="L13" i="1" a="1"/>
  <c r="L13" i="1" s="1"/>
  <c r="L55" i="1" a="1"/>
  <c r="L55" i="1" s="1"/>
  <c r="L61" i="1" a="1"/>
  <c r="L61" i="1" s="1"/>
  <c r="L67" i="1" a="1"/>
  <c r="L67" i="1" s="1"/>
  <c r="L73" i="1" a="1"/>
  <c r="L73" i="1" s="1"/>
  <c r="L79" i="1" a="1"/>
  <c r="L79" i="1" s="1"/>
  <c r="L85" i="1" a="1"/>
  <c r="L85" i="1" s="1"/>
  <c r="L95" i="1" a="1"/>
  <c r="L95" i="1" s="1"/>
  <c r="L104" i="1" a="1"/>
  <c r="L104" i="1" s="1"/>
  <c r="L113" i="1" a="1"/>
  <c r="L113" i="1" s="1"/>
  <c r="L122" i="1" a="1"/>
  <c r="L122" i="1" s="1"/>
  <c r="L131" i="1" a="1"/>
  <c r="L131" i="1" s="1"/>
  <c r="L140" i="1" a="1"/>
  <c r="L140" i="1" s="1"/>
  <c r="L149" i="1" a="1"/>
  <c r="L149" i="1" s="1"/>
  <c r="L158" i="1" a="1"/>
  <c r="L158" i="1" s="1"/>
  <c r="L167" i="1" a="1"/>
  <c r="L167" i="1" s="1"/>
  <c r="K39" i="1" a="1"/>
  <c r="K39" i="1" s="1"/>
  <c r="K82" i="1" a="1"/>
  <c r="K82" i="1" s="1"/>
  <c r="K88" i="1" a="1"/>
  <c r="K88" i="1" s="1"/>
  <c r="K94" i="1" a="1"/>
  <c r="K94" i="1" s="1"/>
  <c r="K100" i="1" a="1"/>
  <c r="K100" i="1" s="1"/>
  <c r="K106" i="1" a="1"/>
  <c r="K106" i="1" s="1"/>
  <c r="K112" i="1" a="1"/>
  <c r="K112" i="1" s="1"/>
  <c r="K118" i="1" a="1"/>
  <c r="K118" i="1" s="1"/>
  <c r="K124" i="1" a="1"/>
  <c r="K124" i="1" s="1"/>
  <c r="K130" i="1" a="1"/>
  <c r="K130" i="1" s="1"/>
  <c r="K136" i="1" a="1"/>
  <c r="K136" i="1" s="1"/>
  <c r="K142" i="1" a="1"/>
  <c r="K142" i="1" s="1"/>
  <c r="K148" i="1" a="1"/>
  <c r="K148" i="1" s="1"/>
  <c r="K154" i="1" a="1"/>
  <c r="K154" i="1" s="1"/>
  <c r="K160" i="1" a="1"/>
  <c r="K160" i="1" s="1"/>
  <c r="K166" i="1" a="1"/>
  <c r="K166" i="1" s="1"/>
  <c r="H4" i="1" a="1"/>
  <c r="H4" i="1" s="1"/>
  <c r="H17" i="1" a="1"/>
  <c r="H17" i="1" s="1"/>
  <c r="H23" i="1" a="1"/>
  <c r="H23" i="1" s="1"/>
  <c r="H29" i="1" a="1"/>
  <c r="H29" i="1" s="1"/>
  <c r="H35" i="1" a="1"/>
  <c r="H35" i="1" s="1"/>
  <c r="H41" i="1" a="1"/>
  <c r="H41" i="1" s="1"/>
  <c r="H47" i="1" a="1"/>
  <c r="H47" i="1" s="1"/>
  <c r="H53" i="1" a="1"/>
  <c r="H53" i="1" s="1"/>
  <c r="H59" i="1" a="1"/>
  <c r="H59" i="1" s="1"/>
  <c r="H65" i="1" a="1"/>
  <c r="H65" i="1" s="1"/>
  <c r="H71" i="1" a="1"/>
  <c r="H71" i="1" s="1"/>
  <c r="H77" i="1" a="1"/>
  <c r="H77" i="1" s="1"/>
  <c r="H83" i="1" a="1"/>
  <c r="H83" i="1" s="1"/>
  <c r="H89" i="1" a="1"/>
  <c r="H89" i="1" s="1"/>
  <c r="H95" i="1" a="1"/>
  <c r="H95" i="1" s="1"/>
  <c r="H101" i="1" a="1"/>
  <c r="H101" i="1" s="1"/>
  <c r="M88" i="1" a="1"/>
  <c r="M88" i="1" s="1"/>
  <c r="M170" i="1" a="1"/>
  <c r="M170" i="1" s="1"/>
  <c r="L41" i="1" a="1"/>
  <c r="L41" i="1" s="1"/>
  <c r="L50" i="1" a="1"/>
  <c r="L50" i="1" s="1"/>
  <c r="L56" i="1" a="1"/>
  <c r="L56" i="1" s="1"/>
  <c r="L62" i="1" a="1"/>
  <c r="L62" i="1" s="1"/>
  <c r="L68" i="1" a="1"/>
  <c r="L68" i="1" s="1"/>
  <c r="L74" i="1" a="1"/>
  <c r="L74" i="1" s="1"/>
  <c r="L80" i="1" a="1"/>
  <c r="L80" i="1" s="1"/>
  <c r="L86" i="1" a="1"/>
  <c r="L86" i="1" s="1"/>
  <c r="L91" i="1" a="1"/>
  <c r="L91" i="1" s="1"/>
  <c r="L96" i="1" a="1"/>
  <c r="L96" i="1" s="1"/>
  <c r="L100" i="1" a="1"/>
  <c r="L100" i="1" s="1"/>
  <c r="L105" i="1" a="1"/>
  <c r="L105" i="1" s="1"/>
  <c r="L109" i="1" a="1"/>
  <c r="L109" i="1" s="1"/>
  <c r="L114" i="1" a="1"/>
  <c r="L114" i="1" s="1"/>
  <c r="L118" i="1" a="1"/>
  <c r="L118" i="1" s="1"/>
  <c r="L123" i="1" a="1"/>
  <c r="L123" i="1" s="1"/>
  <c r="L127" i="1" a="1"/>
  <c r="L127" i="1" s="1"/>
  <c r="L132" i="1" a="1"/>
  <c r="L132" i="1" s="1"/>
  <c r="L136" i="1" a="1"/>
  <c r="L136" i="1" s="1"/>
  <c r="L141" i="1" a="1"/>
  <c r="L141" i="1" s="1"/>
  <c r="L145" i="1" a="1"/>
  <c r="L145" i="1" s="1"/>
  <c r="L150" i="1" a="1"/>
  <c r="L150" i="1" s="1"/>
  <c r="L154" i="1" a="1"/>
  <c r="L154" i="1" s="1"/>
  <c r="L159" i="1" a="1"/>
  <c r="L159" i="1" s="1"/>
  <c r="L163" i="1" a="1"/>
  <c r="L163" i="1" s="1"/>
  <c r="L168" i="1" a="1"/>
  <c r="L168" i="1" s="1"/>
  <c r="K40" i="1" a="1"/>
  <c r="K40" i="1" s="1"/>
  <c r="K47" i="1" a="1"/>
  <c r="K47" i="1" s="1"/>
  <c r="K59" i="1" a="1"/>
  <c r="K59" i="1" s="1"/>
  <c r="K83" i="1" a="1"/>
  <c r="K83" i="1" s="1"/>
  <c r="K89" i="1" a="1"/>
  <c r="K89" i="1" s="1"/>
  <c r="K95" i="1" a="1"/>
  <c r="K95" i="1" s="1"/>
  <c r="K101" i="1" a="1"/>
  <c r="K101" i="1" s="1"/>
  <c r="K107" i="1" a="1"/>
  <c r="K107" i="1" s="1"/>
  <c r="K113" i="1" a="1"/>
  <c r="K113" i="1" s="1"/>
  <c r="K119" i="1" a="1"/>
  <c r="K119" i="1" s="1"/>
  <c r="K125" i="1" a="1"/>
  <c r="K125" i="1" s="1"/>
  <c r="K131" i="1" a="1"/>
  <c r="K131" i="1" s="1"/>
  <c r="K137" i="1" a="1"/>
  <c r="K137" i="1" s="1"/>
  <c r="K143" i="1" a="1"/>
  <c r="K143" i="1" s="1"/>
  <c r="K149" i="1" a="1"/>
  <c r="K149" i="1" s="1"/>
  <c r="K155" i="1" a="1"/>
  <c r="K155" i="1" s="1"/>
  <c r="K161" i="1" a="1"/>
  <c r="K161" i="1" s="1"/>
  <c r="K167" i="1" a="1"/>
  <c r="K167" i="1" s="1"/>
  <c r="H12" i="1" a="1"/>
  <c r="H12" i="1" s="1"/>
  <c r="H18" i="1" a="1"/>
  <c r="H18" i="1" s="1"/>
  <c r="H24" i="1" a="1"/>
  <c r="H24" i="1" s="1"/>
  <c r="H30" i="1" a="1"/>
  <c r="H30" i="1" s="1"/>
  <c r="H36" i="1" a="1"/>
  <c r="H36" i="1" s="1"/>
  <c r="H42" i="1" a="1"/>
  <c r="H42" i="1" s="1"/>
  <c r="H48" i="1" a="1"/>
  <c r="H48" i="1" s="1"/>
  <c r="H54" i="1" a="1"/>
  <c r="H54" i="1" s="1"/>
  <c r="H60" i="1" a="1"/>
  <c r="H60" i="1" s="1"/>
  <c r="H66" i="1" a="1"/>
  <c r="H66" i="1" s="1"/>
  <c r="H72" i="1" a="1"/>
  <c r="H72" i="1" s="1"/>
  <c r="H78" i="1" a="1"/>
  <c r="H78" i="1" s="1"/>
  <c r="H84" i="1" a="1"/>
  <c r="H84" i="1" s="1"/>
  <c r="H90" i="1" a="1"/>
  <c r="H90" i="1" s="1"/>
  <c r="H96" i="1" a="1"/>
  <c r="H96" i="1" s="1"/>
  <c r="M94" i="1" a="1"/>
  <c r="M94" i="1" s="1"/>
  <c r="M123" i="1" a="1"/>
  <c r="M123" i="1" s="1"/>
  <c r="M150" i="1" a="1"/>
  <c r="M150" i="1" s="1"/>
  <c r="L31" i="1" a="1"/>
  <c r="L31" i="1" s="1"/>
  <c r="L92" i="1" a="1"/>
  <c r="L92" i="1" s="1"/>
  <c r="L101" i="1" a="1"/>
  <c r="L101" i="1" s="1"/>
  <c r="L110" i="1" a="1"/>
  <c r="L110" i="1" s="1"/>
  <c r="L119" i="1" a="1"/>
  <c r="L119" i="1" s="1"/>
  <c r="L128" i="1" a="1"/>
  <c r="L128" i="1" s="1"/>
  <c r="L137" i="1" a="1"/>
  <c r="L137" i="1" s="1"/>
  <c r="L146" i="1" a="1"/>
  <c r="L146" i="1" s="1"/>
  <c r="L155" i="1" a="1"/>
  <c r="L155" i="1" s="1"/>
  <c r="L164" i="1" a="1"/>
  <c r="L164" i="1" s="1"/>
  <c r="K27" i="1" a="1"/>
  <c r="K27" i="1" s="1"/>
  <c r="K41" i="1" a="1"/>
  <c r="K41" i="1" s="1"/>
  <c r="K84" i="1" a="1"/>
  <c r="K84" i="1" s="1"/>
  <c r="K90" i="1" a="1"/>
  <c r="K90" i="1" s="1"/>
  <c r="K96" i="1" a="1"/>
  <c r="K96" i="1" s="1"/>
  <c r="K102" i="1" a="1"/>
  <c r="K102" i="1" s="1"/>
  <c r="K108" i="1" a="1"/>
  <c r="K108" i="1" s="1"/>
  <c r="K114" i="1" a="1"/>
  <c r="K114" i="1" s="1"/>
  <c r="K120" i="1" a="1"/>
  <c r="K120" i="1" s="1"/>
  <c r="K126" i="1" a="1"/>
  <c r="K126" i="1" s="1"/>
  <c r="K132" i="1" a="1"/>
  <c r="K132" i="1" s="1"/>
  <c r="K138" i="1" a="1"/>
  <c r="K138" i="1" s="1"/>
  <c r="K144" i="1" a="1"/>
  <c r="K144" i="1" s="1"/>
  <c r="K150" i="1" a="1"/>
  <c r="K150" i="1" s="1"/>
  <c r="K156" i="1" a="1"/>
  <c r="K156" i="1" s="1"/>
  <c r="K162" i="1" a="1"/>
  <c r="K162" i="1" s="1"/>
  <c r="K168" i="1" a="1"/>
  <c r="K168" i="1" s="1"/>
  <c r="H13" i="1" a="1"/>
  <c r="H13" i="1" s="1"/>
  <c r="M100" i="1" a="1"/>
  <c r="M100" i="1" s="1"/>
  <c r="L44" i="1" a="1"/>
  <c r="L44" i="1" s="1"/>
  <c r="L52" i="1" a="1"/>
  <c r="L52" i="1" s="1"/>
  <c r="L58" i="1" a="1"/>
  <c r="L58" i="1" s="1"/>
  <c r="L64" i="1" a="1"/>
  <c r="L64" i="1" s="1"/>
  <c r="L70" i="1" a="1"/>
  <c r="L70" i="1" s="1"/>
  <c r="L76" i="1" a="1"/>
  <c r="L76" i="1" s="1"/>
  <c r="L82" i="1" a="1"/>
  <c r="L82" i="1" s="1"/>
  <c r="L88" i="1" a="1"/>
  <c r="L88" i="1" s="1"/>
  <c r="L93" i="1" a="1"/>
  <c r="L93" i="1" s="1"/>
  <c r="L97" i="1" a="1"/>
  <c r="L97" i="1" s="1"/>
  <c r="L102" i="1" a="1"/>
  <c r="L102" i="1" s="1"/>
  <c r="L106" i="1" a="1"/>
  <c r="L106" i="1" s="1"/>
  <c r="L111" i="1" a="1"/>
  <c r="L111" i="1" s="1"/>
  <c r="L115" i="1" a="1"/>
  <c r="L115" i="1" s="1"/>
  <c r="L120" i="1" a="1"/>
  <c r="L120" i="1" s="1"/>
  <c r="L124" i="1" a="1"/>
  <c r="L124" i="1" s="1"/>
  <c r="L129" i="1" a="1"/>
  <c r="L129" i="1" s="1"/>
  <c r="L133" i="1" a="1"/>
  <c r="L133" i="1" s="1"/>
  <c r="L138" i="1" a="1"/>
  <c r="L138" i="1" s="1"/>
  <c r="L142" i="1" a="1"/>
  <c r="L142" i="1" s="1"/>
  <c r="L147" i="1" a="1"/>
  <c r="L147" i="1" s="1"/>
  <c r="L151" i="1" a="1"/>
  <c r="L151" i="1" s="1"/>
  <c r="L156" i="1" a="1"/>
  <c r="L156" i="1" s="1"/>
  <c r="L160" i="1" a="1"/>
  <c r="L160" i="1" s="1"/>
  <c r="L165" i="1" a="1"/>
  <c r="L165" i="1" s="1"/>
  <c r="L169" i="1" a="1"/>
  <c r="L169" i="1" s="1"/>
  <c r="K28" i="1" a="1"/>
  <c r="K28" i="1" s="1"/>
  <c r="K49" i="1" a="1"/>
  <c r="K49" i="1" s="1"/>
  <c r="K79" i="1" a="1"/>
  <c r="K79" i="1" s="1"/>
  <c r="K85" i="1" a="1"/>
  <c r="K85" i="1" s="1"/>
  <c r="K91" i="1" a="1"/>
  <c r="K91" i="1" s="1"/>
  <c r="K97" i="1" a="1"/>
  <c r="K97" i="1" s="1"/>
  <c r="K103" i="1" a="1"/>
  <c r="K103" i="1" s="1"/>
  <c r="K109" i="1" a="1"/>
  <c r="K109" i="1" s="1"/>
  <c r="K115" i="1" a="1"/>
  <c r="K115" i="1" s="1"/>
  <c r="K121" i="1" a="1"/>
  <c r="K121" i="1" s="1"/>
  <c r="K127" i="1" a="1"/>
  <c r="K127" i="1" s="1"/>
  <c r="K133" i="1" a="1"/>
  <c r="K133" i="1" s="1"/>
  <c r="K139" i="1" a="1"/>
  <c r="K139" i="1" s="1"/>
  <c r="K145" i="1" a="1"/>
  <c r="K145" i="1" s="1"/>
  <c r="K151" i="1" a="1"/>
  <c r="K151" i="1" s="1"/>
  <c r="K157" i="1" a="1"/>
  <c r="K157" i="1" s="1"/>
  <c r="K163" i="1" a="1"/>
  <c r="K163" i="1" s="1"/>
  <c r="K169" i="1" a="1"/>
  <c r="K169" i="1" s="1"/>
  <c r="H14" i="1" a="1"/>
  <c r="H14" i="1" s="1"/>
  <c r="H20" i="1" a="1"/>
  <c r="H20" i="1" s="1"/>
  <c r="H26" i="1" a="1"/>
  <c r="H26" i="1" s="1"/>
  <c r="H32" i="1" a="1"/>
  <c r="H32" i="1" s="1"/>
  <c r="H38" i="1" a="1"/>
  <c r="H38" i="1" s="1"/>
  <c r="H44" i="1" a="1"/>
  <c r="H44" i="1" s="1"/>
  <c r="H50" i="1" a="1"/>
  <c r="H50" i="1" s="1"/>
  <c r="H56" i="1" a="1"/>
  <c r="H56" i="1" s="1"/>
  <c r="H62" i="1" a="1"/>
  <c r="H62" i="1" s="1"/>
  <c r="H68" i="1" a="1"/>
  <c r="H68" i="1" s="1"/>
  <c r="H74" i="1" a="1"/>
  <c r="H74" i="1" s="1"/>
  <c r="H80" i="1" a="1"/>
  <c r="H80" i="1" s="1"/>
  <c r="M105" i="1" a="1"/>
  <c r="M105" i="1" s="1"/>
  <c r="M132" i="1" a="1"/>
  <c r="M132" i="1" s="1"/>
  <c r="M159" i="1" a="1"/>
  <c r="M159" i="1" s="1"/>
  <c r="L53" i="1" a="1"/>
  <c r="L53" i="1" s="1"/>
  <c r="L59" i="1" a="1"/>
  <c r="L59" i="1" s="1"/>
  <c r="L65" i="1" a="1"/>
  <c r="L65" i="1" s="1"/>
  <c r="L71" i="1" a="1"/>
  <c r="L71" i="1" s="1"/>
  <c r="L77" i="1" a="1"/>
  <c r="L77" i="1" s="1"/>
  <c r="L83" i="1" a="1"/>
  <c r="L83" i="1" s="1"/>
  <c r="L89" i="1" a="1"/>
  <c r="L89" i="1" s="1"/>
  <c r="L98" i="1" a="1"/>
  <c r="L98" i="1" s="1"/>
  <c r="L107" i="1" a="1"/>
  <c r="L107" i="1" s="1"/>
  <c r="L116" i="1" a="1"/>
  <c r="L116" i="1" s="1"/>
  <c r="L125" i="1" a="1"/>
  <c r="L125" i="1" s="1"/>
  <c r="L134" i="1" a="1"/>
  <c r="L134" i="1" s="1"/>
  <c r="L143" i="1" a="1"/>
  <c r="L143" i="1" s="1"/>
  <c r="L152" i="1" a="1"/>
  <c r="L152" i="1" s="1"/>
  <c r="L161" i="1" a="1"/>
  <c r="L161" i="1" s="1"/>
  <c r="L170" i="1" a="1"/>
  <c r="L170" i="1" s="1"/>
  <c r="K86" i="1" a="1"/>
  <c r="K86" i="1" s="1"/>
  <c r="K92" i="1" a="1"/>
  <c r="K92" i="1" s="1"/>
  <c r="K98" i="1" a="1"/>
  <c r="K98" i="1" s="1"/>
  <c r="K104" i="1" a="1"/>
  <c r="K104" i="1" s="1"/>
  <c r="K110" i="1" a="1"/>
  <c r="K110" i="1" s="1"/>
  <c r="K116" i="1" a="1"/>
  <c r="K116" i="1" s="1"/>
  <c r="K122" i="1" a="1"/>
  <c r="K122" i="1" s="1"/>
  <c r="K128" i="1" a="1"/>
  <c r="K128" i="1" s="1"/>
  <c r="K134" i="1" a="1"/>
  <c r="K134" i="1" s="1"/>
  <c r="K140" i="1" a="1"/>
  <c r="K140" i="1" s="1"/>
  <c r="K146" i="1" a="1"/>
  <c r="K146" i="1" s="1"/>
  <c r="K152" i="1" a="1"/>
  <c r="K152" i="1" s="1"/>
  <c r="K158" i="1" a="1"/>
  <c r="K158" i="1" s="1"/>
  <c r="K164" i="1" a="1"/>
  <c r="K164" i="1" s="1"/>
  <c r="K170" i="1" a="1"/>
  <c r="K170" i="1" s="1"/>
  <c r="H15" i="1" a="1"/>
  <c r="H15" i="1" s="1"/>
  <c r="H21" i="1" a="1"/>
  <c r="H21" i="1" s="1"/>
  <c r="H27" i="1" a="1"/>
  <c r="H27" i="1" s="1"/>
  <c r="H33" i="1" a="1"/>
  <c r="H33" i="1" s="1"/>
  <c r="H39" i="1" a="1"/>
  <c r="H39" i="1" s="1"/>
  <c r="H45" i="1" a="1"/>
  <c r="H45" i="1" s="1"/>
  <c r="H51" i="1" a="1"/>
  <c r="H51" i="1" s="1"/>
  <c r="H57" i="1" a="1"/>
  <c r="H57" i="1" s="1"/>
  <c r="H63" i="1" a="1"/>
  <c r="H63" i="1" s="1"/>
  <c r="H69" i="1" a="1"/>
  <c r="H69" i="1" s="1"/>
  <c r="H75" i="1" a="1"/>
  <c r="H75" i="1" s="1"/>
  <c r="H81" i="1" a="1"/>
  <c r="H81" i="1" s="1"/>
  <c r="H87" i="1" a="1"/>
  <c r="H87" i="1" s="1"/>
  <c r="H93" i="1" a="1"/>
  <c r="H93" i="1" s="1"/>
  <c r="H99" i="1" a="1"/>
  <c r="H99" i="1" s="1"/>
  <c r="H105" i="1" a="1"/>
  <c r="H105" i="1" s="1"/>
  <c r="H111" i="1" a="1"/>
  <c r="H111" i="1" s="1"/>
  <c r="H117" i="1" a="1"/>
  <c r="H117" i="1" s="1"/>
  <c r="H123" i="1" a="1"/>
  <c r="H123" i="1" s="1"/>
  <c r="H129" i="1" a="1"/>
  <c r="H129" i="1" s="1"/>
  <c r="H135" i="1" a="1"/>
  <c r="H135" i="1" s="1"/>
  <c r="H141" i="1" a="1"/>
  <c r="H141" i="1" s="1"/>
  <c r="H147" i="1" a="1"/>
  <c r="H147" i="1" s="1"/>
  <c r="H153" i="1" a="1"/>
  <c r="H153" i="1" s="1"/>
  <c r="H159" i="1" a="1"/>
  <c r="H159" i="1" s="1"/>
  <c r="M57" i="1" a="1"/>
  <c r="M57" i="1" s="1"/>
  <c r="L108" i="1" a="1"/>
  <c r="L108" i="1" s="1"/>
  <c r="L135" i="1" a="1"/>
  <c r="L135" i="1" s="1"/>
  <c r="L162" i="1" a="1"/>
  <c r="L162" i="1" s="1"/>
  <c r="K105" i="1" a="1"/>
  <c r="K105" i="1" s="1"/>
  <c r="K141" i="1" a="1"/>
  <c r="K141" i="1" s="1"/>
  <c r="H16" i="1" a="1"/>
  <c r="H16" i="1" s="1"/>
  <c r="H34" i="1" a="1"/>
  <c r="H34" i="1" s="1"/>
  <c r="H52" i="1" a="1"/>
  <c r="H52" i="1" s="1"/>
  <c r="H70" i="1" a="1"/>
  <c r="H70" i="1" s="1"/>
  <c r="H86" i="1" a="1"/>
  <c r="H86" i="1" s="1"/>
  <c r="H98" i="1" a="1"/>
  <c r="H98" i="1" s="1"/>
  <c r="H107" i="1" a="1"/>
  <c r="H107" i="1" s="1"/>
  <c r="H114" i="1" a="1"/>
  <c r="H114" i="1" s="1"/>
  <c r="H121" i="1" a="1"/>
  <c r="H121" i="1" s="1"/>
  <c r="H128" i="1" a="1"/>
  <c r="H128" i="1" s="1"/>
  <c r="H136" i="1" a="1"/>
  <c r="H136" i="1" s="1"/>
  <c r="H143" i="1" a="1"/>
  <c r="H143" i="1" s="1"/>
  <c r="H150" i="1" a="1"/>
  <c r="H150" i="1" s="1"/>
  <c r="H157" i="1" a="1"/>
  <c r="H157" i="1" s="1"/>
  <c r="H164" i="1" a="1"/>
  <c r="H164" i="1" s="1"/>
  <c r="G8" i="1" a="1"/>
  <c r="G8" i="1" s="1"/>
  <c r="G14" i="1" a="1"/>
  <c r="G14" i="1" s="1"/>
  <c r="G20" i="1" a="1"/>
  <c r="G20" i="1" s="1"/>
  <c r="G26" i="1" a="1"/>
  <c r="G26" i="1" s="1"/>
  <c r="G32" i="1" a="1"/>
  <c r="G32" i="1" s="1"/>
  <c r="G38" i="1" a="1"/>
  <c r="G38" i="1" s="1"/>
  <c r="G44" i="1" a="1"/>
  <c r="G44" i="1" s="1"/>
  <c r="G50" i="1" a="1"/>
  <c r="G50" i="1" s="1"/>
  <c r="G56" i="1" a="1"/>
  <c r="G56" i="1" s="1"/>
  <c r="G62" i="1" a="1"/>
  <c r="G62" i="1" s="1"/>
  <c r="G68" i="1" a="1"/>
  <c r="G68" i="1" s="1"/>
  <c r="G74" i="1" a="1"/>
  <c r="G74" i="1" s="1"/>
  <c r="G80" i="1" a="1"/>
  <c r="G80" i="1" s="1"/>
  <c r="G86" i="1" a="1"/>
  <c r="G86" i="1" s="1"/>
  <c r="G92" i="1" a="1"/>
  <c r="G92" i="1" s="1"/>
  <c r="G98" i="1" a="1"/>
  <c r="G98" i="1" s="1"/>
  <c r="G104" i="1" a="1"/>
  <c r="G104" i="1" s="1"/>
  <c r="G110" i="1" a="1"/>
  <c r="G110" i="1" s="1"/>
  <c r="G116" i="1" a="1"/>
  <c r="G116" i="1" s="1"/>
  <c r="G122" i="1" a="1"/>
  <c r="G122" i="1" s="1"/>
  <c r="G128" i="1" a="1"/>
  <c r="G128" i="1" s="1"/>
  <c r="G134" i="1" a="1"/>
  <c r="G134" i="1" s="1"/>
  <c r="G140" i="1" a="1"/>
  <c r="G140" i="1" s="1"/>
  <c r="G146" i="1" a="1"/>
  <c r="G146" i="1" s="1"/>
  <c r="G152" i="1" a="1"/>
  <c r="G152" i="1" s="1"/>
  <c r="G158" i="1" a="1"/>
  <c r="G158" i="1" s="1"/>
  <c r="G164" i="1" a="1"/>
  <c r="G164" i="1" s="1"/>
  <c r="G170" i="1" a="1"/>
  <c r="G170" i="1" s="1"/>
  <c r="H169" i="1" a="1"/>
  <c r="H169" i="1" s="1"/>
  <c r="F47" i="1" a="1"/>
  <c r="F47" i="1" s="1"/>
  <c r="F56" i="1" a="1"/>
  <c r="F56" i="1" s="1"/>
  <c r="F84" i="1" a="1"/>
  <c r="F84" i="1" s="1"/>
  <c r="F108" i="1" a="1"/>
  <c r="F108" i="1" s="1"/>
  <c r="F113" i="1" a="1"/>
  <c r="F113" i="1" s="1"/>
  <c r="F117" i="1" a="1"/>
  <c r="F117" i="1" s="1"/>
  <c r="F123" i="1" a="1"/>
  <c r="F123" i="1" s="1"/>
  <c r="F127" i="1" a="1"/>
  <c r="F127" i="1" s="1"/>
  <c r="F132" i="1" a="1"/>
  <c r="F132" i="1" s="1"/>
  <c r="F146" i="1" a="1"/>
  <c r="F146" i="1" s="1"/>
  <c r="F150" i="1" a="1"/>
  <c r="F150" i="1" s="1"/>
  <c r="F164" i="1" a="1"/>
  <c r="F164" i="1" s="1"/>
  <c r="F168" i="1" a="1"/>
  <c r="F168" i="1" s="1"/>
  <c r="D12" i="1" a="1"/>
  <c r="D12" i="1" s="1"/>
  <c r="D15" i="1" a="1"/>
  <c r="D15" i="1" s="1"/>
  <c r="D18" i="1" a="1"/>
  <c r="D18" i="1" s="1"/>
  <c r="D21" i="1" a="1"/>
  <c r="D21" i="1" s="1"/>
  <c r="D24" i="1" a="1"/>
  <c r="D24" i="1" s="1"/>
  <c r="D27" i="1" a="1"/>
  <c r="D27" i="1" s="1"/>
  <c r="D30" i="1" a="1"/>
  <c r="D30" i="1" s="1"/>
  <c r="D33" i="1" a="1"/>
  <c r="D33" i="1" s="1"/>
  <c r="D39" i="1" a="1"/>
  <c r="D39" i="1" s="1"/>
  <c r="D42" i="1" a="1"/>
  <c r="D42" i="1" s="1"/>
  <c r="D45" i="1" a="1"/>
  <c r="D45" i="1" s="1"/>
  <c r="L47" i="1" a="1"/>
  <c r="L47" i="1" s="1"/>
  <c r="L112" i="1" a="1"/>
  <c r="L112" i="1" s="1"/>
  <c r="L139" i="1" a="1"/>
  <c r="L139" i="1" s="1"/>
  <c r="L166" i="1" a="1"/>
  <c r="L166" i="1" s="1"/>
  <c r="K38" i="1" a="1"/>
  <c r="K38" i="1" s="1"/>
  <c r="K111" i="1" a="1"/>
  <c r="K111" i="1" s="1"/>
  <c r="K147" i="1" a="1"/>
  <c r="K147" i="1" s="1"/>
  <c r="H19" i="1" a="1"/>
  <c r="H19" i="1" s="1"/>
  <c r="H37" i="1" a="1"/>
  <c r="H37" i="1" s="1"/>
  <c r="H55" i="1" a="1"/>
  <c r="H55" i="1" s="1"/>
  <c r="H73" i="1" a="1"/>
  <c r="H73" i="1" s="1"/>
  <c r="H88" i="1" a="1"/>
  <c r="H88" i="1" s="1"/>
  <c r="H100" i="1" a="1"/>
  <c r="H100" i="1" s="1"/>
  <c r="H108" i="1" a="1"/>
  <c r="H108" i="1" s="1"/>
  <c r="H115" i="1" a="1"/>
  <c r="H115" i="1" s="1"/>
  <c r="H122" i="1" a="1"/>
  <c r="H122" i="1" s="1"/>
  <c r="H130" i="1" a="1"/>
  <c r="H130" i="1" s="1"/>
  <c r="H137" i="1" a="1"/>
  <c r="H137" i="1" s="1"/>
  <c r="H144" i="1" a="1"/>
  <c r="H144" i="1" s="1"/>
  <c r="H151" i="1" a="1"/>
  <c r="H151" i="1" s="1"/>
  <c r="H158" i="1" a="1"/>
  <c r="H158" i="1" s="1"/>
  <c r="G3" i="1" a="1"/>
  <c r="G3" i="1" s="1"/>
  <c r="G9" i="1" a="1"/>
  <c r="G9" i="1" s="1"/>
  <c r="G15" i="1" a="1"/>
  <c r="G15" i="1" s="1"/>
  <c r="G21" i="1" a="1"/>
  <c r="G21" i="1" s="1"/>
  <c r="G27" i="1" a="1"/>
  <c r="G27" i="1" s="1"/>
  <c r="G33" i="1" a="1"/>
  <c r="G33" i="1" s="1"/>
  <c r="G39" i="1" a="1"/>
  <c r="G39" i="1" s="1"/>
  <c r="G45" i="1" a="1"/>
  <c r="G45" i="1" s="1"/>
  <c r="G51" i="1" a="1"/>
  <c r="G51" i="1" s="1"/>
  <c r="G57" i="1" a="1"/>
  <c r="G57" i="1" s="1"/>
  <c r="G63" i="1" a="1"/>
  <c r="G63" i="1" s="1"/>
  <c r="G69" i="1" a="1"/>
  <c r="G69" i="1" s="1"/>
  <c r="G75" i="1" a="1"/>
  <c r="G75" i="1" s="1"/>
  <c r="G81" i="1" a="1"/>
  <c r="G81" i="1" s="1"/>
  <c r="G87" i="1" a="1"/>
  <c r="G87" i="1" s="1"/>
  <c r="G93" i="1" a="1"/>
  <c r="G93" i="1" s="1"/>
  <c r="G99" i="1" a="1"/>
  <c r="G99" i="1" s="1"/>
  <c r="G105" i="1" a="1"/>
  <c r="G105" i="1" s="1"/>
  <c r="G111" i="1" a="1"/>
  <c r="G111" i="1" s="1"/>
  <c r="G117" i="1" a="1"/>
  <c r="G117" i="1" s="1"/>
  <c r="G123" i="1" a="1"/>
  <c r="G123" i="1" s="1"/>
  <c r="G129" i="1" a="1"/>
  <c r="G129" i="1" s="1"/>
  <c r="G135" i="1" a="1"/>
  <c r="G135" i="1" s="1"/>
  <c r="G141" i="1" a="1"/>
  <c r="G141" i="1" s="1"/>
  <c r="G147" i="1" a="1"/>
  <c r="G147" i="1" s="1"/>
  <c r="G153" i="1" a="1"/>
  <c r="G153" i="1" s="1"/>
  <c r="G159" i="1" a="1"/>
  <c r="G159" i="1" s="1"/>
  <c r="G165" i="1" a="1"/>
  <c r="G165" i="1" s="1"/>
  <c r="G2" i="1" a="1"/>
  <c r="G2" i="1" s="1"/>
  <c r="F3" i="1" a="1"/>
  <c r="F3" i="1" s="1"/>
  <c r="F49" i="1" a="1"/>
  <c r="F49" i="1" s="1"/>
  <c r="F64" i="1" a="1"/>
  <c r="F64" i="1" s="1"/>
  <c r="F94" i="1" a="1"/>
  <c r="F94" i="1" s="1"/>
  <c r="F109" i="1" a="1"/>
  <c r="F109" i="1" s="1"/>
  <c r="F114" i="1" a="1"/>
  <c r="F114" i="1" s="1"/>
  <c r="F118" i="1" a="1"/>
  <c r="F118" i="1" s="1"/>
  <c r="F128" i="1" a="1"/>
  <c r="F128" i="1" s="1"/>
  <c r="F133" i="1" a="1"/>
  <c r="F133" i="1" s="1"/>
  <c r="F137" i="1" a="1"/>
  <c r="F137" i="1" s="1"/>
  <c r="F142" i="1" a="1"/>
  <c r="F142" i="1" s="1"/>
  <c r="F147" i="1" a="1"/>
  <c r="F147" i="1" s="1"/>
  <c r="F151" i="1" a="1"/>
  <c r="F151" i="1" s="1"/>
  <c r="F155" i="1" a="1"/>
  <c r="F155" i="1" s="1"/>
  <c r="F160" i="1" a="1"/>
  <c r="F160" i="1" s="1"/>
  <c r="F165" i="1" a="1"/>
  <c r="F165" i="1" s="1"/>
  <c r="F169" i="1" a="1"/>
  <c r="F169" i="1" s="1"/>
  <c r="L90" i="1" a="1"/>
  <c r="L90" i="1" s="1"/>
  <c r="L117" i="1" a="1"/>
  <c r="L117" i="1" s="1"/>
  <c r="L144" i="1" a="1"/>
  <c r="L144" i="1" s="1"/>
  <c r="L2" i="1" a="1"/>
  <c r="L2" i="1" s="1"/>
  <c r="K117" i="1" a="1"/>
  <c r="K117" i="1" s="1"/>
  <c r="K153" i="1" a="1"/>
  <c r="K153" i="1" s="1"/>
  <c r="H22" i="1" a="1"/>
  <c r="H22" i="1" s="1"/>
  <c r="H40" i="1" a="1"/>
  <c r="H40" i="1" s="1"/>
  <c r="H58" i="1" a="1"/>
  <c r="H58" i="1" s="1"/>
  <c r="H76" i="1" a="1"/>
  <c r="H76" i="1" s="1"/>
  <c r="H91" i="1" a="1"/>
  <c r="H91" i="1" s="1"/>
  <c r="H102" i="1" a="1"/>
  <c r="H102" i="1" s="1"/>
  <c r="H109" i="1" a="1"/>
  <c r="H109" i="1" s="1"/>
  <c r="H116" i="1" a="1"/>
  <c r="H116" i="1" s="1"/>
  <c r="H124" i="1" a="1"/>
  <c r="H124" i="1" s="1"/>
  <c r="H131" i="1" a="1"/>
  <c r="H131" i="1" s="1"/>
  <c r="H138" i="1" a="1"/>
  <c r="H138" i="1" s="1"/>
  <c r="H145" i="1" a="1"/>
  <c r="H145" i="1" s="1"/>
  <c r="H152" i="1" a="1"/>
  <c r="H152" i="1" s="1"/>
  <c r="H160" i="1" a="1"/>
  <c r="H160" i="1" s="1"/>
  <c r="L94" i="1" a="1"/>
  <c r="L94" i="1" s="1"/>
  <c r="L121" i="1" a="1"/>
  <c r="L121" i="1" s="1"/>
  <c r="L148" i="1" a="1"/>
  <c r="L148" i="1" s="1"/>
  <c r="K87" i="1" a="1"/>
  <c r="K87" i="1" s="1"/>
  <c r="K123" i="1" a="1"/>
  <c r="K123" i="1" s="1"/>
  <c r="K159" i="1" a="1"/>
  <c r="K159" i="1" s="1"/>
  <c r="H25" i="1" a="1"/>
  <c r="H25" i="1" s="1"/>
  <c r="H43" i="1" a="1"/>
  <c r="H43" i="1" s="1"/>
  <c r="H61" i="1" a="1"/>
  <c r="H61" i="1" s="1"/>
  <c r="H79" i="1" a="1"/>
  <c r="H79" i="1" s="1"/>
  <c r="H92" i="1" a="1"/>
  <c r="H92" i="1" s="1"/>
  <c r="H103" i="1" a="1"/>
  <c r="H103" i="1" s="1"/>
  <c r="H110" i="1" a="1"/>
  <c r="H110" i="1" s="1"/>
  <c r="H118" i="1" a="1"/>
  <c r="H118" i="1" s="1"/>
  <c r="H125" i="1" a="1"/>
  <c r="H125" i="1" s="1"/>
  <c r="H132" i="1" a="1"/>
  <c r="H132" i="1" s="1"/>
  <c r="H139" i="1" a="1"/>
  <c r="H139" i="1" s="1"/>
  <c r="H146" i="1" a="1"/>
  <c r="H146" i="1" s="1"/>
  <c r="H154" i="1" a="1"/>
  <c r="H154" i="1" s="1"/>
  <c r="H161" i="1" a="1"/>
  <c r="H161" i="1" s="1"/>
  <c r="G5" i="1" a="1"/>
  <c r="G5" i="1" s="1"/>
  <c r="G11" i="1" a="1"/>
  <c r="G11" i="1" s="1"/>
  <c r="G17" i="1" a="1"/>
  <c r="G17" i="1" s="1"/>
  <c r="G23" i="1" a="1"/>
  <c r="G23" i="1" s="1"/>
  <c r="G29" i="1" a="1"/>
  <c r="G29" i="1" s="1"/>
  <c r="G35" i="1" a="1"/>
  <c r="G35" i="1" s="1"/>
  <c r="G41" i="1" a="1"/>
  <c r="G41" i="1" s="1"/>
  <c r="G47" i="1" a="1"/>
  <c r="G47" i="1" s="1"/>
  <c r="G53" i="1" a="1"/>
  <c r="G53" i="1" s="1"/>
  <c r="G59" i="1" a="1"/>
  <c r="G59" i="1" s="1"/>
  <c r="G65" i="1" a="1"/>
  <c r="G65" i="1" s="1"/>
  <c r="G71" i="1" a="1"/>
  <c r="G71" i="1" s="1"/>
  <c r="G77" i="1" a="1"/>
  <c r="G77" i="1" s="1"/>
  <c r="G83" i="1" a="1"/>
  <c r="G83" i="1" s="1"/>
  <c r="G89" i="1" a="1"/>
  <c r="G89" i="1" s="1"/>
  <c r="G95" i="1" a="1"/>
  <c r="G95" i="1" s="1"/>
  <c r="G101" i="1" a="1"/>
  <c r="G101" i="1" s="1"/>
  <c r="G107" i="1" a="1"/>
  <c r="G107" i="1" s="1"/>
  <c r="G113" i="1" a="1"/>
  <c r="G113" i="1" s="1"/>
  <c r="G119" i="1" a="1"/>
  <c r="G119" i="1" s="1"/>
  <c r="G125" i="1" a="1"/>
  <c r="G125" i="1" s="1"/>
  <c r="G131" i="1" a="1"/>
  <c r="G131" i="1" s="1"/>
  <c r="G137" i="1" a="1"/>
  <c r="G137" i="1" s="1"/>
  <c r="G143" i="1" a="1"/>
  <c r="G143" i="1" s="1"/>
  <c r="G149" i="1" a="1"/>
  <c r="G149" i="1" s="1"/>
  <c r="G155" i="1" a="1"/>
  <c r="G155" i="1" s="1"/>
  <c r="G161" i="1" a="1"/>
  <c r="G161" i="1" s="1"/>
  <c r="G167" i="1" a="1"/>
  <c r="G167" i="1" s="1"/>
  <c r="H166" i="1" a="1"/>
  <c r="H166" i="1" s="1"/>
  <c r="F12" i="1" a="1"/>
  <c r="F12" i="1" s="1"/>
  <c r="F54" i="1" a="1"/>
  <c r="F54" i="1" s="1"/>
  <c r="F75" i="1" a="1"/>
  <c r="F75" i="1" s="1"/>
  <c r="F106" i="1" a="1"/>
  <c r="F106" i="1" s="1"/>
  <c r="F110" i="1" a="1"/>
  <c r="F110" i="1" s="1"/>
  <c r="F115" i="1" a="1"/>
  <c r="F115" i="1" s="1"/>
  <c r="F120" i="1" a="1"/>
  <c r="F120" i="1" s="1"/>
  <c r="F130" i="1" a="1"/>
  <c r="F130" i="1" s="1"/>
  <c r="F135" i="1" a="1"/>
  <c r="F135" i="1" s="1"/>
  <c r="F139" i="1" a="1"/>
  <c r="F139" i="1" s="1"/>
  <c r="F143" i="1" a="1"/>
  <c r="F143" i="1" s="1"/>
  <c r="F148" i="1" a="1"/>
  <c r="F148" i="1" s="1"/>
  <c r="F153" i="1" a="1"/>
  <c r="F153" i="1" s="1"/>
  <c r="F157" i="1" a="1"/>
  <c r="F157" i="1" s="1"/>
  <c r="F161" i="1" a="1"/>
  <c r="F161" i="1" s="1"/>
  <c r="F166" i="1" a="1"/>
  <c r="F166" i="1" s="1"/>
  <c r="D167" i="1" a="1"/>
  <c r="D167" i="1" s="1"/>
  <c r="C6" i="1" a="1"/>
  <c r="C6" i="1" s="1"/>
  <c r="L99" i="1" a="1"/>
  <c r="L99" i="1" s="1"/>
  <c r="L126" i="1" a="1"/>
  <c r="L126" i="1" s="1"/>
  <c r="L153" i="1" a="1"/>
  <c r="L153" i="1" s="1"/>
  <c r="K93" i="1" a="1"/>
  <c r="K93" i="1" s="1"/>
  <c r="K129" i="1" a="1"/>
  <c r="K129" i="1" s="1"/>
  <c r="K165" i="1" a="1"/>
  <c r="K165" i="1" s="1"/>
  <c r="H28" i="1" a="1"/>
  <c r="H28" i="1" s="1"/>
  <c r="H46" i="1" a="1"/>
  <c r="H46" i="1" s="1"/>
  <c r="H64" i="1" a="1"/>
  <c r="H64" i="1" s="1"/>
  <c r="H82" i="1" a="1"/>
  <c r="H82" i="1" s="1"/>
  <c r="H94" i="1" a="1"/>
  <c r="H94" i="1" s="1"/>
  <c r="H104" i="1" a="1"/>
  <c r="H104" i="1" s="1"/>
  <c r="H112" i="1" a="1"/>
  <c r="H112" i="1" s="1"/>
  <c r="H119" i="1" a="1"/>
  <c r="H119" i="1" s="1"/>
  <c r="H126" i="1" a="1"/>
  <c r="H126" i="1" s="1"/>
  <c r="H133" i="1" a="1"/>
  <c r="H133" i="1" s="1"/>
  <c r="H140" i="1" a="1"/>
  <c r="H140" i="1" s="1"/>
  <c r="H148" i="1" a="1"/>
  <c r="H148" i="1" s="1"/>
  <c r="H155" i="1" a="1"/>
  <c r="H155" i="1" s="1"/>
  <c r="H162" i="1" a="1"/>
  <c r="H162" i="1" s="1"/>
  <c r="G6" i="1" a="1"/>
  <c r="G6" i="1" s="1"/>
  <c r="G12" i="1" a="1"/>
  <c r="G12" i="1" s="1"/>
  <c r="G18" i="1" a="1"/>
  <c r="G18" i="1" s="1"/>
  <c r="G24" i="1" a="1"/>
  <c r="G24" i="1" s="1"/>
  <c r="G30" i="1" a="1"/>
  <c r="G30" i="1" s="1"/>
  <c r="G36" i="1" a="1"/>
  <c r="G36" i="1" s="1"/>
  <c r="G42" i="1" a="1"/>
  <c r="G42" i="1" s="1"/>
  <c r="G48" i="1" a="1"/>
  <c r="G48" i="1" s="1"/>
  <c r="G54" i="1" a="1"/>
  <c r="G54" i="1" s="1"/>
  <c r="G60" i="1" a="1"/>
  <c r="G60" i="1" s="1"/>
  <c r="G66" i="1" a="1"/>
  <c r="G66" i="1" s="1"/>
  <c r="G72" i="1" a="1"/>
  <c r="G72" i="1" s="1"/>
  <c r="G78" i="1" a="1"/>
  <c r="G78" i="1" s="1"/>
  <c r="G84" i="1" a="1"/>
  <c r="G84" i="1" s="1"/>
  <c r="G90" i="1" a="1"/>
  <c r="G90" i="1" s="1"/>
  <c r="G96" i="1" a="1"/>
  <c r="G96" i="1" s="1"/>
  <c r="G102" i="1" a="1"/>
  <c r="G102" i="1" s="1"/>
  <c r="G108" i="1" a="1"/>
  <c r="G108" i="1" s="1"/>
  <c r="G114" i="1" a="1"/>
  <c r="G114" i="1" s="1"/>
  <c r="G120" i="1" a="1"/>
  <c r="G120" i="1" s="1"/>
  <c r="G126" i="1" a="1"/>
  <c r="G126" i="1" s="1"/>
  <c r="G132" i="1" a="1"/>
  <c r="G132" i="1" s="1"/>
  <c r="G138" i="1" a="1"/>
  <c r="G138" i="1" s="1"/>
  <c r="G144" i="1" a="1"/>
  <c r="G144" i="1" s="1"/>
  <c r="G150" i="1" a="1"/>
  <c r="G150" i="1" s="1"/>
  <c r="G156" i="1" a="1"/>
  <c r="G156" i="1" s="1"/>
  <c r="G162" i="1" a="1"/>
  <c r="G162" i="1" s="1"/>
  <c r="G168" i="1" a="1"/>
  <c r="G168" i="1" s="1"/>
  <c r="H167" i="1" a="1"/>
  <c r="H167" i="1" s="1"/>
  <c r="F30" i="1" a="1"/>
  <c r="F30" i="1" s="1"/>
  <c r="F55" i="1" a="1"/>
  <c r="F55" i="1" s="1"/>
  <c r="F80" i="1" a="1"/>
  <c r="F80" i="1" s="1"/>
  <c r="F111" i="1" a="1"/>
  <c r="F111" i="1" s="1"/>
  <c r="F121" i="1" a="1"/>
  <c r="F121" i="1" s="1"/>
  <c r="F125" i="1" a="1"/>
  <c r="F125" i="1" s="1"/>
  <c r="F140" i="1" a="1"/>
  <c r="F140" i="1" s="1"/>
  <c r="F144" i="1" a="1"/>
  <c r="F144" i="1" s="1"/>
  <c r="F158" i="1" a="1"/>
  <c r="F158" i="1" s="1"/>
  <c r="F162" i="1" a="1"/>
  <c r="F162" i="1" s="1"/>
  <c r="D4" i="1" a="1"/>
  <c r="D4" i="1" s="1"/>
  <c r="D14" i="1" a="1"/>
  <c r="D14" i="1" s="1"/>
  <c r="D17" i="1" a="1"/>
  <c r="D17" i="1" s="1"/>
  <c r="D20" i="1" a="1"/>
  <c r="D20" i="1" s="1"/>
  <c r="D23" i="1" a="1"/>
  <c r="D23" i="1" s="1"/>
  <c r="D26" i="1" a="1"/>
  <c r="D26" i="1" s="1"/>
  <c r="D29" i="1" a="1"/>
  <c r="D29" i="1" s="1"/>
  <c r="D32" i="1" a="1"/>
  <c r="D32" i="1" s="1"/>
  <c r="D35" i="1" a="1"/>
  <c r="D35" i="1" s="1"/>
  <c r="D41" i="1" a="1"/>
  <c r="D41" i="1" s="1"/>
  <c r="D44" i="1" a="1"/>
  <c r="D44" i="1" s="1"/>
  <c r="D47" i="1" a="1"/>
  <c r="D47" i="1" s="1"/>
  <c r="D50" i="1" a="1"/>
  <c r="D50" i="1" s="1"/>
  <c r="D53" i="1" a="1"/>
  <c r="D53" i="1" s="1"/>
  <c r="D56" i="1" a="1"/>
  <c r="D56" i="1" s="1"/>
  <c r="D59" i="1" a="1"/>
  <c r="D59" i="1" s="1"/>
  <c r="D62" i="1" a="1"/>
  <c r="D62" i="1" s="1"/>
  <c r="D65" i="1" a="1"/>
  <c r="D65" i="1" s="1"/>
  <c r="D68" i="1" a="1"/>
  <c r="D68" i="1" s="1"/>
  <c r="H67" i="1" a="1"/>
  <c r="H67" i="1" s="1"/>
  <c r="H127" i="1" a="1"/>
  <c r="H127" i="1" s="1"/>
  <c r="G4" i="1" a="1"/>
  <c r="G4" i="1" s="1"/>
  <c r="G22" i="1" a="1"/>
  <c r="G22" i="1" s="1"/>
  <c r="G40" i="1" a="1"/>
  <c r="G40" i="1" s="1"/>
  <c r="G58" i="1" a="1"/>
  <c r="G58" i="1" s="1"/>
  <c r="G76" i="1" a="1"/>
  <c r="G76" i="1" s="1"/>
  <c r="G94" i="1" a="1"/>
  <c r="G94" i="1" s="1"/>
  <c r="G112" i="1" a="1"/>
  <c r="G112" i="1" s="1"/>
  <c r="G130" i="1" a="1"/>
  <c r="G130" i="1" s="1"/>
  <c r="G148" i="1" a="1"/>
  <c r="G148" i="1" s="1"/>
  <c r="G166" i="1" a="1"/>
  <c r="G166" i="1" s="1"/>
  <c r="F53" i="1" a="1"/>
  <c r="F53" i="1" s="1"/>
  <c r="F124" i="1" a="1"/>
  <c r="F124" i="1" s="1"/>
  <c r="F138" i="1" a="1"/>
  <c r="F138" i="1" s="1"/>
  <c r="F152" i="1" a="1"/>
  <c r="F152" i="1" s="1"/>
  <c r="D16" i="1" a="1"/>
  <c r="D16" i="1" s="1"/>
  <c r="D25" i="1" a="1"/>
  <c r="D25" i="1" s="1"/>
  <c r="D34" i="1" a="1"/>
  <c r="D34" i="1" s="1"/>
  <c r="D43" i="1" a="1"/>
  <c r="D43" i="1" s="1"/>
  <c r="D55" i="1" a="1"/>
  <c r="D55" i="1" s="1"/>
  <c r="D60" i="1" a="1"/>
  <c r="D60" i="1" s="1"/>
  <c r="D64" i="1" a="1"/>
  <c r="D64" i="1" s="1"/>
  <c r="D69" i="1" a="1"/>
  <c r="D69" i="1" s="1"/>
  <c r="D76" i="1" a="1"/>
  <c r="D76" i="1" s="1"/>
  <c r="D80" i="1" a="1"/>
  <c r="D80" i="1" s="1"/>
  <c r="D87" i="1" a="1"/>
  <c r="D87" i="1" s="1"/>
  <c r="D94" i="1" a="1"/>
  <c r="D94" i="1" s="1"/>
  <c r="D98" i="1" a="1"/>
  <c r="D98" i="1" s="1"/>
  <c r="D105" i="1" a="1"/>
  <c r="D105" i="1" s="1"/>
  <c r="D112" i="1" a="1"/>
  <c r="D112" i="1" s="1"/>
  <c r="D116" i="1" a="1"/>
  <c r="D116" i="1" s="1"/>
  <c r="D123" i="1" a="1"/>
  <c r="D123" i="1" s="1"/>
  <c r="D130" i="1" a="1"/>
  <c r="D130" i="1" s="1"/>
  <c r="D134" i="1" a="1"/>
  <c r="D134" i="1" s="1"/>
  <c r="D141" i="1" a="1"/>
  <c r="D141" i="1" s="1"/>
  <c r="D148" i="1" a="1"/>
  <c r="D148" i="1" s="1"/>
  <c r="D152" i="1" a="1"/>
  <c r="D152" i="1" s="1"/>
  <c r="D159" i="1" a="1"/>
  <c r="D159" i="1" s="1"/>
  <c r="C18" i="1" a="1"/>
  <c r="C18" i="1" s="1"/>
  <c r="C33" i="1" a="1"/>
  <c r="C33" i="1" s="1"/>
  <c r="C48" i="1" a="1"/>
  <c r="C48" i="1" s="1"/>
  <c r="C70" i="1" a="1"/>
  <c r="C70" i="1" s="1"/>
  <c r="C88" i="1" a="1"/>
  <c r="C88" i="1" s="1"/>
  <c r="C103" i="1" a="1"/>
  <c r="C103" i="1" s="1"/>
  <c r="C120" i="1" a="1"/>
  <c r="C120" i="1" s="1"/>
  <c r="C133" i="1" a="1"/>
  <c r="C133" i="1" s="1"/>
  <c r="C148" i="1" a="1"/>
  <c r="C148" i="1" s="1"/>
  <c r="K99" i="1" a="1"/>
  <c r="K99" i="1" s="1"/>
  <c r="H85" i="1" a="1"/>
  <c r="H85" i="1" s="1"/>
  <c r="H134" i="1" a="1"/>
  <c r="H134" i="1" s="1"/>
  <c r="G7" i="1" a="1"/>
  <c r="G7" i="1" s="1"/>
  <c r="G25" i="1" a="1"/>
  <c r="G25" i="1" s="1"/>
  <c r="G43" i="1" a="1"/>
  <c r="G43" i="1" s="1"/>
  <c r="G61" i="1" a="1"/>
  <c r="G61" i="1" s="1"/>
  <c r="G79" i="1" a="1"/>
  <c r="G79" i="1" s="1"/>
  <c r="G97" i="1" a="1"/>
  <c r="G97" i="1" s="1"/>
  <c r="G115" i="1" a="1"/>
  <c r="G115" i="1" s="1"/>
  <c r="G133" i="1" a="1"/>
  <c r="G133" i="1" s="1"/>
  <c r="G151" i="1" a="1"/>
  <c r="G151" i="1" s="1"/>
  <c r="G169" i="1" a="1"/>
  <c r="G169" i="1" s="1"/>
  <c r="F112" i="1" a="1"/>
  <c r="F112" i="1" s="1"/>
  <c r="F126" i="1" a="1"/>
  <c r="F126" i="1" s="1"/>
  <c r="F141" i="1" a="1"/>
  <c r="F141" i="1" s="1"/>
  <c r="F154" i="1" a="1"/>
  <c r="F154" i="1" s="1"/>
  <c r="F167" i="1" a="1"/>
  <c r="F167" i="1" s="1"/>
  <c r="D51" i="1" a="1"/>
  <c r="D51" i="1" s="1"/>
  <c r="D73" i="1" a="1"/>
  <c r="D73" i="1" s="1"/>
  <c r="D77" i="1" a="1"/>
  <c r="D77" i="1" s="1"/>
  <c r="D84" i="1" a="1"/>
  <c r="D84" i="1" s="1"/>
  <c r="D91" i="1" a="1"/>
  <c r="D91" i="1" s="1"/>
  <c r="D95" i="1" a="1"/>
  <c r="D95" i="1" s="1"/>
  <c r="D102" i="1" a="1"/>
  <c r="D102" i="1" s="1"/>
  <c r="D109" i="1" a="1"/>
  <c r="D109" i="1" s="1"/>
  <c r="D113" i="1" a="1"/>
  <c r="D113" i="1" s="1"/>
  <c r="D120" i="1" a="1"/>
  <c r="D120" i="1" s="1"/>
  <c r="D127" i="1" a="1"/>
  <c r="D127" i="1" s="1"/>
  <c r="D131" i="1" a="1"/>
  <c r="D131" i="1" s="1"/>
  <c r="D138" i="1" a="1"/>
  <c r="D138" i="1" s="1"/>
  <c r="D145" i="1" a="1"/>
  <c r="D145" i="1" s="1"/>
  <c r="D149" i="1" a="1"/>
  <c r="D149" i="1" s="1"/>
  <c r="D156" i="1" a="1"/>
  <c r="D156" i="1" s="1"/>
  <c r="D163" i="1" a="1"/>
  <c r="D163" i="1" s="1"/>
  <c r="D168" i="1" a="1"/>
  <c r="D168" i="1" s="1"/>
  <c r="C21" i="1" a="1"/>
  <c r="C21" i="1" s="1"/>
  <c r="C52" i="1" a="1"/>
  <c r="C52" i="1" s="1"/>
  <c r="C72" i="1" a="1"/>
  <c r="C72" i="1" s="1"/>
  <c r="C90" i="1" a="1"/>
  <c r="C90" i="1" s="1"/>
  <c r="C106" i="1" a="1"/>
  <c r="C106" i="1" s="1"/>
  <c r="C121" i="1" a="1"/>
  <c r="C121" i="1" s="1"/>
  <c r="C136" i="1" a="1"/>
  <c r="C136" i="1" s="1"/>
  <c r="C150" i="1" a="1"/>
  <c r="C150" i="1" s="1"/>
  <c r="C160" i="1" a="1"/>
  <c r="C160" i="1" s="1"/>
  <c r="L103" i="1" a="1"/>
  <c r="L103" i="1" s="1"/>
  <c r="K135" i="1" a="1"/>
  <c r="K135" i="1" s="1"/>
  <c r="H97" i="1" a="1"/>
  <c r="H97" i="1" s="1"/>
  <c r="H142" i="1" a="1"/>
  <c r="H142" i="1" s="1"/>
  <c r="G10" i="1" a="1"/>
  <c r="G10" i="1" s="1"/>
  <c r="G28" i="1" a="1"/>
  <c r="G28" i="1" s="1"/>
  <c r="G46" i="1" a="1"/>
  <c r="G46" i="1" s="1"/>
  <c r="G64" i="1" a="1"/>
  <c r="G64" i="1" s="1"/>
  <c r="G82" i="1" a="1"/>
  <c r="G82" i="1" s="1"/>
  <c r="G100" i="1" a="1"/>
  <c r="G100" i="1" s="1"/>
  <c r="G118" i="1" a="1"/>
  <c r="G118" i="1" s="1"/>
  <c r="G136" i="1" a="1"/>
  <c r="G136" i="1" s="1"/>
  <c r="G154" i="1" a="1"/>
  <c r="G154" i="1" s="1"/>
  <c r="H165" i="1" a="1"/>
  <c r="H165" i="1" s="1"/>
  <c r="F65" i="1" a="1"/>
  <c r="F65" i="1" s="1"/>
  <c r="F129" i="1" a="1"/>
  <c r="F129" i="1" s="1"/>
  <c r="F156" i="1" a="1"/>
  <c r="F156" i="1" s="1"/>
  <c r="D3" i="1" a="1"/>
  <c r="D3" i="1" s="1"/>
  <c r="D19" i="1" a="1"/>
  <c r="D19" i="1" s="1"/>
  <c r="D28" i="1" a="1"/>
  <c r="D28" i="1" s="1"/>
  <c r="D46" i="1" a="1"/>
  <c r="D46" i="1" s="1"/>
  <c r="D52" i="1" a="1"/>
  <c r="D52" i="1" s="1"/>
  <c r="D57" i="1" a="1"/>
  <c r="D57" i="1" s="1"/>
  <c r="D61" i="1" a="1"/>
  <c r="D61" i="1" s="1"/>
  <c r="D66" i="1" a="1"/>
  <c r="D66" i="1" s="1"/>
  <c r="D70" i="1" a="1"/>
  <c r="D70" i="1" s="1"/>
  <c r="D74" i="1" a="1"/>
  <c r="D74" i="1" s="1"/>
  <c r="D81" i="1" a="1"/>
  <c r="D81" i="1" s="1"/>
  <c r="D88" i="1" a="1"/>
  <c r="D88" i="1" s="1"/>
  <c r="D92" i="1" a="1"/>
  <c r="D92" i="1" s="1"/>
  <c r="D99" i="1" a="1"/>
  <c r="D99" i="1" s="1"/>
  <c r="D106" i="1" a="1"/>
  <c r="D106" i="1" s="1"/>
  <c r="D110" i="1" a="1"/>
  <c r="D110" i="1" s="1"/>
  <c r="D117" i="1" a="1"/>
  <c r="D117" i="1" s="1"/>
  <c r="D124" i="1" a="1"/>
  <c r="D124" i="1" s="1"/>
  <c r="D128" i="1" a="1"/>
  <c r="D128" i="1" s="1"/>
  <c r="D135" i="1" a="1"/>
  <c r="D135" i="1" s="1"/>
  <c r="D142" i="1" a="1"/>
  <c r="D142" i="1" s="1"/>
  <c r="D146" i="1" a="1"/>
  <c r="D146" i="1" s="1"/>
  <c r="D153" i="1" a="1"/>
  <c r="D153" i="1" s="1"/>
  <c r="D160" i="1" a="1"/>
  <c r="D160" i="1" s="1"/>
  <c r="D164" i="1" a="1"/>
  <c r="D164" i="1" s="1"/>
  <c r="J168" i="1" a="1"/>
  <c r="J168" i="1" s="1"/>
  <c r="C24" i="1" a="1"/>
  <c r="C24" i="1" s="1"/>
  <c r="C34" i="1" a="1"/>
  <c r="C34" i="1" s="1"/>
  <c r="C54" i="1" a="1"/>
  <c r="C54" i="1" s="1"/>
  <c r="C76" i="1" a="1"/>
  <c r="C76" i="1" s="1"/>
  <c r="C94" i="1" a="1"/>
  <c r="C94" i="1" s="1"/>
  <c r="C108" i="1" a="1"/>
  <c r="C108" i="1" s="1"/>
  <c r="C124" i="1" a="1"/>
  <c r="C124" i="1" s="1"/>
  <c r="C138" i="1" a="1"/>
  <c r="C138" i="1" s="1"/>
  <c r="C151" i="1" a="1"/>
  <c r="C151" i="1" s="1"/>
  <c r="C162" i="1" a="1"/>
  <c r="C162" i="1" s="1"/>
  <c r="L130" i="1" a="1"/>
  <c r="L130" i="1" s="1"/>
  <c r="H3" i="1" a="1"/>
  <c r="H3" i="1" s="1"/>
  <c r="H106" i="1" a="1"/>
  <c r="H106" i="1" s="1"/>
  <c r="H149" i="1" a="1"/>
  <c r="H149" i="1" s="1"/>
  <c r="G13" i="1" a="1"/>
  <c r="G13" i="1" s="1"/>
  <c r="G31" i="1" a="1"/>
  <c r="G31" i="1" s="1"/>
  <c r="G49" i="1" a="1"/>
  <c r="G49" i="1" s="1"/>
  <c r="G67" i="1" a="1"/>
  <c r="G67" i="1" s="1"/>
  <c r="G85" i="1" a="1"/>
  <c r="G85" i="1" s="1"/>
  <c r="G103" i="1" a="1"/>
  <c r="G103" i="1" s="1"/>
  <c r="G121" i="1" a="1"/>
  <c r="G121" i="1" s="1"/>
  <c r="G139" i="1" a="1"/>
  <c r="G139" i="1" s="1"/>
  <c r="G157" i="1" a="1"/>
  <c r="G157" i="1" s="1"/>
  <c r="H168" i="1" a="1"/>
  <c r="H168" i="1" s="1"/>
  <c r="F81" i="1" a="1"/>
  <c r="F81" i="1" s="1"/>
  <c r="F116" i="1" a="1"/>
  <c r="F116" i="1" s="1"/>
  <c r="F131" i="1" a="1"/>
  <c r="F131" i="1" s="1"/>
  <c r="F145" i="1" a="1"/>
  <c r="F145" i="1" s="1"/>
  <c r="F159" i="1" a="1"/>
  <c r="F159" i="1" s="1"/>
  <c r="D71" i="1" a="1"/>
  <c r="D71" i="1" s="1"/>
  <c r="D78" i="1" a="1"/>
  <c r="D78" i="1" s="1"/>
  <c r="D85" i="1" a="1"/>
  <c r="D85" i="1" s="1"/>
  <c r="D89" i="1" a="1"/>
  <c r="D89" i="1" s="1"/>
  <c r="D96" i="1" a="1"/>
  <c r="D96" i="1" s="1"/>
  <c r="D103" i="1" a="1"/>
  <c r="D103" i="1" s="1"/>
  <c r="D107" i="1" a="1"/>
  <c r="D107" i="1" s="1"/>
  <c r="D114" i="1" a="1"/>
  <c r="D114" i="1" s="1"/>
  <c r="D121" i="1" a="1"/>
  <c r="D121" i="1" s="1"/>
  <c r="D125" i="1" a="1"/>
  <c r="D125" i="1" s="1"/>
  <c r="D132" i="1" a="1"/>
  <c r="D132" i="1" s="1"/>
  <c r="D139" i="1" a="1"/>
  <c r="D139" i="1" s="1"/>
  <c r="D143" i="1" a="1"/>
  <c r="D143" i="1" s="1"/>
  <c r="D150" i="1" a="1"/>
  <c r="D150" i="1" s="1"/>
  <c r="D157" i="1" a="1"/>
  <c r="D157" i="1" s="1"/>
  <c r="D161" i="1" a="1"/>
  <c r="D161" i="1" s="1"/>
  <c r="D165" i="1" a="1"/>
  <c r="D165" i="1" s="1"/>
  <c r="D169" i="1" a="1"/>
  <c r="D169" i="1" s="1"/>
  <c r="C12" i="1" a="1"/>
  <c r="C12" i="1" s="1"/>
  <c r="C36" i="1" a="1"/>
  <c r="C36" i="1" s="1"/>
  <c r="C58" i="1" a="1"/>
  <c r="C58" i="1" s="1"/>
  <c r="C78" i="1" a="1"/>
  <c r="C78" i="1" s="1"/>
  <c r="C96" i="1" a="1"/>
  <c r="C96" i="1" s="1"/>
  <c r="C112" i="1" a="1"/>
  <c r="C112" i="1" s="1"/>
  <c r="C126" i="1" a="1"/>
  <c r="C126" i="1" s="1"/>
  <c r="C139" i="1" a="1"/>
  <c r="C139" i="1" s="1"/>
  <c r="C153" i="1" a="1"/>
  <c r="C153" i="1" s="1"/>
  <c r="L157" i="1" a="1"/>
  <c r="L157" i="1" s="1"/>
  <c r="H31" i="1" a="1"/>
  <c r="H31" i="1" s="1"/>
  <c r="H113" i="1" a="1"/>
  <c r="H113" i="1" s="1"/>
  <c r="H156" i="1" a="1"/>
  <c r="H156" i="1" s="1"/>
  <c r="G16" i="1" a="1"/>
  <c r="G16" i="1" s="1"/>
  <c r="G34" i="1" a="1"/>
  <c r="G34" i="1" s="1"/>
  <c r="G52" i="1" a="1"/>
  <c r="G52" i="1" s="1"/>
  <c r="G70" i="1" a="1"/>
  <c r="G70" i="1" s="1"/>
  <c r="G88" i="1" a="1"/>
  <c r="G88" i="1" s="1"/>
  <c r="G106" i="1" a="1"/>
  <c r="G106" i="1" s="1"/>
  <c r="G124" i="1" a="1"/>
  <c r="G124" i="1" s="1"/>
  <c r="G142" i="1" a="1"/>
  <c r="G142" i="1" s="1"/>
  <c r="G160" i="1" a="1"/>
  <c r="G160" i="1" s="1"/>
  <c r="F4" i="1" a="1"/>
  <c r="F4" i="1" s="1"/>
  <c r="F103" i="1" a="1"/>
  <c r="F103" i="1" s="1"/>
  <c r="F119" i="1" a="1"/>
  <c r="F119" i="1" s="1"/>
  <c r="F134" i="1" a="1"/>
  <c r="F134" i="1" s="1"/>
  <c r="D13" i="1" a="1"/>
  <c r="D13" i="1" s="1"/>
  <c r="D22" i="1" a="1"/>
  <c r="D22" i="1" s="1"/>
  <c r="D31" i="1" a="1"/>
  <c r="D31" i="1" s="1"/>
  <c r="D40" i="1" a="1"/>
  <c r="D40" i="1" s="1"/>
  <c r="D48" i="1" a="1"/>
  <c r="D48" i="1" s="1"/>
  <c r="D54" i="1" a="1"/>
  <c r="D54" i="1" s="1"/>
  <c r="D58" i="1" a="1"/>
  <c r="D58" i="1" s="1"/>
  <c r="D63" i="1" a="1"/>
  <c r="D63" i="1" s="1"/>
  <c r="D67" i="1" a="1"/>
  <c r="D67" i="1" s="1"/>
  <c r="D75" i="1" a="1"/>
  <c r="D75" i="1" s="1"/>
  <c r="D82" i="1" a="1"/>
  <c r="D82" i="1" s="1"/>
  <c r="D86" i="1" a="1"/>
  <c r="D86" i="1" s="1"/>
  <c r="D93" i="1" a="1"/>
  <c r="D93" i="1" s="1"/>
  <c r="D100" i="1" a="1"/>
  <c r="D100" i="1" s="1"/>
  <c r="D104" i="1" a="1"/>
  <c r="D104" i="1" s="1"/>
  <c r="D111" i="1" a="1"/>
  <c r="D111" i="1" s="1"/>
  <c r="D118" i="1" a="1"/>
  <c r="D118" i="1" s="1"/>
  <c r="D122" i="1" a="1"/>
  <c r="D122" i="1" s="1"/>
  <c r="D129" i="1" a="1"/>
  <c r="D129" i="1" s="1"/>
  <c r="D136" i="1" a="1"/>
  <c r="D136" i="1" s="1"/>
  <c r="D140" i="1" a="1"/>
  <c r="D140" i="1" s="1"/>
  <c r="D147" i="1" a="1"/>
  <c r="D147" i="1" s="1"/>
  <c r="D154" i="1" a="1"/>
  <c r="D154" i="1" s="1"/>
  <c r="D158" i="1" a="1"/>
  <c r="D158" i="1" s="1"/>
  <c r="C15" i="1" a="1"/>
  <c r="C15" i="1" s="1"/>
  <c r="C27" i="1" a="1"/>
  <c r="C27" i="1" s="1"/>
  <c r="C40" i="1" a="1"/>
  <c r="C40" i="1" s="1"/>
  <c r="C60" i="1" a="1"/>
  <c r="C60" i="1" s="1"/>
  <c r="C79" i="1" a="1"/>
  <c r="C79" i="1" s="1"/>
  <c r="C97" i="1" a="1"/>
  <c r="C97" i="1" s="1"/>
  <c r="C114" i="1" a="1"/>
  <c r="C114" i="1" s="1"/>
  <c r="C130" i="1" a="1"/>
  <c r="C130" i="1" s="1"/>
  <c r="C142" i="1" a="1"/>
  <c r="C142" i="1" s="1"/>
  <c r="C154" i="1" a="1"/>
  <c r="C154" i="1" s="1"/>
  <c r="C166" i="1" a="1"/>
  <c r="C166" i="1" s="1"/>
  <c r="D133" i="1" a="1"/>
  <c r="D133" i="1" s="1"/>
  <c r="D151" i="1" a="1"/>
  <c r="D151" i="1" s="1"/>
  <c r="D162" i="1" a="1"/>
  <c r="D162" i="1" s="1"/>
  <c r="C30" i="1" a="1"/>
  <c r="C30" i="1" s="1"/>
  <c r="C42" i="1" a="1"/>
  <c r="C42" i="1" s="1"/>
  <c r="C84" i="1" a="1"/>
  <c r="C84" i="1" s="1"/>
  <c r="C102" i="1" a="1"/>
  <c r="C102" i="1" s="1"/>
  <c r="C132" i="1" a="1"/>
  <c r="C132" i="1" s="1"/>
  <c r="C156" i="1" a="1"/>
  <c r="C156" i="1" s="1"/>
  <c r="H49" i="1" a="1"/>
  <c r="H49" i="1" s="1"/>
  <c r="H120" i="1" a="1"/>
  <c r="H120" i="1" s="1"/>
  <c r="H163" i="1" a="1"/>
  <c r="H163" i="1" s="1"/>
  <c r="G19" i="1" a="1"/>
  <c r="G19" i="1" s="1"/>
  <c r="G37" i="1" a="1"/>
  <c r="G37" i="1" s="1"/>
  <c r="G55" i="1" a="1"/>
  <c r="G55" i="1" s="1"/>
  <c r="G73" i="1" a="1"/>
  <c r="G73" i="1" s="1"/>
  <c r="G91" i="1" a="1"/>
  <c r="G91" i="1" s="1"/>
  <c r="G109" i="1" a="1"/>
  <c r="G109" i="1" s="1"/>
  <c r="G127" i="1" a="1"/>
  <c r="G127" i="1" s="1"/>
  <c r="G145" i="1" a="1"/>
  <c r="G145" i="1" s="1"/>
  <c r="G163" i="1" a="1"/>
  <c r="G163" i="1" s="1"/>
  <c r="F44" i="1" a="1"/>
  <c r="F44" i="1" s="1"/>
  <c r="F107" i="1" a="1"/>
  <c r="F107" i="1" s="1"/>
  <c r="F122" i="1" a="1"/>
  <c r="F122" i="1" s="1"/>
  <c r="F136" i="1" a="1"/>
  <c r="F136" i="1" s="1"/>
  <c r="F149" i="1" a="1"/>
  <c r="F149" i="1" s="1"/>
  <c r="F163" i="1" a="1"/>
  <c r="F163" i="1" s="1"/>
  <c r="D49" i="1" a="1"/>
  <c r="D49" i="1" s="1"/>
  <c r="D72" i="1" a="1"/>
  <c r="D72" i="1" s="1"/>
  <c r="D79" i="1" a="1"/>
  <c r="D79" i="1" s="1"/>
  <c r="D83" i="1" a="1"/>
  <c r="D83" i="1" s="1"/>
  <c r="D90" i="1" a="1"/>
  <c r="D90" i="1" s="1"/>
  <c r="D97" i="1" a="1"/>
  <c r="D97" i="1" s="1"/>
  <c r="D101" i="1" a="1"/>
  <c r="D101" i="1" s="1"/>
  <c r="D108" i="1" a="1"/>
  <c r="D108" i="1" s="1"/>
  <c r="D115" i="1" a="1"/>
  <c r="D115" i="1" s="1"/>
  <c r="D119" i="1" a="1"/>
  <c r="D119" i="1" s="1"/>
  <c r="D126" i="1" a="1"/>
  <c r="D126" i="1" s="1"/>
  <c r="D137" i="1" a="1"/>
  <c r="D137" i="1" s="1"/>
  <c r="D144" i="1" a="1"/>
  <c r="D144" i="1" s="1"/>
  <c r="D155" i="1" a="1"/>
  <c r="D155" i="1" s="1"/>
  <c r="D166" i="1" a="1"/>
  <c r="D166" i="1" s="1"/>
  <c r="C66" i="1" a="1"/>
  <c r="C66" i="1" s="1"/>
  <c r="C115" i="1" a="1"/>
  <c r="C115" i="1" s="1"/>
  <c r="C144" i="1" a="1"/>
  <c r="C144" i="1" s="1"/>
  <c r="H7" i="1" a="1"/>
  <c r="H7" i="1" s="1"/>
  <c r="C28" i="1" a="1"/>
  <c r="C28" i="1" s="1"/>
  <c r="J165" i="1" a="1"/>
  <c r="J165" i="1" s="1"/>
  <c r="J169" i="1" a="1"/>
  <c r="J169" i="1" s="1"/>
  <c r="C165" i="1" a="1"/>
  <c r="C165" i="1" s="1"/>
  <c r="C87" i="1" a="1"/>
  <c r="C87" i="1" s="1"/>
  <c r="N168" i="1" a="1"/>
  <c r="N168" i="1" s="1"/>
  <c r="J150" i="1" a="1"/>
  <c r="J150" i="1" s="1"/>
  <c r="J132" i="1" a="1"/>
  <c r="J132" i="1" s="1"/>
  <c r="J114" i="1" a="1"/>
  <c r="J114" i="1" s="1"/>
  <c r="J96" i="1" a="1"/>
  <c r="J96" i="1" s="1"/>
  <c r="J78" i="1" a="1"/>
  <c r="J78" i="1" s="1"/>
  <c r="J60" i="1" a="1"/>
  <c r="J60" i="1" s="1"/>
  <c r="J42" i="1" a="1"/>
  <c r="J42" i="1" s="1"/>
  <c r="J24" i="1" a="1"/>
  <c r="J24" i="1" s="1"/>
  <c r="C157" i="1" a="1"/>
  <c r="C157" i="1" s="1"/>
  <c r="C31" i="1" a="1"/>
  <c r="C31" i="1" s="1"/>
  <c r="C5" i="1" a="1"/>
  <c r="C5" i="1" s="1"/>
  <c r="C161" i="1" a="1"/>
  <c r="C161" i="1" s="1"/>
  <c r="C149" i="1" a="1"/>
  <c r="C149" i="1" s="1"/>
  <c r="C137" i="1" a="1"/>
  <c r="C137" i="1" s="1"/>
  <c r="C125" i="1" a="1"/>
  <c r="C125" i="1" s="1"/>
  <c r="C113" i="1" a="1"/>
  <c r="C113" i="1" s="1"/>
  <c r="C101" i="1" a="1"/>
  <c r="C101" i="1" s="1"/>
  <c r="C89" i="1" a="1"/>
  <c r="C89" i="1" s="1"/>
  <c r="C77" i="1" a="1"/>
  <c r="C77" i="1" s="1"/>
  <c r="C65" i="1" a="1"/>
  <c r="C65" i="1" s="1"/>
  <c r="C53" i="1" a="1"/>
  <c r="C53" i="1" s="1"/>
  <c r="C41" i="1" a="1"/>
  <c r="C41" i="1" s="1"/>
  <c r="C29" i="1" a="1"/>
  <c r="C29" i="1" s="1"/>
  <c r="C17" i="1" a="1"/>
  <c r="C17" i="1" s="1"/>
  <c r="C67" i="1" a="1"/>
  <c r="C67" i="1" s="1"/>
  <c r="J166" i="1" a="1"/>
  <c r="J166" i="1" s="1"/>
  <c r="J148" i="1" a="1"/>
  <c r="J148" i="1" s="1"/>
  <c r="J130" i="1" a="1"/>
  <c r="J130" i="1" s="1"/>
  <c r="J112" i="1" a="1"/>
  <c r="J112" i="1" s="1"/>
  <c r="J94" i="1" a="1"/>
  <c r="J94" i="1" s="1"/>
  <c r="J76" i="1" a="1"/>
  <c r="J76" i="1" s="1"/>
  <c r="J58" i="1" a="1"/>
  <c r="J58" i="1" s="1"/>
  <c r="J40" i="1" a="1"/>
  <c r="J40" i="1" s="1"/>
  <c r="C129" i="1" a="1"/>
  <c r="C129" i="1" s="1"/>
  <c r="C111" i="1" a="1"/>
  <c r="C111" i="1" s="1"/>
  <c r="J158" i="1" a="1"/>
  <c r="J158" i="1" s="1"/>
  <c r="J146" i="1" a="1"/>
  <c r="J146" i="1" s="1"/>
  <c r="J134" i="1" a="1"/>
  <c r="J134" i="1" s="1"/>
  <c r="J122" i="1" a="1"/>
  <c r="J122" i="1" s="1"/>
  <c r="J110" i="1" a="1"/>
  <c r="J110" i="1" s="1"/>
  <c r="J98" i="1" a="1"/>
  <c r="J98" i="1" s="1"/>
  <c r="J86" i="1" a="1"/>
  <c r="J86" i="1" s="1"/>
  <c r="J74" i="1" a="1"/>
  <c r="J74" i="1" s="1"/>
  <c r="J62" i="1" a="1"/>
  <c r="J62" i="1" s="1"/>
  <c r="J50" i="1" a="1"/>
  <c r="J50" i="1" s="1"/>
  <c r="J38" i="1" a="1"/>
  <c r="J38" i="1" s="1"/>
  <c r="J14" i="1" a="1"/>
  <c r="J14" i="1" s="1"/>
  <c r="C147" i="1" a="1"/>
  <c r="C147" i="1" s="1"/>
  <c r="C64" i="1" a="1"/>
  <c r="C64" i="1" s="1"/>
  <c r="H10" i="1" a="1"/>
  <c r="H10" i="1" s="1"/>
  <c r="N165" i="1" a="1"/>
  <c r="N165" i="1" s="1"/>
  <c r="J147" i="1" a="1"/>
  <c r="J147" i="1" s="1"/>
  <c r="J129" i="1" a="1"/>
  <c r="J129" i="1" s="1"/>
  <c r="J111" i="1" a="1"/>
  <c r="J111" i="1" s="1"/>
  <c r="J93" i="1" a="1"/>
  <c r="J93" i="1" s="1"/>
  <c r="J75" i="1" a="1"/>
  <c r="J75" i="1" s="1"/>
  <c r="J57" i="1" a="1"/>
  <c r="J57" i="1" s="1"/>
  <c r="J39" i="1" a="1"/>
  <c r="J39" i="1" s="1"/>
  <c r="P169" i="1" a="1"/>
  <c r="P169" i="1" s="1"/>
  <c r="J151" i="1" a="1"/>
  <c r="J151" i="1" s="1"/>
  <c r="J133" i="1" a="1"/>
  <c r="J133" i="1" s="1"/>
  <c r="J115" i="1" a="1"/>
  <c r="J115" i="1" s="1"/>
  <c r="J97" i="1" a="1"/>
  <c r="J97" i="1" s="1"/>
  <c r="J79" i="1" a="1"/>
  <c r="J79" i="1" s="1"/>
  <c r="J61" i="1" a="1"/>
  <c r="J61" i="1" s="1"/>
  <c r="J43" i="1" a="1"/>
  <c r="J43" i="1" s="1"/>
  <c r="J25" i="1" a="1"/>
  <c r="J25" i="1" s="1"/>
  <c r="C145" i="1" a="1"/>
  <c r="C145" i="1" s="1"/>
  <c r="C55" i="1" a="1"/>
  <c r="C55" i="1" s="1"/>
  <c r="C9" i="1" a="1"/>
  <c r="C9" i="1" s="1"/>
  <c r="C13" i="1" a="1"/>
  <c r="C13" i="1" s="1"/>
  <c r="C63" i="1" a="1"/>
  <c r="C63" i="1" s="1"/>
  <c r="C61" i="1" a="1"/>
  <c r="C61" i="1" s="1"/>
  <c r="C75" i="1" a="1"/>
  <c r="C75" i="1" s="1"/>
  <c r="C11" i="1" a="1"/>
  <c r="C11" i="1" s="1"/>
  <c r="C158" i="1" a="1"/>
  <c r="C158" i="1" s="1"/>
  <c r="C146" i="1" a="1"/>
  <c r="C146" i="1" s="1"/>
  <c r="C134" i="1" a="1"/>
  <c r="C134" i="1" s="1"/>
  <c r="C122" i="1" a="1"/>
  <c r="C122" i="1" s="1"/>
  <c r="C110" i="1" a="1"/>
  <c r="C110" i="1" s="1"/>
  <c r="C98" i="1" a="1"/>
  <c r="C98" i="1" s="1"/>
  <c r="C86" i="1" a="1"/>
  <c r="C86" i="1" s="1"/>
  <c r="C74" i="1" a="1"/>
  <c r="C74" i="1" s="1"/>
  <c r="C62" i="1" a="1"/>
  <c r="C62" i="1" s="1"/>
  <c r="C50" i="1" a="1"/>
  <c r="C50" i="1" s="1"/>
  <c r="C38" i="1" a="1"/>
  <c r="C38" i="1" s="1"/>
  <c r="C26" i="1" a="1"/>
  <c r="C26" i="1" s="1"/>
  <c r="C14" i="1" a="1"/>
  <c r="C14" i="1" s="1"/>
  <c r="C109" i="1" a="1"/>
  <c r="C109" i="1" s="1"/>
  <c r="C37" i="1" a="1"/>
  <c r="C37" i="1" s="1"/>
  <c r="J21" i="1" a="1"/>
  <c r="J21" i="1" s="1"/>
  <c r="J9" i="1" a="1"/>
  <c r="J9" i="1" s="1"/>
  <c r="C93" i="1" a="1"/>
  <c r="C93" i="1" s="1"/>
  <c r="C141" i="1" a="1"/>
  <c r="C141" i="1" s="1"/>
  <c r="C51" i="1" a="1"/>
  <c r="C51" i="1" s="1"/>
  <c r="J162" i="1" a="1"/>
  <c r="J162" i="1" s="1"/>
  <c r="J144" i="1" a="1"/>
  <c r="J144" i="1" s="1"/>
  <c r="J126" i="1" a="1"/>
  <c r="J126" i="1" s="1"/>
  <c r="J108" i="1" a="1"/>
  <c r="J108" i="1" s="1"/>
  <c r="J90" i="1" a="1"/>
  <c r="J90" i="1" s="1"/>
  <c r="J72" i="1" a="1"/>
  <c r="J72" i="1" s="1"/>
  <c r="J54" i="1" a="1"/>
  <c r="J54" i="1" s="1"/>
  <c r="J36" i="1" a="1"/>
  <c r="J36" i="1" s="1"/>
  <c r="J18" i="1" a="1"/>
  <c r="J18" i="1" s="1"/>
  <c r="C3" i="1" a="1"/>
  <c r="C3" i="1" s="1"/>
  <c r="C7" i="1" a="1"/>
  <c r="C7" i="1" s="1"/>
  <c r="N167" i="1" a="1"/>
  <c r="N167" i="1" s="1"/>
  <c r="J155" i="1" a="1"/>
  <c r="J155" i="1" s="1"/>
  <c r="J143" i="1" a="1"/>
  <c r="J143" i="1" s="1"/>
  <c r="J131" i="1" a="1"/>
  <c r="J131" i="1" s="1"/>
  <c r="J119" i="1" a="1"/>
  <c r="J119" i="1" s="1"/>
  <c r="J107" i="1" a="1"/>
  <c r="J107" i="1" s="1"/>
  <c r="J95" i="1" a="1"/>
  <c r="J95" i="1" s="1"/>
  <c r="J83" i="1" a="1"/>
  <c r="J83" i="1" s="1"/>
  <c r="J71" i="1" a="1"/>
  <c r="J71" i="1" s="1"/>
  <c r="J59" i="1" a="1"/>
  <c r="J59" i="1" s="1"/>
  <c r="J47" i="1" a="1"/>
  <c r="J47" i="1" s="1"/>
  <c r="J35" i="1" a="1"/>
  <c r="J35" i="1" s="1"/>
  <c r="J23" i="1" a="1"/>
  <c r="J23" i="1" s="1"/>
  <c r="C135" i="1" a="1"/>
  <c r="C135" i="1" s="1"/>
  <c r="J160" i="1" a="1"/>
  <c r="J160" i="1" s="1"/>
  <c r="J142" i="1" a="1"/>
  <c r="J142" i="1" s="1"/>
  <c r="J124" i="1" a="1"/>
  <c r="J124" i="1" s="1"/>
  <c r="J106" i="1" a="1"/>
  <c r="J106" i="1" s="1"/>
  <c r="J88" i="1" a="1"/>
  <c r="J88" i="1" s="1"/>
  <c r="J70" i="1" a="1"/>
  <c r="J70" i="1" s="1"/>
  <c r="J52" i="1" a="1"/>
  <c r="J52" i="1" s="1"/>
  <c r="J34" i="1" a="1"/>
  <c r="J34" i="1" s="1"/>
  <c r="J16" i="1" a="1"/>
  <c r="J16" i="1" s="1"/>
  <c r="C57" i="1" a="1"/>
  <c r="C57" i="1" s="1"/>
  <c r="C25" i="1" a="1"/>
  <c r="C25" i="1" s="1"/>
  <c r="C169" i="1" a="1"/>
  <c r="C169" i="1" s="1"/>
  <c r="C105" i="1" a="1"/>
  <c r="C105" i="1" s="1"/>
  <c r="J167" i="1" a="1"/>
  <c r="J167" i="1" s="1"/>
  <c r="C118" i="1" a="1"/>
  <c r="C118" i="1" s="1"/>
  <c r="J159" i="1" a="1"/>
  <c r="J159" i="1" s="1"/>
  <c r="J141" i="1" a="1"/>
  <c r="J141" i="1" s="1"/>
  <c r="J123" i="1" a="1"/>
  <c r="J123" i="1" s="1"/>
  <c r="J105" i="1" a="1"/>
  <c r="J105" i="1" s="1"/>
  <c r="J87" i="1" a="1"/>
  <c r="J87" i="1" s="1"/>
  <c r="J69" i="1" a="1"/>
  <c r="J69" i="1" s="1"/>
  <c r="J51" i="1" a="1"/>
  <c r="J51" i="1" s="1"/>
  <c r="J163" i="1" a="1"/>
  <c r="J163" i="1" s="1"/>
  <c r="J145" i="1" a="1"/>
  <c r="J145" i="1" s="1"/>
  <c r="J127" i="1" a="1"/>
  <c r="J127" i="1" s="1"/>
  <c r="J109" i="1" a="1"/>
  <c r="J109" i="1" s="1"/>
  <c r="J91" i="1" a="1"/>
  <c r="J91" i="1" s="1"/>
  <c r="J73" i="1" a="1"/>
  <c r="J73" i="1" s="1"/>
  <c r="J55" i="1" a="1"/>
  <c r="J55" i="1" s="1"/>
  <c r="J37" i="1" a="1"/>
  <c r="J37" i="1" s="1"/>
  <c r="J19" i="1" a="1"/>
  <c r="J19" i="1" s="1"/>
  <c r="C127" i="1" a="1"/>
  <c r="C127" i="1" s="1"/>
  <c r="C19" i="1" a="1"/>
  <c r="C19" i="1" s="1"/>
  <c r="C117" i="1" a="1"/>
  <c r="C117" i="1" s="1"/>
  <c r="C167" i="1" a="1"/>
  <c r="C167" i="1" s="1"/>
  <c r="C155" i="1" a="1"/>
  <c r="C155" i="1" s="1"/>
  <c r="C143" i="1" a="1"/>
  <c r="C143" i="1" s="1"/>
  <c r="C131" i="1" a="1"/>
  <c r="C131" i="1" s="1"/>
  <c r="C119" i="1" a="1"/>
  <c r="C119" i="1" s="1"/>
  <c r="C107" i="1" a="1"/>
  <c r="C107" i="1" s="1"/>
  <c r="C95" i="1" a="1"/>
  <c r="C95" i="1" s="1"/>
  <c r="C83" i="1" a="1"/>
  <c r="C83" i="1" s="1"/>
  <c r="C71" i="1" a="1"/>
  <c r="C71" i="1" s="1"/>
  <c r="C59" i="1" a="1"/>
  <c r="C59" i="1" s="1"/>
  <c r="C47" i="1" a="1"/>
  <c r="C47" i="1" s="1"/>
  <c r="C35" i="1" a="1"/>
  <c r="C35" i="1" s="1"/>
  <c r="C23" i="1" a="1"/>
  <c r="C23" i="1" s="1"/>
  <c r="C99" i="1" a="1"/>
  <c r="C99" i="1" s="1"/>
  <c r="J4" i="1" a="1"/>
  <c r="J4" i="1" s="1"/>
  <c r="C2" i="1" a="1"/>
  <c r="C2" i="1" s="1"/>
  <c r="C43" i="1" a="1"/>
  <c r="C43" i="1" s="1"/>
  <c r="C16" i="1" a="1"/>
  <c r="C16" i="1" s="1"/>
  <c r="J164" i="1" a="1"/>
  <c r="J164" i="1" s="1"/>
  <c r="J152" i="1" a="1"/>
  <c r="J152" i="1" s="1"/>
  <c r="J140" i="1" a="1"/>
  <c r="J140" i="1" s="1"/>
  <c r="J128" i="1" a="1"/>
  <c r="J128" i="1" s="1"/>
  <c r="J116" i="1" a="1"/>
  <c r="J116" i="1" s="1"/>
  <c r="J104" i="1" a="1"/>
  <c r="J104" i="1" s="1"/>
  <c r="J92" i="1" a="1"/>
  <c r="J92" i="1" s="1"/>
  <c r="J80" i="1" a="1"/>
  <c r="J80" i="1" s="1"/>
  <c r="J68" i="1" a="1"/>
  <c r="J68" i="1" s="1"/>
  <c r="J56" i="1" a="1"/>
  <c r="J56" i="1" s="1"/>
  <c r="J44" i="1" a="1"/>
  <c r="J44" i="1" s="1"/>
  <c r="J32" i="1" a="1"/>
  <c r="J32" i="1" s="1"/>
  <c r="J20" i="1" a="1"/>
  <c r="J20" i="1" s="1"/>
  <c r="C10" i="1" a="1"/>
  <c r="C10" i="1" s="1"/>
  <c r="C100" i="1" a="1"/>
  <c r="C100" i="1" s="1"/>
  <c r="J33" i="1" a="1"/>
  <c r="J33" i="1" s="1"/>
  <c r="J15" i="1" a="1"/>
  <c r="J15" i="1" s="1"/>
  <c r="C82" i="1" a="1"/>
  <c r="C82" i="1" s="1"/>
  <c r="J3" i="1" a="1"/>
  <c r="J3" i="1" s="1"/>
  <c r="C123" i="1" a="1"/>
  <c r="C123" i="1" s="1"/>
  <c r="J156" i="1" a="1"/>
  <c r="J156" i="1" s="1"/>
  <c r="J138" i="1" a="1"/>
  <c r="J138" i="1" s="1"/>
  <c r="J120" i="1" a="1"/>
  <c r="J120" i="1" s="1"/>
  <c r="J102" i="1" a="1"/>
  <c r="J102" i="1" s="1"/>
  <c r="J84" i="1" a="1"/>
  <c r="J84" i="1" s="1"/>
  <c r="J66" i="1" a="1"/>
  <c r="J66" i="1" s="1"/>
  <c r="J48" i="1" a="1"/>
  <c r="J48" i="1" s="1"/>
  <c r="J30" i="1" a="1"/>
  <c r="J30" i="1" s="1"/>
  <c r="J12" i="1" a="1"/>
  <c r="J12" i="1" s="1"/>
  <c r="C85" i="1" a="1"/>
  <c r="C85" i="1" s="1"/>
  <c r="J154" i="1" a="1"/>
  <c r="J154" i="1" s="1"/>
  <c r="J136" i="1" a="1"/>
  <c r="J136" i="1" s="1"/>
  <c r="J118" i="1" a="1"/>
  <c r="J118" i="1" s="1"/>
  <c r="J100" i="1" a="1"/>
  <c r="J100" i="1" s="1"/>
  <c r="J82" i="1" a="1"/>
  <c r="J82" i="1" s="1"/>
  <c r="J64" i="1" a="1"/>
  <c r="J64" i="1" s="1"/>
  <c r="J46" i="1" a="1"/>
  <c r="J46" i="1" s="1"/>
  <c r="C163" i="1" a="1"/>
  <c r="C163" i="1" s="1"/>
  <c r="C39" i="1" a="1"/>
  <c r="C39" i="1" s="1"/>
  <c r="C164" i="1" a="1"/>
  <c r="C164" i="1" s="1"/>
  <c r="C152" i="1" a="1"/>
  <c r="C152" i="1" s="1"/>
  <c r="C140" i="1" a="1"/>
  <c r="C140" i="1" s="1"/>
  <c r="C128" i="1" a="1"/>
  <c r="C128" i="1" s="1"/>
  <c r="C116" i="1" a="1"/>
  <c r="C116" i="1" s="1"/>
  <c r="C104" i="1" a="1"/>
  <c r="C104" i="1" s="1"/>
  <c r="C92" i="1" a="1"/>
  <c r="C92" i="1" s="1"/>
  <c r="C80" i="1" a="1"/>
  <c r="C80" i="1" s="1"/>
  <c r="C68" i="1" a="1"/>
  <c r="C68" i="1" s="1"/>
  <c r="C56" i="1" a="1"/>
  <c r="C56" i="1" s="1"/>
  <c r="C44" i="1" a="1"/>
  <c r="C44" i="1" s="1"/>
  <c r="C32" i="1" a="1"/>
  <c r="C32" i="1" s="1"/>
  <c r="C20" i="1" a="1"/>
  <c r="C20" i="1" s="1"/>
  <c r="C4" i="1" a="1"/>
  <c r="C4" i="1" s="1"/>
  <c r="C73" i="1" a="1"/>
  <c r="C73" i="1" s="1"/>
  <c r="C46" i="1" a="1"/>
  <c r="C46" i="1" s="1"/>
  <c r="J153" i="1" a="1"/>
  <c r="J153" i="1" s="1"/>
  <c r="J135" i="1" a="1"/>
  <c r="J135" i="1" s="1"/>
  <c r="J117" i="1" a="1"/>
  <c r="J117" i="1" s="1"/>
  <c r="J99" i="1" a="1"/>
  <c r="J99" i="1" s="1"/>
  <c r="J81" i="1" a="1"/>
  <c r="J81" i="1" s="1"/>
  <c r="J63" i="1" a="1"/>
  <c r="J63" i="1" s="1"/>
  <c r="J45" i="1" a="1"/>
  <c r="J45" i="1" s="1"/>
  <c r="N169" i="1" a="1"/>
  <c r="N169" i="1" s="1"/>
  <c r="J157" i="1" a="1"/>
  <c r="J157" i="1" s="1"/>
  <c r="J139" i="1" a="1"/>
  <c r="J139" i="1" s="1"/>
  <c r="J121" i="1" a="1"/>
  <c r="J121" i="1" s="1"/>
  <c r="J103" i="1" a="1"/>
  <c r="J103" i="1" s="1"/>
  <c r="J85" i="1" a="1"/>
  <c r="J85" i="1" s="1"/>
  <c r="J67" i="1" a="1"/>
  <c r="J67" i="1" s="1"/>
  <c r="J49" i="1" a="1"/>
  <c r="J49" i="1" s="1"/>
  <c r="J31" i="1" a="1"/>
  <c r="J31" i="1" s="1"/>
  <c r="J13" i="1" a="1"/>
  <c r="J13" i="1" s="1"/>
  <c r="C91" i="1" a="1"/>
  <c r="C91" i="1" s="1"/>
  <c r="C168" i="1" a="1"/>
  <c r="C168" i="1" s="1"/>
  <c r="C45" i="1" a="1"/>
  <c r="C45" i="1" s="1"/>
  <c r="J161" i="1" a="1"/>
  <c r="J161" i="1" s="1"/>
  <c r="J149" i="1" a="1"/>
  <c r="J149" i="1" s="1"/>
  <c r="J137" i="1" a="1"/>
  <c r="J137" i="1" s="1"/>
  <c r="J125" i="1" a="1"/>
  <c r="J125" i="1" s="1"/>
  <c r="J113" i="1" a="1"/>
  <c r="J113" i="1" s="1"/>
  <c r="J101" i="1" a="1"/>
  <c r="J101" i="1" s="1"/>
  <c r="J89" i="1" a="1"/>
  <c r="J89" i="1" s="1"/>
  <c r="J77" i="1" a="1"/>
  <c r="J77" i="1" s="1"/>
  <c r="J65" i="1" a="1"/>
  <c r="J65" i="1" s="1"/>
  <c r="J53" i="1" a="1"/>
  <c r="J53" i="1" s="1"/>
  <c r="J41" i="1" a="1"/>
  <c r="J41" i="1" s="1"/>
  <c r="J29" i="1" a="1"/>
  <c r="J29" i="1" s="1"/>
  <c r="J17" i="1" a="1"/>
  <c r="J17" i="1" s="1"/>
  <c r="C81" i="1" a="1"/>
  <c r="C81" i="1" s="1"/>
  <c r="J22" i="1" a="1"/>
  <c r="J22" i="1" s="1"/>
  <c r="C159" i="1" a="1"/>
  <c r="C159" i="1" s="1"/>
  <c r="N166" i="1" a="1"/>
  <c r="N166" i="1" s="1"/>
  <c r="C8" i="1" a="1"/>
  <c r="C8" i="1" s="1"/>
  <c r="Q169" i="1" a="1"/>
  <c r="Q169" i="1" s="1"/>
  <c r="C69" i="1" a="1"/>
  <c r="C69" i="1" s="1"/>
  <c r="P95" i="1" a="1"/>
  <c r="P95" i="1" s="1"/>
  <c r="F105" i="1" a="1"/>
  <c r="F105" i="1" s="1"/>
  <c r="J10" i="1" a="1"/>
  <c r="J10" i="1" s="1"/>
  <c r="P102" i="1" a="1"/>
  <c r="P102" i="1" s="1"/>
  <c r="P39" i="1" a="1"/>
  <c r="P39" i="1" s="1"/>
  <c r="D10" i="1" a="1"/>
  <c r="D10" i="1" s="1"/>
  <c r="P37" i="1" a="1"/>
  <c r="P37" i="1" s="1"/>
  <c r="P94" i="1" a="1"/>
  <c r="P94" i="1" s="1"/>
  <c r="Q94" i="1" a="1"/>
  <c r="Q94" i="1" s="1"/>
  <c r="P105" i="1" a="1"/>
  <c r="P105" i="1" s="1"/>
  <c r="J7" i="1" a="1"/>
  <c r="J7" i="1" s="1"/>
  <c r="P89" i="1" a="1"/>
  <c r="P89" i="1" s="1"/>
  <c r="P41" i="1" a="1"/>
  <c r="P41" i="1" s="1"/>
  <c r="P99" i="1" a="1"/>
  <c r="P99" i="1" s="1"/>
  <c r="P88" i="1" a="1"/>
  <c r="P88" i="1" s="1"/>
  <c r="P93" i="1" a="1"/>
  <c r="P93" i="1" s="1"/>
  <c r="F9" i="1" a="1"/>
  <c r="F9" i="1" s="1"/>
  <c r="P87" i="1" a="1"/>
  <c r="P87" i="1" s="1"/>
  <c r="H9" i="1" a="1"/>
  <c r="H9" i="1" s="1"/>
  <c r="P47" i="1" a="1"/>
  <c r="P47" i="1" s="1"/>
  <c r="H6" i="1" a="1"/>
  <c r="H6" i="1" s="1"/>
  <c r="F7" i="1" a="1"/>
  <c r="F7" i="1" s="1"/>
  <c r="P40" i="1" a="1"/>
  <c r="P40" i="1" s="1"/>
  <c r="D9" i="1" a="1"/>
  <c r="D9" i="1" s="1"/>
  <c r="P90" i="1" a="1"/>
  <c r="P90" i="1" s="1"/>
  <c r="P98" i="1" a="1"/>
  <c r="P98" i="1" s="1"/>
  <c r="P103" i="1" a="1"/>
  <c r="P103" i="1" s="1"/>
  <c r="Q92" i="1" a="1"/>
  <c r="Q92" i="1" s="1"/>
  <c r="Q101" i="1" a="1"/>
  <c r="Q101" i="1" s="1"/>
  <c r="P92" i="1" a="1"/>
  <c r="P92" i="1" s="1"/>
  <c r="Q100" i="1" a="1"/>
  <c r="Q100" i="1" s="1"/>
  <c r="D7" i="1" a="1"/>
  <c r="D7" i="1" s="1"/>
  <c r="P38" i="1" a="1"/>
  <c r="P38" i="1" s="1"/>
  <c r="F10" i="1" a="1"/>
  <c r="F10" i="1" s="1"/>
  <c r="P97" i="1" a="1"/>
  <c r="P97" i="1" s="1"/>
  <c r="P101" i="1" a="1"/>
  <c r="P101" i="1" s="1"/>
  <c r="P91" i="1" a="1"/>
  <c r="P91" i="1" s="1"/>
  <c r="P96" i="1" a="1"/>
  <c r="P96" i="1" s="1"/>
  <c r="P100" i="1" a="1"/>
  <c r="P100" i="1" s="1"/>
  <c r="Q38" i="1" a="1"/>
  <c r="Q38" i="1" s="1"/>
  <c r="F17" i="1" a="1"/>
  <c r="F17" i="1" s="1"/>
  <c r="F34" i="1" a="1"/>
  <c r="F34" i="1" s="1"/>
  <c r="F46" i="1" a="1"/>
  <c r="F46" i="1" s="1"/>
  <c r="F86" i="1" a="1"/>
  <c r="F86" i="1" s="1"/>
  <c r="F67" i="1" a="1"/>
  <c r="F67" i="1" s="1"/>
  <c r="F11" i="1" a="1"/>
  <c r="F11" i="1" s="1"/>
  <c r="F38" i="1" a="1"/>
  <c r="F38" i="1" s="1"/>
  <c r="F90" i="1" a="1"/>
  <c r="F90" i="1" s="1"/>
  <c r="F37" i="1" a="1"/>
  <c r="F37" i="1" s="1"/>
  <c r="F26" i="1" a="1"/>
  <c r="F26" i="1" s="1"/>
  <c r="F24" i="1" a="1"/>
  <c r="F24" i="1" s="1"/>
  <c r="F35" i="1" a="1"/>
  <c r="F35" i="1" s="1"/>
  <c r="F69" i="1" a="1"/>
  <c r="F69" i="1" s="1"/>
  <c r="F5" i="1" a="1"/>
  <c r="F5" i="1" s="1"/>
  <c r="F21" i="1" a="1"/>
  <c r="F21" i="1" s="1"/>
  <c r="F16" i="1" a="1"/>
  <c r="F16" i="1" s="1"/>
  <c r="Q104" i="1" a="1"/>
  <c r="Q104" i="1" s="1"/>
  <c r="Q96" i="1" a="1"/>
  <c r="Q96" i="1" s="1"/>
  <c r="Q41" i="1" a="1"/>
  <c r="Q41" i="1" s="1"/>
  <c r="F50" i="1" a="1"/>
  <c r="F50" i="1" s="1"/>
  <c r="D5" i="1" a="1"/>
  <c r="D5" i="1" s="1"/>
  <c r="F25" i="1" a="1"/>
  <c r="F25" i="1" s="1"/>
  <c r="H5" i="1" a="1"/>
  <c r="H5" i="1" s="1"/>
  <c r="F45" i="1" a="1"/>
  <c r="F45" i="1" s="1"/>
  <c r="F91" i="1" a="1"/>
  <c r="F91" i="1" s="1"/>
  <c r="J5" i="1" a="1"/>
  <c r="J5" i="1" s="1"/>
  <c r="D11" i="1" a="1"/>
  <c r="D11" i="1" s="1"/>
  <c r="H2" i="1" a="1"/>
  <c r="H2" i="1" s="1"/>
  <c r="F93" i="1" a="1"/>
  <c r="F93" i="1" s="1"/>
  <c r="F100" i="1" a="1"/>
  <c r="F100" i="1" s="1"/>
  <c r="F23" i="1" a="1"/>
  <c r="F23" i="1" s="1"/>
  <c r="F6" i="1" a="1"/>
  <c r="F6" i="1" s="1"/>
  <c r="D2" i="1" a="1"/>
  <c r="D2" i="1" s="1"/>
  <c r="F27" i="1" a="1"/>
  <c r="F27" i="1" s="1"/>
  <c r="F39" i="1" a="1"/>
  <c r="F39" i="1" s="1"/>
  <c r="Q99" i="1" a="1"/>
  <c r="Q99" i="1" s="1"/>
  <c r="Q95" i="1" a="1"/>
  <c r="Q95" i="1" s="1"/>
  <c r="F96" i="1" a="1"/>
  <c r="F96" i="1" s="1"/>
  <c r="F36" i="1" a="1"/>
  <c r="F36" i="1" s="1"/>
  <c r="H8" i="1" a="1"/>
  <c r="H8" i="1" s="1"/>
  <c r="F20" i="1" a="1"/>
  <c r="F20" i="1" s="1"/>
  <c r="F62" i="1" a="1"/>
  <c r="F62" i="1" s="1"/>
  <c r="F33" i="1" a="1"/>
  <c r="F33" i="1" s="1"/>
  <c r="F14" i="1" a="1"/>
  <c r="F14" i="1" s="1"/>
  <c r="F57" i="1" a="1"/>
  <c r="F57" i="1" s="1"/>
  <c r="F70" i="1" a="1"/>
  <c r="F70" i="1" s="1"/>
  <c r="F42" i="1" a="1"/>
  <c r="F42" i="1" s="1"/>
  <c r="F99" i="1" a="1"/>
  <c r="F99" i="1" s="1"/>
  <c r="F43" i="1" a="1"/>
  <c r="F43" i="1" s="1"/>
  <c r="J11" i="1" a="1"/>
  <c r="J11" i="1" s="1"/>
  <c r="F102" i="1" a="1"/>
  <c r="F102" i="1" s="1"/>
  <c r="F28" i="1" a="1"/>
  <c r="F28" i="1" s="1"/>
  <c r="F101" i="1" a="1"/>
  <c r="F101" i="1" s="1"/>
  <c r="Q91" i="1" a="1"/>
  <c r="Q91" i="1" s="1"/>
  <c r="Q39" i="1" a="1"/>
  <c r="Q39" i="1" s="1"/>
  <c r="Q47" i="1" a="1"/>
  <c r="Q47" i="1" s="1"/>
  <c r="Q102" i="1" a="1"/>
  <c r="Q102" i="1" s="1"/>
  <c r="Q105" i="1" a="1"/>
  <c r="Q105" i="1" s="1"/>
  <c r="F41" i="1" a="1"/>
  <c r="F41" i="1" s="1"/>
  <c r="F78" i="1" a="1"/>
  <c r="F78" i="1" s="1"/>
  <c r="F32" i="1" a="1"/>
  <c r="F32" i="1" s="1"/>
  <c r="F79" i="1" a="1"/>
  <c r="F79" i="1" s="1"/>
  <c r="F82" i="1" a="1"/>
  <c r="F82" i="1" s="1"/>
  <c r="F59" i="1" a="1"/>
  <c r="F59" i="1" s="1"/>
  <c r="F58" i="1" a="1"/>
  <c r="F58" i="1" s="1"/>
  <c r="F104" i="1" a="1"/>
  <c r="F104" i="1" s="1"/>
  <c r="F74" i="1" a="1"/>
  <c r="F74" i="1" s="1"/>
  <c r="J6" i="1" a="1"/>
  <c r="J6" i="1" s="1"/>
  <c r="F61" i="1" a="1"/>
  <c r="F61" i="1" s="1"/>
  <c r="F40" i="1" a="1"/>
  <c r="F40" i="1" s="1"/>
  <c r="F13" i="1" a="1"/>
  <c r="F13" i="1" s="1"/>
  <c r="F97" i="1" a="1"/>
  <c r="F97" i="1" s="1"/>
  <c r="F73" i="1" a="1"/>
  <c r="F73" i="1" s="1"/>
  <c r="D6" i="1" a="1"/>
  <c r="D6" i="1" s="1"/>
  <c r="Q97" i="1" a="1"/>
  <c r="Q97" i="1" s="1"/>
  <c r="Q89" i="1" a="1"/>
  <c r="Q89" i="1" s="1"/>
  <c r="I44" i="8"/>
  <c r="I84" i="8"/>
  <c r="I56" i="8"/>
  <c r="I58" i="8"/>
  <c r="I21" i="8"/>
  <c r="I4" i="8"/>
  <c r="I27" i="8"/>
  <c r="K27" i="4" s="1"/>
  <c r="I74" i="8"/>
  <c r="I22" i="8"/>
  <c r="I60" i="8"/>
  <c r="I90" i="8"/>
  <c r="I57" i="8"/>
  <c r="I97" i="8"/>
  <c r="I86" i="8"/>
  <c r="I12" i="8"/>
  <c r="K12" i="4" s="1"/>
  <c r="K75" i="1" s="1" a="1"/>
  <c r="K75" i="1" s="1"/>
  <c r="I72" i="8"/>
  <c r="I45" i="8"/>
  <c r="I33" i="8"/>
  <c r="K33" i="4" s="1"/>
  <c r="K48" i="1" s="1" a="1"/>
  <c r="K48" i="1" s="1"/>
  <c r="I54" i="8"/>
  <c r="I20" i="8"/>
  <c r="I18" i="8"/>
  <c r="K256" i="4"/>
  <c r="K255" i="4"/>
  <c r="K258" i="4"/>
  <c r="K253" i="4"/>
  <c r="K254" i="4"/>
  <c r="K257" i="4"/>
  <c r="K259" i="4"/>
  <c r="K260" i="4"/>
  <c r="I89" i="8"/>
  <c r="I73" i="8"/>
  <c r="I103" i="8"/>
  <c r="I100" i="8"/>
  <c r="I53" i="8"/>
  <c r="I7" i="8"/>
  <c r="I75" i="8"/>
  <c r="I79" i="8"/>
  <c r="I19" i="8"/>
  <c r="K19" i="4" s="1"/>
  <c r="I93" i="8"/>
  <c r="I61" i="8"/>
  <c r="I13" i="8"/>
  <c r="I83" i="8"/>
  <c r="I8" i="8"/>
  <c r="I23" i="8"/>
  <c r="I11" i="8"/>
  <c r="K11" i="4" s="1"/>
  <c r="K55" i="1" s="1" a="1"/>
  <c r="K55" i="1" s="1"/>
  <c r="I96" i="8"/>
  <c r="I91" i="8"/>
  <c r="I29" i="8"/>
  <c r="I25" i="8"/>
  <c r="K25" i="4" s="1"/>
  <c r="K45" i="1" s="1" a="1"/>
  <c r="K45" i="1" s="1"/>
  <c r="I31" i="8"/>
  <c r="I52" i="8"/>
  <c r="I39" i="8"/>
  <c r="K39" i="4" s="1"/>
  <c r="K69" i="1" s="1" a="1"/>
  <c r="K69" i="1" s="1"/>
  <c r="I34" i="8"/>
  <c r="I37" i="8"/>
  <c r="I65" i="8"/>
  <c r="I63" i="8"/>
  <c r="I66" i="8"/>
  <c r="I99" i="8"/>
  <c r="P2" i="4"/>
  <c r="L4" i="1" s="1" a="1"/>
  <c r="L4" i="1" s="1"/>
  <c r="I64" i="8"/>
  <c r="I98" i="8"/>
  <c r="I69" i="8"/>
  <c r="I15" i="8"/>
  <c r="I78" i="8"/>
  <c r="I10" i="8"/>
  <c r="K10" i="4" s="1"/>
  <c r="K76" i="1" s="1" a="1"/>
  <c r="K76" i="1" s="1"/>
  <c r="I16" i="8"/>
  <c r="I46" i="8"/>
  <c r="I26" i="8"/>
  <c r="I30" i="8"/>
  <c r="I95" i="8"/>
  <c r="I88" i="8"/>
  <c r="I70" i="8"/>
  <c r="I82" i="8"/>
  <c r="I9" i="8"/>
  <c r="I49" i="8"/>
  <c r="I71" i="8"/>
  <c r="I43" i="8"/>
  <c r="I77" i="8"/>
  <c r="I51" i="8"/>
  <c r="I35" i="8"/>
  <c r="I81" i="8"/>
  <c r="I55" i="8"/>
  <c r="I50" i="8"/>
  <c r="I38" i="8"/>
  <c r="I68" i="8"/>
  <c r="I6" i="8"/>
  <c r="I101" i="8"/>
  <c r="I59" i="8"/>
  <c r="I42" i="8"/>
  <c r="K42" i="4" s="1"/>
  <c r="I41" i="8"/>
  <c r="I76" i="8"/>
  <c r="I17" i="8"/>
  <c r="I24" i="8"/>
  <c r="I67" i="8"/>
  <c r="I3" i="8"/>
  <c r="I47" i="8"/>
  <c r="I92" i="8"/>
  <c r="I80" i="8"/>
  <c r="I40" i="8"/>
  <c r="K40" i="4" s="1"/>
  <c r="K53" i="1" s="1" a="1"/>
  <c r="K53" i="1" s="1"/>
  <c r="I28" i="8"/>
  <c r="I14" i="8"/>
  <c r="I62" i="8"/>
  <c r="I102" i="8"/>
  <c r="I5" i="8"/>
  <c r="I104" i="8"/>
  <c r="I94" i="8"/>
  <c r="I36" i="8"/>
  <c r="I85" i="8"/>
  <c r="I48" i="8"/>
  <c r="I32" i="8"/>
  <c r="C2" i="8" l="1"/>
  <c r="F2" i="8" s="1"/>
  <c r="L7" i="1" a="1"/>
  <c r="L7" i="1" s="1"/>
  <c r="L22" i="1" a="1"/>
  <c r="L22" i="1" s="1"/>
  <c r="K6" i="1" a="1"/>
  <c r="K6" i="1" s="1"/>
  <c r="K10" i="1" a="1"/>
  <c r="K10" i="1" s="1"/>
  <c r="A2" i="13" a="1"/>
  <c r="E42" i="13"/>
  <c r="F43" i="13"/>
  <c r="B45" i="13"/>
  <c r="C46" i="13"/>
  <c r="D47" i="13"/>
  <c r="E48" i="13"/>
  <c r="F49" i="13"/>
  <c r="B51" i="13"/>
  <c r="C52" i="13"/>
  <c r="D53" i="13"/>
  <c r="E54" i="13"/>
  <c r="F55" i="13"/>
  <c r="B57" i="13"/>
  <c r="C58" i="13"/>
  <c r="D59" i="13"/>
  <c r="E60" i="13"/>
  <c r="F61" i="13"/>
  <c r="B63" i="13"/>
  <c r="C64" i="13"/>
  <c r="D65" i="13"/>
  <c r="E66" i="13"/>
  <c r="F67" i="13"/>
  <c r="B69" i="13"/>
  <c r="C70" i="13"/>
  <c r="D71" i="13"/>
  <c r="E72" i="13"/>
  <c r="F73" i="13"/>
  <c r="B75" i="13"/>
  <c r="C76" i="13"/>
  <c r="D77" i="13"/>
  <c r="E78" i="13"/>
  <c r="F79" i="13"/>
  <c r="B81" i="13"/>
  <c r="C82" i="13"/>
  <c r="F42" i="13"/>
  <c r="B44" i="13"/>
  <c r="C45" i="13"/>
  <c r="D46" i="13"/>
  <c r="E47" i="13"/>
  <c r="F48" i="13"/>
  <c r="B50" i="13"/>
  <c r="C51" i="13"/>
  <c r="D52" i="13"/>
  <c r="E53" i="13"/>
  <c r="F54" i="13"/>
  <c r="B56" i="13"/>
  <c r="C57" i="13"/>
  <c r="D58" i="13"/>
  <c r="E59" i="13"/>
  <c r="F60" i="13"/>
  <c r="B62" i="13"/>
  <c r="C63" i="13"/>
  <c r="D64" i="13"/>
  <c r="E65" i="13"/>
  <c r="F66" i="13"/>
  <c r="B68" i="13"/>
  <c r="C69" i="13"/>
  <c r="D70" i="13"/>
  <c r="E71" i="13"/>
  <c r="F72" i="13"/>
  <c r="B74" i="13"/>
  <c r="C75" i="13"/>
  <c r="D76" i="13"/>
  <c r="E77" i="13"/>
  <c r="F78" i="13"/>
  <c r="B80" i="13"/>
  <c r="C81" i="13"/>
  <c r="D82" i="13"/>
  <c r="B43" i="13"/>
  <c r="C44" i="13"/>
  <c r="D45" i="13"/>
  <c r="E46" i="13"/>
  <c r="F47" i="13"/>
  <c r="B49" i="13"/>
  <c r="C50" i="13"/>
  <c r="D51" i="13"/>
  <c r="E52" i="13"/>
  <c r="F53" i="13"/>
  <c r="B55" i="13"/>
  <c r="C56" i="13"/>
  <c r="D57" i="13"/>
  <c r="E58" i="13"/>
  <c r="F59" i="13"/>
  <c r="B61" i="13"/>
  <c r="C62" i="13"/>
  <c r="D63" i="13"/>
  <c r="E64" i="13"/>
  <c r="F65" i="13"/>
  <c r="B67" i="13"/>
  <c r="C68" i="13"/>
  <c r="D69" i="13"/>
  <c r="E70" i="13"/>
  <c r="F71" i="13"/>
  <c r="B42" i="13"/>
  <c r="C43" i="13"/>
  <c r="D44" i="13"/>
  <c r="E45" i="13"/>
  <c r="F46" i="13"/>
  <c r="B48" i="13"/>
  <c r="C49" i="13"/>
  <c r="D50" i="13"/>
  <c r="E51" i="13"/>
  <c r="F52" i="13"/>
  <c r="B54" i="13"/>
  <c r="C55" i="13"/>
  <c r="D56" i="13"/>
  <c r="E57" i="13"/>
  <c r="F58" i="13"/>
  <c r="B60" i="13"/>
  <c r="C61" i="13"/>
  <c r="D62" i="13"/>
  <c r="E63" i="13"/>
  <c r="F64" i="13"/>
  <c r="B66" i="13"/>
  <c r="C67" i="13"/>
  <c r="D68" i="13"/>
  <c r="E69" i="13"/>
  <c r="F70" i="13"/>
  <c r="B72" i="13"/>
  <c r="C73" i="13"/>
  <c r="D74" i="13"/>
  <c r="E75" i="13"/>
  <c r="F76" i="13"/>
  <c r="B78" i="13"/>
  <c r="C79" i="13"/>
  <c r="D80" i="13"/>
  <c r="E81" i="13"/>
  <c r="F82" i="13"/>
  <c r="D43" i="13"/>
  <c r="B47" i="13"/>
  <c r="E50" i="13"/>
  <c r="C54" i="13"/>
  <c r="F57" i="13"/>
  <c r="D61" i="13"/>
  <c r="B65" i="13"/>
  <c r="E68" i="13"/>
  <c r="C72" i="13"/>
  <c r="E74" i="13"/>
  <c r="B77" i="13"/>
  <c r="D79" i="13"/>
  <c r="F81" i="13"/>
  <c r="E43" i="13"/>
  <c r="C47" i="13"/>
  <c r="F50" i="13"/>
  <c r="D54" i="13"/>
  <c r="B58" i="13"/>
  <c r="E61" i="13"/>
  <c r="C65" i="13"/>
  <c r="F68" i="13"/>
  <c r="D72" i="13"/>
  <c r="F74" i="13"/>
  <c r="C77" i="13"/>
  <c r="E79" i="13"/>
  <c r="B82" i="13"/>
  <c r="E44" i="13"/>
  <c r="C48" i="13"/>
  <c r="F51" i="13"/>
  <c r="D55" i="13"/>
  <c r="B59" i="13"/>
  <c r="E62" i="13"/>
  <c r="C66" i="13"/>
  <c r="F69" i="13"/>
  <c r="B73" i="13"/>
  <c r="D75" i="13"/>
  <c r="F77" i="13"/>
  <c r="C80" i="13"/>
  <c r="E82" i="13"/>
  <c r="F44" i="13"/>
  <c r="D48" i="13"/>
  <c r="B52" i="13"/>
  <c r="E55" i="13"/>
  <c r="C59" i="13"/>
  <c r="F62" i="13"/>
  <c r="D66" i="13"/>
  <c r="B70" i="13"/>
  <c r="D73" i="13"/>
  <c r="F75" i="13"/>
  <c r="C78" i="13"/>
  <c r="E80" i="13"/>
  <c r="C42" i="13"/>
  <c r="F45" i="13"/>
  <c r="D49" i="13"/>
  <c r="B53" i="13"/>
  <c r="E56" i="13"/>
  <c r="C60" i="13"/>
  <c r="F63" i="13"/>
  <c r="D67" i="13"/>
  <c r="B71" i="13"/>
  <c r="E73" i="13"/>
  <c r="B76" i="13"/>
  <c r="D78" i="13"/>
  <c r="F80" i="13"/>
  <c r="D42" i="13"/>
  <c r="B46" i="13"/>
  <c r="E49" i="13"/>
  <c r="C53" i="13"/>
  <c r="F56" i="13"/>
  <c r="D60" i="13"/>
  <c r="B64" i="13"/>
  <c r="E67" i="13"/>
  <c r="C71" i="13"/>
  <c r="C74" i="13"/>
  <c r="E76" i="13"/>
  <c r="B79" i="13"/>
  <c r="D81" i="13"/>
  <c r="L33" i="1" a="1"/>
  <c r="L33" i="1" s="1"/>
  <c r="K29" i="4"/>
  <c r="K42" i="1" s="1" a="1"/>
  <c r="K42" i="1" s="1"/>
  <c r="K13" i="4"/>
  <c r="K50" i="1" s="1" a="1"/>
  <c r="K50" i="1" s="1"/>
  <c r="K20" i="4"/>
  <c r="K74" i="1" s="1" a="1"/>
  <c r="K74" i="1" s="1"/>
  <c r="K4" i="4"/>
  <c r="K23" i="4"/>
  <c r="K56" i="1" s="1" a="1"/>
  <c r="K56" i="1" s="1"/>
  <c r="K6" i="4"/>
  <c r="K7" i="4"/>
  <c r="K13" i="1" s="1" a="1"/>
  <c r="K13" i="1" s="1"/>
  <c r="K14" i="4"/>
  <c r="L57" i="1" a="1"/>
  <c r="L57" i="1" s="1"/>
  <c r="K34" i="4"/>
  <c r="K64" i="1" s="1" a="1"/>
  <c r="K64" i="1" s="1"/>
  <c r="K17" i="4"/>
  <c r="K73" i="1" s="1" a="1"/>
  <c r="K73" i="1" s="1"/>
  <c r="K36" i="4"/>
  <c r="K52" i="1" s="1" a="1"/>
  <c r="K52" i="1" s="1"/>
  <c r="K37" i="4"/>
  <c r="K65" i="1" s="1" a="1"/>
  <c r="K65" i="1" s="1"/>
  <c r="K8" i="4"/>
  <c r="K21" i="4"/>
  <c r="K28" i="4"/>
  <c r="K30" i="4"/>
  <c r="K63" i="1" s="1" a="1"/>
  <c r="K63" i="1" s="1"/>
  <c r="K31" i="4"/>
  <c r="K38" i="4"/>
  <c r="K12" i="1" s="1" a="1"/>
  <c r="K12" i="1" s="1"/>
  <c r="K15" i="4"/>
  <c r="K46" i="1" s="1" a="1"/>
  <c r="K46" i="1" s="1"/>
  <c r="K22" i="4"/>
  <c r="K61" i="1" s="1" a="1"/>
  <c r="K61" i="1" s="1"/>
  <c r="K41" i="4"/>
  <c r="K77" i="1" s="1" a="1"/>
  <c r="K77" i="1" s="1"/>
  <c r="K5" i="4"/>
  <c r="K16" i="1" s="1" a="1"/>
  <c r="K16" i="1" s="1"/>
  <c r="K24" i="4"/>
  <c r="K32" i="4"/>
  <c r="K71" i="1" s="1" a="1"/>
  <c r="K71" i="1" s="1"/>
  <c r="K9" i="4"/>
  <c r="K16" i="4"/>
  <c r="K80" i="1" s="1" a="1"/>
  <c r="K80" i="1" s="1"/>
  <c r="K35" i="4"/>
  <c r="K68" i="1" s="1" a="1"/>
  <c r="K68" i="1" s="1"/>
  <c r="K18" i="4"/>
  <c r="K26" i="4"/>
  <c r="K14" i="1" s="1" a="1"/>
  <c r="K14" i="1" s="1"/>
  <c r="K3" i="4"/>
  <c r="K21" i="1" s="1" a="1"/>
  <c r="K21" i="1" s="1"/>
  <c r="K9" i="1" a="1"/>
  <c r="K9" i="1" s="1"/>
  <c r="K3" i="1" a="1"/>
  <c r="K3" i="1" s="1"/>
  <c r="K11" i="1" a="1"/>
  <c r="K11" i="1" s="1"/>
  <c r="K2" i="1" a="1"/>
  <c r="K2" i="1" s="1"/>
  <c r="D2" i="8"/>
  <c r="G2" i="8" s="1"/>
  <c r="E2" i="8"/>
  <c r="H2" i="8" s="1"/>
  <c r="C34" i="13" l="1"/>
  <c r="C33" i="13"/>
  <c r="E41" i="13"/>
  <c r="C32" i="13"/>
  <c r="E40" i="13"/>
  <c r="C31" i="13"/>
  <c r="E39" i="13"/>
  <c r="C18" i="13"/>
  <c r="D18" i="13"/>
  <c r="B41" i="13"/>
  <c r="E37" i="13"/>
  <c r="B35" i="13"/>
  <c r="E31" i="13"/>
  <c r="B32" i="13"/>
  <c r="D40" i="13"/>
  <c r="B25" i="13"/>
  <c r="D39" i="13"/>
  <c r="D37" i="13"/>
  <c r="D34" i="13"/>
  <c r="D33" i="13"/>
  <c r="D32" i="13"/>
  <c r="D25" i="13"/>
  <c r="B22" i="13"/>
  <c r="D19" i="13"/>
  <c r="C41" i="13"/>
  <c r="E38" i="13"/>
  <c r="C35" i="13"/>
  <c r="B34" i="13"/>
  <c r="E35" i="13"/>
  <c r="E34" i="13"/>
  <c r="D20" i="13"/>
  <c r="E33" i="13"/>
  <c r="B29" i="13"/>
  <c r="E25" i="13"/>
  <c r="B23" i="13"/>
  <c r="E19" i="13"/>
  <c r="B17" i="13"/>
  <c r="B30" i="13"/>
  <c r="D38" i="13"/>
  <c r="D31" i="13"/>
  <c r="B40" i="13"/>
  <c r="D24" i="13"/>
  <c r="C24" i="13"/>
  <c r="D30" i="13"/>
  <c r="C30" i="13"/>
  <c r="D36" i="13"/>
  <c r="C36" i="13"/>
  <c r="C37" i="13"/>
  <c r="C25" i="13"/>
  <c r="C38" i="13"/>
  <c r="C39" i="13"/>
  <c r="E29" i="13"/>
  <c r="D41" i="13"/>
  <c r="B28" i="13"/>
  <c r="C17" i="13"/>
  <c r="E20" i="13"/>
  <c r="C23" i="13"/>
  <c r="E26" i="13"/>
  <c r="C29" i="13"/>
  <c r="E32" i="13"/>
  <c r="B36" i="13"/>
  <c r="E21" i="13"/>
  <c r="B37" i="13"/>
  <c r="B38" i="13"/>
  <c r="C21" i="13"/>
  <c r="C40" i="13"/>
  <c r="B33" i="13"/>
  <c r="B39" i="13"/>
  <c r="E36" i="13"/>
  <c r="D35" i="13"/>
  <c r="E18" i="13"/>
  <c r="C28" i="13"/>
  <c r="E23" i="13"/>
  <c r="B19" i="13"/>
  <c r="D27" i="13"/>
  <c r="D29" i="13"/>
  <c r="B26" i="13"/>
  <c r="C20" i="13"/>
  <c r="E28" i="13"/>
  <c r="B18" i="13"/>
  <c r="D26" i="13"/>
  <c r="E17" i="13"/>
  <c r="C27" i="13"/>
  <c r="D21" i="13"/>
  <c r="B31" i="13"/>
  <c r="C19" i="13"/>
  <c r="E27" i="13"/>
  <c r="B20" i="13"/>
  <c r="D28" i="13"/>
  <c r="E22" i="13"/>
  <c r="B24" i="13"/>
  <c r="C26" i="13"/>
  <c r="D22" i="13"/>
  <c r="B21" i="13"/>
  <c r="B27" i="13"/>
  <c r="E24" i="13"/>
  <c r="D23" i="13"/>
  <c r="E30" i="13"/>
  <c r="C22" i="13"/>
  <c r="D17" i="13"/>
  <c r="K8" i="1" a="1"/>
  <c r="K8" i="1" s="1"/>
  <c r="K23" i="1" a="1"/>
  <c r="K23" i="1" s="1"/>
  <c r="K25" i="1" a="1"/>
  <c r="K25" i="1" s="1"/>
  <c r="K24" i="1" a="1"/>
  <c r="K24" i="1" s="1"/>
  <c r="K44" i="1" a="1"/>
  <c r="K44" i="1" s="1"/>
  <c r="K19" i="1" a="1"/>
  <c r="K19" i="1" s="1"/>
  <c r="K51" i="1" a="1"/>
  <c r="K51" i="1" s="1"/>
  <c r="K20" i="1" a="1"/>
  <c r="K20" i="1" s="1"/>
  <c r="K54" i="1" a="1"/>
  <c r="K54" i="1" s="1"/>
  <c r="K26" i="1" a="1"/>
  <c r="K26" i="1" s="1"/>
  <c r="K58" i="1" a="1"/>
  <c r="K58" i="1" s="1"/>
  <c r="K15" i="1" a="1"/>
  <c r="K15" i="1" s="1"/>
  <c r="K5" i="1" a="1"/>
  <c r="K5" i="1" s="1"/>
  <c r="K66" i="1" a="1"/>
  <c r="K66" i="1" s="1"/>
  <c r="K17" i="1" a="1"/>
  <c r="K17" i="1" s="1"/>
  <c r="K67" i="1" a="1"/>
  <c r="K67" i="1" s="1"/>
  <c r="K18" i="1" a="1"/>
  <c r="K18" i="1" s="1"/>
  <c r="A2" i="13"/>
  <c r="B3" i="13"/>
  <c r="C4" i="13"/>
  <c r="D5" i="13"/>
  <c r="E6" i="13"/>
  <c r="B9" i="13"/>
  <c r="C10" i="13"/>
  <c r="D11" i="13"/>
  <c r="E12" i="13"/>
  <c r="B15" i="13"/>
  <c r="C16" i="13"/>
  <c r="C3" i="13"/>
  <c r="D4" i="13"/>
  <c r="E5" i="13"/>
  <c r="B8" i="13"/>
  <c r="C9" i="13"/>
  <c r="D10" i="13"/>
  <c r="E11" i="13"/>
  <c r="B14" i="13"/>
  <c r="C15" i="13"/>
  <c r="D16" i="13"/>
  <c r="D3" i="13"/>
  <c r="E4" i="13"/>
  <c r="B7" i="13"/>
  <c r="C8" i="13"/>
  <c r="D9" i="13"/>
  <c r="E10" i="13"/>
  <c r="B13" i="13"/>
  <c r="C14" i="13"/>
  <c r="D15" i="13"/>
  <c r="E16" i="13"/>
  <c r="E3" i="13"/>
  <c r="B6" i="13"/>
  <c r="C7" i="13"/>
  <c r="D8" i="13"/>
  <c r="E9" i="13"/>
  <c r="B12" i="13"/>
  <c r="C13" i="13"/>
  <c r="D14" i="13"/>
  <c r="E15" i="13"/>
  <c r="D7" i="13"/>
  <c r="B11" i="13"/>
  <c r="E14" i="13"/>
  <c r="B4" i="13"/>
  <c r="E7" i="13"/>
  <c r="C11" i="13"/>
  <c r="B5" i="13"/>
  <c r="E8" i="13"/>
  <c r="C12" i="13"/>
  <c r="C5" i="13"/>
  <c r="D12" i="13"/>
  <c r="B16" i="13"/>
  <c r="C6" i="13"/>
  <c r="D13" i="13"/>
  <c r="D6" i="13"/>
  <c r="B10" i="13"/>
  <c r="E13" i="13"/>
  <c r="K72" i="1" a="1"/>
  <c r="K72" i="1" s="1"/>
  <c r="K34" i="1" a="1"/>
  <c r="K34" i="1" s="1"/>
  <c r="K78" i="1" a="1"/>
  <c r="K78" i="1" s="1"/>
  <c r="K29" i="1" a="1"/>
  <c r="K29" i="1" s="1"/>
  <c r="K81" i="1" a="1"/>
  <c r="K81" i="1" s="1"/>
  <c r="K31" i="1" a="1"/>
  <c r="K31" i="1" s="1"/>
  <c r="K60" i="1" a="1"/>
  <c r="K60" i="1" s="1"/>
  <c r="K35" i="1" a="1"/>
  <c r="K35" i="1" s="1"/>
  <c r="K70" i="1" a="1"/>
  <c r="K70" i="1" s="1"/>
  <c r="K32" i="1" a="1"/>
  <c r="K32" i="1" s="1"/>
  <c r="K43" i="1" a="1"/>
  <c r="K43" i="1" s="1"/>
  <c r="K30" i="1" a="1"/>
  <c r="K30" i="1" s="1"/>
  <c r="K62" i="1" a="1"/>
  <c r="K62" i="1" s="1"/>
  <c r="K36" i="1" a="1"/>
  <c r="K36" i="1" s="1"/>
  <c r="I2" i="8"/>
  <c r="K2" i="4" s="1"/>
  <c r="K7" i="1" s="1" a="1"/>
  <c r="K7" i="1" s="1"/>
  <c r="K33" i="1" l="1" a="1"/>
  <c r="K33" i="1" s="1"/>
  <c r="K22" i="1" a="1"/>
  <c r="K22" i="1" s="1"/>
  <c r="D2" i="13"/>
  <c r="C2" i="13"/>
  <c r="E2" i="13"/>
  <c r="B2" i="13"/>
  <c r="Q33" i="1" a="1"/>
  <c r="Q33" i="1" s="1"/>
  <c r="K4" i="1" a="1"/>
  <c r="K4" i="1" s="1"/>
  <c r="K57" i="1" a="1"/>
  <c r="K57" i="1" s="1"/>
  <c r="P16" i="1" l="1" a="1"/>
  <c r="P16" i="1" s="1"/>
  <c r="P12" i="1" a="1"/>
  <c r="P12" i="1" s="1"/>
  <c r="P43" i="1" a="1"/>
  <c r="P43" i="1" s="1"/>
  <c r="P72" i="1" a="1"/>
  <c r="P72" i="1" s="1"/>
  <c r="P34" i="1" a="1"/>
  <c r="P34" i="1" s="1"/>
  <c r="P33" i="1" a="1"/>
  <c r="P33" i="1" s="1"/>
  <c r="P32" i="1" a="1"/>
  <c r="P32" i="1" s="1"/>
  <c r="P36" i="1" a="1"/>
  <c r="P36" i="1" s="1"/>
  <c r="P35" i="1" a="1"/>
  <c r="P35" i="1" s="1"/>
  <c r="P5" i="1" l="1" a="1"/>
  <c r="P5" i="1" s="1"/>
  <c r="Q20" i="1" a="1"/>
  <c r="Q20" i="1" s="1"/>
  <c r="Q18" i="1" a="1"/>
  <c r="Q18" i="1" s="1"/>
  <c r="Q72" i="1" a="1"/>
  <c r="Q72" i="1" s="1"/>
  <c r="Q34" i="1" a="1"/>
  <c r="Q34" i="1" s="1"/>
  <c r="Q62" i="1" a="1"/>
  <c r="Q62" i="1" s="1"/>
  <c r="Q36" i="1" a="1"/>
  <c r="Q36" i="1" s="1"/>
  <c r="Q35" i="1" a="1"/>
  <c r="Q35" i="1" s="1"/>
  <c r="Q32" i="1" a="1"/>
  <c r="Q32" i="1" s="1"/>
  <c r="Q43" i="1" a="1"/>
  <c r="Q43" i="1" s="1"/>
  <c r="Q60" i="1" l="1" a="1"/>
  <c r="Q60" i="1" s="1"/>
  <c r="P61" i="1" a="1"/>
  <c r="P61" i="1" s="1"/>
  <c r="P66" i="1" a="1"/>
  <c r="P66" i="1" s="1"/>
  <c r="F28" i="13" s="1"/>
  <c r="Q59" i="1" a="1"/>
  <c r="Q59" i="1" s="1"/>
  <c r="P65" i="1" a="1"/>
  <c r="P65" i="1" s="1"/>
  <c r="F27" i="13" s="1"/>
  <c r="P63" i="1" a="1"/>
  <c r="P63" i="1" s="1"/>
  <c r="F25" i="13" s="1"/>
  <c r="Q61" i="1" a="1"/>
  <c r="Q61" i="1" s="1"/>
  <c r="P69" i="1" a="1"/>
  <c r="P69" i="1" s="1"/>
  <c r="F31" i="13" s="1"/>
  <c r="P56" i="1" a="1"/>
  <c r="P56" i="1" s="1"/>
  <c r="F20" i="13" s="1"/>
  <c r="P68" i="1" a="1"/>
  <c r="P68" i="1" s="1"/>
  <c r="F30" i="13" s="1"/>
  <c r="Q27" i="1" a="1"/>
  <c r="Q27" i="1" s="1"/>
  <c r="Q49" i="1" a="1"/>
  <c r="Q49" i="1" s="1"/>
  <c r="P54" i="1" a="1"/>
  <c r="P54" i="1" s="1"/>
  <c r="F18" i="13" s="1"/>
  <c r="P31" i="1" a="1"/>
  <c r="P31" i="1" s="1"/>
  <c r="F12" i="13" s="1"/>
  <c r="Q29" i="1" a="1"/>
  <c r="Q29" i="1" s="1"/>
  <c r="P53" i="1" a="1"/>
  <c r="P53" i="1" s="1"/>
  <c r="F17" i="13" s="1"/>
  <c r="P24" i="1" a="1"/>
  <c r="P24" i="1" s="1"/>
  <c r="P55" i="1" a="1"/>
  <c r="P55" i="1" s="1"/>
  <c r="F19" i="13" s="1"/>
  <c r="P10" i="1" a="1"/>
  <c r="P10" i="1" s="1"/>
  <c r="P73" i="1" a="1"/>
  <c r="P73" i="1" s="1"/>
  <c r="P20" i="1" a="1"/>
  <c r="P20" i="1" s="1"/>
  <c r="P9" i="1" a="1"/>
  <c r="P9" i="1" s="1"/>
  <c r="P21" i="1" a="1"/>
  <c r="P21" i="1" s="1"/>
  <c r="P67" i="1" a="1"/>
  <c r="P67" i="1" s="1"/>
  <c r="F29" i="13" s="1"/>
  <c r="P13" i="1" a="1"/>
  <c r="P13" i="1" s="1"/>
  <c r="F11" i="13" s="1"/>
  <c r="P15" i="1" a="1"/>
  <c r="P15" i="1" s="1"/>
  <c r="P46" i="1" a="1"/>
  <c r="P46" i="1" s="1"/>
  <c r="P23" i="1" a="1"/>
  <c r="P23" i="1" s="1"/>
  <c r="F4" i="13" s="1"/>
  <c r="P3" i="1" a="1"/>
  <c r="P3" i="1" s="1"/>
  <c r="P18" i="1" a="1"/>
  <c r="P18" i="1" s="1"/>
  <c r="F13" i="13" s="1"/>
  <c r="P22" i="1" a="1"/>
  <c r="P22" i="1" s="1"/>
  <c r="F3" i="13" s="1"/>
  <c r="P7" i="1" a="1"/>
  <c r="P7" i="1" s="1"/>
  <c r="P19" i="1" a="1"/>
  <c r="P19" i="1" s="1"/>
  <c r="P4" i="1" a="1"/>
  <c r="P4" i="1" s="1"/>
  <c r="P11" i="1" a="1"/>
  <c r="P11" i="1" s="1"/>
  <c r="F9" i="13" s="1"/>
  <c r="Q9" i="1" a="1"/>
  <c r="Q9" i="1" s="1"/>
  <c r="P44" i="1" a="1"/>
  <c r="P44" i="1" s="1"/>
  <c r="P8" i="1" a="1"/>
  <c r="P8" i="1" s="1"/>
  <c r="P25" i="1" a="1"/>
  <c r="P25" i="1" s="1"/>
  <c r="Q22" i="1" a="1"/>
  <c r="Q22" i="1" s="1"/>
  <c r="Q24" i="1" a="1"/>
  <c r="Q24" i="1" s="1"/>
  <c r="Q12" i="1" a="1"/>
  <c r="Q12" i="1" s="1"/>
  <c r="Q11" i="1" a="1"/>
  <c r="Q11" i="1" s="1"/>
  <c r="Q5" i="1" a="1"/>
  <c r="Q5" i="1" s="1"/>
  <c r="Q3" i="1" a="1"/>
  <c r="Q3" i="1" s="1"/>
  <c r="Q14" i="1" a="1"/>
  <c r="Q14" i="1" s="1"/>
  <c r="Q19" i="1" a="1"/>
  <c r="Q19" i="1" s="1"/>
  <c r="Q2" i="1" a="1"/>
  <c r="Q2" i="1" s="1"/>
  <c r="Q13" i="1" a="1"/>
  <c r="Q13" i="1" s="1"/>
  <c r="Q8" i="1" a="1"/>
  <c r="Q8" i="1" s="1"/>
  <c r="Q4" i="1" a="1"/>
  <c r="Q4" i="1" s="1"/>
  <c r="Q17" i="1" a="1"/>
  <c r="Q17" i="1" s="1"/>
  <c r="Q7" i="1" a="1"/>
  <c r="Q7" i="1" s="1"/>
  <c r="Q10" i="1" a="1"/>
  <c r="Q10" i="1" s="1"/>
  <c r="H218" i="12"/>
  <c r="J125" i="12"/>
  <c r="H191" i="12"/>
  <c r="H100" i="12"/>
  <c r="J288" i="12"/>
  <c r="J97" i="12"/>
  <c r="H125" i="12"/>
  <c r="H253" i="12"/>
  <c r="J102" i="12"/>
  <c r="J167" i="12"/>
  <c r="J158" i="12"/>
  <c r="K21" i="12"/>
  <c r="J21" i="12"/>
  <c r="K28" i="12"/>
  <c r="J334" i="12"/>
  <c r="J47" i="12"/>
  <c r="K132" i="12"/>
  <c r="J331" i="12"/>
  <c r="K130" i="12"/>
  <c r="H396" i="12"/>
  <c r="J400" i="12"/>
  <c r="H139" i="12"/>
  <c r="J64" i="12"/>
  <c r="J172" i="12"/>
  <c r="K243" i="12"/>
  <c r="H398" i="12"/>
  <c r="H275" i="12"/>
  <c r="H144" i="12"/>
  <c r="J252" i="12"/>
  <c r="J151" i="12"/>
  <c r="H149" i="12"/>
  <c r="H235" i="12"/>
  <c r="K17" i="12"/>
  <c r="J66" i="12"/>
  <c r="H84" i="12"/>
  <c r="H381" i="12"/>
  <c r="H220" i="12"/>
  <c r="H126" i="12"/>
  <c r="J56" i="12"/>
  <c r="J132" i="12"/>
  <c r="H54" i="12"/>
  <c r="J209" i="12"/>
  <c r="H350" i="12"/>
  <c r="H65" i="12"/>
  <c r="K202" i="12"/>
  <c r="J240" i="12"/>
  <c r="J204" i="12"/>
  <c r="K90" i="12"/>
  <c r="K19" i="12"/>
  <c r="J375" i="12"/>
  <c r="H431" i="12"/>
  <c r="K123" i="12"/>
  <c r="J372" i="12"/>
  <c r="K7" i="12"/>
  <c r="J227" i="12"/>
  <c r="J57" i="12"/>
  <c r="H226" i="12"/>
  <c r="K43" i="12"/>
  <c r="K56" i="12"/>
  <c r="J13" i="12"/>
  <c r="J188" i="12"/>
  <c r="J428" i="12"/>
  <c r="J348" i="12"/>
  <c r="J15" i="12"/>
  <c r="J155" i="12"/>
  <c r="J302" i="12"/>
  <c r="K188" i="12"/>
  <c r="H10" i="12"/>
  <c r="J42" i="12"/>
  <c r="J283" i="12"/>
  <c r="K45" i="12"/>
  <c r="J9" i="12"/>
  <c r="J89" i="12"/>
  <c r="K80" i="12"/>
  <c r="J386" i="12"/>
  <c r="K84" i="12"/>
  <c r="H335" i="12"/>
  <c r="K223" i="12"/>
  <c r="J107" i="12"/>
  <c r="H106" i="12"/>
  <c r="J248" i="12"/>
  <c r="J441" i="12"/>
  <c r="J301" i="12"/>
  <c r="J415" i="12"/>
  <c r="H105" i="12"/>
  <c r="H31" i="12"/>
  <c r="K64" i="12"/>
  <c r="H147" i="12"/>
  <c r="H427" i="12"/>
  <c r="J292" i="12"/>
  <c r="J228" i="12"/>
  <c r="K187" i="12"/>
  <c r="H130" i="12"/>
  <c r="H2" i="12"/>
  <c r="H117" i="12"/>
  <c r="H296" i="12"/>
  <c r="J213" i="12"/>
  <c r="K106" i="12"/>
  <c r="K147" i="12"/>
  <c r="J444" i="12"/>
  <c r="K46" i="12"/>
  <c r="H77" i="12"/>
  <c r="H428" i="12"/>
  <c r="H392" i="12"/>
  <c r="H358" i="12"/>
  <c r="K201" i="12"/>
  <c r="J306" i="12"/>
  <c r="J16" i="12"/>
  <c r="H434" i="12"/>
  <c r="H364" i="12"/>
  <c r="J379" i="12"/>
  <c r="K144" i="12"/>
  <c r="J296" i="12"/>
  <c r="H336" i="12"/>
  <c r="J392" i="12"/>
  <c r="H49" i="12"/>
  <c r="H58" i="12"/>
  <c r="J183" i="12"/>
  <c r="J364" i="12"/>
  <c r="H39" i="12"/>
  <c r="H256" i="12"/>
  <c r="K208" i="12"/>
  <c r="J376" i="12"/>
  <c r="J232" i="12"/>
  <c r="J185" i="12"/>
  <c r="H14" i="12"/>
  <c r="H337" i="12"/>
  <c r="K2" i="12"/>
  <c r="K193" i="12"/>
  <c r="K125" i="12"/>
  <c r="H90" i="12"/>
  <c r="H67" i="12"/>
  <c r="H115" i="12"/>
  <c r="H112" i="12"/>
  <c r="H99" i="12"/>
  <c r="J361" i="12"/>
  <c r="K32" i="12"/>
  <c r="J8" i="12"/>
  <c r="J406" i="12"/>
  <c r="H135" i="12"/>
  <c r="H404" i="12"/>
  <c r="K159" i="12"/>
  <c r="J254" i="12"/>
  <c r="J99" i="12"/>
  <c r="K149" i="12"/>
  <c r="K199" i="12"/>
  <c r="J374" i="12"/>
  <c r="H231" i="12"/>
  <c r="J249" i="12"/>
  <c r="H63" i="12"/>
  <c r="J309" i="12"/>
  <c r="J50" i="12"/>
  <c r="H116" i="12"/>
  <c r="J300" i="12"/>
  <c r="H71" i="12"/>
  <c r="J270" i="12"/>
  <c r="J128" i="12"/>
  <c r="J398" i="12"/>
  <c r="J216" i="12"/>
  <c r="H189" i="12"/>
  <c r="J401" i="12"/>
  <c r="K92" i="12"/>
  <c r="J210" i="12"/>
  <c r="H161" i="12"/>
  <c r="J413" i="12"/>
  <c r="J259" i="12"/>
  <c r="J345" i="12"/>
  <c r="J81" i="12"/>
  <c r="J354" i="12"/>
  <c r="J324" i="12"/>
  <c r="H166" i="12"/>
  <c r="J371" i="12"/>
  <c r="H262" i="12"/>
  <c r="H52" i="12"/>
  <c r="J332" i="12"/>
  <c r="K172" i="12"/>
  <c r="J5" i="12"/>
  <c r="H183" i="12"/>
  <c r="J35" i="12"/>
  <c r="H158" i="12"/>
  <c r="K14" i="12"/>
  <c r="H310" i="12"/>
  <c r="J297" i="12"/>
  <c r="J133" i="12"/>
  <c r="H328" i="12"/>
  <c r="K228" i="12"/>
  <c r="H323" i="12"/>
  <c r="K71" i="12"/>
  <c r="K139" i="12"/>
  <c r="J58" i="12"/>
  <c r="H382" i="12"/>
  <c r="H268" i="12"/>
  <c r="J281" i="12"/>
  <c r="K158" i="12"/>
  <c r="J160" i="12"/>
  <c r="H198" i="12"/>
  <c r="K213" i="12"/>
  <c r="H210" i="12"/>
  <c r="H195" i="12"/>
  <c r="K189" i="12"/>
  <c r="H263" i="12"/>
  <c r="H154" i="12"/>
  <c r="H76" i="12"/>
  <c r="K44" i="12"/>
  <c r="J396" i="12"/>
  <c r="H89" i="12"/>
  <c r="H95" i="12"/>
  <c r="J256" i="12"/>
  <c r="H153" i="12"/>
  <c r="J26" i="12"/>
  <c r="H186" i="12"/>
  <c r="J359" i="12"/>
  <c r="H377" i="12"/>
  <c r="J266" i="12"/>
  <c r="H75" i="12"/>
  <c r="J24" i="12"/>
  <c r="K102" i="12"/>
  <c r="H402" i="12"/>
  <c r="K81" i="12"/>
  <c r="K96" i="12"/>
  <c r="H346" i="12"/>
  <c r="J145" i="12"/>
  <c r="H55" i="12"/>
  <c r="H182" i="12"/>
  <c r="H20" i="12"/>
  <c r="J329" i="12"/>
  <c r="H405" i="12"/>
  <c r="H355" i="12"/>
  <c r="H321" i="12"/>
  <c r="H412" i="12"/>
  <c r="K152" i="12"/>
  <c r="J377" i="12"/>
  <c r="K205" i="12"/>
  <c r="J3" i="12"/>
  <c r="J251" i="12"/>
  <c r="H338" i="12"/>
  <c r="J33" i="12"/>
  <c r="H276" i="12"/>
  <c r="H8" i="12"/>
  <c r="J113" i="12"/>
  <c r="H329" i="12"/>
  <c r="J353" i="12"/>
  <c r="K52" i="12"/>
  <c r="H3" i="12"/>
  <c r="H159" i="12"/>
  <c r="K206" i="12"/>
  <c r="H351" i="12"/>
  <c r="J106" i="12"/>
  <c r="H270" i="12"/>
  <c r="K22" i="12"/>
  <c r="H69" i="12"/>
  <c r="J144" i="12"/>
  <c r="H251" i="12"/>
  <c r="H299" i="12"/>
  <c r="H254" i="12"/>
  <c r="J109" i="12"/>
  <c r="H143" i="12"/>
  <c r="H222" i="12"/>
  <c r="H194" i="12"/>
  <c r="J276" i="12"/>
  <c r="J405" i="12"/>
  <c r="K3" i="12"/>
  <c r="J111" i="12"/>
  <c r="K72" i="12"/>
  <c r="J366" i="12"/>
  <c r="J247" i="12"/>
  <c r="H266" i="12"/>
  <c r="H347" i="12"/>
  <c r="H35" i="12"/>
  <c r="J294" i="12"/>
  <c r="J198" i="12"/>
  <c r="H411" i="12"/>
  <c r="H432" i="12"/>
  <c r="K39" i="12"/>
  <c r="H16" i="12"/>
  <c r="J164" i="12"/>
  <c r="H185" i="12"/>
  <c r="K124" i="12"/>
  <c r="K177" i="12"/>
  <c r="J314" i="12"/>
  <c r="K150" i="12"/>
  <c r="H339" i="12"/>
  <c r="J25" i="12"/>
  <c r="K97" i="12"/>
  <c r="J142" i="12"/>
  <c r="K176" i="12"/>
  <c r="H410" i="12"/>
  <c r="J200" i="12"/>
  <c r="J357" i="12"/>
  <c r="J38" i="12"/>
  <c r="H343" i="12"/>
  <c r="J261" i="12"/>
  <c r="H205" i="12"/>
  <c r="H122" i="12"/>
  <c r="K73" i="12"/>
  <c r="H101" i="12"/>
  <c r="J344" i="12"/>
  <c r="K57" i="12"/>
  <c r="K108" i="12"/>
  <c r="K204" i="12"/>
  <c r="J313" i="12"/>
  <c r="H249" i="12"/>
  <c r="H237" i="12"/>
  <c r="H330" i="12"/>
  <c r="H244" i="12"/>
  <c r="K77" i="12"/>
  <c r="K42" i="12"/>
  <c r="H324" i="12"/>
  <c r="J273" i="12"/>
  <c r="K229" i="12"/>
  <c r="J333" i="12"/>
  <c r="K83" i="12"/>
  <c r="J141" i="12"/>
  <c r="H134" i="12"/>
  <c r="H59" i="12"/>
  <c r="K122" i="12"/>
  <c r="H151" i="12"/>
  <c r="H34" i="12"/>
  <c r="H293" i="12"/>
  <c r="H380" i="12"/>
  <c r="J269" i="12"/>
  <c r="K107" i="12"/>
  <c r="J242" i="12"/>
  <c r="H94" i="12"/>
  <c r="H60" i="12"/>
  <c r="K111" i="12"/>
  <c r="J123" i="12"/>
  <c r="H224" i="12"/>
  <c r="H360" i="12"/>
  <c r="J311" i="12"/>
  <c r="H273" i="12"/>
  <c r="J370" i="12"/>
  <c r="J23" i="12"/>
  <c r="K169" i="12"/>
  <c r="J82" i="12"/>
  <c r="H390" i="12"/>
  <c r="H113" i="12"/>
  <c r="J218" i="12"/>
  <c r="K180" i="12"/>
  <c r="K23" i="12"/>
  <c r="J88" i="12"/>
  <c r="K11" i="12"/>
  <c r="H44" i="12"/>
  <c r="K115" i="12"/>
  <c r="H279" i="12"/>
  <c r="K36" i="12"/>
  <c r="J217" i="12"/>
  <c r="H393" i="12"/>
  <c r="K47" i="12"/>
  <c r="H169" i="12"/>
  <c r="H179" i="12"/>
  <c r="J51" i="12"/>
  <c r="H25" i="12"/>
  <c r="H304" i="12"/>
  <c r="H68" i="12"/>
  <c r="J201" i="12"/>
  <c r="K237" i="12"/>
  <c r="J149" i="12"/>
  <c r="J258" i="12"/>
  <c r="J250" i="12"/>
  <c r="J79" i="12"/>
  <c r="K48" i="12"/>
  <c r="J275" i="12"/>
  <c r="H19" i="12"/>
  <c r="J380" i="12"/>
  <c r="H288" i="12"/>
  <c r="H168" i="12"/>
  <c r="J362" i="12"/>
  <c r="K131" i="12"/>
  <c r="H322" i="12"/>
  <c r="K192" i="12"/>
  <c r="J422" i="12"/>
  <c r="H15" i="12"/>
  <c r="J343" i="12"/>
  <c r="H297" i="12"/>
  <c r="J205" i="12"/>
  <c r="J157" i="12"/>
  <c r="J163" i="12"/>
  <c r="J36" i="12"/>
  <c r="H176" i="12"/>
  <c r="K112" i="12"/>
  <c r="H234" i="12"/>
  <c r="H33" i="12"/>
  <c r="J39" i="12"/>
  <c r="J318" i="12"/>
  <c r="J63" i="12"/>
  <c r="H312" i="12"/>
  <c r="H326" i="12"/>
  <c r="J182" i="12"/>
  <c r="J280" i="12"/>
  <c r="K35" i="12"/>
  <c r="H419" i="12"/>
  <c r="H306" i="12"/>
  <c r="K222" i="12"/>
  <c r="H255" i="12"/>
  <c r="K195" i="12"/>
  <c r="J271" i="12"/>
  <c r="H401" i="12"/>
  <c r="J223" i="12"/>
  <c r="K155" i="12"/>
  <c r="H353" i="12"/>
  <c r="J169" i="12"/>
  <c r="J108" i="12"/>
  <c r="H371" i="12"/>
  <c r="H209" i="12"/>
  <c r="H167" i="12"/>
  <c r="J193" i="12"/>
  <c r="J237" i="12"/>
  <c r="J46" i="12"/>
  <c r="H340" i="12"/>
  <c r="H280" i="12"/>
  <c r="H160" i="12"/>
  <c r="H45" i="12"/>
  <c r="J114" i="12"/>
  <c r="H206" i="12"/>
  <c r="J117" i="12"/>
  <c r="H359" i="12"/>
  <c r="J395" i="12"/>
  <c r="H172" i="12"/>
  <c r="H82" i="12"/>
  <c r="K50" i="12"/>
  <c r="H305" i="12"/>
  <c r="J425" i="12"/>
  <c r="K55" i="12"/>
  <c r="J162" i="12"/>
  <c r="J263" i="12"/>
  <c r="J365" i="12"/>
  <c r="H295" i="12"/>
  <c r="J68" i="12"/>
  <c r="J211" i="12"/>
  <c r="H374" i="12"/>
  <c r="H23" i="12"/>
  <c r="J65" i="12"/>
  <c r="J129" i="12"/>
  <c r="J378" i="12"/>
  <c r="H142" i="12"/>
  <c r="H378" i="12"/>
  <c r="J287" i="12"/>
  <c r="H334" i="12"/>
  <c r="H248" i="12"/>
  <c r="J383" i="12"/>
  <c r="J130" i="12"/>
  <c r="H103" i="12"/>
  <c r="J134" i="12"/>
  <c r="H57" i="12"/>
  <c r="J351" i="12"/>
  <c r="J322" i="12"/>
  <c r="J191" i="12"/>
  <c r="H156" i="12"/>
  <c r="H308" i="12"/>
  <c r="K224" i="12"/>
  <c r="J241" i="12"/>
  <c r="J165" i="12"/>
  <c r="J277" i="12"/>
  <c r="H368" i="12"/>
  <c r="H111" i="12"/>
  <c r="K59" i="12"/>
  <c r="J303" i="12"/>
  <c r="K94" i="12"/>
  <c r="J239" i="12"/>
  <c r="J37" i="12"/>
  <c r="K235" i="12"/>
  <c r="J153" i="12"/>
  <c r="J168" i="12"/>
  <c r="J445" i="12"/>
  <c r="K165" i="12"/>
  <c r="H307" i="12"/>
  <c r="H223" i="12"/>
  <c r="K51" i="12"/>
  <c r="H12" i="12"/>
  <c r="K173" i="12"/>
  <c r="J6" i="12"/>
  <c r="H61" i="12"/>
  <c r="K252" i="12"/>
  <c r="H152" i="12"/>
  <c r="J174" i="12"/>
  <c r="H199" i="12"/>
  <c r="J431" i="12"/>
  <c r="J152" i="12"/>
  <c r="H97" i="12"/>
  <c r="J40" i="12"/>
  <c r="H356" i="12"/>
  <c r="K166" i="12"/>
  <c r="J307" i="12"/>
  <c r="H285" i="12"/>
  <c r="J110" i="12"/>
  <c r="K114" i="12"/>
  <c r="H155" i="12"/>
  <c r="J70" i="12"/>
  <c r="J434" i="12"/>
  <c r="J394" i="12"/>
  <c r="H109" i="12"/>
  <c r="J166" i="12"/>
  <c r="J197" i="12"/>
  <c r="H233" i="12"/>
  <c r="J95" i="12"/>
  <c r="K239" i="12"/>
  <c r="J335" i="12"/>
  <c r="J233" i="12"/>
  <c r="K79" i="12"/>
  <c r="J282" i="12"/>
  <c r="J327" i="12"/>
  <c r="K5" i="12"/>
  <c r="H313" i="12"/>
  <c r="K103" i="12"/>
  <c r="K8" i="12"/>
  <c r="J253" i="12"/>
  <c r="J236" i="12"/>
  <c r="K198" i="12"/>
  <c r="H178" i="12"/>
  <c r="J231" i="12"/>
  <c r="H177" i="12"/>
  <c r="J105" i="12"/>
  <c r="H17" i="12"/>
  <c r="H265" i="12"/>
  <c r="H406" i="12"/>
  <c r="K238" i="12"/>
  <c r="K137" i="12"/>
  <c r="K182" i="12"/>
  <c r="K170" i="12"/>
  <c r="K109" i="12"/>
  <c r="J146" i="12"/>
  <c r="K99" i="12"/>
  <c r="J446" i="12"/>
  <c r="J391" i="12"/>
  <c r="J437" i="12"/>
  <c r="H317" i="12"/>
  <c r="J71" i="12"/>
  <c r="J368" i="12"/>
  <c r="K221" i="12"/>
  <c r="J262" i="12"/>
  <c r="J59" i="12"/>
  <c r="H137" i="12"/>
  <c r="J137" i="12"/>
  <c r="H37" i="12"/>
  <c r="J156" i="12"/>
  <c r="H421" i="12"/>
  <c r="H193" i="12"/>
  <c r="H417" i="12"/>
  <c r="J330" i="12"/>
  <c r="H96" i="12"/>
  <c r="J32" i="12"/>
  <c r="K140" i="12"/>
  <c r="K226" i="12"/>
  <c r="J186" i="12"/>
  <c r="H424" i="12"/>
  <c r="K67" i="12"/>
  <c r="J421" i="12"/>
  <c r="K145" i="12"/>
  <c r="H188" i="12"/>
  <c r="H131" i="12"/>
  <c r="K227" i="12"/>
  <c r="K197" i="12"/>
  <c r="H36" i="12"/>
  <c r="H423" i="12"/>
  <c r="J53" i="12"/>
  <c r="H282" i="12"/>
  <c r="K181" i="12"/>
  <c r="H375" i="12"/>
  <c r="H104" i="12"/>
  <c r="K178" i="12"/>
  <c r="J279" i="12"/>
  <c r="H72" i="12"/>
  <c r="H107" i="12"/>
  <c r="J2" i="12"/>
  <c r="J243" i="12"/>
  <c r="K186" i="12"/>
  <c r="H227" i="12"/>
  <c r="K25" i="12"/>
  <c r="K82" i="12"/>
  <c r="H28" i="12"/>
  <c r="J206" i="12"/>
  <c r="J387" i="12"/>
  <c r="H264" i="12"/>
  <c r="K225" i="12"/>
  <c r="H331" i="12"/>
  <c r="H184" i="12"/>
  <c r="J416" i="12"/>
  <c r="J187" i="12"/>
  <c r="H366" i="12"/>
  <c r="J214" i="12"/>
  <c r="H365" i="12"/>
  <c r="H108" i="12"/>
  <c r="K65" i="12"/>
  <c r="H162" i="12"/>
  <c r="H283" i="12"/>
  <c r="J356" i="12"/>
  <c r="H197" i="12"/>
  <c r="H320" i="12"/>
  <c r="K153" i="12"/>
  <c r="J230" i="12"/>
  <c r="H257" i="12"/>
  <c r="H300" i="12"/>
  <c r="K30" i="12"/>
  <c r="H181" i="12"/>
  <c r="J267" i="12"/>
  <c r="K164" i="12"/>
  <c r="J433" i="12"/>
  <c r="K215" i="12"/>
  <c r="K174" i="12"/>
  <c r="J10" i="12"/>
  <c r="J49" i="12"/>
  <c r="J355" i="12"/>
  <c r="J407" i="12"/>
  <c r="J67" i="12"/>
  <c r="K185" i="12"/>
  <c r="J291" i="12"/>
  <c r="K190" i="12"/>
  <c r="K93" i="12"/>
  <c r="J80" i="12"/>
  <c r="H200" i="12"/>
  <c r="J69" i="12"/>
  <c r="J338" i="12"/>
  <c r="J326" i="12"/>
  <c r="J60" i="12"/>
  <c r="J29" i="12"/>
  <c r="K168" i="12"/>
  <c r="K233" i="12"/>
  <c r="J207" i="12"/>
  <c r="H21" i="12"/>
  <c r="H91" i="12"/>
  <c r="H174" i="12"/>
  <c r="J28" i="12"/>
  <c r="J412" i="12"/>
  <c r="J440" i="12"/>
  <c r="J154" i="12"/>
  <c r="H395" i="12"/>
  <c r="H128" i="12"/>
  <c r="H127" i="12"/>
  <c r="H389" i="12"/>
  <c r="K212" i="12"/>
  <c r="H400" i="12"/>
  <c r="H6" i="12"/>
  <c r="K15" i="12"/>
  <c r="J393" i="12"/>
  <c r="J284" i="12"/>
  <c r="K126" i="12"/>
  <c r="H121" i="12"/>
  <c r="H425" i="12"/>
  <c r="J442" i="12"/>
  <c r="J234" i="12"/>
  <c r="K29" i="12"/>
  <c r="H215" i="12"/>
  <c r="H414" i="12"/>
  <c r="K245" i="12"/>
  <c r="J76" i="12"/>
  <c r="H114" i="12"/>
  <c r="J310" i="12"/>
  <c r="H171" i="12"/>
  <c r="H318" i="12"/>
  <c r="H129" i="12"/>
  <c r="H80" i="12"/>
  <c r="H53" i="12"/>
  <c r="K207" i="12"/>
  <c r="K49" i="12"/>
  <c r="H118" i="12"/>
  <c r="H316" i="12"/>
  <c r="K87" i="12"/>
  <c r="H408" i="12"/>
  <c r="J443" i="12"/>
  <c r="H314" i="12"/>
  <c r="H213" i="12"/>
  <c r="J308" i="12"/>
  <c r="J194" i="12"/>
  <c r="J238" i="12"/>
  <c r="J439" i="12"/>
  <c r="H204" i="12"/>
  <c r="J14" i="12"/>
  <c r="J404" i="12"/>
  <c r="H376" i="12"/>
  <c r="H138" i="12"/>
  <c r="K236" i="12"/>
  <c r="K66" i="12"/>
  <c r="K6" i="12"/>
  <c r="J226" i="12"/>
  <c r="K70" i="12"/>
  <c r="H133" i="12"/>
  <c r="K231" i="12"/>
  <c r="H354" i="12"/>
  <c r="J419" i="12"/>
  <c r="H87" i="12"/>
  <c r="J104" i="12"/>
  <c r="K247" i="12"/>
  <c r="K69" i="12"/>
  <c r="K151" i="12"/>
  <c r="K136" i="12"/>
  <c r="K95" i="12"/>
  <c r="H286" i="12"/>
  <c r="H51" i="12"/>
  <c r="H47" i="12"/>
  <c r="J44" i="12"/>
  <c r="H216" i="12"/>
  <c r="K58" i="12"/>
  <c r="K121" i="12"/>
  <c r="J199" i="12"/>
  <c r="H229" i="12"/>
  <c r="H433" i="12"/>
  <c r="H315" i="12"/>
  <c r="J414" i="12"/>
  <c r="H436" i="12"/>
  <c r="H211" i="12"/>
  <c r="H141" i="12"/>
  <c r="J424" i="12"/>
  <c r="K68" i="12"/>
  <c r="K4" i="12"/>
  <c r="H85" i="12"/>
  <c r="K100" i="12"/>
  <c r="J92" i="12"/>
  <c r="J385" i="12"/>
  <c r="J77" i="12"/>
  <c r="H344" i="12"/>
  <c r="J286" i="12"/>
  <c r="H319" i="12"/>
  <c r="H148" i="12"/>
  <c r="J337" i="12"/>
  <c r="H245" i="12"/>
  <c r="J304" i="12"/>
  <c r="J11" i="12"/>
  <c r="K219" i="12"/>
  <c r="K63" i="12"/>
  <c r="H232" i="12"/>
  <c r="J321" i="12"/>
  <c r="K91" i="12"/>
  <c r="K242" i="12"/>
  <c r="K203" i="12"/>
  <c r="J100" i="12"/>
  <c r="H399" i="12"/>
  <c r="H56" i="12"/>
  <c r="H372" i="12"/>
  <c r="J278" i="12"/>
  <c r="J257" i="12"/>
  <c r="J119" i="12"/>
  <c r="H50" i="12"/>
  <c r="J328" i="12"/>
  <c r="H309" i="12"/>
  <c r="H240" i="12"/>
  <c r="J438" i="12"/>
  <c r="H416" i="12"/>
  <c r="K234" i="12"/>
  <c r="K53" i="12"/>
  <c r="H202" i="12"/>
  <c r="K146" i="12"/>
  <c r="H241" i="12"/>
  <c r="K113" i="12"/>
  <c r="H357" i="12"/>
  <c r="K86" i="12"/>
  <c r="J94" i="12"/>
  <c r="K127" i="12"/>
  <c r="H150" i="12"/>
  <c r="J403" i="12"/>
  <c r="H277" i="12"/>
  <c r="J12" i="12"/>
  <c r="J121" i="12"/>
  <c r="H196" i="12"/>
  <c r="K141" i="12"/>
  <c r="K116" i="12"/>
  <c r="J381" i="12"/>
  <c r="J192" i="12"/>
  <c r="K76" i="12"/>
  <c r="H219" i="12"/>
  <c r="J388" i="12"/>
  <c r="H42" i="12"/>
  <c r="J315" i="12"/>
  <c r="H281" i="12"/>
  <c r="J190" i="12"/>
  <c r="H370" i="12"/>
  <c r="H333" i="12"/>
  <c r="J112" i="12"/>
  <c r="H190" i="12"/>
  <c r="H24" i="12"/>
  <c r="J418" i="12"/>
  <c r="J389" i="12"/>
  <c r="J390" i="12"/>
  <c r="H301" i="12"/>
  <c r="H163" i="12"/>
  <c r="J170" i="12"/>
  <c r="H342" i="12"/>
  <c r="H173" i="12"/>
  <c r="K74" i="12"/>
  <c r="J75" i="12"/>
  <c r="J272" i="12"/>
  <c r="H274" i="12"/>
  <c r="H325" i="12"/>
  <c r="H246" i="12"/>
  <c r="J430" i="12"/>
  <c r="J17" i="12"/>
  <c r="K184" i="12"/>
  <c r="J215" i="12"/>
  <c r="H403" i="12"/>
  <c r="J347" i="12"/>
  <c r="J136" i="12"/>
  <c r="J341" i="12"/>
  <c r="J30" i="12"/>
  <c r="H73" i="12"/>
  <c r="J41" i="12"/>
  <c r="J346" i="12"/>
  <c r="K10" i="12"/>
  <c r="H136" i="12"/>
  <c r="K119" i="12"/>
  <c r="H341" i="12"/>
  <c r="H420" i="12"/>
  <c r="J179" i="12"/>
  <c r="H327" i="12"/>
  <c r="J61" i="12"/>
  <c r="K34" i="12"/>
  <c r="J208" i="12"/>
  <c r="J423" i="12"/>
  <c r="J397" i="12"/>
  <c r="J212" i="12"/>
  <c r="J298" i="12"/>
  <c r="J255" i="12"/>
  <c r="K163" i="12"/>
  <c r="J202" i="12"/>
  <c r="K216" i="12"/>
  <c r="J349" i="12"/>
  <c r="K240" i="12"/>
  <c r="J246" i="12"/>
  <c r="K218" i="12"/>
  <c r="H119" i="12"/>
  <c r="K133" i="12"/>
  <c r="J203" i="12"/>
  <c r="J78" i="12"/>
  <c r="J382" i="12"/>
  <c r="H369" i="12"/>
  <c r="H26" i="12"/>
  <c r="K18" i="12"/>
  <c r="K162" i="12"/>
  <c r="H429" i="12"/>
  <c r="H157" i="12"/>
  <c r="H238" i="12"/>
  <c r="H290" i="12"/>
  <c r="H11" i="12"/>
  <c r="K179" i="12"/>
  <c r="H81" i="12"/>
  <c r="H418" i="12"/>
  <c r="K210" i="12"/>
  <c r="J93" i="12"/>
  <c r="J432" i="12"/>
  <c r="J150" i="12"/>
  <c r="K175" i="12"/>
  <c r="J115" i="12"/>
  <c r="H278" i="12"/>
  <c r="H212" i="12"/>
  <c r="J116" i="12"/>
  <c r="J221" i="12"/>
  <c r="K157" i="12"/>
  <c r="H388" i="12"/>
  <c r="K134" i="12"/>
  <c r="H98" i="12"/>
  <c r="K16" i="12"/>
  <c r="H367" i="12"/>
  <c r="J87" i="12"/>
  <c r="H303" i="12"/>
  <c r="J274" i="12"/>
  <c r="K244" i="12"/>
  <c r="J52" i="12"/>
  <c r="H40" i="12"/>
  <c r="K38" i="12"/>
  <c r="H287" i="12"/>
  <c r="J124" i="12"/>
  <c r="K167" i="12"/>
  <c r="K13" i="12"/>
  <c r="H48" i="12"/>
  <c r="K117" i="12"/>
  <c r="K54" i="12"/>
  <c r="J325" i="12"/>
  <c r="J408" i="12"/>
  <c r="J319" i="12"/>
  <c r="H239" i="12"/>
  <c r="H242" i="12"/>
  <c r="J219" i="12"/>
  <c r="H170" i="12"/>
  <c r="H413" i="12"/>
  <c r="H208" i="12"/>
  <c r="J293" i="12"/>
  <c r="H221" i="12"/>
  <c r="J176" i="12"/>
  <c r="K232" i="12"/>
  <c r="J84" i="12"/>
  <c r="H311" i="12"/>
  <c r="K171" i="12"/>
  <c r="H252" i="12"/>
  <c r="J268" i="12"/>
  <c r="K40" i="12"/>
  <c r="H363" i="12"/>
  <c r="H271" i="12"/>
  <c r="K37" i="12"/>
  <c r="H18" i="12"/>
  <c r="J222" i="12"/>
  <c r="K105" i="12"/>
  <c r="K154" i="12"/>
  <c r="H361" i="12"/>
  <c r="H32" i="12"/>
  <c r="J140" i="12"/>
  <c r="J289" i="12"/>
  <c r="H352" i="12"/>
  <c r="H79" i="12"/>
  <c r="H225" i="12"/>
  <c r="H124" i="12"/>
  <c r="J177" i="12"/>
  <c r="H38" i="12"/>
  <c r="H43" i="12"/>
  <c r="H88" i="12"/>
  <c r="K98" i="12"/>
  <c r="H102" i="12"/>
  <c r="J73" i="12"/>
  <c r="J101" i="12"/>
  <c r="J85" i="12"/>
  <c r="J131" i="12"/>
  <c r="H228" i="12"/>
  <c r="K160" i="12"/>
  <c r="K143" i="12"/>
  <c r="J126" i="12"/>
  <c r="H22" i="12"/>
  <c r="K9" i="12"/>
  <c r="J196" i="12"/>
  <c r="H145" i="12"/>
  <c r="J83" i="12"/>
  <c r="J426" i="12"/>
  <c r="K196" i="12"/>
  <c r="K88" i="12"/>
  <c r="H64" i="12"/>
  <c r="J90" i="12"/>
  <c r="H230" i="12"/>
  <c r="J195" i="12"/>
  <c r="H74" i="12"/>
  <c r="J402" i="12"/>
  <c r="K12" i="12"/>
  <c r="K214" i="12"/>
  <c r="J435" i="12"/>
  <c r="J180" i="12"/>
  <c r="J323" i="12"/>
  <c r="K33" i="12"/>
  <c r="H247" i="12"/>
  <c r="H387" i="12"/>
  <c r="H41" i="12"/>
  <c r="J260" i="12"/>
  <c r="K200" i="12"/>
  <c r="J122" i="12"/>
  <c r="H132" i="12"/>
  <c r="J352" i="12"/>
  <c r="J399" i="12"/>
  <c r="H435" i="12"/>
  <c r="H261" i="12"/>
  <c r="J305" i="12"/>
  <c r="H397" i="12"/>
  <c r="H164" i="12"/>
  <c r="J265" i="12"/>
  <c r="K230" i="12"/>
  <c r="H415" i="12"/>
  <c r="J175" i="12"/>
  <c r="J244" i="12"/>
  <c r="J409" i="12"/>
  <c r="J285" i="12"/>
  <c r="J55" i="12"/>
  <c r="H426" i="12"/>
  <c r="H384" i="12"/>
  <c r="H29" i="12"/>
  <c r="H260" i="12"/>
  <c r="J290" i="12"/>
  <c r="J148" i="12"/>
  <c r="K135" i="12"/>
  <c r="K241" i="12"/>
  <c r="H207" i="12"/>
  <c r="J367" i="12"/>
  <c r="K246" i="12"/>
  <c r="H362" i="12"/>
  <c r="J118" i="12"/>
  <c r="J103" i="12"/>
  <c r="H386" i="12"/>
  <c r="H407" i="12"/>
  <c r="J235" i="12"/>
  <c r="J86" i="12"/>
  <c r="K194" i="12"/>
  <c r="J22" i="12"/>
  <c r="H332" i="12"/>
  <c r="K41" i="12"/>
  <c r="J350" i="12"/>
  <c r="J369" i="12"/>
  <c r="H93" i="12"/>
  <c r="H236" i="12"/>
  <c r="J184" i="12"/>
  <c r="K142" i="12"/>
  <c r="H78" i="12"/>
  <c r="K220" i="12"/>
  <c r="H120" i="12"/>
  <c r="J229" i="12"/>
  <c r="K85" i="12"/>
  <c r="J138" i="12"/>
  <c r="H250" i="12"/>
  <c r="J135" i="12"/>
  <c r="H9" i="12"/>
  <c r="J411" i="12"/>
  <c r="H30" i="12"/>
  <c r="H284" i="12"/>
  <c r="J178" i="12"/>
  <c r="J7" i="12"/>
  <c r="J91" i="12"/>
  <c r="J181" i="12"/>
  <c r="J427" i="12"/>
  <c r="J161" i="12"/>
  <c r="K27" i="12"/>
  <c r="K211" i="12"/>
  <c r="H217" i="12"/>
  <c r="H345" i="12"/>
  <c r="J74" i="12"/>
  <c r="H383" i="12"/>
  <c r="H348" i="12"/>
  <c r="K128" i="12"/>
  <c r="H214" i="12"/>
  <c r="J54" i="12"/>
  <c r="J316" i="12"/>
  <c r="H5" i="12"/>
  <c r="H289" i="12"/>
  <c r="J436" i="12"/>
  <c r="K89" i="12"/>
  <c r="J320" i="12"/>
  <c r="H180" i="12"/>
  <c r="H27" i="12"/>
  <c r="H83" i="12"/>
  <c r="J96" i="12"/>
  <c r="J43" i="12"/>
  <c r="K248" i="12"/>
  <c r="H165" i="12"/>
  <c r="H4" i="12"/>
  <c r="H7" i="12"/>
  <c r="J72" i="12"/>
  <c r="J317" i="12"/>
  <c r="H70" i="12"/>
  <c r="K156" i="12"/>
  <c r="H123" i="12"/>
  <c r="K24" i="12"/>
  <c r="J245" i="12"/>
  <c r="J360" i="12"/>
  <c r="K78" i="12"/>
  <c r="K31" i="12"/>
  <c r="K75" i="12"/>
  <c r="K138" i="12"/>
  <c r="J20" i="12"/>
  <c r="H422" i="12"/>
  <c r="J429" i="12"/>
  <c r="K148" i="12"/>
  <c r="J339" i="12"/>
  <c r="H294" i="12"/>
  <c r="J4" i="12"/>
  <c r="H66" i="12"/>
  <c r="J373" i="12"/>
  <c r="J417" i="12"/>
  <c r="H373" i="12"/>
  <c r="H140" i="12"/>
  <c r="J420" i="12"/>
  <c r="H192" i="12"/>
  <c r="K161" i="12"/>
  <c r="H298" i="12"/>
  <c r="J358" i="12"/>
  <c r="J143" i="12"/>
  <c r="J225" i="12"/>
  <c r="J98" i="12"/>
  <c r="K251" i="12"/>
  <c r="K209" i="12"/>
  <c r="K118" i="12"/>
  <c r="H46" i="12"/>
  <c r="J342" i="12"/>
  <c r="J363" i="12"/>
  <c r="K101" i="12"/>
  <c r="J62" i="12"/>
  <c r="H259" i="12"/>
  <c r="K20" i="12"/>
  <c r="K191" i="12"/>
  <c r="H175" i="12"/>
  <c r="H201" i="12"/>
  <c r="H394" i="12"/>
  <c r="K60" i="12"/>
  <c r="K104" i="12"/>
  <c r="J340" i="12"/>
  <c r="H391" i="12"/>
  <c r="H267" i="12"/>
  <c r="J139" i="12"/>
  <c r="J173" i="12"/>
  <c r="J410" i="12"/>
  <c r="K61" i="12"/>
  <c r="K217" i="12"/>
  <c r="H86" i="12"/>
  <c r="H62" i="12"/>
  <c r="K110" i="12"/>
  <c r="J336" i="12"/>
  <c r="K120" i="12"/>
  <c r="H269" i="12"/>
  <c r="J264" i="12"/>
  <c r="J18" i="12"/>
  <c r="H146" i="12"/>
  <c r="K183" i="12"/>
  <c r="H292" i="12"/>
  <c r="H258" i="12"/>
  <c r="H110" i="12"/>
  <c r="J48" i="12"/>
  <c r="J189" i="12"/>
  <c r="J224" i="12"/>
  <c r="J31" i="12"/>
  <c r="J127" i="12"/>
  <c r="J295" i="12"/>
  <c r="H243" i="12"/>
  <c r="H409" i="12"/>
  <c r="K249" i="12"/>
  <c r="H291" i="12"/>
  <c r="K250" i="12"/>
  <c r="J312" i="12"/>
  <c r="H203" i="12"/>
  <c r="H379" i="12"/>
  <c r="H349" i="12"/>
  <c r="H430" i="12"/>
  <c r="J27" i="12"/>
  <c r="J171" i="12"/>
  <c r="H272" i="12"/>
  <c r="J45" i="12"/>
  <c r="J147" i="12"/>
  <c r="H385" i="12"/>
  <c r="K26" i="12"/>
  <c r="K253" i="12"/>
  <c r="K129" i="12"/>
  <c r="J384" i="12"/>
  <c r="H302" i="12"/>
  <c r="J299" i="12"/>
  <c r="H13" i="12"/>
  <c r="J220" i="12"/>
  <c r="J159" i="12"/>
  <c r="J19" i="12"/>
  <c r="K62" i="12"/>
  <c r="H92" i="12"/>
  <c r="H187" i="12"/>
  <c r="J34" i="12"/>
  <c r="J120" i="12"/>
  <c r="L120" i="12" l="1" a="1"/>
  <c r="L120" i="12" s="1"/>
  <c r="L34" i="12" a="1"/>
  <c r="L34" i="12" s="1"/>
  <c r="I92" i="12" a="1"/>
  <c r="I92" i="12" s="1"/>
  <c r="M62" i="12" a="1"/>
  <c r="M62" i="12" s="1"/>
  <c r="L19" i="12" a="1"/>
  <c r="L19" i="12" s="1"/>
  <c r="L159" i="12" a="1"/>
  <c r="L159" i="12" s="1"/>
  <c r="L220" i="12" a="1"/>
  <c r="L220" i="12" s="1"/>
  <c r="I13" i="12" a="1"/>
  <c r="I13" i="12" s="1"/>
  <c r="M129" i="12" a="1"/>
  <c r="M129" i="12" s="1"/>
  <c r="M26" i="12" a="1"/>
  <c r="M26" i="12" s="1"/>
  <c r="L147" i="12" a="1"/>
  <c r="L147" i="12" s="1"/>
  <c r="L45" i="12" a="1"/>
  <c r="L45" i="12" s="1"/>
  <c r="L171" i="12" a="1"/>
  <c r="L171" i="12" s="1"/>
  <c r="L27" i="12" a="1"/>
  <c r="L27" i="12" s="1"/>
  <c r="L127" i="12" a="1"/>
  <c r="L127" i="12" s="1"/>
  <c r="L31" i="12" a="1"/>
  <c r="L31" i="12" s="1"/>
  <c r="N31" i="12" s="1"/>
  <c r="L224" i="12" a="1"/>
  <c r="L224" i="12" s="1"/>
  <c r="L189" i="12" a="1"/>
  <c r="L189" i="12" s="1"/>
  <c r="L48" i="12" a="1"/>
  <c r="L48" i="12" s="1"/>
  <c r="M183" i="12" a="1"/>
  <c r="M183" i="12" s="1"/>
  <c r="L18" i="12" a="1"/>
  <c r="L18" i="12" s="1"/>
  <c r="M120" i="12" a="1"/>
  <c r="M120" i="12" s="1"/>
  <c r="M110" i="12" a="1"/>
  <c r="M110" i="12" s="1"/>
  <c r="I62" i="12" a="1"/>
  <c r="I62" i="12" s="1"/>
  <c r="I86" i="12" a="1"/>
  <c r="I86" i="12" s="1"/>
  <c r="M217" i="12" a="1"/>
  <c r="M217" i="12" s="1"/>
  <c r="M61" i="12" a="1"/>
  <c r="M61" i="12" s="1"/>
  <c r="L173" i="12" a="1"/>
  <c r="L173" i="12" s="1"/>
  <c r="L139" i="12" a="1"/>
  <c r="L139" i="12" s="1"/>
  <c r="M104" i="12" a="1"/>
  <c r="M104" i="12" s="1"/>
  <c r="M60" i="12" a="1"/>
  <c r="M60" i="12" s="1"/>
  <c r="M191" i="12" a="1"/>
  <c r="M191" i="12" s="1"/>
  <c r="M20" i="12" a="1"/>
  <c r="M20" i="12" s="1"/>
  <c r="L62" i="12" a="1"/>
  <c r="L62" i="12" s="1"/>
  <c r="M101" i="12" a="1"/>
  <c r="M101" i="12" s="1"/>
  <c r="I46" i="12" a="1"/>
  <c r="I46" i="12" s="1"/>
  <c r="M118" i="12" a="1"/>
  <c r="M118" i="12" s="1"/>
  <c r="M209" i="12" a="1"/>
  <c r="M209" i="12" s="1"/>
  <c r="L98" i="12" a="1"/>
  <c r="L98" i="12" s="1"/>
  <c r="L225" i="12" a="1"/>
  <c r="L225" i="12" s="1"/>
  <c r="L143" i="12" a="1"/>
  <c r="L143" i="12" s="1"/>
  <c r="M161" i="12" a="1"/>
  <c r="M161" i="12" s="1"/>
  <c r="I66" i="12" a="1"/>
  <c r="I66" i="12" s="1"/>
  <c r="L4" i="12" a="1"/>
  <c r="L4" i="12" s="1"/>
  <c r="M148" i="12" a="1"/>
  <c r="M148" i="12" s="1"/>
  <c r="L20" i="12" a="1"/>
  <c r="L20" i="12" s="1"/>
  <c r="N20" i="12" s="1"/>
  <c r="M138" i="12" a="1"/>
  <c r="M138" i="12" s="1"/>
  <c r="M75" i="12" a="1"/>
  <c r="M75" i="12" s="1"/>
  <c r="M31" i="12" a="1"/>
  <c r="M31" i="12" s="1"/>
  <c r="M78" i="12" a="1"/>
  <c r="M78" i="12" s="1"/>
  <c r="L245" i="12" a="1"/>
  <c r="L245" i="12" s="1"/>
  <c r="M24" i="12" a="1"/>
  <c r="M24" i="12" s="1"/>
  <c r="M156" i="12" a="1"/>
  <c r="M156" i="12" s="1"/>
  <c r="I70" i="12" a="1"/>
  <c r="I70" i="12" s="1"/>
  <c r="L72" i="12" a="1"/>
  <c r="L72" i="12" s="1"/>
  <c r="I7" i="12" a="1"/>
  <c r="I7" i="12" s="1"/>
  <c r="I4" i="12" a="1"/>
  <c r="I4" i="12" s="1"/>
  <c r="L43" i="12" a="1"/>
  <c r="L43" i="12" s="1"/>
  <c r="N43" i="12" s="1"/>
  <c r="L96" i="12" a="1"/>
  <c r="L96" i="12" s="1"/>
  <c r="I83" i="12" a="1"/>
  <c r="I83" i="12" s="1"/>
  <c r="I27" i="12" a="1"/>
  <c r="I27" i="12" s="1"/>
  <c r="M89" i="12" a="1"/>
  <c r="M89" i="12" s="1"/>
  <c r="I5" i="12" a="1"/>
  <c r="I5" i="12" s="1"/>
  <c r="L54" i="12" a="1"/>
  <c r="L54" i="12" s="1"/>
  <c r="N54" i="12" s="1"/>
  <c r="M128" i="12" a="1"/>
  <c r="M128" i="12" s="1"/>
  <c r="L74" i="12" a="1"/>
  <c r="L74" i="12" s="1"/>
  <c r="M211" i="12" a="1"/>
  <c r="M211" i="12" s="1"/>
  <c r="M27" i="12" a="1"/>
  <c r="M27" i="12" s="1"/>
  <c r="L161" i="12" a="1"/>
  <c r="L161" i="12" s="1"/>
  <c r="L181" i="12" a="1"/>
  <c r="L181" i="12" s="1"/>
  <c r="L91" i="12" a="1"/>
  <c r="L91" i="12" s="1"/>
  <c r="L7" i="12" a="1"/>
  <c r="L7" i="12" s="1"/>
  <c r="L178" i="12" a="1"/>
  <c r="L178" i="12" s="1"/>
  <c r="I30" i="12" a="1"/>
  <c r="I30" i="12" s="1"/>
  <c r="I9" i="12" a="1"/>
  <c r="I9" i="12" s="1"/>
  <c r="L135" i="12" a="1"/>
  <c r="L135" i="12" s="1"/>
  <c r="L138" i="12" a="1"/>
  <c r="L138" i="12" s="1"/>
  <c r="M85" i="12" a="1"/>
  <c r="M85" i="12" s="1"/>
  <c r="L229" i="12" a="1"/>
  <c r="L229" i="12" s="1"/>
  <c r="M220" i="12" a="1"/>
  <c r="M220" i="12" s="1"/>
  <c r="I78" i="12" a="1"/>
  <c r="I78" i="12" s="1"/>
  <c r="M142" i="12" a="1"/>
  <c r="M142" i="12" s="1"/>
  <c r="L184" i="12" a="1"/>
  <c r="L184" i="12" s="1"/>
  <c r="I93" i="12" a="1"/>
  <c r="I93" i="12" s="1"/>
  <c r="M41" i="12" a="1"/>
  <c r="M41" i="12" s="1"/>
  <c r="L22" i="12" a="1"/>
  <c r="L22" i="12" s="1"/>
  <c r="M194" i="12" a="1"/>
  <c r="M194" i="12" s="1"/>
  <c r="L86" i="12" a="1"/>
  <c r="L86" i="12" s="1"/>
  <c r="N86" i="12" s="1"/>
  <c r="L235" i="12" a="1"/>
  <c r="L235" i="12" s="1"/>
  <c r="L103" i="12" a="1"/>
  <c r="L103" i="12" s="1"/>
  <c r="L118" i="12" a="1"/>
  <c r="L118" i="12" s="1"/>
  <c r="M135" i="12" a="1"/>
  <c r="M135" i="12" s="1"/>
  <c r="L148" i="12" a="1"/>
  <c r="L148" i="12" s="1"/>
  <c r="I29" i="12" a="1"/>
  <c r="I29" i="12" s="1"/>
  <c r="L55" i="12" a="1"/>
  <c r="L55" i="12" s="1"/>
  <c r="L244" i="12" a="1"/>
  <c r="L244" i="12" s="1"/>
  <c r="L175" i="12" a="1"/>
  <c r="L175" i="12" s="1"/>
  <c r="M230" i="12" a="1"/>
  <c r="M230" i="12" s="1"/>
  <c r="L122" i="12" a="1"/>
  <c r="L122" i="12" s="1"/>
  <c r="M200" i="12" a="1"/>
  <c r="M200" i="12" s="1"/>
  <c r="I41" i="12" a="1"/>
  <c r="I41" i="12" s="1"/>
  <c r="M33" i="12" a="1"/>
  <c r="M33" i="12" s="1"/>
  <c r="L180" i="12" a="1"/>
  <c r="L180" i="12" s="1"/>
  <c r="M214" i="12" a="1"/>
  <c r="M214" i="12" s="1"/>
  <c r="M12" i="12" a="1"/>
  <c r="M12" i="12" s="1"/>
  <c r="I74" i="12" a="1"/>
  <c r="I74" i="12" s="1"/>
  <c r="L195" i="12" a="1"/>
  <c r="L195" i="12" s="1"/>
  <c r="L90" i="12" a="1"/>
  <c r="L90" i="12" s="1"/>
  <c r="I64" i="12" a="1"/>
  <c r="I64" i="12" s="1"/>
  <c r="M88" i="12" a="1"/>
  <c r="M88" i="12" s="1"/>
  <c r="M196" i="12" a="1"/>
  <c r="M196" i="12" s="1"/>
  <c r="L83" i="12" a="1"/>
  <c r="L83" i="12" s="1"/>
  <c r="N83" i="12" s="1"/>
  <c r="L196" i="12" a="1"/>
  <c r="L196" i="12" s="1"/>
  <c r="M9" i="12" a="1"/>
  <c r="M9" i="12" s="1"/>
  <c r="I22" i="12" a="1"/>
  <c r="I22" i="12" s="1"/>
  <c r="L126" i="12" a="1"/>
  <c r="L126" i="12" s="1"/>
  <c r="M143" i="12" a="1"/>
  <c r="M143" i="12" s="1"/>
  <c r="M160" i="12" a="1"/>
  <c r="M160" i="12" s="1"/>
  <c r="L131" i="12" a="1"/>
  <c r="L131" i="12" s="1"/>
  <c r="L85" i="12" a="1"/>
  <c r="L85" i="12" s="1"/>
  <c r="N85" i="12" s="1"/>
  <c r="L101" i="12" a="1"/>
  <c r="L101" i="12" s="1"/>
  <c r="L73" i="12" a="1"/>
  <c r="L73" i="12" s="1"/>
  <c r="M98" i="12" a="1"/>
  <c r="M98" i="12" s="1"/>
  <c r="I88" i="12" a="1"/>
  <c r="I88" i="12" s="1"/>
  <c r="I43" i="12" a="1"/>
  <c r="I43" i="12" s="1"/>
  <c r="I38" i="12" a="1"/>
  <c r="I38" i="12" s="1"/>
  <c r="L177" i="12" a="1"/>
  <c r="L177" i="12" s="1"/>
  <c r="I79" i="12" a="1"/>
  <c r="I79" i="12" s="1"/>
  <c r="L140" i="12" a="1"/>
  <c r="L140" i="12" s="1"/>
  <c r="I32" i="12" a="1"/>
  <c r="I32" i="12" s="1"/>
  <c r="M154" i="12" a="1"/>
  <c r="M154" i="12" s="1"/>
  <c r="M105" i="12" a="1"/>
  <c r="M105" i="12" s="1"/>
  <c r="L222" i="12" a="1"/>
  <c r="L222" i="12" s="1"/>
  <c r="I18" i="12" a="1"/>
  <c r="I18" i="12" s="1"/>
  <c r="M37" i="12" a="1"/>
  <c r="M37" i="12" s="1"/>
  <c r="M40" i="12" a="1"/>
  <c r="M40" i="12" s="1"/>
  <c r="M171" i="12" a="1"/>
  <c r="M171" i="12" s="1"/>
  <c r="L84" i="12" a="1"/>
  <c r="L84" i="12" s="1"/>
  <c r="M232" i="12" a="1"/>
  <c r="M232" i="12" s="1"/>
  <c r="L176" i="12" a="1"/>
  <c r="L176" i="12" s="1"/>
  <c r="L219" i="12" a="1"/>
  <c r="L219" i="12" s="1"/>
  <c r="M54" i="12" a="1"/>
  <c r="M54" i="12" s="1"/>
  <c r="M117" i="12" a="1"/>
  <c r="M117" i="12" s="1"/>
  <c r="I48" i="12" a="1"/>
  <c r="I48" i="12" s="1"/>
  <c r="M13" i="12" a="1"/>
  <c r="M13" i="12" s="1"/>
  <c r="M167" i="12" a="1"/>
  <c r="M167" i="12" s="1"/>
  <c r="L124" i="12" a="1"/>
  <c r="L124" i="12" s="1"/>
  <c r="M38" i="12" a="1"/>
  <c r="M38" i="12" s="1"/>
  <c r="N38" i="12" s="1"/>
  <c r="I40" i="12" a="1"/>
  <c r="I40" i="12" s="1"/>
  <c r="L52" i="12" a="1"/>
  <c r="L52" i="12" s="1"/>
  <c r="L87" i="12" a="1"/>
  <c r="L87" i="12" s="1"/>
  <c r="M16" i="12" a="1"/>
  <c r="M16" i="12" s="1"/>
  <c r="I98" i="12" a="1"/>
  <c r="I98" i="12" s="1"/>
  <c r="M134" i="12" a="1"/>
  <c r="M134" i="12" s="1"/>
  <c r="M157" i="12" a="1"/>
  <c r="M157" i="12" s="1"/>
  <c r="L221" i="12" a="1"/>
  <c r="L221" i="12" s="1"/>
  <c r="L116" i="12" a="1"/>
  <c r="L116" i="12" s="1"/>
  <c r="L115" i="12" a="1"/>
  <c r="L115" i="12" s="1"/>
  <c r="M175" i="12" a="1"/>
  <c r="M175" i="12" s="1"/>
  <c r="L150" i="12" a="1"/>
  <c r="L150" i="12" s="1"/>
  <c r="L93" i="12" a="1"/>
  <c r="L93" i="12" s="1"/>
  <c r="M210" i="12" a="1"/>
  <c r="M210" i="12" s="1"/>
  <c r="I81" i="12" a="1"/>
  <c r="I81" i="12" s="1"/>
  <c r="M179" i="12" a="1"/>
  <c r="M179" i="12" s="1"/>
  <c r="I11" i="12" a="1"/>
  <c r="I11" i="12" s="1"/>
  <c r="M162" i="12" a="1"/>
  <c r="M162" i="12" s="1"/>
  <c r="M18" i="12" a="1"/>
  <c r="M18" i="12" s="1"/>
  <c r="I26" i="12" a="1"/>
  <c r="I26" i="12" s="1"/>
  <c r="L78" i="12" a="1"/>
  <c r="L78" i="12" s="1"/>
  <c r="L203" i="12" a="1"/>
  <c r="L203" i="12" s="1"/>
  <c r="M133" i="12" a="1"/>
  <c r="M133" i="12" s="1"/>
  <c r="M218" i="12" a="1"/>
  <c r="M218" i="12" s="1"/>
  <c r="L246" i="12" a="1"/>
  <c r="L246" i="12" s="1"/>
  <c r="M216" i="12" a="1"/>
  <c r="M216" i="12" s="1"/>
  <c r="L202" i="12" a="1"/>
  <c r="L202" i="12" s="1"/>
  <c r="M163" i="12" a="1"/>
  <c r="M163" i="12" s="1"/>
  <c r="L212" i="12" a="1"/>
  <c r="L212" i="12" s="1"/>
  <c r="L208" i="12" a="1"/>
  <c r="L208" i="12" s="1"/>
  <c r="M34" i="12" a="1"/>
  <c r="M34" i="12" s="1"/>
  <c r="L61" i="12" a="1"/>
  <c r="L61" i="12" s="1"/>
  <c r="L179" i="12" a="1"/>
  <c r="L179" i="12" s="1"/>
  <c r="M119" i="12" a="1"/>
  <c r="M119" i="12" s="1"/>
  <c r="M10" i="12" a="1"/>
  <c r="M10" i="12" s="1"/>
  <c r="L41" i="12" a="1"/>
  <c r="L41" i="12" s="1"/>
  <c r="N41" i="12" s="1"/>
  <c r="I73" i="12" a="1"/>
  <c r="I73" i="12" s="1"/>
  <c r="L30" i="12" a="1"/>
  <c r="L30" i="12" s="1"/>
  <c r="L136" i="12" a="1"/>
  <c r="L136" i="12" s="1"/>
  <c r="L215" i="12" a="1"/>
  <c r="L215" i="12" s="1"/>
  <c r="M184" i="12" a="1"/>
  <c r="M184" i="12" s="1"/>
  <c r="L17" i="12" a="1"/>
  <c r="L17" i="12" s="1"/>
  <c r="N17" i="12" s="1"/>
  <c r="L75" i="12" a="1"/>
  <c r="L75" i="12" s="1"/>
  <c r="M74" i="12" a="1"/>
  <c r="M74" i="12" s="1"/>
  <c r="L170" i="12" a="1"/>
  <c r="L170" i="12" s="1"/>
  <c r="I24" i="12" a="1"/>
  <c r="I24" i="12" s="1"/>
  <c r="L112" i="12" a="1"/>
  <c r="L112" i="12" s="1"/>
  <c r="L190" i="12" a="1"/>
  <c r="L190" i="12" s="1"/>
  <c r="I42" i="12" a="1"/>
  <c r="I42" i="12" s="1"/>
  <c r="M76" i="12" a="1"/>
  <c r="M76" i="12" s="1"/>
  <c r="L192" i="12" a="1"/>
  <c r="L192" i="12" s="1"/>
  <c r="M116" i="12" a="1"/>
  <c r="M116" i="12" s="1"/>
  <c r="M141" i="12" a="1"/>
  <c r="M141" i="12" s="1"/>
  <c r="L121" i="12" a="1"/>
  <c r="L121" i="12" s="1"/>
  <c r="L12" i="12" a="1"/>
  <c r="L12" i="12" s="1"/>
  <c r="M127" i="12" a="1"/>
  <c r="M127" i="12" s="1"/>
  <c r="L94" i="12" a="1"/>
  <c r="L94" i="12" s="1"/>
  <c r="M86" i="12" a="1"/>
  <c r="M86" i="12" s="1"/>
  <c r="M113" i="12" a="1"/>
  <c r="M113" i="12" s="1"/>
  <c r="M146" i="12" a="1"/>
  <c r="M146" i="12" s="1"/>
  <c r="M53" i="12" a="1"/>
  <c r="M53" i="12" s="1"/>
  <c r="M234" i="12" a="1"/>
  <c r="M234" i="12" s="1"/>
  <c r="I50" i="12" a="1"/>
  <c r="I50" i="12" s="1"/>
  <c r="L119" i="12" a="1"/>
  <c r="L119" i="12" s="1"/>
  <c r="I56" i="12" a="1"/>
  <c r="I56" i="12" s="1"/>
  <c r="L100" i="12" a="1"/>
  <c r="L100" i="12" s="1"/>
  <c r="M203" i="12" a="1"/>
  <c r="M203" i="12" s="1"/>
  <c r="M91" i="12" a="1"/>
  <c r="M91" i="12" s="1"/>
  <c r="M63" i="12" a="1"/>
  <c r="M63" i="12" s="1"/>
  <c r="M219" i="12" a="1"/>
  <c r="M219" i="12" s="1"/>
  <c r="L11" i="12" a="1"/>
  <c r="L11" i="12" s="1"/>
  <c r="L77" i="12" a="1"/>
  <c r="L77" i="12" s="1"/>
  <c r="N77" i="12" s="1"/>
  <c r="L92" i="12" a="1"/>
  <c r="L92" i="12" s="1"/>
  <c r="M100" i="12" a="1"/>
  <c r="M100" i="12" s="1"/>
  <c r="I85" i="12" a="1"/>
  <c r="I85" i="12" s="1"/>
  <c r="M4" i="12" a="1"/>
  <c r="M4" i="12" s="1"/>
  <c r="M68" i="12" a="1"/>
  <c r="M68" i="12" s="1"/>
  <c r="L199" i="12" a="1"/>
  <c r="L199" i="12" s="1"/>
  <c r="M121" i="12" a="1"/>
  <c r="M121" i="12" s="1"/>
  <c r="M58" i="12" a="1"/>
  <c r="M58" i="12" s="1"/>
  <c r="L44" i="12" a="1"/>
  <c r="L44" i="12" s="1"/>
  <c r="I47" i="12" a="1"/>
  <c r="I47" i="12" s="1"/>
  <c r="I51" i="12" a="1"/>
  <c r="I51" i="12" s="1"/>
  <c r="M95" i="12" a="1"/>
  <c r="M95" i="12" s="1"/>
  <c r="M136" i="12" a="1"/>
  <c r="M136" i="12" s="1"/>
  <c r="M151" i="12" a="1"/>
  <c r="M151" i="12" s="1"/>
  <c r="M69" i="12" a="1"/>
  <c r="M69" i="12" s="1"/>
  <c r="L104" i="12" a="1"/>
  <c r="L104" i="12" s="1"/>
  <c r="I87" i="12" a="1"/>
  <c r="I87" i="12" s="1"/>
  <c r="M231" i="12" a="1"/>
  <c r="M231" i="12" s="1"/>
  <c r="M70" i="12" a="1"/>
  <c r="M70" i="12" s="1"/>
  <c r="L226" i="12" a="1"/>
  <c r="L226" i="12" s="1"/>
  <c r="M6" i="12" a="1"/>
  <c r="M6" i="12" s="1"/>
  <c r="M66" i="12" a="1"/>
  <c r="M66" i="12" s="1"/>
  <c r="L14" i="12" a="1"/>
  <c r="L14" i="12" s="1"/>
  <c r="L238" i="12" a="1"/>
  <c r="L238" i="12" s="1"/>
  <c r="L194" i="12" a="1"/>
  <c r="L194" i="12" s="1"/>
  <c r="M87" i="12" a="1"/>
  <c r="M87" i="12" s="1"/>
  <c r="M49" i="12" a="1"/>
  <c r="M49" i="12" s="1"/>
  <c r="M207" i="12" a="1"/>
  <c r="M207" i="12" s="1"/>
  <c r="I53" i="12" a="1"/>
  <c r="I53" i="12" s="1"/>
  <c r="I80" i="12" a="1"/>
  <c r="I80" i="12" s="1"/>
  <c r="L76" i="12" a="1"/>
  <c r="L76" i="12" s="1"/>
  <c r="N76" i="12" s="1"/>
  <c r="M29" i="12" a="1"/>
  <c r="M29" i="12" s="1"/>
  <c r="L234" i="12" a="1"/>
  <c r="L234" i="12" s="1"/>
  <c r="M126" i="12" a="1"/>
  <c r="M126" i="12" s="1"/>
  <c r="M15" i="12" a="1"/>
  <c r="M15" i="12" s="1"/>
  <c r="I6" i="12" a="1"/>
  <c r="I6" i="12" s="1"/>
  <c r="M212" i="12" a="1"/>
  <c r="M212" i="12" s="1"/>
  <c r="L154" i="12" a="1"/>
  <c r="L154" i="12" s="1"/>
  <c r="L28" i="12" a="1"/>
  <c r="L28" i="12" s="1"/>
  <c r="I91" i="12" a="1"/>
  <c r="I91" i="12" s="1"/>
  <c r="I21" i="12" a="1"/>
  <c r="I21" i="12" s="1"/>
  <c r="L207" i="12" a="1"/>
  <c r="L207" i="12" s="1"/>
  <c r="M233" i="12" a="1"/>
  <c r="M233" i="12" s="1"/>
  <c r="M168" i="12" a="1"/>
  <c r="M168" i="12" s="1"/>
  <c r="L29" i="12" a="1"/>
  <c r="L29" i="12" s="1"/>
  <c r="N29" i="12" s="1"/>
  <c r="L60" i="12" a="1"/>
  <c r="L60" i="12" s="1"/>
  <c r="L69" i="12" a="1"/>
  <c r="L69" i="12" s="1"/>
  <c r="N69" i="12" s="1"/>
  <c r="L80" i="12" a="1"/>
  <c r="L80" i="12" s="1"/>
  <c r="N80" i="12" s="1"/>
  <c r="M93" i="12" a="1"/>
  <c r="M93" i="12" s="1"/>
  <c r="M190" i="12" a="1"/>
  <c r="M190" i="12" s="1"/>
  <c r="M185" i="12" a="1"/>
  <c r="M185" i="12" s="1"/>
  <c r="L67" i="12" a="1"/>
  <c r="L67" i="12" s="1"/>
  <c r="L49" i="12" a="1"/>
  <c r="L49" i="12" s="1"/>
  <c r="L10" i="12" a="1"/>
  <c r="L10" i="12" s="1"/>
  <c r="N10" i="12" s="1"/>
  <c r="M174" i="12" a="1"/>
  <c r="M174" i="12" s="1"/>
  <c r="M215" i="12" a="1"/>
  <c r="M215" i="12" s="1"/>
  <c r="M164" i="12" a="1"/>
  <c r="M164" i="12" s="1"/>
  <c r="M30" i="12" a="1"/>
  <c r="M30" i="12" s="1"/>
  <c r="L230" i="12" a="1"/>
  <c r="L230" i="12" s="1"/>
  <c r="M153" i="12" a="1"/>
  <c r="M153" i="12" s="1"/>
  <c r="M65" i="12" a="1"/>
  <c r="M65" i="12" s="1"/>
  <c r="L214" i="12" a="1"/>
  <c r="L214" i="12" s="1"/>
  <c r="L187" i="12" a="1"/>
  <c r="L187" i="12" s="1"/>
  <c r="M225" i="12" a="1"/>
  <c r="M225" i="12" s="1"/>
  <c r="L206" i="12" a="1"/>
  <c r="L206" i="12" s="1"/>
  <c r="I28" i="12" a="1"/>
  <c r="I28" i="12" s="1"/>
  <c r="M82" i="12" a="1"/>
  <c r="M82" i="12" s="1"/>
  <c r="M25" i="12" a="1"/>
  <c r="M25" i="12" s="1"/>
  <c r="M186" i="12" a="1"/>
  <c r="M186" i="12" s="1"/>
  <c r="L243" i="12" a="1"/>
  <c r="L243" i="12" s="1"/>
  <c r="L2" i="12" a="1"/>
  <c r="L2" i="12" s="1"/>
  <c r="N2" i="12" s="1"/>
  <c r="I72" i="12" a="1"/>
  <c r="I72" i="12" s="1"/>
  <c r="M178" i="12" a="1"/>
  <c r="M178" i="12" s="1"/>
  <c r="M181" i="12" a="1"/>
  <c r="M181" i="12" s="1"/>
  <c r="L53" i="12" a="1"/>
  <c r="L53" i="12" s="1"/>
  <c r="N53" i="12" s="1"/>
  <c r="I36" i="12" a="1"/>
  <c r="I36" i="12" s="1"/>
  <c r="M197" i="12" a="1"/>
  <c r="M197" i="12" s="1"/>
  <c r="M227" i="12" a="1"/>
  <c r="M227" i="12" s="1"/>
  <c r="M145" i="12" a="1"/>
  <c r="M145" i="12" s="1"/>
  <c r="M67" i="12" a="1"/>
  <c r="M67" i="12" s="1"/>
  <c r="L186" i="12" a="1"/>
  <c r="L186" i="12" s="1"/>
  <c r="M226" i="12" a="1"/>
  <c r="M226" i="12" s="1"/>
  <c r="M140" i="12" a="1"/>
  <c r="M140" i="12" s="1"/>
  <c r="L32" i="12" a="1"/>
  <c r="L32" i="12" s="1"/>
  <c r="I96" i="12" a="1"/>
  <c r="I96" i="12" s="1"/>
  <c r="L156" i="12" a="1"/>
  <c r="L156" i="12" s="1"/>
  <c r="I37" i="12" a="1"/>
  <c r="I37" i="12" s="1"/>
  <c r="L137" i="12" a="1"/>
  <c r="L137" i="12" s="1"/>
  <c r="L59" i="12" a="1"/>
  <c r="L59" i="12" s="1"/>
  <c r="M221" i="12" a="1"/>
  <c r="M221" i="12" s="1"/>
  <c r="L71" i="12" a="1"/>
  <c r="L71" i="12" s="1"/>
  <c r="M99" i="12" a="1"/>
  <c r="M99" i="12" s="1"/>
  <c r="L146" i="12" a="1"/>
  <c r="L146" i="12" s="1"/>
  <c r="M109" i="12" a="1"/>
  <c r="M109" i="12" s="1"/>
  <c r="M170" i="12" a="1"/>
  <c r="M170" i="12" s="1"/>
  <c r="M182" i="12" a="1"/>
  <c r="M182" i="12" s="1"/>
  <c r="M137" i="12" a="1"/>
  <c r="M137" i="12" s="1"/>
  <c r="I17" i="12" a="1"/>
  <c r="I17" i="12" s="1"/>
  <c r="L105" i="12" a="1"/>
  <c r="L105" i="12" s="1"/>
  <c r="L231" i="12" a="1"/>
  <c r="L231" i="12" s="1"/>
  <c r="M198" i="12" a="1"/>
  <c r="M198" i="12" s="1"/>
  <c r="L236" i="12" a="1"/>
  <c r="L236" i="12" s="1"/>
  <c r="L253" i="12" a="1"/>
  <c r="L253" i="12" s="1"/>
  <c r="M8" i="12" a="1"/>
  <c r="M8" i="12" s="1"/>
  <c r="M103" i="12" a="1"/>
  <c r="M103" i="12" s="1"/>
  <c r="M5" i="12" a="1"/>
  <c r="M5" i="12" s="1"/>
  <c r="M79" i="12" a="1"/>
  <c r="M79" i="12" s="1"/>
  <c r="L233" i="12" a="1"/>
  <c r="L233" i="12" s="1"/>
  <c r="L95" i="12" a="1"/>
  <c r="L95" i="12" s="1"/>
  <c r="L197" i="12" a="1"/>
  <c r="L197" i="12" s="1"/>
  <c r="L166" i="12" a="1"/>
  <c r="L166" i="12" s="1"/>
  <c r="L70" i="12" a="1"/>
  <c r="L70" i="12" s="1"/>
  <c r="N70" i="12" s="1"/>
  <c r="M114" i="12" a="1"/>
  <c r="M114" i="12" s="1"/>
  <c r="L110" i="12" a="1"/>
  <c r="L110" i="12" s="1"/>
  <c r="N110" i="12" s="1"/>
  <c r="M166" i="12" a="1"/>
  <c r="M166" i="12" s="1"/>
  <c r="L40" i="12" a="1"/>
  <c r="L40" i="12" s="1"/>
  <c r="I97" i="12" a="1"/>
  <c r="I97" i="12" s="1"/>
  <c r="L152" i="12" a="1"/>
  <c r="L152" i="12" s="1"/>
  <c r="L174" i="12" a="1"/>
  <c r="L174" i="12" s="1"/>
  <c r="I61" i="12" a="1"/>
  <c r="I61" i="12" s="1"/>
  <c r="L6" i="12" a="1"/>
  <c r="L6" i="12" s="1"/>
  <c r="M173" i="12" a="1"/>
  <c r="M173" i="12" s="1"/>
  <c r="I12" i="12" a="1"/>
  <c r="I12" i="12" s="1"/>
  <c r="M51" i="12" a="1"/>
  <c r="M51" i="12" s="1"/>
  <c r="M165" i="12" a="1"/>
  <c r="M165" i="12" s="1"/>
  <c r="L168" i="12" a="1"/>
  <c r="L168" i="12" s="1"/>
  <c r="L153" i="12" a="1"/>
  <c r="L153" i="12" s="1"/>
  <c r="M235" i="12" a="1"/>
  <c r="M235" i="12" s="1"/>
  <c r="L37" i="12" a="1"/>
  <c r="L37" i="12" s="1"/>
  <c r="L239" i="12" a="1"/>
  <c r="L239" i="12" s="1"/>
  <c r="M94" i="12" a="1"/>
  <c r="M94" i="12" s="1"/>
  <c r="M59" i="12" a="1"/>
  <c r="M59" i="12" s="1"/>
  <c r="N59" i="12" s="1"/>
  <c r="L165" i="12" a="1"/>
  <c r="L165" i="12" s="1"/>
  <c r="L241" i="12" a="1"/>
  <c r="L241" i="12" s="1"/>
  <c r="M224" i="12" a="1"/>
  <c r="M224" i="12" s="1"/>
  <c r="L191" i="12" a="1"/>
  <c r="L191" i="12" s="1"/>
  <c r="I57" i="12" a="1"/>
  <c r="I57" i="12" s="1"/>
  <c r="L134" i="12" a="1"/>
  <c r="L134" i="12" s="1"/>
  <c r="L130" i="12" a="1"/>
  <c r="L130" i="12" s="1"/>
  <c r="L129" i="12" a="1"/>
  <c r="L129" i="12" s="1"/>
  <c r="L65" i="12" a="1"/>
  <c r="L65" i="12" s="1"/>
  <c r="I23" i="12" a="1"/>
  <c r="I23" i="12" s="1"/>
  <c r="L211" i="12" a="1"/>
  <c r="L211" i="12" s="1"/>
  <c r="L68" i="12" a="1"/>
  <c r="L68" i="12" s="1"/>
  <c r="N68" i="12" s="1"/>
  <c r="L162" i="12" a="1"/>
  <c r="L162" i="12" s="1"/>
  <c r="M55" i="12" a="1"/>
  <c r="M55" i="12" s="1"/>
  <c r="M50" i="12" a="1"/>
  <c r="M50" i="12" s="1"/>
  <c r="I82" i="12" a="1"/>
  <c r="I82" i="12" s="1"/>
  <c r="L117" i="12" a="1"/>
  <c r="L117" i="12" s="1"/>
  <c r="L114" i="12" a="1"/>
  <c r="L114" i="12" s="1"/>
  <c r="I45" i="12" a="1"/>
  <c r="I45" i="12" s="1"/>
  <c r="L46" i="12" a="1"/>
  <c r="L46" i="12" s="1"/>
  <c r="L237" i="12" a="1"/>
  <c r="L237" i="12" s="1"/>
  <c r="L193" i="12" a="1"/>
  <c r="L193" i="12" s="1"/>
  <c r="L108" i="12" a="1"/>
  <c r="L108" i="12" s="1"/>
  <c r="L169" i="12" a="1"/>
  <c r="L169" i="12" s="1"/>
  <c r="M155" i="12" a="1"/>
  <c r="M155" i="12" s="1"/>
  <c r="L223" i="12" a="1"/>
  <c r="L223" i="12" s="1"/>
  <c r="M195" i="12" a="1"/>
  <c r="M195" i="12" s="1"/>
  <c r="M222" i="12" a="1"/>
  <c r="M222" i="12" s="1"/>
  <c r="M35" i="12" a="1"/>
  <c r="M35" i="12" s="1"/>
  <c r="L182" i="12" a="1"/>
  <c r="L182" i="12" s="1"/>
  <c r="L63" i="12" a="1"/>
  <c r="L63" i="12" s="1"/>
  <c r="L39" i="12" a="1"/>
  <c r="L39" i="12" s="1"/>
  <c r="I33" i="12" a="1"/>
  <c r="I33" i="12" s="1"/>
  <c r="M112" i="12" a="1"/>
  <c r="M112" i="12" s="1"/>
  <c r="L36" i="12" a="1"/>
  <c r="L36" i="12" s="1"/>
  <c r="L163" i="12" a="1"/>
  <c r="L163" i="12" s="1"/>
  <c r="L157" i="12" a="1"/>
  <c r="L157" i="12" s="1"/>
  <c r="L205" i="12" a="1"/>
  <c r="L205" i="12" s="1"/>
  <c r="I15" i="12" a="1"/>
  <c r="I15" i="12" s="1"/>
  <c r="M192" i="12" a="1"/>
  <c r="M192" i="12" s="1"/>
  <c r="M131" i="12" a="1"/>
  <c r="M131" i="12" s="1"/>
  <c r="I19" i="12" a="1"/>
  <c r="I19" i="12" s="1"/>
  <c r="M48" i="12" a="1"/>
  <c r="M48" i="12" s="1"/>
  <c r="L79" i="12" a="1"/>
  <c r="L79" i="12" s="1"/>
  <c r="N79" i="12" s="1"/>
  <c r="L250" i="12" a="1"/>
  <c r="L250" i="12" s="1"/>
  <c r="L149" i="12" a="1"/>
  <c r="L149" i="12" s="1"/>
  <c r="L201" i="12" a="1"/>
  <c r="L201" i="12" s="1"/>
  <c r="I68" i="12" a="1"/>
  <c r="I68" i="12" s="1"/>
  <c r="I25" i="12" a="1"/>
  <c r="I25" i="12" s="1"/>
  <c r="L51" i="12" a="1"/>
  <c r="L51" i="12" s="1"/>
  <c r="M47" i="12" a="1"/>
  <c r="M47" i="12" s="1"/>
  <c r="L217" i="12" a="1"/>
  <c r="L217" i="12" s="1"/>
  <c r="M36" i="12" a="1"/>
  <c r="M36" i="12" s="1"/>
  <c r="M115" i="12" a="1"/>
  <c r="M115" i="12" s="1"/>
  <c r="I44" i="12" a="1"/>
  <c r="I44" i="12" s="1"/>
  <c r="M11" i="12" a="1"/>
  <c r="M11" i="12" s="1"/>
  <c r="N11" i="12" s="1"/>
  <c r="L88" i="12" a="1"/>
  <c r="L88" i="12" s="1"/>
  <c r="M23" i="12" a="1"/>
  <c r="M23" i="12" s="1"/>
  <c r="M180" i="12" a="1"/>
  <c r="M180" i="12" s="1"/>
  <c r="L218" i="12" a="1"/>
  <c r="L218" i="12" s="1"/>
  <c r="L82" i="12" a="1"/>
  <c r="L82" i="12" s="1"/>
  <c r="M169" i="12" a="1"/>
  <c r="M169" i="12" s="1"/>
  <c r="L23" i="12" a="1"/>
  <c r="L23" i="12" s="1"/>
  <c r="N23" i="12" s="1"/>
  <c r="L123" i="12" a="1"/>
  <c r="L123" i="12" s="1"/>
  <c r="M111" i="12" a="1"/>
  <c r="M111" i="12" s="1"/>
  <c r="I60" i="12" a="1"/>
  <c r="I60" i="12" s="1"/>
  <c r="I94" i="12" a="1"/>
  <c r="I94" i="12" s="1"/>
  <c r="L242" i="12" a="1"/>
  <c r="L242" i="12" s="1"/>
  <c r="M107" i="12" a="1"/>
  <c r="M107" i="12" s="1"/>
  <c r="I34" i="12" a="1"/>
  <c r="I34" i="12" s="1"/>
  <c r="M122" i="12" a="1"/>
  <c r="M122" i="12" s="1"/>
  <c r="I59" i="12" a="1"/>
  <c r="I59" i="12" s="1"/>
  <c r="L141" i="12" a="1"/>
  <c r="L141" i="12" s="1"/>
  <c r="M83" i="12" a="1"/>
  <c r="M83" i="12" s="1"/>
  <c r="M229" i="12" a="1"/>
  <c r="M229" i="12" s="1"/>
  <c r="M42" i="12" a="1"/>
  <c r="M42" i="12" s="1"/>
  <c r="M77" i="12" a="1"/>
  <c r="M77" i="12" s="1"/>
  <c r="M204" i="12" a="1"/>
  <c r="M204" i="12" s="1"/>
  <c r="M108" i="12" a="1"/>
  <c r="M108" i="12" s="1"/>
  <c r="M57" i="12" a="1"/>
  <c r="M57" i="12" s="1"/>
  <c r="M73" i="12" a="1"/>
  <c r="M73" i="12" s="1"/>
  <c r="N73" i="12" s="1"/>
  <c r="L38" i="12" a="1"/>
  <c r="L38" i="12" s="1"/>
  <c r="L200" i="12" a="1"/>
  <c r="L200" i="12" s="1"/>
  <c r="M176" i="12" a="1"/>
  <c r="M176" i="12" s="1"/>
  <c r="L142" i="12" a="1"/>
  <c r="L142" i="12" s="1"/>
  <c r="M97" i="12" a="1"/>
  <c r="M97" i="12" s="1"/>
  <c r="L25" i="12" a="1"/>
  <c r="L25" i="12" s="1"/>
  <c r="M150" i="12" a="1"/>
  <c r="M150" i="12" s="1"/>
  <c r="M177" i="12" a="1"/>
  <c r="M177" i="12" s="1"/>
  <c r="M124" i="12" a="1"/>
  <c r="M124" i="12" s="1"/>
  <c r="L164" i="12" a="1"/>
  <c r="L164" i="12" s="1"/>
  <c r="I16" i="12" a="1"/>
  <c r="I16" i="12" s="1"/>
  <c r="M39" i="12" a="1"/>
  <c r="M39" i="12" s="1"/>
  <c r="L198" i="12" a="1"/>
  <c r="L198" i="12" s="1"/>
  <c r="I35" i="12" a="1"/>
  <c r="I35" i="12" s="1"/>
  <c r="L247" i="12" a="1"/>
  <c r="L247" i="12" s="1"/>
  <c r="M72" i="12" a="1"/>
  <c r="M72" i="12" s="1"/>
  <c r="L111" i="12" a="1"/>
  <c r="L111" i="12" s="1"/>
  <c r="M3" i="12" a="1"/>
  <c r="M3" i="12" s="1"/>
  <c r="L109" i="12" a="1"/>
  <c r="L109" i="12" s="1"/>
  <c r="N109" i="12" s="1"/>
  <c r="L144" i="12" a="1"/>
  <c r="L144" i="12" s="1"/>
  <c r="I69" i="12" a="1"/>
  <c r="I69" i="12" s="1"/>
  <c r="M22" i="12" a="1"/>
  <c r="M22" i="12" s="1"/>
  <c r="L106" i="12" a="1"/>
  <c r="L106" i="12" s="1"/>
  <c r="M206" i="12" a="1"/>
  <c r="M206" i="12" s="1"/>
  <c r="I3" i="12" a="1"/>
  <c r="I3" i="12" s="1"/>
  <c r="M52" i="12" a="1"/>
  <c r="M52" i="12" s="1"/>
  <c r="L113" i="12" a="1"/>
  <c r="L113" i="12" s="1"/>
  <c r="N113" i="12" s="1"/>
  <c r="I8" i="12" a="1"/>
  <c r="I8" i="12" s="1"/>
  <c r="L33" i="12" a="1"/>
  <c r="L33" i="12" s="1"/>
  <c r="L251" i="12" a="1"/>
  <c r="L251" i="12" s="1"/>
  <c r="L3" i="12" a="1"/>
  <c r="L3" i="12" s="1"/>
  <c r="M205" i="12" a="1"/>
  <c r="M205" i="12" s="1"/>
  <c r="M152" i="12" a="1"/>
  <c r="M152" i="12" s="1"/>
  <c r="I20" i="12" a="1"/>
  <c r="I20" i="12" s="1"/>
  <c r="I55" i="12" a="1"/>
  <c r="I55" i="12" s="1"/>
  <c r="L145" i="12" a="1"/>
  <c r="L145" i="12" s="1"/>
  <c r="M96" i="12" a="1"/>
  <c r="M96" i="12" s="1"/>
  <c r="M81" i="12" a="1"/>
  <c r="M81" i="12" s="1"/>
  <c r="M102" i="12" a="1"/>
  <c r="M102" i="12" s="1"/>
  <c r="N102" i="12" s="1"/>
  <c r="L24" i="12" a="1"/>
  <c r="L24" i="12" s="1"/>
  <c r="I75" i="12" a="1"/>
  <c r="I75" i="12" s="1"/>
  <c r="L26" i="12" a="1"/>
  <c r="L26" i="12" s="1"/>
  <c r="I95" i="12" a="1"/>
  <c r="I95" i="12" s="1"/>
  <c r="I89" i="12" a="1"/>
  <c r="I89" i="12" s="1"/>
  <c r="M44" i="12" a="1"/>
  <c r="M44" i="12" s="1"/>
  <c r="I76" i="12" a="1"/>
  <c r="I76" i="12" s="1"/>
  <c r="M189" i="12" a="1"/>
  <c r="M189" i="12" s="1"/>
  <c r="M213" i="12" a="1"/>
  <c r="M213" i="12" s="1"/>
  <c r="L160" i="12" a="1"/>
  <c r="L160" i="12" s="1"/>
  <c r="M158" i="12" a="1"/>
  <c r="M158" i="12" s="1"/>
  <c r="L58" i="12" a="1"/>
  <c r="L58" i="12" s="1"/>
  <c r="N58" i="12" s="1"/>
  <c r="M139" i="12" a="1"/>
  <c r="M139" i="12" s="1"/>
  <c r="M71" i="12" a="1"/>
  <c r="M71" i="12" s="1"/>
  <c r="M228" i="12" a="1"/>
  <c r="M228" i="12" s="1"/>
  <c r="L133" i="12" a="1"/>
  <c r="L133" i="12" s="1"/>
  <c r="M14" i="12" a="1"/>
  <c r="M14" i="12" s="1"/>
  <c r="L35" i="12" a="1"/>
  <c r="L35" i="12" s="1"/>
  <c r="N35" i="12" s="1"/>
  <c r="L5" i="12" a="1"/>
  <c r="L5" i="12" s="1"/>
  <c r="M172" i="12" a="1"/>
  <c r="M172" i="12" s="1"/>
  <c r="I52" i="12" a="1"/>
  <c r="I52" i="12" s="1"/>
  <c r="L81" i="12" a="1"/>
  <c r="L81" i="12" s="1"/>
  <c r="L210" i="12" a="1"/>
  <c r="L210" i="12" s="1"/>
  <c r="M92" i="12" a="1"/>
  <c r="M92" i="12" s="1"/>
  <c r="N92" i="12" s="1"/>
  <c r="L216" i="12" a="1"/>
  <c r="L216" i="12" s="1"/>
  <c r="L128" i="12" a="1"/>
  <c r="L128" i="12" s="1"/>
  <c r="I71" i="12" a="1"/>
  <c r="I71" i="12" s="1"/>
  <c r="L50" i="12" a="1"/>
  <c r="L50" i="12" s="1"/>
  <c r="N50" i="12" s="1"/>
  <c r="I63" i="12" a="1"/>
  <c r="I63" i="12" s="1"/>
  <c r="L249" i="12" a="1"/>
  <c r="L249" i="12" s="1"/>
  <c r="M199" i="12" a="1"/>
  <c r="M199" i="12" s="1"/>
  <c r="M149" i="12" a="1"/>
  <c r="M149" i="12" s="1"/>
  <c r="L99" i="12" a="1"/>
  <c r="L99" i="12" s="1"/>
  <c r="N99" i="12" s="1"/>
  <c r="M159" i="12" a="1"/>
  <c r="M159" i="12" s="1"/>
  <c r="L8" i="12" a="1"/>
  <c r="L8" i="12" s="1"/>
  <c r="N8" i="12" s="1"/>
  <c r="M32" i="12" a="1"/>
  <c r="M32" i="12" s="1"/>
  <c r="I99" i="12" a="1"/>
  <c r="I99" i="12" s="1"/>
  <c r="I67" i="12" a="1"/>
  <c r="I67" i="12" s="1"/>
  <c r="I90" i="12" a="1"/>
  <c r="I90" i="12" s="1"/>
  <c r="M125" i="12" a="1"/>
  <c r="M125" i="12" s="1"/>
  <c r="M193" i="12" a="1"/>
  <c r="M193" i="12" s="1"/>
  <c r="M2" i="12" a="1"/>
  <c r="M2" i="12" s="1"/>
  <c r="I14" i="12" a="1"/>
  <c r="I14" i="12" s="1"/>
  <c r="L185" i="12" a="1"/>
  <c r="L185" i="12" s="1"/>
  <c r="L232" i="12" a="1"/>
  <c r="L232" i="12" s="1"/>
  <c r="M208" i="12" a="1"/>
  <c r="M208" i="12" s="1"/>
  <c r="I39" i="12" a="1"/>
  <c r="I39" i="12" s="1"/>
  <c r="L183" i="12" a="1"/>
  <c r="L183" i="12" s="1"/>
  <c r="I58" i="12" a="1"/>
  <c r="I58" i="12" s="1"/>
  <c r="I49" i="12" a="1"/>
  <c r="I49" i="12" s="1"/>
  <c r="M144" i="12" a="1"/>
  <c r="M144" i="12" s="1"/>
  <c r="L16" i="12" a="1"/>
  <c r="L16" i="12" s="1"/>
  <c r="N16" i="12" s="1"/>
  <c r="M201" i="12" a="1"/>
  <c r="M201" i="12" s="1"/>
  <c r="I77" i="12" a="1"/>
  <c r="I77" i="12" s="1"/>
  <c r="M46" i="12" a="1"/>
  <c r="M46" i="12" s="1"/>
  <c r="M147" i="12" a="1"/>
  <c r="M147" i="12" s="1"/>
  <c r="M106" i="12" a="1"/>
  <c r="M106" i="12" s="1"/>
  <c r="L213" i="12" a="1"/>
  <c r="L213" i="12" s="1"/>
  <c r="I2" i="12" a="1"/>
  <c r="I2" i="12" s="1"/>
  <c r="M187" i="12" a="1"/>
  <c r="M187" i="12" s="1"/>
  <c r="L228" i="12" a="1"/>
  <c r="L228" i="12" s="1"/>
  <c r="M64" i="12" a="1"/>
  <c r="M64" i="12" s="1"/>
  <c r="I31" i="12" a="1"/>
  <c r="I31" i="12" s="1"/>
  <c r="L248" i="12" a="1"/>
  <c r="L248" i="12" s="1"/>
  <c r="L107" i="12" a="1"/>
  <c r="L107" i="12" s="1"/>
  <c r="M223" i="12" a="1"/>
  <c r="M223" i="12" s="1"/>
  <c r="M84" i="12" a="1"/>
  <c r="M84" i="12" s="1"/>
  <c r="M80" i="12" a="1"/>
  <c r="M80" i="12" s="1"/>
  <c r="L89" i="12" a="1"/>
  <c r="L89" i="12" s="1"/>
  <c r="N89" i="12" s="1"/>
  <c r="L9" i="12" a="1"/>
  <c r="L9" i="12" s="1"/>
  <c r="N9" i="12" s="1"/>
  <c r="M45" i="12" a="1"/>
  <c r="M45" i="12" s="1"/>
  <c r="L42" i="12" a="1"/>
  <c r="L42" i="12" s="1"/>
  <c r="N42" i="12" s="1"/>
  <c r="I10" i="12" a="1"/>
  <c r="I10" i="12" s="1"/>
  <c r="AD3" i="4" s="1"/>
  <c r="M188" i="12" a="1"/>
  <c r="M188" i="12" s="1"/>
  <c r="L155" i="12" a="1"/>
  <c r="L155" i="12" s="1"/>
  <c r="L15" i="12" a="1"/>
  <c r="L15" i="12" s="1"/>
  <c r="N15" i="12" s="1"/>
  <c r="L188" i="12" a="1"/>
  <c r="L188" i="12" s="1"/>
  <c r="L13" i="12" a="1"/>
  <c r="L13" i="12" s="1"/>
  <c r="N13" i="12" s="1"/>
  <c r="M56" i="12" a="1"/>
  <c r="M56" i="12" s="1"/>
  <c r="M43" i="12" a="1"/>
  <c r="M43" i="12" s="1"/>
  <c r="L57" i="12" a="1"/>
  <c r="L57" i="12" s="1"/>
  <c r="N57" i="12" s="1"/>
  <c r="L227" i="12" a="1"/>
  <c r="L227" i="12" s="1"/>
  <c r="M7" i="12" a="1"/>
  <c r="M7" i="12" s="1"/>
  <c r="M123" i="12" a="1"/>
  <c r="M123" i="12" s="1"/>
  <c r="M19" i="12" a="1"/>
  <c r="M19" i="12" s="1"/>
  <c r="M90" i="12" a="1"/>
  <c r="M90" i="12" s="1"/>
  <c r="L204" i="12" a="1"/>
  <c r="L204" i="12" s="1"/>
  <c r="L240" i="12" a="1"/>
  <c r="L240" i="12" s="1"/>
  <c r="M202" i="12" a="1"/>
  <c r="M202" i="12" s="1"/>
  <c r="I65" i="12" a="1"/>
  <c r="I65" i="12" s="1"/>
  <c r="L209" i="12" a="1"/>
  <c r="L209" i="12" s="1"/>
  <c r="I54" i="12" a="1"/>
  <c r="I54" i="12" s="1"/>
  <c r="L132" i="12" a="1"/>
  <c r="L132" i="12" s="1"/>
  <c r="L56" i="12" a="1"/>
  <c r="L56" i="12" s="1"/>
  <c r="N56" i="12" s="1"/>
  <c r="I84" i="12" a="1"/>
  <c r="I84" i="12" s="1"/>
  <c r="L66" i="12" a="1"/>
  <c r="L66" i="12" s="1"/>
  <c r="N66" i="12" s="1"/>
  <c r="M17" i="12" a="1"/>
  <c r="M17" i="12" s="1"/>
  <c r="L151" i="12" a="1"/>
  <c r="L151" i="12" s="1"/>
  <c r="L252" i="12" a="1"/>
  <c r="L252" i="12" s="1"/>
  <c r="L172" i="12" a="1"/>
  <c r="L172" i="12" s="1"/>
  <c r="L64" i="12" a="1"/>
  <c r="L64" i="12" s="1"/>
  <c r="N64" i="12" s="1"/>
  <c r="M130" i="12" a="1"/>
  <c r="M130" i="12" s="1"/>
  <c r="M132" i="12" a="1"/>
  <c r="M132" i="12" s="1"/>
  <c r="L47" i="12" a="1"/>
  <c r="L47" i="12" s="1"/>
  <c r="M28" i="12" a="1"/>
  <c r="M28" i="12" s="1"/>
  <c r="L21" i="12" a="1"/>
  <c r="L21" i="12" s="1"/>
  <c r="M21" i="12" a="1"/>
  <c r="M21" i="12" s="1"/>
  <c r="L158" i="12" a="1"/>
  <c r="L158" i="12" s="1"/>
  <c r="L167" i="12" a="1"/>
  <c r="L167" i="12" s="1"/>
  <c r="L102" i="12" a="1"/>
  <c r="L102" i="12" s="1"/>
  <c r="L97" i="12" a="1"/>
  <c r="L97" i="12" s="1"/>
  <c r="I100" i="12" a="1"/>
  <c r="I100" i="12" s="1"/>
  <c r="L125" i="12" a="1"/>
  <c r="L125" i="12" s="1"/>
  <c r="N61" i="12"/>
  <c r="N36" i="12"/>
  <c r="N91" i="12"/>
  <c r="N65" i="12"/>
  <c r="T12" i="6"/>
  <c r="T18" i="6"/>
  <c r="T13" i="6"/>
  <c r="P49" i="1" s="1" a="1"/>
  <c r="P49" i="1" s="1"/>
  <c r="T30" i="6"/>
  <c r="AD66" i="4"/>
  <c r="AD250" i="4"/>
  <c r="AD90" i="4"/>
  <c r="AD192" i="4"/>
  <c r="AD156" i="4"/>
  <c r="AD225" i="4"/>
  <c r="AD88" i="4"/>
  <c r="AD205" i="4"/>
  <c r="AD9" i="4"/>
  <c r="AD228" i="4"/>
  <c r="AD16" i="4"/>
  <c r="AD70" i="4"/>
  <c r="AD130" i="4"/>
  <c r="AD96" i="4"/>
  <c r="AD161" i="4"/>
  <c r="AD37" i="4"/>
  <c r="AD177" i="4"/>
  <c r="AD46" i="4"/>
  <c r="AD27" i="4"/>
  <c r="AD144" i="4"/>
  <c r="AD19" i="4"/>
  <c r="P6" i="1" s="1" a="1"/>
  <c r="P6" i="1" s="1"/>
  <c r="AD87" i="4"/>
  <c r="AD31" i="4"/>
  <c r="P51" i="1" s="1" a="1"/>
  <c r="P51" i="1" s="1"/>
  <c r="F15" i="13" s="1"/>
  <c r="AD218" i="4"/>
  <c r="AD86" i="4"/>
  <c r="AD60" i="4"/>
  <c r="AD44" i="4"/>
  <c r="AD24" i="4"/>
  <c r="AD185" i="4"/>
  <c r="AD128" i="4"/>
  <c r="AD63" i="4"/>
  <c r="AD229" i="4"/>
  <c r="AD116" i="4"/>
  <c r="AD198" i="4"/>
  <c r="AD167" i="4"/>
  <c r="AD62" i="4"/>
  <c r="AD115" i="4"/>
  <c r="AD81" i="4"/>
  <c r="AD111" i="4"/>
  <c r="AD184" i="4"/>
  <c r="AD191" i="4"/>
  <c r="AD238" i="4"/>
  <c r="AD33" i="4"/>
  <c r="P48" i="1" s="1" a="1"/>
  <c r="P48" i="1" s="1"/>
  <c r="AD51" i="4"/>
  <c r="AD174" i="4"/>
  <c r="AD22" i="4"/>
  <c r="AD13" i="4"/>
  <c r="AD217" i="4"/>
  <c r="AD38" i="4"/>
  <c r="AD11" i="4"/>
  <c r="AD95" i="4"/>
  <c r="AD247" i="4"/>
  <c r="AD142" i="4"/>
  <c r="AD150" i="4"/>
  <c r="AD170" i="4"/>
  <c r="AD197" i="4"/>
  <c r="AD147" i="4"/>
  <c r="AD152" i="4"/>
  <c r="AD246" i="4"/>
  <c r="AD136" i="4"/>
  <c r="AD64" i="4"/>
  <c r="AD122" i="4"/>
  <c r="AD52" i="4"/>
  <c r="AD223" i="4"/>
  <c r="AD43" i="4"/>
  <c r="AD65" i="4"/>
  <c r="AD175" i="4"/>
  <c r="AD129" i="4"/>
  <c r="AD110" i="4"/>
  <c r="AD71" i="4"/>
  <c r="AD166" i="4"/>
  <c r="AD249" i="4"/>
  <c r="AD58" i="4"/>
  <c r="AD117" i="4"/>
  <c r="AD40" i="4"/>
  <c r="AD29" i="4"/>
  <c r="P42" i="1" s="1" a="1"/>
  <c r="P42" i="1" s="1"/>
  <c r="AD15" i="4"/>
  <c r="AD42" i="4"/>
  <c r="AD233" i="4"/>
  <c r="AD183" i="4"/>
  <c r="AD244" i="4"/>
  <c r="AD28" i="4"/>
  <c r="P58" i="1" s="1" a="1"/>
  <c r="P58" i="1" s="1"/>
  <c r="F22" i="13" s="1"/>
  <c r="AD159" i="4"/>
  <c r="AD141" i="4"/>
  <c r="AD153" i="4"/>
  <c r="AD201" i="4"/>
  <c r="AD200" i="4"/>
  <c r="AD57" i="4"/>
  <c r="AD202" i="4"/>
  <c r="AD221" i="4"/>
  <c r="AD178" i="4"/>
  <c r="AD204" i="4"/>
  <c r="AD194" i="4"/>
  <c r="AD222" i="4"/>
  <c r="AD208" i="4"/>
  <c r="AD160" i="4"/>
  <c r="AD89" i="4"/>
  <c r="AD240" i="4"/>
  <c r="AD215" i="4"/>
  <c r="AD56" i="4"/>
  <c r="AD123" i="4"/>
  <c r="AD157" i="4"/>
  <c r="AD77" i="4"/>
  <c r="AD101" i="4"/>
  <c r="AD104" i="4"/>
  <c r="AD195" i="4"/>
  <c r="AD97" i="4"/>
  <c r="AD251" i="4"/>
  <c r="AD105" i="4"/>
  <c r="AD135" i="4"/>
  <c r="AD39" i="4"/>
  <c r="AD155" i="4"/>
  <c r="AD41" i="4"/>
  <c r="P77" i="1" s="1" a="1"/>
  <c r="P77" i="1" s="1"/>
  <c r="AD154" i="4"/>
  <c r="AD75" i="4"/>
  <c r="AD124" i="4"/>
  <c r="AD98" i="4"/>
  <c r="AD169" i="4"/>
  <c r="AD227" i="4"/>
  <c r="AD171" i="4"/>
  <c r="AD139" i="4"/>
  <c r="AD252" i="4"/>
  <c r="AD54" i="4"/>
  <c r="AD35" i="4"/>
  <c r="AD79" i="4"/>
  <c r="AD133" i="4"/>
  <c r="AD14" i="4"/>
  <c r="AD121" i="4"/>
  <c r="AD119" i="4"/>
  <c r="AD20" i="4"/>
  <c r="AD78" i="4"/>
  <c r="AD182" i="4"/>
  <c r="AD203" i="4"/>
  <c r="AD196" i="4"/>
  <c r="AD32" i="4"/>
  <c r="P71" i="1" s="1" a="1"/>
  <c r="P71" i="1" s="1"/>
  <c r="AD236" i="4"/>
  <c r="AD113" i="4"/>
  <c r="AD220" i="4"/>
  <c r="AD69" i="4"/>
  <c r="AD67" i="4"/>
  <c r="AD102" i="4"/>
  <c r="AD213" i="4"/>
  <c r="AD93" i="4"/>
  <c r="AD237" i="4"/>
  <c r="AD74" i="4"/>
  <c r="AD242" i="4"/>
  <c r="AD151" i="4"/>
  <c r="AD55" i="4"/>
  <c r="AD59" i="4"/>
  <c r="AD162" i="4"/>
  <c r="AD137" i="4"/>
  <c r="AD134" i="4"/>
  <c r="AD232" i="4"/>
  <c r="AD173" i="4"/>
  <c r="AD190" i="4"/>
  <c r="AD216" i="4"/>
  <c r="AD189" i="4"/>
  <c r="AD23" i="4"/>
  <c r="AD149" i="4"/>
  <c r="AD145" i="4"/>
  <c r="AD99" i="4"/>
  <c r="AD49" i="4"/>
  <c r="AD120" i="4"/>
  <c r="AD206" i="4"/>
  <c r="AD131" i="4"/>
  <c r="AD179" i="4"/>
  <c r="AD76" i="4"/>
  <c r="AD92" i="4"/>
  <c r="AD212" i="4"/>
  <c r="AD53" i="4"/>
  <c r="AD138" i="4"/>
  <c r="AD235" i="4"/>
  <c r="AD132" i="4"/>
  <c r="AD50" i="4"/>
  <c r="AD226" i="4"/>
  <c r="AD103" i="4"/>
  <c r="AD207" i="4"/>
  <c r="AD248" i="4"/>
  <c r="AD187" i="4"/>
  <c r="AD146" i="4"/>
  <c r="AD127" i="4"/>
  <c r="AD143" i="4"/>
  <c r="AD34" i="4"/>
  <c r="P64" i="1" s="1" a="1"/>
  <c r="P64" i="1" s="1"/>
  <c r="F26" i="13" s="1"/>
  <c r="AD112" i="4"/>
  <c r="AD199" i="4"/>
  <c r="AD148" i="4"/>
  <c r="AD180" i="4"/>
  <c r="AD114" i="4"/>
  <c r="AD10" i="4"/>
  <c r="AD91" i="4"/>
  <c r="AD165" i="4"/>
  <c r="AD210" i="4"/>
  <c r="AD125" i="4"/>
  <c r="AD36" i="4"/>
  <c r="P52" i="1" s="1" a="1"/>
  <c r="P52" i="1" s="1"/>
  <c r="F16" i="13" s="1"/>
  <c r="AD48" i="4"/>
  <c r="AD168" i="4"/>
  <c r="AD82" i="4"/>
  <c r="AD193" i="4"/>
  <c r="AD245" i="4"/>
  <c r="AD68" i="4"/>
  <c r="AD17" i="4"/>
  <c r="AD94" i="4"/>
  <c r="AD219" i="4"/>
  <c r="AD158" i="4"/>
  <c r="AD18" i="4"/>
  <c r="AD107" i="4"/>
  <c r="AD214" i="4"/>
  <c r="AD26" i="4"/>
  <c r="AD118" i="4"/>
  <c r="AD241" i="4"/>
  <c r="AD231" i="4"/>
  <c r="AD12" i="4"/>
  <c r="AD109" i="4"/>
  <c r="AD47" i="4"/>
  <c r="AD61" i="4"/>
  <c r="T148" i="6"/>
  <c r="T127" i="6"/>
  <c r="T76" i="6"/>
  <c r="T231" i="6"/>
  <c r="T337" i="6"/>
  <c r="T181" i="6"/>
  <c r="T299" i="6"/>
  <c r="T346" i="6"/>
  <c r="T352" i="6"/>
  <c r="T355" i="6"/>
  <c r="T99" i="6"/>
  <c r="T186" i="6"/>
  <c r="T288" i="6"/>
  <c r="T216" i="6"/>
  <c r="T302" i="6"/>
  <c r="T284" i="6"/>
  <c r="T174" i="6"/>
  <c r="T286" i="6"/>
  <c r="T102" i="6"/>
  <c r="T254" i="6"/>
  <c r="T193" i="6"/>
  <c r="T266" i="6"/>
  <c r="T255" i="6"/>
  <c r="T271" i="6"/>
  <c r="T350" i="6"/>
  <c r="T129" i="6"/>
  <c r="T53" i="6"/>
  <c r="T123" i="6"/>
  <c r="T205" i="6"/>
  <c r="T263" i="6"/>
  <c r="T273" i="6"/>
  <c r="T332" i="6"/>
  <c r="T334" i="6"/>
  <c r="T98" i="6"/>
  <c r="T137" i="6"/>
  <c r="T155" i="6"/>
  <c r="T226" i="6"/>
  <c r="T230" i="6"/>
  <c r="T294" i="6"/>
  <c r="T315" i="6"/>
  <c r="T328" i="6"/>
  <c r="T331" i="6"/>
  <c r="T79" i="6"/>
  <c r="T135" i="6"/>
  <c r="T188" i="6"/>
  <c r="T217" i="6"/>
  <c r="T285" i="6"/>
  <c r="T292" i="6"/>
  <c r="T354" i="6"/>
  <c r="T361" i="6"/>
  <c r="T379" i="6"/>
  <c r="T380" i="6"/>
  <c r="T104" i="6"/>
  <c r="T112" i="6"/>
  <c r="T191" i="6"/>
  <c r="T203" i="6"/>
  <c r="T268" i="6"/>
  <c r="T269" i="6"/>
  <c r="T347" i="6"/>
  <c r="T349" i="6"/>
  <c r="T175" i="6"/>
  <c r="T185" i="6"/>
  <c r="T91" i="6"/>
  <c r="T106" i="6"/>
  <c r="N74" i="12"/>
  <c r="AD239" i="4"/>
  <c r="AD181" i="4"/>
  <c r="AD21" i="4"/>
  <c r="AD243" i="4"/>
  <c r="AD80" i="4"/>
  <c r="AD140" i="4"/>
  <c r="AD230" i="4"/>
  <c r="AD73" i="4"/>
  <c r="AD85" i="4"/>
  <c r="AD106" i="4"/>
  <c r="AD172" i="4"/>
  <c r="AD30" i="4"/>
  <c r="N97" i="12"/>
  <c r="N47" i="12"/>
  <c r="N63" i="12"/>
  <c r="N3" i="12"/>
  <c r="AE22" i="4" s="1"/>
  <c r="N93" i="12"/>
  <c r="N94" i="12"/>
  <c r="N60" i="12"/>
  <c r="N90" i="12"/>
  <c r="N21" i="12"/>
  <c r="N49" i="12"/>
  <c r="N82" i="12"/>
  <c r="N30" i="12"/>
  <c r="N33" i="12"/>
  <c r="N19" i="12"/>
  <c r="N88" i="12"/>
  <c r="N37" i="12"/>
  <c r="N6" i="12"/>
  <c r="N55" i="12"/>
  <c r="N107" i="12"/>
  <c r="N67" i="12"/>
  <c r="N7" i="12"/>
  <c r="N72" i="12"/>
  <c r="N51" i="12"/>
  <c r="N14" i="12"/>
  <c r="N32" i="12"/>
  <c r="N5" i="12"/>
  <c r="N103" i="12"/>
  <c r="P76" i="1" a="1"/>
  <c r="P76" i="1" s="1"/>
  <c r="P82" i="1" a="1"/>
  <c r="P82" i="1" s="1"/>
  <c r="F37" i="13" s="1"/>
  <c r="P74" i="1" a="1"/>
  <c r="P74" i="1" s="1"/>
  <c r="F33" i="13" s="1"/>
  <c r="P80" i="1" a="1"/>
  <c r="P80" i="1" s="1"/>
  <c r="P84" i="1" a="1"/>
  <c r="P84" i="1" s="1"/>
  <c r="P75" i="1" a="1"/>
  <c r="P75" i="1" s="1"/>
  <c r="F34" i="13" s="1"/>
  <c r="P81" i="1" a="1"/>
  <c r="P81" i="1" s="1"/>
  <c r="F36" i="13" s="1"/>
  <c r="P79" i="1" a="1"/>
  <c r="P79" i="1" s="1"/>
  <c r="P83" i="1" a="1"/>
  <c r="P83" i="1" s="1"/>
  <c r="F38" i="13" s="1"/>
  <c r="T34" i="6"/>
  <c r="P70" i="1" s="1" a="1"/>
  <c r="P70" i="1" s="1"/>
  <c r="F32" i="13" s="1"/>
  <c r="P78" i="1" a="1"/>
  <c r="P78" i="1" s="1"/>
  <c r="N4" i="12"/>
  <c r="N81" i="12"/>
  <c r="N104" i="12"/>
  <c r="AD5" i="4"/>
  <c r="AD6" i="4"/>
  <c r="AD8" i="4"/>
  <c r="P2" i="1" s="1" a="1"/>
  <c r="P2" i="1" s="1"/>
  <c r="AD224" i="4"/>
  <c r="AD188" i="4"/>
  <c r="AD176" i="4"/>
  <c r="AD108" i="4"/>
  <c r="AD84" i="4"/>
  <c r="AD72" i="4"/>
  <c r="AD163" i="4"/>
  <c r="AD211" i="4"/>
  <c r="AD126" i="4"/>
  <c r="AD209" i="4"/>
  <c r="AD25" i="4"/>
  <c r="P45" i="1" s="1" a="1"/>
  <c r="P45" i="1" s="1"/>
  <c r="AD83" i="4"/>
  <c r="AD164" i="4"/>
  <c r="AD234" i="4"/>
  <c r="AD100" i="4"/>
  <c r="AD186" i="4"/>
  <c r="AD45" i="4"/>
  <c r="AE151" i="4"/>
  <c r="N75" i="12"/>
  <c r="N25" i="12"/>
  <c r="N28" i="12"/>
  <c r="N78" i="12"/>
  <c r="N39" i="12"/>
  <c r="N96" i="12"/>
  <c r="N12" i="12"/>
  <c r="N101" i="12"/>
  <c r="Q57" i="1" a="1"/>
  <c r="Q57" i="1" s="1"/>
  <c r="F6" i="13"/>
  <c r="Q51" i="1" a="1"/>
  <c r="Q51" i="1" s="1"/>
  <c r="F5" i="13"/>
  <c r="F8" i="13"/>
  <c r="F7" i="13"/>
  <c r="Q52" i="1" a="1"/>
  <c r="Q52" i="1" s="1"/>
  <c r="Q50" i="1" a="1"/>
  <c r="Q50" i="1" s="1"/>
  <c r="P50" i="1" a="1"/>
  <c r="P50" i="1" s="1"/>
  <c r="F14" i="13" s="1"/>
  <c r="Q21" i="1" a="1"/>
  <c r="Q21" i="1" s="1"/>
  <c r="Q25" i="1" a="1"/>
  <c r="Q25" i="1" s="1"/>
  <c r="Q54" i="1" a="1"/>
  <c r="Q54" i="1" s="1"/>
  <c r="Q15" i="1" a="1"/>
  <c r="Q15" i="1" s="1"/>
  <c r="Q16" i="1" a="1"/>
  <c r="Q16" i="1" s="1"/>
  <c r="T44" i="6" l="1"/>
  <c r="T37" i="6"/>
  <c r="T29" i="6"/>
  <c r="T31" i="6"/>
  <c r="T3" i="6"/>
  <c r="T100" i="6"/>
  <c r="T253" i="6"/>
  <c r="T356" i="6"/>
  <c r="T378" i="6"/>
  <c r="T342" i="6"/>
  <c r="T103" i="6"/>
  <c r="T324" i="6"/>
  <c r="T382" i="6"/>
  <c r="T345" i="6"/>
  <c r="T115" i="6"/>
  <c r="T282" i="6"/>
  <c r="T338" i="6"/>
  <c r="T161" i="6"/>
  <c r="T54" i="6"/>
  <c r="T136" i="6"/>
  <c r="T239" i="6"/>
  <c r="T52" i="6"/>
  <c r="T358" i="6"/>
  <c r="T290" i="6"/>
  <c r="T236" i="6"/>
  <c r="T108" i="6"/>
  <c r="T341" i="6"/>
  <c r="T278" i="6"/>
  <c r="T180" i="6"/>
  <c r="T359" i="6"/>
  <c r="T279" i="6"/>
  <c r="T83" i="6"/>
  <c r="T212" i="6"/>
  <c r="T274" i="6"/>
  <c r="T72" i="6"/>
  <c r="T303" i="6"/>
  <c r="T243" i="6"/>
  <c r="T228" i="6"/>
  <c r="T198" i="6"/>
  <c r="T141" i="6"/>
  <c r="T306" i="6"/>
  <c r="T107" i="6"/>
  <c r="T158" i="6"/>
  <c r="T197" i="6"/>
  <c r="T251" i="6"/>
  <c r="T323" i="6"/>
  <c r="T49" i="6"/>
  <c r="T133" i="6"/>
  <c r="T215" i="6"/>
  <c r="T280" i="6"/>
  <c r="T327" i="6"/>
  <c r="T65" i="6"/>
  <c r="T176" i="6"/>
  <c r="T261" i="6"/>
  <c r="T351" i="6"/>
  <c r="T371" i="6"/>
  <c r="T94" i="6"/>
  <c r="T139" i="6"/>
  <c r="T245" i="6"/>
  <c r="T339" i="6"/>
  <c r="T165" i="6"/>
  <c r="T73" i="6"/>
  <c r="T74" i="6"/>
  <c r="T42" i="6"/>
  <c r="T32" i="6"/>
  <c r="T23" i="6"/>
  <c r="P59" i="1" s="1" a="1"/>
  <c r="P59" i="1" s="1"/>
  <c r="F23" i="13" s="1"/>
  <c r="T22" i="6"/>
  <c r="T21" i="6"/>
  <c r="P57" i="1" s="1" a="1"/>
  <c r="P57" i="1" s="1"/>
  <c r="F21" i="13" s="1"/>
  <c r="T51" i="6"/>
  <c r="T152" i="6"/>
  <c r="T319" i="6"/>
  <c r="T368" i="6"/>
  <c r="T196" i="6"/>
  <c r="T80" i="6"/>
  <c r="T232" i="6"/>
  <c r="T340" i="6"/>
  <c r="T131" i="6"/>
  <c r="T71" i="6"/>
  <c r="T184" i="6"/>
  <c r="T304" i="6"/>
  <c r="T348" i="6"/>
  <c r="T363" i="6"/>
  <c r="T89" i="6"/>
  <c r="T169" i="6"/>
  <c r="T357" i="6"/>
  <c r="T170" i="6"/>
  <c r="T114" i="6"/>
  <c r="T172" i="6"/>
  <c r="T200" i="6"/>
  <c r="T210" i="6"/>
  <c r="T250" i="6"/>
  <c r="T270" i="6"/>
  <c r="T192" i="6"/>
  <c r="T178" i="6"/>
  <c r="T272" i="6"/>
  <c r="T234" i="6"/>
  <c r="T224" i="6"/>
  <c r="T295" i="6"/>
  <c r="T187" i="6"/>
  <c r="T81" i="6"/>
  <c r="T206" i="6"/>
  <c r="T171" i="6"/>
  <c r="T262" i="6"/>
  <c r="T78" i="6"/>
  <c r="T60" i="6"/>
  <c r="T128" i="6"/>
  <c r="T173" i="6"/>
  <c r="T211" i="6"/>
  <c r="T281" i="6"/>
  <c r="T336" i="6"/>
  <c r="T113" i="6"/>
  <c r="T164" i="6"/>
  <c r="T246" i="6"/>
  <c r="T317" i="6"/>
  <c r="T333" i="6"/>
  <c r="T145" i="6"/>
  <c r="T237" i="6"/>
  <c r="T293" i="6"/>
  <c r="T364" i="6"/>
  <c r="T384" i="6"/>
  <c r="T119" i="6"/>
  <c r="T220" i="6"/>
  <c r="T275" i="6"/>
  <c r="T376" i="6"/>
  <c r="T241" i="6"/>
  <c r="T143" i="6"/>
  <c r="AD2" i="4"/>
  <c r="T36" i="6"/>
  <c r="T9" i="6"/>
  <c r="P28" i="1" s="1" a="1"/>
  <c r="P28" i="1" s="1"/>
  <c r="T121" i="6"/>
  <c r="T360" i="6"/>
  <c r="T61" i="6"/>
  <c r="T325" i="6"/>
  <c r="T387" i="6"/>
  <c r="T289" i="6"/>
  <c r="T207" i="6"/>
  <c r="T146" i="6"/>
  <c r="T59" i="6"/>
  <c r="T320" i="6"/>
  <c r="T168" i="6"/>
  <c r="T259" i="6"/>
  <c r="T267" i="6"/>
  <c r="T298" i="6"/>
  <c r="T162" i="6"/>
  <c r="T68" i="6"/>
  <c r="T344" i="6"/>
  <c r="T46" i="6"/>
  <c r="P86" i="1" s="1" a="1"/>
  <c r="P86" i="1" s="1"/>
  <c r="F41" i="13" s="1"/>
  <c r="T163" i="6"/>
  <c r="T40" i="6"/>
  <c r="T17" i="6"/>
  <c r="P17" i="1" s="1" a="1"/>
  <c r="P17" i="1" s="1"/>
  <c r="T5" i="6"/>
  <c r="T26" i="6"/>
  <c r="P62" i="1" s="1" a="1"/>
  <c r="P62" i="1" s="1"/>
  <c r="T85" i="6"/>
  <c r="T209" i="6"/>
  <c r="T326" i="6"/>
  <c r="T369" i="6"/>
  <c r="T238" i="6"/>
  <c r="T82" i="6"/>
  <c r="T249" i="6"/>
  <c r="T373" i="6"/>
  <c r="T153" i="6"/>
  <c r="T93" i="6"/>
  <c r="T199" i="6"/>
  <c r="T311" i="6"/>
  <c r="T58" i="6"/>
  <c r="T381" i="6"/>
  <c r="T110" i="6"/>
  <c r="T214" i="6"/>
  <c r="T367" i="6"/>
  <c r="T190" i="6"/>
  <c r="T63" i="6"/>
  <c r="T248" i="6"/>
  <c r="T140" i="6"/>
  <c r="T56" i="6"/>
  <c r="T208" i="6"/>
  <c r="T157" i="6"/>
  <c r="T120" i="6"/>
  <c r="T314" i="6"/>
  <c r="T86" i="6"/>
  <c r="T156" i="6"/>
  <c r="T300" i="6"/>
  <c r="T116" i="6"/>
  <c r="T183" i="6"/>
  <c r="T66" i="6"/>
  <c r="T308" i="6"/>
  <c r="T247" i="6"/>
  <c r="T242" i="6"/>
  <c r="T353" i="6"/>
  <c r="T62" i="6"/>
  <c r="T147" i="6"/>
  <c r="T179" i="6"/>
  <c r="T218" i="6"/>
  <c r="T312" i="6"/>
  <c r="T47" i="6"/>
  <c r="T124" i="6"/>
  <c r="T194" i="6"/>
  <c r="T276" i="6"/>
  <c r="T321" i="6"/>
  <c r="T45" i="6"/>
  <c r="P85" i="1" s="1" a="1"/>
  <c r="P85" i="1" s="1"/>
  <c r="T151" i="6"/>
  <c r="T256" i="6"/>
  <c r="T301" i="6"/>
  <c r="T366" i="6"/>
  <c r="T57" i="6"/>
  <c r="T125" i="6"/>
  <c r="T233" i="6"/>
  <c r="T287" i="6"/>
  <c r="T377" i="6"/>
  <c r="T244" i="6"/>
  <c r="T11" i="6"/>
  <c r="P30" i="1" s="1" a="1"/>
  <c r="P30" i="1" s="1"/>
  <c r="T6" i="6"/>
  <c r="T33" i="6"/>
  <c r="T258" i="6"/>
  <c r="T383" i="6"/>
  <c r="T122" i="6"/>
  <c r="T385" i="6"/>
  <c r="T159" i="6"/>
  <c r="T343" i="6"/>
  <c r="T69" i="6"/>
  <c r="T310" i="6"/>
  <c r="T372" i="6"/>
  <c r="T96" i="6"/>
  <c r="T307" i="6"/>
  <c r="T240" i="6"/>
  <c r="T182" i="6"/>
  <c r="T362" i="6"/>
  <c r="T150" i="6"/>
  <c r="T335" i="6"/>
  <c r="T177" i="6"/>
  <c r="T117" i="6"/>
  <c r="T201" i="6"/>
  <c r="T43" i="6"/>
  <c r="T15" i="6"/>
  <c r="T16" i="6"/>
  <c r="T4" i="6"/>
  <c r="T97" i="6"/>
  <c r="T219" i="6"/>
  <c r="T329" i="6"/>
  <c r="T375" i="6"/>
  <c r="T305" i="6"/>
  <c r="T95" i="6"/>
  <c r="T265" i="6"/>
  <c r="T374" i="6"/>
  <c r="T195" i="6"/>
  <c r="T109" i="6"/>
  <c r="T225" i="6"/>
  <c r="T330" i="6"/>
  <c r="T90" i="6"/>
  <c r="T50" i="6"/>
  <c r="T118" i="6"/>
  <c r="T227" i="6"/>
  <c r="T386" i="6"/>
  <c r="T297" i="6"/>
  <c r="T222" i="6"/>
  <c r="T260" i="6"/>
  <c r="T84" i="6"/>
  <c r="T126" i="6"/>
  <c r="T252" i="6"/>
  <c r="T138" i="6"/>
  <c r="T291" i="6"/>
  <c r="T229" i="6"/>
  <c r="T77" i="6"/>
  <c r="T132" i="6"/>
  <c r="T223" i="6"/>
  <c r="T87" i="6"/>
  <c r="T111" i="6"/>
  <c r="T204" i="6"/>
  <c r="T105" i="6"/>
  <c r="T144" i="6"/>
  <c r="T213" i="6"/>
  <c r="T264" i="6"/>
  <c r="T101" i="6"/>
  <c r="T154" i="6"/>
  <c r="T189" i="6"/>
  <c r="T221" i="6"/>
  <c r="T313" i="6"/>
  <c r="T48" i="6"/>
  <c r="T130" i="6"/>
  <c r="T202" i="6"/>
  <c r="T277" i="6"/>
  <c r="T322" i="6"/>
  <c r="T64" i="6"/>
  <c r="T166" i="6"/>
  <c r="T257" i="6"/>
  <c r="T316" i="6"/>
  <c r="T370" i="6"/>
  <c r="T92" i="6"/>
  <c r="T134" i="6"/>
  <c r="T235" i="6"/>
  <c r="T309" i="6"/>
  <c r="T149" i="6"/>
  <c r="T70" i="6"/>
  <c r="T160" i="6"/>
  <c r="T55" i="6"/>
  <c r="T365" i="6"/>
  <c r="T39" i="6"/>
  <c r="T67" i="6"/>
  <c r="T167" i="6"/>
  <c r="T283" i="6"/>
  <c r="T296" i="6"/>
  <c r="T142" i="6"/>
  <c r="T88" i="6"/>
  <c r="T75" i="6"/>
  <c r="T318" i="6"/>
  <c r="T38" i="6"/>
  <c r="N106" i="12"/>
  <c r="N111" i="12"/>
  <c r="N46" i="12"/>
  <c r="N40" i="12"/>
  <c r="AD7" i="4"/>
  <c r="N100" i="12"/>
  <c r="N52" i="12"/>
  <c r="N84" i="12"/>
  <c r="N105" i="12"/>
  <c r="N45" i="12"/>
  <c r="T27" i="6"/>
  <c r="T28" i="6"/>
  <c r="T2" i="6"/>
  <c r="T25" i="6"/>
  <c r="T35" i="6"/>
  <c r="N24" i="12"/>
  <c r="N108" i="12"/>
  <c r="N95" i="12"/>
  <c r="N71" i="12"/>
  <c r="T8" i="6"/>
  <c r="P27" i="1" s="1" a="1"/>
  <c r="P27" i="1" s="1"/>
  <c r="T7" i="6"/>
  <c r="P26" i="1" s="1" a="1"/>
  <c r="P26" i="1" s="1"/>
  <c r="T14" i="6"/>
  <c r="P14" i="1" s="1" a="1"/>
  <c r="P14" i="1" s="1"/>
  <c r="N112" i="12"/>
  <c r="T10" i="6"/>
  <c r="P29" i="1" s="1" a="1"/>
  <c r="P29" i="1" s="1"/>
  <c r="F10" i="13" s="1"/>
  <c r="N98" i="12"/>
  <c r="N18" i="12"/>
  <c r="N62" i="12"/>
  <c r="T20" i="6"/>
  <c r="T24" i="6"/>
  <c r="P60" i="1" s="1" a="1"/>
  <c r="P60" i="1" s="1"/>
  <c r="F24" i="13" s="1"/>
  <c r="T19" i="6"/>
  <c r="T41" i="6"/>
  <c r="N22" i="12"/>
  <c r="N27" i="12"/>
  <c r="N34" i="12"/>
  <c r="N26" i="12"/>
  <c r="AD4" i="4"/>
  <c r="N44" i="12"/>
  <c r="N87" i="12"/>
  <c r="N48" i="12"/>
  <c r="AE44" i="4"/>
  <c r="AE67" i="4"/>
  <c r="AE90" i="4"/>
  <c r="AE214" i="4"/>
  <c r="AE84" i="4"/>
  <c r="AE170" i="4"/>
  <c r="AE231" i="4"/>
  <c r="AE129" i="4"/>
  <c r="AE184" i="4"/>
  <c r="AE242" i="4"/>
  <c r="F2" i="13"/>
  <c r="AE99" i="4"/>
  <c r="AE213" i="4"/>
  <c r="AE238" i="4"/>
  <c r="AE171" i="4"/>
  <c r="AE200" i="4"/>
  <c r="AE135" i="4"/>
  <c r="AE123" i="4"/>
  <c r="AE232" i="4"/>
  <c r="AE27" i="4"/>
  <c r="AE87" i="4"/>
  <c r="AE228" i="4"/>
  <c r="AE126" i="4"/>
  <c r="AE131" i="4"/>
  <c r="AE120" i="4"/>
  <c r="AE71" i="4"/>
  <c r="AE198" i="4"/>
  <c r="AE16" i="4"/>
  <c r="AE132" i="4"/>
  <c r="AE56" i="4"/>
  <c r="AE207" i="4"/>
  <c r="AE117" i="4"/>
  <c r="AE233" i="4"/>
  <c r="AE222" i="4"/>
  <c r="AE41" i="4"/>
  <c r="Q77" i="1" s="1" a="1"/>
  <c r="Q77" i="1" s="1"/>
  <c r="AE70" i="4"/>
  <c r="AE75" i="4"/>
  <c r="AE53" i="4"/>
  <c r="AE180" i="4"/>
  <c r="AE77" i="4"/>
  <c r="AE189" i="4"/>
  <c r="AE32" i="4"/>
  <c r="Q71" i="1" s="1" a="1"/>
  <c r="Q71" i="1" s="1"/>
  <c r="AE5" i="4"/>
  <c r="AE7" i="4"/>
  <c r="AE215" i="4"/>
  <c r="AE106" i="4"/>
  <c r="AE175" i="4"/>
  <c r="AE192" i="4"/>
  <c r="AE105" i="4"/>
  <c r="AE23" i="4"/>
  <c r="Q56" i="1" s="1" a="1"/>
  <c r="Q56" i="1" s="1"/>
  <c r="AE115" i="4"/>
  <c r="AE55" i="4"/>
  <c r="AE28" i="4"/>
  <c r="Q58" i="1" s="1" a="1"/>
  <c r="Q58" i="1" s="1"/>
  <c r="AE61" i="4"/>
  <c r="AE15" i="4"/>
  <c r="Q46" i="1" s="1" a="1"/>
  <c r="Q46" i="1" s="1"/>
  <c r="AE60" i="4"/>
  <c r="AE85" i="4"/>
  <c r="AE223" i="4"/>
  <c r="AE65" i="4"/>
  <c r="AE96" i="4"/>
  <c r="AE190" i="4"/>
  <c r="AE249" i="4"/>
  <c r="AE181" i="4"/>
  <c r="AE107" i="4"/>
  <c r="AE203" i="4"/>
  <c r="AE4" i="4"/>
  <c r="AE224" i="4"/>
  <c r="AE134" i="4"/>
  <c r="AE164" i="4"/>
  <c r="AE122" i="4"/>
  <c r="AE186" i="4"/>
  <c r="AE139" i="4"/>
  <c r="AE239" i="4"/>
  <c r="AE95" i="4"/>
  <c r="AE40" i="4"/>
  <c r="Q53" i="1" s="1" a="1"/>
  <c r="Q53" i="1" s="1"/>
  <c r="AE169" i="4"/>
  <c r="U36" i="6"/>
  <c r="V36" i="6" s="1"/>
  <c r="U39" i="6"/>
  <c r="V39" i="6" s="1"/>
  <c r="U42" i="6"/>
  <c r="V42" i="6" s="1"/>
  <c r="U43" i="6"/>
  <c r="V43" i="6" s="1"/>
  <c r="U44" i="6"/>
  <c r="V44" i="6" s="1"/>
  <c r="U35" i="6"/>
  <c r="V35" i="6" s="1"/>
  <c r="U41" i="6"/>
  <c r="V41" i="6" s="1"/>
  <c r="U40" i="6"/>
  <c r="V40" i="6" s="1"/>
  <c r="U37" i="6"/>
  <c r="V37" i="6" s="1"/>
  <c r="U38" i="6"/>
  <c r="V38" i="6" s="1"/>
  <c r="U24" i="6"/>
  <c r="V24" i="6" s="1"/>
  <c r="U33" i="6"/>
  <c r="V33" i="6" s="1"/>
  <c r="U10" i="6"/>
  <c r="V10" i="6" s="1"/>
  <c r="U19" i="6"/>
  <c r="V19" i="6" s="1"/>
  <c r="U4" i="6"/>
  <c r="V4" i="6" s="1"/>
  <c r="U18" i="6"/>
  <c r="V18" i="6" s="1"/>
  <c r="U30" i="6"/>
  <c r="V30" i="6" s="1"/>
  <c r="U31" i="6"/>
  <c r="V31" i="6" s="1"/>
  <c r="U13" i="6"/>
  <c r="V13" i="6" s="1"/>
  <c r="U26" i="6"/>
  <c r="V26" i="6" s="1"/>
  <c r="U12" i="6"/>
  <c r="V12" i="6" s="1"/>
  <c r="U25" i="6"/>
  <c r="V25" i="6" s="1"/>
  <c r="U20" i="6"/>
  <c r="V20" i="6" s="1"/>
  <c r="U8" i="6"/>
  <c r="V8" i="6" s="1"/>
  <c r="U5" i="6"/>
  <c r="V5" i="6" s="1"/>
  <c r="U17" i="6"/>
  <c r="V17" i="6" s="1"/>
  <c r="U27" i="6"/>
  <c r="V27" i="6" s="1"/>
  <c r="U32" i="6"/>
  <c r="V32" i="6" s="1"/>
  <c r="U3" i="6"/>
  <c r="V3" i="6" s="1"/>
  <c r="U23" i="6"/>
  <c r="V23" i="6" s="1"/>
  <c r="U7" i="6"/>
  <c r="U22" i="6"/>
  <c r="V22" i="6" s="1"/>
  <c r="U29" i="6"/>
  <c r="V29" i="6" s="1"/>
  <c r="U28" i="6"/>
  <c r="V28" i="6" s="1"/>
  <c r="U9" i="6"/>
  <c r="U2" i="6"/>
  <c r="V2" i="6" s="1"/>
  <c r="U11" i="6"/>
  <c r="U15" i="6"/>
  <c r="V15" i="6" s="1"/>
  <c r="U21" i="6"/>
  <c r="V21" i="6" s="1"/>
  <c r="U16" i="6"/>
  <c r="V16" i="6" s="1"/>
  <c r="U6" i="6"/>
  <c r="V6" i="6" s="1"/>
  <c r="U14" i="6"/>
  <c r="V14" i="6" s="1"/>
  <c r="AE187" i="4"/>
  <c r="AE59" i="4"/>
  <c r="AE150" i="4"/>
  <c r="AE202" i="4"/>
  <c r="AE152" i="4"/>
  <c r="AE24" i="4"/>
  <c r="Q44" i="1" s="1" a="1"/>
  <c r="Q44" i="1" s="1"/>
  <c r="AE31" i="4"/>
  <c r="AE137" i="4"/>
  <c r="AE196" i="4"/>
  <c r="AE141" i="4"/>
  <c r="AE138" i="4"/>
  <c r="AE100" i="4"/>
  <c r="AE57" i="4"/>
  <c r="AE50" i="4"/>
  <c r="AE17" i="4"/>
  <c r="Q73" i="1" s="1" a="1"/>
  <c r="Q73" i="1" s="1"/>
  <c r="AE9" i="4"/>
  <c r="Q31" i="1" s="1" a="1"/>
  <c r="Q31" i="1" s="1"/>
  <c r="AE227" i="4"/>
  <c r="AE30" i="4"/>
  <c r="Q63" i="1" s="1" a="1"/>
  <c r="Q63" i="1" s="1"/>
  <c r="AE229" i="4"/>
  <c r="AE193" i="4"/>
  <c r="AE159" i="4"/>
  <c r="AE54" i="4"/>
  <c r="AE25" i="4"/>
  <c r="Q45" i="1" s="1" a="1"/>
  <c r="Q45" i="1" s="1"/>
  <c r="AE18" i="4"/>
  <c r="AE136" i="4"/>
  <c r="AE195" i="4"/>
  <c r="AE76" i="4"/>
  <c r="AE42" i="4"/>
  <c r="AE236" i="4"/>
  <c r="AE92" i="4"/>
  <c r="AE125" i="4"/>
  <c r="AE172" i="4"/>
  <c r="AE225" i="4"/>
  <c r="AE199" i="4"/>
  <c r="AE197" i="4"/>
  <c r="AE147" i="4"/>
  <c r="AE219" i="4"/>
  <c r="AE14" i="4"/>
  <c r="Q66" i="1" s="1" a="1"/>
  <c r="Q66" i="1" s="1"/>
  <c r="AE102" i="4"/>
  <c r="AE19" i="4"/>
  <c r="Q6" i="1" s="1" a="1"/>
  <c r="Q6" i="1" s="1"/>
  <c r="AE244" i="4"/>
  <c r="AE140" i="4"/>
  <c r="AE201" i="4"/>
  <c r="AE36" i="4"/>
  <c r="AE45" i="4"/>
  <c r="AE119" i="4"/>
  <c r="AE79" i="4"/>
  <c r="AE58" i="4"/>
  <c r="AE121" i="4"/>
  <c r="AE252" i="4"/>
  <c r="AE167" i="4"/>
  <c r="AE158" i="4"/>
  <c r="AE94" i="4"/>
  <c r="AE62" i="4"/>
  <c r="AE205" i="4"/>
  <c r="AE34" i="4"/>
  <c r="Q64" i="1" s="1" a="1"/>
  <c r="Q64" i="1" s="1"/>
  <c r="AE38" i="4"/>
  <c r="AE98" i="4"/>
  <c r="AE212" i="4"/>
  <c r="AE246" i="4"/>
  <c r="AE112" i="4"/>
  <c r="AE83" i="4"/>
  <c r="AE113" i="4"/>
  <c r="AE80" i="4"/>
  <c r="AE208" i="4"/>
  <c r="AE82" i="4"/>
  <c r="AE6" i="4"/>
  <c r="Q23" i="1" s="1" a="1"/>
  <c r="Q23" i="1" s="1"/>
  <c r="AE48" i="4"/>
  <c r="AE124" i="4"/>
  <c r="AE234" i="4"/>
  <c r="AE37" i="4"/>
  <c r="Q65" i="1" s="1" a="1"/>
  <c r="Q65" i="1" s="1"/>
  <c r="AE209" i="4"/>
  <c r="AE206" i="4"/>
  <c r="AE13" i="4"/>
  <c r="AE148" i="4"/>
  <c r="AE52" i="4"/>
  <c r="AE51" i="4"/>
  <c r="AE160" i="4"/>
  <c r="AE49" i="4"/>
  <c r="AE11" i="4"/>
  <c r="Q55" i="1" s="1" a="1"/>
  <c r="Q55" i="1" s="1"/>
  <c r="AE10" i="4"/>
  <c r="AE221" i="4"/>
  <c r="AE145" i="4"/>
  <c r="AE26" i="4"/>
  <c r="AE29" i="4"/>
  <c r="Q42" i="1" s="1" a="1"/>
  <c r="Q42" i="1" s="1"/>
  <c r="AE43" i="4"/>
  <c r="AE163" i="4"/>
  <c r="AE247" i="4"/>
  <c r="AE39" i="4"/>
  <c r="Q69" i="1" s="1" a="1"/>
  <c r="Q69" i="1" s="1"/>
  <c r="AE78" i="4"/>
  <c r="AE130" i="4"/>
  <c r="AE162" i="4"/>
  <c r="AE66" i="4"/>
  <c r="AE103" i="4"/>
  <c r="AE81" i="4"/>
  <c r="AE142" i="4"/>
  <c r="AE47" i="4"/>
  <c r="AE8" i="4"/>
  <c r="AE177" i="4"/>
  <c r="AE166" i="4"/>
  <c r="AE204" i="4"/>
  <c r="AE88" i="4"/>
  <c r="AE194" i="4"/>
  <c r="AE245" i="4"/>
  <c r="AE165" i="4"/>
  <c r="AE3" i="4"/>
  <c r="AE176" i="4"/>
  <c r="AE178" i="4"/>
  <c r="AE240" i="4"/>
  <c r="AE146" i="4"/>
  <c r="AE72" i="4"/>
  <c r="AE89" i="4"/>
  <c r="AE173" i="4"/>
  <c r="AE111" i="4"/>
  <c r="AE21" i="4"/>
  <c r="Q67" i="1" s="1" a="1"/>
  <c r="Q67" i="1" s="1"/>
  <c r="AE64" i="4"/>
  <c r="AE217" i="4"/>
  <c r="AE114" i="4"/>
  <c r="AE211" i="4"/>
  <c r="AE109" i="4"/>
  <c r="AE73" i="4"/>
  <c r="AE63" i="4"/>
  <c r="AE220" i="4"/>
  <c r="AE216" i="4"/>
  <c r="AE248" i="4"/>
  <c r="AE149" i="4"/>
  <c r="AE226" i="4"/>
  <c r="AE33" i="4"/>
  <c r="Q48" i="1" s="1" a="1"/>
  <c r="Q48" i="1" s="1"/>
  <c r="AE154" i="4"/>
  <c r="AE168" i="4"/>
  <c r="AE157" i="4"/>
  <c r="AE12" i="4"/>
  <c r="AE143" i="4"/>
  <c r="AE251" i="4"/>
  <c r="AE241" i="4"/>
  <c r="AE46" i="4"/>
  <c r="AE118" i="4"/>
  <c r="AE161" i="4"/>
  <c r="AE210" i="4"/>
  <c r="AE74" i="4"/>
  <c r="F39" i="13"/>
  <c r="F40" i="13"/>
  <c r="F35" i="13"/>
  <c r="U45" i="6"/>
  <c r="U58" i="6"/>
  <c r="V58" i="6" s="1"/>
  <c r="U64" i="6"/>
  <c r="V64" i="6" s="1"/>
  <c r="U66" i="6"/>
  <c r="V66" i="6" s="1"/>
  <c r="U138" i="6"/>
  <c r="V138" i="6" s="1"/>
  <c r="U170" i="6"/>
  <c r="V170" i="6" s="1"/>
  <c r="U194" i="6"/>
  <c r="V194" i="6" s="1"/>
  <c r="U230" i="6"/>
  <c r="V230" i="6" s="1"/>
  <c r="U108" i="6"/>
  <c r="V108" i="6" s="1"/>
  <c r="U155" i="6"/>
  <c r="V155" i="6" s="1"/>
  <c r="U224" i="6"/>
  <c r="V224" i="6" s="1"/>
  <c r="U373" i="6"/>
  <c r="V373" i="6" s="1"/>
  <c r="U382" i="6"/>
  <c r="V382" i="6" s="1"/>
  <c r="U47" i="6"/>
  <c r="V47" i="6" s="1"/>
  <c r="U74" i="6"/>
  <c r="V74" i="6" s="1"/>
  <c r="U100" i="6"/>
  <c r="V100" i="6" s="1"/>
  <c r="U152" i="6"/>
  <c r="V152" i="6" s="1"/>
  <c r="U176" i="6"/>
  <c r="V176" i="6" s="1"/>
  <c r="U209" i="6"/>
  <c r="V209" i="6" s="1"/>
  <c r="U365" i="6"/>
  <c r="V365" i="6" s="1"/>
  <c r="U375" i="6"/>
  <c r="V375" i="6" s="1"/>
  <c r="U95" i="6"/>
  <c r="V95" i="6" s="1"/>
  <c r="U122" i="6"/>
  <c r="V122" i="6" s="1"/>
  <c r="U180" i="6"/>
  <c r="V180" i="6" s="1"/>
  <c r="U232" i="6"/>
  <c r="V232" i="6" s="1"/>
  <c r="U370" i="6"/>
  <c r="V370" i="6" s="1"/>
  <c r="U379" i="6"/>
  <c r="V379" i="6" s="1"/>
  <c r="U56" i="6"/>
  <c r="V56" i="6" s="1"/>
  <c r="U131" i="6"/>
  <c r="V131" i="6" s="1"/>
  <c r="U132" i="6"/>
  <c r="V132" i="6" s="1"/>
  <c r="U188" i="6"/>
  <c r="V188" i="6" s="1"/>
  <c r="U376" i="6"/>
  <c r="V376" i="6" s="1"/>
  <c r="U50" i="6"/>
  <c r="V50" i="6" s="1"/>
  <c r="U54" i="6"/>
  <c r="V54" i="6" s="1"/>
  <c r="U65" i="6"/>
  <c r="V65" i="6" s="1"/>
  <c r="U88" i="6"/>
  <c r="V88" i="6" s="1"/>
  <c r="U137" i="6"/>
  <c r="V137" i="6" s="1"/>
  <c r="U202" i="6"/>
  <c r="V202" i="6" s="1"/>
  <c r="U367" i="6"/>
  <c r="V367" i="6" s="1"/>
  <c r="U49" i="6"/>
  <c r="V49" i="6" s="1"/>
  <c r="U55" i="6"/>
  <c r="V55" i="6" s="1"/>
  <c r="U166" i="6"/>
  <c r="V166" i="6" s="1"/>
  <c r="U200" i="6"/>
  <c r="V200" i="6" s="1"/>
  <c r="U349" i="6"/>
  <c r="V349" i="6" s="1"/>
  <c r="U366" i="6"/>
  <c r="V366" i="6" s="1"/>
  <c r="U48" i="6"/>
  <c r="V48" i="6" s="1"/>
  <c r="U83" i="6"/>
  <c r="V83" i="6" s="1"/>
  <c r="U89" i="6"/>
  <c r="V89" i="6" s="1"/>
  <c r="U146" i="6"/>
  <c r="V146" i="6" s="1"/>
  <c r="U215" i="6"/>
  <c r="V215" i="6" s="1"/>
  <c r="U333" i="6"/>
  <c r="V333" i="6" s="1"/>
  <c r="U347" i="6"/>
  <c r="V347" i="6" s="1"/>
  <c r="U364" i="6"/>
  <c r="V364" i="6" s="1"/>
  <c r="U384" i="6"/>
  <c r="V384" i="6" s="1"/>
  <c r="U282" i="6"/>
  <c r="V282" i="6" s="1"/>
  <c r="U281" i="6"/>
  <c r="V281" i="6" s="1"/>
  <c r="U219" i="6"/>
  <c r="V219" i="6" s="1"/>
  <c r="U330" i="6"/>
  <c r="V330" i="6" s="1"/>
  <c r="U310" i="6"/>
  <c r="V310" i="6" s="1"/>
  <c r="U326" i="6"/>
  <c r="V326" i="6" s="1"/>
  <c r="U287" i="6"/>
  <c r="V287" i="6" s="1"/>
  <c r="U111" i="6"/>
  <c r="V111" i="6" s="1"/>
  <c r="U304" i="6"/>
  <c r="V304" i="6" s="1"/>
  <c r="U244" i="6"/>
  <c r="V244" i="6" s="1"/>
  <c r="U153" i="6"/>
  <c r="V153" i="6" s="1"/>
  <c r="U255" i="6"/>
  <c r="V255" i="6" s="1"/>
  <c r="U380" i="6"/>
  <c r="V380" i="6" s="1"/>
  <c r="U302" i="6"/>
  <c r="V302" i="6" s="1"/>
  <c r="U250" i="6"/>
  <c r="V250" i="6" s="1"/>
  <c r="U171" i="6"/>
  <c r="V171" i="6" s="1"/>
  <c r="U207" i="6"/>
  <c r="V207" i="6" s="1"/>
  <c r="U229" i="6"/>
  <c r="V229" i="6" s="1"/>
  <c r="U345" i="6"/>
  <c r="V345" i="6" s="1"/>
  <c r="U278" i="6"/>
  <c r="V278" i="6" s="1"/>
  <c r="U247" i="6"/>
  <c r="V247" i="6" s="1"/>
  <c r="U284" i="6"/>
  <c r="V284" i="6" s="1"/>
  <c r="U297" i="6"/>
  <c r="V297" i="6" s="1"/>
  <c r="U235" i="6"/>
  <c r="V235" i="6" s="1"/>
  <c r="U163" i="6"/>
  <c r="V163" i="6" s="1"/>
  <c r="U273" i="6"/>
  <c r="V273" i="6" s="1"/>
  <c r="U154" i="6"/>
  <c r="V154" i="6" s="1"/>
  <c r="U181" i="6"/>
  <c r="V181" i="6" s="1"/>
  <c r="U124" i="6"/>
  <c r="V124" i="6" s="1"/>
  <c r="U109" i="6"/>
  <c r="V109" i="6" s="1"/>
  <c r="U84" i="6"/>
  <c r="V84" i="6" s="1"/>
  <c r="U93" i="6"/>
  <c r="V93" i="6" s="1"/>
  <c r="U68" i="6"/>
  <c r="V68" i="6" s="1"/>
  <c r="U213" i="6"/>
  <c r="V213" i="6" s="1"/>
  <c r="U301" i="6"/>
  <c r="V301" i="6" s="1"/>
  <c r="U118" i="6"/>
  <c r="V118" i="6" s="1"/>
  <c r="U92" i="6"/>
  <c r="V92" i="6" s="1"/>
  <c r="U135" i="6"/>
  <c r="V135" i="6" s="1"/>
  <c r="U275" i="6"/>
  <c r="V275" i="6" s="1"/>
  <c r="U280" i="6"/>
  <c r="V280" i="6" s="1"/>
  <c r="U324" i="6"/>
  <c r="V324" i="6" s="1"/>
  <c r="U293" i="6"/>
  <c r="V293" i="6" s="1"/>
  <c r="U300" i="6"/>
  <c r="V300" i="6" s="1"/>
  <c r="U319" i="6"/>
  <c r="V319" i="6" s="1"/>
  <c r="U292" i="6"/>
  <c r="V292" i="6" s="1"/>
  <c r="U225" i="6"/>
  <c r="V225" i="6" s="1"/>
  <c r="U291" i="6"/>
  <c r="V291" i="6" s="1"/>
  <c r="U355" i="6"/>
  <c r="V355" i="6" s="1"/>
  <c r="U346" i="6"/>
  <c r="V346" i="6" s="1"/>
  <c r="U337" i="6"/>
  <c r="V337" i="6" s="1"/>
  <c r="U350" i="6"/>
  <c r="V350" i="6" s="1"/>
  <c r="U361" i="6"/>
  <c r="V361" i="6" s="1"/>
  <c r="U377" i="6"/>
  <c r="V377" i="6" s="1"/>
  <c r="U362" i="6"/>
  <c r="V362" i="6" s="1"/>
  <c r="U335" i="6"/>
  <c r="V335" i="6" s="1"/>
  <c r="U267" i="6"/>
  <c r="V267" i="6" s="1"/>
  <c r="U262" i="6"/>
  <c r="V262" i="6" s="1"/>
  <c r="U193" i="6"/>
  <c r="V193" i="6" s="1"/>
  <c r="U360" i="6"/>
  <c r="V360" i="6" s="1"/>
  <c r="U342" i="6"/>
  <c r="V342" i="6" s="1"/>
  <c r="U331" i="6"/>
  <c r="V331" i="6" s="1"/>
  <c r="U220" i="6"/>
  <c r="V220" i="6" s="1"/>
  <c r="U279" i="6"/>
  <c r="V279" i="6" s="1"/>
  <c r="U177" i="6"/>
  <c r="V177" i="6" s="1"/>
  <c r="U145" i="6"/>
  <c r="V145" i="6" s="1"/>
  <c r="U90" i="6"/>
  <c r="V90" i="6" s="1"/>
  <c r="U245" i="6"/>
  <c r="V245" i="6" s="1"/>
  <c r="U318" i="6"/>
  <c r="V318" i="6" s="1"/>
  <c r="U313" i="6"/>
  <c r="V313" i="6" s="1"/>
  <c r="U256" i="6"/>
  <c r="V256" i="6" s="1"/>
  <c r="U305" i="6"/>
  <c r="V305" i="6" s="1"/>
  <c r="U306" i="6"/>
  <c r="V306" i="6" s="1"/>
  <c r="U147" i="6"/>
  <c r="V147" i="6" s="1"/>
  <c r="U321" i="6"/>
  <c r="V321" i="6" s="1"/>
  <c r="U269" i="6"/>
  <c r="V269" i="6" s="1"/>
  <c r="U303" i="6"/>
  <c r="V303" i="6" s="1"/>
  <c r="U359" i="6"/>
  <c r="V359" i="6" s="1"/>
  <c r="U352" i="6"/>
  <c r="V352" i="6" s="1"/>
  <c r="U371" i="6"/>
  <c r="V371" i="6" s="1"/>
  <c r="U344" i="6"/>
  <c r="V344" i="6" s="1"/>
  <c r="U298" i="6"/>
  <c r="V298" i="6" s="1"/>
  <c r="U271" i="6"/>
  <c r="V271" i="6" s="1"/>
  <c r="U254" i="6"/>
  <c r="V254" i="6" s="1"/>
  <c r="U354" i="6"/>
  <c r="V354" i="6" s="1"/>
  <c r="U336" i="6"/>
  <c r="V336" i="6" s="1"/>
  <c r="U283" i="6"/>
  <c r="V283" i="6" s="1"/>
  <c r="U274" i="6"/>
  <c r="V274" i="6" s="1"/>
  <c r="U242" i="6"/>
  <c r="V242" i="6" s="1"/>
  <c r="U187" i="6"/>
  <c r="V187" i="6" s="1"/>
  <c r="U328" i="6"/>
  <c r="V328" i="6" s="1"/>
  <c r="U295" i="6"/>
  <c r="V295" i="6" s="1"/>
  <c r="U243" i="6"/>
  <c r="V243" i="6" s="1"/>
  <c r="U277" i="6"/>
  <c r="V277" i="6" s="1"/>
  <c r="U249" i="6"/>
  <c r="V249" i="6" s="1"/>
  <c r="U261" i="6"/>
  <c r="V261" i="6" s="1"/>
  <c r="U169" i="6"/>
  <c r="V169" i="6" s="1"/>
  <c r="U211" i="6"/>
  <c r="V211" i="6" s="1"/>
  <c r="U103" i="6"/>
  <c r="V103" i="6" s="1"/>
  <c r="U94" i="6"/>
  <c r="V94" i="6" s="1"/>
  <c r="U151" i="6"/>
  <c r="V151" i="6" s="1"/>
  <c r="U99" i="6"/>
  <c r="V99" i="6" s="1"/>
  <c r="U78" i="6"/>
  <c r="V78" i="6" s="1"/>
  <c r="U87" i="6"/>
  <c r="V87" i="6" s="1"/>
  <c r="U159" i="6"/>
  <c r="V159" i="6" s="1"/>
  <c r="U322" i="6"/>
  <c r="V322" i="6" s="1"/>
  <c r="U231" i="6"/>
  <c r="V231" i="6" s="1"/>
  <c r="U195" i="6"/>
  <c r="V195" i="6" s="1"/>
  <c r="U258" i="6"/>
  <c r="V258" i="6" s="1"/>
  <c r="U323" i="6"/>
  <c r="V323" i="6" s="1"/>
  <c r="U299" i="6"/>
  <c r="V299" i="6" s="1"/>
  <c r="U317" i="6"/>
  <c r="V317" i="6" s="1"/>
  <c r="U257" i="6"/>
  <c r="V257" i="6" s="1"/>
  <c r="U189" i="6"/>
  <c r="V189" i="6" s="1"/>
  <c r="U72" i="6"/>
  <c r="V72" i="6" s="1"/>
  <c r="U386" i="6"/>
  <c r="V386" i="6" s="1"/>
  <c r="U368" i="6"/>
  <c r="V368" i="6" s="1"/>
  <c r="U266" i="6"/>
  <c r="V266" i="6" s="1"/>
  <c r="U178" i="6"/>
  <c r="V178" i="6" s="1"/>
  <c r="U351" i="6"/>
  <c r="V351" i="6" s="1"/>
  <c r="U263" i="6"/>
  <c r="V263" i="6" s="1"/>
  <c r="U270" i="6"/>
  <c r="V270" i="6" s="1"/>
  <c r="U251" i="6"/>
  <c r="V251" i="6" s="1"/>
  <c r="U315" i="6"/>
  <c r="V315" i="6" s="1"/>
  <c r="U276" i="6"/>
  <c r="V276" i="6" s="1"/>
  <c r="U290" i="6"/>
  <c r="V290" i="6" s="1"/>
  <c r="U223" i="6"/>
  <c r="V223" i="6" s="1"/>
  <c r="U201" i="6"/>
  <c r="V201" i="6" s="1"/>
  <c r="U272" i="6"/>
  <c r="V272" i="6" s="1"/>
  <c r="U116" i="6"/>
  <c r="V116" i="6" s="1"/>
  <c r="U81" i="6"/>
  <c r="V81" i="6" s="1"/>
  <c r="U329" i="6"/>
  <c r="V329" i="6" s="1"/>
  <c r="U383" i="6"/>
  <c r="V383" i="6" s="1"/>
  <c r="U260" i="6"/>
  <c r="V260" i="6" s="1"/>
  <c r="U142" i="6"/>
  <c r="V142" i="6" s="1"/>
  <c r="U96" i="6"/>
  <c r="V96" i="6" s="1"/>
  <c r="U309" i="6"/>
  <c r="V309" i="6" s="1"/>
  <c r="U208" i="6"/>
  <c r="V208" i="6" s="1"/>
  <c r="U339" i="6"/>
  <c r="V339" i="6" s="1"/>
  <c r="U182" i="6"/>
  <c r="V182" i="6" s="1"/>
  <c r="U165" i="6"/>
  <c r="V165" i="6" s="1"/>
  <c r="U237" i="6"/>
  <c r="V237" i="6" s="1"/>
  <c r="U121" i="6"/>
  <c r="V121" i="6" s="1"/>
  <c r="U129" i="6"/>
  <c r="V129" i="6" s="1"/>
  <c r="U312" i="6"/>
  <c r="V312" i="6" s="1"/>
  <c r="U294" i="6"/>
  <c r="V294" i="6" s="1"/>
  <c r="U246" i="6"/>
  <c r="V246" i="6" s="1"/>
  <c r="U341" i="6"/>
  <c r="V341" i="6" s="1"/>
  <c r="U332" i="6"/>
  <c r="V332" i="6" s="1"/>
  <c r="U248" i="6"/>
  <c r="V248" i="6" s="1"/>
  <c r="U183" i="6"/>
  <c r="V183" i="6" s="1"/>
  <c r="U217" i="6"/>
  <c r="V217" i="6" s="1"/>
  <c r="U157" i="6"/>
  <c r="V157" i="6" s="1"/>
  <c r="U63" i="6"/>
  <c r="V63" i="6" s="1"/>
  <c r="U316" i="6"/>
  <c r="V316" i="6" s="1"/>
  <c r="U268" i="6"/>
  <c r="V268" i="6" s="1"/>
  <c r="U286" i="6"/>
  <c r="V286" i="6" s="1"/>
  <c r="U296" i="6"/>
  <c r="V296" i="6" s="1"/>
  <c r="U141" i="6"/>
  <c r="V141" i="6" s="1"/>
  <c r="U265" i="6"/>
  <c r="V265" i="6" s="1"/>
  <c r="U226" i="6"/>
  <c r="V226" i="6" s="1"/>
  <c r="U115" i="6"/>
  <c r="V115" i="6" s="1"/>
  <c r="U264" i="6"/>
  <c r="V264" i="6" s="1"/>
  <c r="U311" i="6"/>
  <c r="V311" i="6" s="1"/>
  <c r="U307" i="6"/>
  <c r="V307" i="6" s="1"/>
  <c r="U314" i="6"/>
  <c r="V314" i="6" s="1"/>
  <c r="U97" i="6"/>
  <c r="V97" i="6" s="1"/>
  <c r="U288" i="6"/>
  <c r="V288" i="6" s="1"/>
  <c r="U252" i="6"/>
  <c r="V252" i="6" s="1"/>
  <c r="U117" i="6"/>
  <c r="V117" i="6" s="1"/>
  <c r="U172" i="6"/>
  <c r="V172" i="6" s="1"/>
  <c r="U212" i="6"/>
  <c r="V212" i="6" s="1"/>
  <c r="U374" i="6"/>
  <c r="V374" i="6" s="1"/>
  <c r="U353" i="6"/>
  <c r="V353" i="6" s="1"/>
  <c r="U320" i="6"/>
  <c r="V320" i="6" s="1"/>
  <c r="U357" i="6"/>
  <c r="V357" i="6" s="1"/>
  <c r="U241" i="6"/>
  <c r="V241" i="6" s="1"/>
  <c r="U190" i="6"/>
  <c r="V190" i="6" s="1"/>
  <c r="U175" i="6"/>
  <c r="V175" i="6" s="1"/>
  <c r="U105" i="6"/>
  <c r="V105" i="6" s="1"/>
  <c r="U160" i="6"/>
  <c r="V160" i="6" s="1"/>
  <c r="U77" i="6"/>
  <c r="V77" i="6" s="1"/>
  <c r="U80" i="6"/>
  <c r="V80" i="6" s="1"/>
  <c r="U71" i="6"/>
  <c r="V71" i="6" s="1"/>
  <c r="U325" i="6"/>
  <c r="V325" i="6" s="1"/>
  <c r="U123" i="6"/>
  <c r="V123" i="6" s="1"/>
  <c r="U343" i="6"/>
  <c r="V343" i="6" s="1"/>
  <c r="U348" i="6"/>
  <c r="V348" i="6" s="1"/>
  <c r="U259" i="6"/>
  <c r="V259" i="6" s="1"/>
  <c r="U285" i="6"/>
  <c r="V285" i="6" s="1"/>
  <c r="U289" i="6"/>
  <c r="V289" i="6" s="1"/>
  <c r="U253" i="6"/>
  <c r="V253" i="6" s="1"/>
  <c r="U308" i="6"/>
  <c r="V308" i="6" s="1"/>
  <c r="U133" i="6"/>
  <c r="V133" i="6" s="1"/>
  <c r="U139" i="6"/>
  <c r="V139" i="6" s="1"/>
  <c r="U106" i="6"/>
  <c r="V106" i="6" s="1"/>
  <c r="U86" i="6"/>
  <c r="V86" i="6" s="1"/>
  <c r="U327" i="6"/>
  <c r="V327" i="6" s="1"/>
  <c r="U205" i="6"/>
  <c r="V205" i="6" s="1"/>
  <c r="U199" i="6"/>
  <c r="V199" i="6" s="1"/>
  <c r="U127" i="6"/>
  <c r="V127" i="6" s="1"/>
  <c r="U52" i="6"/>
  <c r="V52" i="6" s="1"/>
  <c r="U61" i="6"/>
  <c r="V61" i="6" s="1"/>
  <c r="U69" i="6"/>
  <c r="V69" i="6" s="1"/>
  <c r="U73" i="6"/>
  <c r="V73" i="6" s="1"/>
  <c r="U75" i="6"/>
  <c r="V75" i="6" s="1"/>
  <c r="U76" i="6"/>
  <c r="V76" i="6" s="1"/>
  <c r="U79" i="6"/>
  <c r="V79" i="6" s="1"/>
  <c r="U91" i="6"/>
  <c r="V91" i="6" s="1"/>
  <c r="U112" i="6"/>
  <c r="V112" i="6" s="1"/>
  <c r="U120" i="6"/>
  <c r="V120" i="6" s="1"/>
  <c r="U136" i="6"/>
  <c r="V136" i="6" s="1"/>
  <c r="U143" i="6"/>
  <c r="V143" i="6" s="1"/>
  <c r="U150" i="6"/>
  <c r="V150" i="6" s="1"/>
  <c r="U185" i="6"/>
  <c r="V185" i="6" s="1"/>
  <c r="U214" i="6"/>
  <c r="V214" i="6" s="1"/>
  <c r="U233" i="6"/>
  <c r="V233" i="6" s="1"/>
  <c r="U234" i="6"/>
  <c r="V234" i="6" s="1"/>
  <c r="U238" i="6"/>
  <c r="V238" i="6" s="1"/>
  <c r="U46" i="6"/>
  <c r="U53" i="6"/>
  <c r="V53" i="6" s="1"/>
  <c r="U60" i="6"/>
  <c r="V60" i="6" s="1"/>
  <c r="U62" i="6"/>
  <c r="V62" i="6" s="1"/>
  <c r="U101" i="6"/>
  <c r="V101" i="6" s="1"/>
  <c r="U102" i="6"/>
  <c r="V102" i="6" s="1"/>
  <c r="U107" i="6"/>
  <c r="V107" i="6" s="1"/>
  <c r="U128" i="6"/>
  <c r="V128" i="6" s="1"/>
  <c r="U144" i="6"/>
  <c r="V144" i="6" s="1"/>
  <c r="U158" i="6"/>
  <c r="V158" i="6" s="1"/>
  <c r="U167" i="6"/>
  <c r="V167" i="6" s="1"/>
  <c r="U168" i="6"/>
  <c r="V168" i="6" s="1"/>
  <c r="U173" i="6"/>
  <c r="V173" i="6" s="1"/>
  <c r="U174" i="6"/>
  <c r="V174" i="6" s="1"/>
  <c r="U179" i="6"/>
  <c r="V179" i="6" s="1"/>
  <c r="U186" i="6"/>
  <c r="V186" i="6" s="1"/>
  <c r="U197" i="6"/>
  <c r="V197" i="6" s="1"/>
  <c r="U206" i="6"/>
  <c r="V206" i="6" s="1"/>
  <c r="U218" i="6"/>
  <c r="V218" i="6" s="1"/>
  <c r="U221" i="6"/>
  <c r="V221" i="6" s="1"/>
  <c r="U334" i="6"/>
  <c r="V334" i="6" s="1"/>
  <c r="U70" i="6"/>
  <c r="V70" i="6" s="1"/>
  <c r="U98" i="6"/>
  <c r="V98" i="6" s="1"/>
  <c r="U114" i="6"/>
  <c r="V114" i="6" s="1"/>
  <c r="U126" i="6"/>
  <c r="V126" i="6" s="1"/>
  <c r="U130" i="6"/>
  <c r="V130" i="6" s="1"/>
  <c r="U149" i="6"/>
  <c r="V149" i="6" s="1"/>
  <c r="U192" i="6"/>
  <c r="V192" i="6" s="1"/>
  <c r="U228" i="6"/>
  <c r="V228" i="6" s="1"/>
  <c r="U338" i="6"/>
  <c r="V338" i="6" s="1"/>
  <c r="U340" i="6"/>
  <c r="V340" i="6" s="1"/>
  <c r="U363" i="6"/>
  <c r="V363" i="6" s="1"/>
  <c r="U372" i="6"/>
  <c r="V372" i="6" s="1"/>
  <c r="U381" i="6"/>
  <c r="V381" i="6" s="1"/>
  <c r="U387" i="6"/>
  <c r="V387" i="6" s="1"/>
  <c r="U51" i="6"/>
  <c r="V51" i="6" s="1"/>
  <c r="U59" i="6"/>
  <c r="V59" i="6" s="1"/>
  <c r="U82" i="6"/>
  <c r="V82" i="6" s="1"/>
  <c r="U85" i="6"/>
  <c r="V85" i="6" s="1"/>
  <c r="U110" i="6"/>
  <c r="V110" i="6" s="1"/>
  <c r="U148" i="6"/>
  <c r="V148" i="6" s="1"/>
  <c r="U161" i="6"/>
  <c r="V161" i="6" s="1"/>
  <c r="U162" i="6"/>
  <c r="V162" i="6" s="1"/>
  <c r="U164" i="6"/>
  <c r="V164" i="6" s="1"/>
  <c r="U184" i="6"/>
  <c r="V184" i="6" s="1"/>
  <c r="U196" i="6"/>
  <c r="V196" i="6" s="1"/>
  <c r="U210" i="6"/>
  <c r="V210" i="6" s="1"/>
  <c r="U216" i="6"/>
  <c r="V216" i="6" s="1"/>
  <c r="U227" i="6"/>
  <c r="V227" i="6" s="1"/>
  <c r="U239" i="6"/>
  <c r="V239" i="6" s="1"/>
  <c r="U240" i="6"/>
  <c r="V240" i="6" s="1"/>
  <c r="U356" i="6"/>
  <c r="V356" i="6" s="1"/>
  <c r="U358" i="6"/>
  <c r="V358" i="6" s="1"/>
  <c r="U369" i="6"/>
  <c r="V369" i="6" s="1"/>
  <c r="U378" i="6"/>
  <c r="V378" i="6" s="1"/>
  <c r="U385" i="6"/>
  <c r="V385" i="6" s="1"/>
  <c r="U156" i="6"/>
  <c r="V156" i="6" s="1"/>
  <c r="U191" i="6"/>
  <c r="V191" i="6" s="1"/>
  <c r="U198" i="6"/>
  <c r="V198" i="6" s="1"/>
  <c r="U203" i="6"/>
  <c r="V203" i="6" s="1"/>
  <c r="U204" i="6"/>
  <c r="V204" i="6" s="1"/>
  <c r="U222" i="6"/>
  <c r="V222" i="6" s="1"/>
  <c r="U236" i="6"/>
  <c r="V236" i="6" s="1"/>
  <c r="U57" i="6"/>
  <c r="V57" i="6" s="1"/>
  <c r="U67" i="6"/>
  <c r="V67" i="6" s="1"/>
  <c r="U104" i="6"/>
  <c r="V104" i="6" s="1"/>
  <c r="U113" i="6"/>
  <c r="V113" i="6" s="1"/>
  <c r="U119" i="6"/>
  <c r="V119" i="6" s="1"/>
  <c r="U125" i="6"/>
  <c r="V125" i="6" s="1"/>
  <c r="U134" i="6"/>
  <c r="V134" i="6" s="1"/>
  <c r="U140" i="6"/>
  <c r="V140" i="6" s="1"/>
  <c r="AE116" i="4"/>
  <c r="AE35" i="4"/>
  <c r="Q68" i="1" s="1" a="1"/>
  <c r="Q68" i="1" s="1"/>
  <c r="AE250" i="4"/>
  <c r="AE86" i="4"/>
  <c r="AE243" i="4"/>
  <c r="AE191" i="4"/>
  <c r="AE156" i="4"/>
  <c r="AE133" i="4"/>
  <c r="AE218" i="4"/>
  <c r="AE93" i="4"/>
  <c r="AE20" i="4"/>
  <c r="AE128" i="4"/>
  <c r="AE182" i="4"/>
  <c r="AE104" i="4"/>
  <c r="AE235" i="4"/>
  <c r="AE183" i="4"/>
  <c r="AE69" i="4"/>
  <c r="AE97" i="4"/>
  <c r="AE237" i="4"/>
  <c r="AE188" i="4"/>
  <c r="AE185" i="4"/>
  <c r="AE155" i="4"/>
  <c r="AE110" i="4"/>
  <c r="AE108" i="4"/>
  <c r="AE68" i="4"/>
  <c r="AE153" i="4"/>
  <c r="AE174" i="4"/>
  <c r="AE127" i="4"/>
  <c r="AE230" i="4"/>
  <c r="AE179" i="4"/>
  <c r="AE91" i="4"/>
  <c r="AE144" i="4"/>
  <c r="AE101" i="4"/>
  <c r="AE2" i="4"/>
  <c r="U34" i="6"/>
  <c r="Q28" i="1" l="1" a="1"/>
  <c r="Q28" i="1" s="1"/>
  <c r="V9" i="6"/>
  <c r="Q30" i="1" a="1"/>
  <c r="Q30" i="1" s="1"/>
  <c r="V11" i="6"/>
  <c r="Q26" i="1" a="1"/>
  <c r="Q26" i="1" s="1"/>
  <c r="V7" i="6"/>
  <c r="V46" i="6"/>
  <c r="Q86" i="1" a="1"/>
  <c r="Q86" i="1" s="1"/>
  <c r="V45" i="6"/>
  <c r="Q85" i="1" a="1"/>
  <c r="Q85" i="1" s="1"/>
  <c r="Q76" i="1" a="1"/>
  <c r="Q76" i="1" s="1"/>
  <c r="Q81" i="1" a="1"/>
  <c r="Q81" i="1" s="1"/>
  <c r="Q75" i="1" a="1"/>
  <c r="Q75" i="1" s="1"/>
  <c r="Q74" i="1" a="1"/>
  <c r="Q74" i="1" s="1"/>
  <c r="Q79" i="1" a="1"/>
  <c r="Q79" i="1" s="1"/>
  <c r="Q82" i="1" a="1"/>
  <c r="Q82" i="1" s="1"/>
  <c r="Q78" i="1" a="1"/>
  <c r="Q78" i="1" s="1"/>
  <c r="Q80" i="1" a="1"/>
  <c r="Q80" i="1" s="1"/>
  <c r="Q83" i="1" a="1"/>
  <c r="Q83" i="1" s="1"/>
  <c r="Q84" i="1" a="1"/>
  <c r="Q84" i="1" s="1"/>
  <c r="V34" i="6"/>
  <c r="Q70" i="1" a="1"/>
  <c r="Q70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<sst xmlns="http://schemas.openxmlformats.org/spreadsheetml/2006/main" count="952" uniqueCount="545">
  <si>
    <t>Item</t>
  </si>
  <si>
    <t>S.N</t>
  </si>
  <si>
    <t>Type</t>
  </si>
  <si>
    <t>Asset</t>
  </si>
  <si>
    <t>Weight</t>
  </si>
  <si>
    <t>Make</t>
  </si>
  <si>
    <t>Model</t>
  </si>
  <si>
    <t>Screen</t>
  </si>
  <si>
    <t>Year</t>
  </si>
  <si>
    <t>CPU</t>
  </si>
  <si>
    <t>RAM</t>
  </si>
  <si>
    <t>Disk</t>
  </si>
  <si>
    <t>power supply</t>
  </si>
  <si>
    <t>Diagnostics</t>
  </si>
  <si>
    <t>Blancco Yes/No</t>
  </si>
  <si>
    <t>Blancco result</t>
  </si>
  <si>
    <t>S.N. Data carrier</t>
  </si>
  <si>
    <t>No. Data carrier</t>
  </si>
  <si>
    <t>Data Destruction Method</t>
  </si>
  <si>
    <t>Comments</t>
  </si>
  <si>
    <t>Item status</t>
  </si>
  <si>
    <t>Est. Value</t>
  </si>
  <si>
    <t>Mac reports</t>
  </si>
  <si>
    <t>CSV</t>
  </si>
  <si>
    <t>Business name</t>
  </si>
  <si>
    <t>System manufacturer</t>
  </si>
  <si>
    <t>System chassis type</t>
  </si>
  <si>
    <t>Custom 1</t>
  </si>
  <si>
    <t>Device Identifier</t>
  </si>
  <si>
    <t>Erasure state</t>
  </si>
  <si>
    <t>System serial</t>
  </si>
  <si>
    <t>System version</t>
  </si>
  <si>
    <t>System model</t>
  </si>
  <si>
    <t>CPU model</t>
  </si>
  <si>
    <t>Memory capacity</t>
  </si>
  <si>
    <t>Memory type</t>
  </si>
  <si>
    <t>Disk capacity</t>
  </si>
  <si>
    <t>Disk interface type</t>
  </si>
  <si>
    <t>Disk serial</t>
  </si>
  <si>
    <t>Disk model</t>
  </si>
  <si>
    <t>Erasure start time</t>
  </si>
  <si>
    <t>Battery test comment</t>
  </si>
  <si>
    <t>Erasure technician</t>
  </si>
  <si>
    <t>UUID</t>
  </si>
  <si>
    <t>Notebook</t>
  </si>
  <si>
    <t>Laptop</t>
  </si>
  <si>
    <t>Latitude 5420</t>
  </si>
  <si>
    <t>ThinkPad P15v Gen 3</t>
  </si>
  <si>
    <t>Latitude 5410</t>
  </si>
  <si>
    <t>ThinkPad P15v Gen 2i</t>
  </si>
  <si>
    <t>Successful / Failed</t>
  </si>
  <si>
    <t>MacBookPro16,2</t>
  </si>
  <si>
    <t>ThinkPad P15v Gen 1</t>
  </si>
  <si>
    <t>Latitude 5401</t>
  </si>
  <si>
    <t>Latitude 7310</t>
  </si>
  <si>
    <t>Latitude 5400</t>
  </si>
  <si>
    <t>מספר פרויקט</t>
  </si>
  <si>
    <t>Item code</t>
  </si>
  <si>
    <t>לקוח סופי</t>
  </si>
  <si>
    <t>S.N.</t>
  </si>
  <si>
    <t>Ram</t>
  </si>
  <si>
    <t>Battery Health</t>
  </si>
  <si>
    <t>Activation Lock</t>
  </si>
  <si>
    <t>Find My Lock</t>
  </si>
  <si>
    <t>Remote</t>
  </si>
  <si>
    <t>Battery Status</t>
  </si>
  <si>
    <t>Disk S.N.</t>
  </si>
  <si>
    <t>Timestamp</t>
  </si>
  <si>
    <t>Erasure State</t>
  </si>
  <si>
    <t>model id</t>
  </si>
  <si>
    <t>model</t>
  </si>
  <si>
    <t>year</t>
  </si>
  <si>
    <t>size</t>
  </si>
  <si>
    <t>weight</t>
  </si>
  <si>
    <t>MacBookPro16,4</t>
  </si>
  <si>
    <t>MacBookPro16,3</t>
  </si>
  <si>
    <t>MacBookPro16,1</t>
  </si>
  <si>
    <t>MacBookPro15,4</t>
  </si>
  <si>
    <t>MacBookPro15,3</t>
  </si>
  <si>
    <t>MacBookPro15,2</t>
  </si>
  <si>
    <t>MacBookPro15,1</t>
  </si>
  <si>
    <t>MacBookPro14,3</t>
  </si>
  <si>
    <t>MacBookPro14,2</t>
  </si>
  <si>
    <t>MacBookPro14,1</t>
  </si>
  <si>
    <t>MacBookPro13,3</t>
  </si>
  <si>
    <t>MacBookPro13,2</t>
  </si>
  <si>
    <t>MacBookPro13,1</t>
  </si>
  <si>
    <t>MacBookPro12,1</t>
  </si>
  <si>
    <t>MacBookPro11,5</t>
  </si>
  <si>
    <t>MacBookPro11,4</t>
  </si>
  <si>
    <t>MacBookPro11,3</t>
  </si>
  <si>
    <t>MacBookPro11,2</t>
  </si>
  <si>
    <t>MacBookPro17,1</t>
  </si>
  <si>
    <t>MacBookPro18,2</t>
  </si>
  <si>
    <t>MacBookPro18,3</t>
  </si>
  <si>
    <t>MacBookPro18,4</t>
  </si>
  <si>
    <t>MacBookPro18,1</t>
  </si>
  <si>
    <t>Mac14,7</t>
  </si>
  <si>
    <t>Mac14,9</t>
  </si>
  <si>
    <t>Mac14,5</t>
  </si>
  <si>
    <t>Mac14,10</t>
  </si>
  <si>
    <t>Mac14,6</t>
  </si>
  <si>
    <t>Mac15,3</t>
  </si>
  <si>
    <t>Mac15,6</t>
  </si>
  <si>
    <t>Mac15,10</t>
  </si>
  <si>
    <t>Mac15,8</t>
  </si>
  <si>
    <t>Mac15,7</t>
  </si>
  <si>
    <t>Mac15,11</t>
  </si>
  <si>
    <t>Mac15,9</t>
  </si>
  <si>
    <t>MacBookAir7,1</t>
  </si>
  <si>
    <t>MacBookAir7,2</t>
  </si>
  <si>
    <t>A1466</t>
  </si>
  <si>
    <t>MacBookAir8,1</t>
  </si>
  <si>
    <t>MacBookAir8,2</t>
  </si>
  <si>
    <t>MacBookAir9,1</t>
  </si>
  <si>
    <t>MacBookAir10,1</t>
  </si>
  <si>
    <t>Mac14,2</t>
  </si>
  <si>
    <t>Mac14,15</t>
  </si>
  <si>
    <t>Mac15,12</t>
  </si>
  <si>
    <t>Mac15,13</t>
  </si>
  <si>
    <t>MacPro6,1</t>
  </si>
  <si>
    <t>A1481</t>
  </si>
  <si>
    <t>imac17,1</t>
  </si>
  <si>
    <t>A1419</t>
  </si>
  <si>
    <t>imac18,3</t>
  </si>
  <si>
    <t>imac18,1</t>
  </si>
  <si>
    <t>A1418</t>
  </si>
  <si>
    <t>HP ZBook Studio G5</t>
  </si>
  <si>
    <t>HP ZBook Studio G7 Mobile Workstation</t>
  </si>
  <si>
    <t>HP ZBook Studio 15.6 inch G8 Mobile Workstation PC</t>
  </si>
  <si>
    <t>ZBook Studio 16 Inch G9</t>
  </si>
  <si>
    <t>HP EliteBook x360 1030 G4</t>
  </si>
  <si>
    <t>HP EliteBook x360 1030 G3</t>
  </si>
  <si>
    <t>EliteBook x360 1030 G7</t>
  </si>
  <si>
    <t>HP EliteBook x360 1030 G8 Notebook PC</t>
  </si>
  <si>
    <t>Latitude 7390</t>
  </si>
  <si>
    <t>Vostro 5590</t>
  </si>
  <si>
    <t>T490s</t>
  </si>
  <si>
    <t>X13 Gen 4</t>
  </si>
  <si>
    <t>X13 Gen 2i</t>
  </si>
  <si>
    <t>X13 Gen 2</t>
  </si>
  <si>
    <t>ThinkPad X280</t>
  </si>
  <si>
    <t>ThinkPad X240</t>
  </si>
  <si>
    <t>ThinkPad X230</t>
  </si>
  <si>
    <t>ThinkPad X250</t>
  </si>
  <si>
    <t>P2419H</t>
  </si>
  <si>
    <t>T24i-10</t>
  </si>
  <si>
    <t>M91p</t>
  </si>
  <si>
    <t>M70E</t>
  </si>
  <si>
    <t>ThinkCentre M900</t>
  </si>
  <si>
    <t>ThinkCentre M910t</t>
  </si>
  <si>
    <t>OptiPlex XE3</t>
  </si>
  <si>
    <t>LAC/E 32</t>
  </si>
  <si>
    <t>ThinkCentre M93p</t>
  </si>
  <si>
    <t>ThinkCentre M910q</t>
  </si>
  <si>
    <t>OptiPlex 7060</t>
  </si>
  <si>
    <t>ThinkStation P350</t>
  </si>
  <si>
    <t>OptiPlex 7080</t>
  </si>
  <si>
    <t>OptiPlex 7070</t>
  </si>
  <si>
    <t>UX31A</t>
  </si>
  <si>
    <t>S22B300B</t>
  </si>
  <si>
    <t>S22D300BY</t>
  </si>
  <si>
    <t>P2423</t>
  </si>
  <si>
    <t>U2415</t>
  </si>
  <si>
    <t>P2417Hc</t>
  </si>
  <si>
    <t>MS2286</t>
  </si>
  <si>
    <t>EliteBook 840 G2</t>
  </si>
  <si>
    <t>EliteBook 840 G4</t>
  </si>
  <si>
    <t>P2417H</t>
  </si>
  <si>
    <t>2013 UltraSlim</t>
  </si>
  <si>
    <t>AIN650-3</t>
  </si>
  <si>
    <t>ThinkPad T490</t>
  </si>
  <si>
    <t>ThinkPad X1 Carbon 6th</t>
  </si>
  <si>
    <t>ThinkPad X1 Carbon Gen 9</t>
  </si>
  <si>
    <t>ThinkPad T14 Gen 1</t>
  </si>
  <si>
    <t>Latitude 7410</t>
  </si>
  <si>
    <t>Latitude 7280</t>
  </si>
  <si>
    <t>T450</t>
  </si>
  <si>
    <t>ThinkPad T450</t>
  </si>
  <si>
    <t>ThinkPad T470</t>
  </si>
  <si>
    <t>ThinkPad T480</t>
  </si>
  <si>
    <t>ThinkPad T440</t>
  </si>
  <si>
    <t>ThinkPad T470p</t>
  </si>
  <si>
    <t>ThinkPad P1 Gen 3</t>
  </si>
  <si>
    <t>ThinkPad P52</t>
  </si>
  <si>
    <t>ThinkPad P15 Gen 1</t>
  </si>
  <si>
    <t>T22</t>
  </si>
  <si>
    <t>T470</t>
  </si>
  <si>
    <t>T480</t>
  </si>
  <si>
    <t>T440</t>
  </si>
  <si>
    <t>T470p</t>
  </si>
  <si>
    <t>P1 Gen 3</t>
  </si>
  <si>
    <t>P52</t>
  </si>
  <si>
    <t>P15 Gen 1</t>
  </si>
  <si>
    <t>ThinkPad X1 Yoga 4th</t>
  </si>
  <si>
    <t>Latitude 7400</t>
  </si>
  <si>
    <t>ThinkPad P53</t>
  </si>
  <si>
    <t>ThinkPad P1</t>
  </si>
  <si>
    <t>ThinkPad T470s</t>
  </si>
  <si>
    <t>ThinkPad T490s</t>
  </si>
  <si>
    <t>ThinkPad P1 Gen 2</t>
  </si>
  <si>
    <t>ThinkPad T460s</t>
  </si>
  <si>
    <t>Latitude 3520</t>
  </si>
  <si>
    <t>ThinkPad T480s</t>
  </si>
  <si>
    <t>ThinkPad X1 Yoga 1st</t>
  </si>
  <si>
    <t>ThinkPad X1 Yoga 3rd</t>
  </si>
  <si>
    <t>Latitude 7490</t>
  </si>
  <si>
    <t>ThinkPad P51</t>
  </si>
  <si>
    <t>ThinkPad P50</t>
  </si>
  <si>
    <t>ThinkPad P52s</t>
  </si>
  <si>
    <t>ThinkPad P1 Gen 4i</t>
  </si>
  <si>
    <t>Inspiron 3593</t>
  </si>
  <si>
    <t>ThinkPad_P51</t>
  </si>
  <si>
    <t>HP ENVY x360 m6 Convertible</t>
  </si>
  <si>
    <t>ThinkPad P14s Gen 2i</t>
  </si>
  <si>
    <t>ThinkPad X1 Yoga Gen 5</t>
  </si>
  <si>
    <t>Thinkpad P14s gen 2</t>
  </si>
  <si>
    <t>Thinkpad P43s</t>
  </si>
  <si>
    <t>Thinkpad P14s gen 3</t>
  </si>
  <si>
    <t>Thinkpad P14s gen 1</t>
  </si>
  <si>
    <t>Latitude E7450</t>
  </si>
  <si>
    <t>Thinkpad P15s gen 1</t>
  </si>
  <si>
    <t>T430s</t>
  </si>
  <si>
    <t>T460s</t>
  </si>
  <si>
    <t>P43s</t>
  </si>
  <si>
    <t>X280</t>
  </si>
  <si>
    <t>X240</t>
  </si>
  <si>
    <t>X230</t>
  </si>
  <si>
    <t>X250</t>
  </si>
  <si>
    <t>T490</t>
  </si>
  <si>
    <t>X1 Carbon 6th</t>
  </si>
  <si>
    <t>X1 Carbon Gen 9</t>
  </si>
  <si>
    <t>T14 Gen 1</t>
  </si>
  <si>
    <t>X1 Yoga 4th</t>
  </si>
  <si>
    <t>P53</t>
  </si>
  <si>
    <t>P1</t>
  </si>
  <si>
    <t>T470s</t>
  </si>
  <si>
    <t>P1 Gen 2</t>
  </si>
  <si>
    <t>T480s</t>
  </si>
  <si>
    <t>X1 Yoga 1st</t>
  </si>
  <si>
    <t>X1 Yoga 3rd</t>
  </si>
  <si>
    <t>P51</t>
  </si>
  <si>
    <t>P50</t>
  </si>
  <si>
    <t>P52s</t>
  </si>
  <si>
    <t>P1 Gen 4i</t>
  </si>
  <si>
    <t>P14s Gen 2i</t>
  </si>
  <si>
    <t>X1 Yoga Gen 5</t>
  </si>
  <si>
    <t>P14s gen 2</t>
  </si>
  <si>
    <t>P14s gen 3</t>
  </si>
  <si>
    <t>P14s gen 1</t>
  </si>
  <si>
    <t>P15s gen 1</t>
  </si>
  <si>
    <t>Surface Book 3 1899</t>
  </si>
  <si>
    <t>Surface Book 3</t>
  </si>
  <si>
    <t>Surface Book 1793</t>
  </si>
  <si>
    <t>Surface Laptop 4 1950:1951</t>
  </si>
  <si>
    <t>Surface Laptop 3 1867:1868</t>
  </si>
  <si>
    <t>Surface Pro 1796</t>
  </si>
  <si>
    <t>Surface Laptop 4</t>
  </si>
  <si>
    <t>A1286</t>
  </si>
  <si>
    <t>A2348</t>
  </si>
  <si>
    <t>A1993</t>
  </si>
  <si>
    <t>Zbook Firefly 14 G7</t>
  </si>
  <si>
    <t>Latitude E6400</t>
  </si>
  <si>
    <t>A1490</t>
  </si>
  <si>
    <t>s19c450mr</t>
  </si>
  <si>
    <t>L1942PK</t>
  </si>
  <si>
    <t>19S1CB</t>
  </si>
  <si>
    <t>EliteDisplay E190I</t>
  </si>
  <si>
    <t>Vostro 3360</t>
  </si>
  <si>
    <t>ProBook 6540b</t>
  </si>
  <si>
    <t>EliteBook 840 G1</t>
  </si>
  <si>
    <t>EliteBook 840 G3</t>
  </si>
  <si>
    <t>EliteDesk 800 G2</t>
  </si>
  <si>
    <t>All in One</t>
  </si>
  <si>
    <t>Desktop</t>
  </si>
  <si>
    <t>Mac_Model</t>
  </si>
  <si>
    <t>Battery Service</t>
  </si>
  <si>
    <t>Battery %</t>
  </si>
  <si>
    <t>Apple ID</t>
  </si>
  <si>
    <t>Remote Management</t>
  </si>
  <si>
    <t>Blancco Type</t>
  </si>
  <si>
    <t>Convertible</t>
  </si>
  <si>
    <t>PC</t>
  </si>
  <si>
    <t>RyzenPart</t>
  </si>
  <si>
    <t>UltraPart</t>
  </si>
  <si>
    <t>RyzenCode</t>
  </si>
  <si>
    <t>UltraCode</t>
  </si>
  <si>
    <t>CPU Original</t>
  </si>
  <si>
    <t>Ram Type</t>
  </si>
  <si>
    <t>RAM Size</t>
  </si>
  <si>
    <t>RAM Type</t>
  </si>
  <si>
    <t>Yes X?</t>
  </si>
  <si>
    <t>Row Labels</t>
  </si>
  <si>
    <t>Grand Total</t>
  </si>
  <si>
    <t>Column Labels</t>
  </si>
  <si>
    <t>Count of Successful / Failed</t>
  </si>
  <si>
    <t>Passes</t>
  </si>
  <si>
    <t>Fails</t>
  </si>
  <si>
    <t>Pass Text</t>
  </si>
  <si>
    <t>Fail Text</t>
  </si>
  <si>
    <t>Battery</t>
  </si>
  <si>
    <t xml:space="preserve"> Battery %</t>
  </si>
  <si>
    <t>Latitude 5490</t>
  </si>
  <si>
    <t>ThinkPad X1 Extreme Gen 3</t>
  </si>
  <si>
    <t>ThinkPad T14 Gen 2i</t>
  </si>
  <si>
    <t>ThinkPad X1 Gen 3</t>
  </si>
  <si>
    <t>Vostro 5568</t>
  </si>
  <si>
    <t>Vostro 5468</t>
  </si>
  <si>
    <t>HP 250 G6 Notebook PC</t>
  </si>
  <si>
    <t>HP 250 G7 Notebook PC</t>
  </si>
  <si>
    <t>HP 250 G5 Notebook PC</t>
  </si>
  <si>
    <t>HP ProBook 440 G6</t>
  </si>
  <si>
    <t>Lenovo V330-14IKB</t>
  </si>
  <si>
    <t>HP ProBook 440 G5</t>
  </si>
  <si>
    <t>Lenovo ideapad 310-15IKB</t>
  </si>
  <si>
    <t>X556</t>
  </si>
  <si>
    <t>ThinkPad X1 Carbon</t>
  </si>
  <si>
    <t>T14 Gen 2i</t>
  </si>
  <si>
    <t>X1 Gen 3</t>
  </si>
  <si>
    <t>250 G6</t>
  </si>
  <si>
    <t>250 G7</t>
  </si>
  <si>
    <t>250 G5</t>
  </si>
  <si>
    <t>ProBook 440 G6</t>
  </si>
  <si>
    <t>V330-14IKB</t>
  </si>
  <si>
    <t>ProBook 440 G5</t>
  </si>
  <si>
    <t>ideapad 310-15IKB</t>
  </si>
  <si>
    <t>X1 Carbon</t>
  </si>
  <si>
    <t>X555L</t>
  </si>
  <si>
    <t>Latitude 5480</t>
  </si>
  <si>
    <t>Latitude E5470</t>
  </si>
  <si>
    <t>Latitude E5440</t>
  </si>
  <si>
    <t>Latitude 7420</t>
  </si>
  <si>
    <t>Latitude 5411</t>
  </si>
  <si>
    <t>Latitude 7300</t>
  </si>
  <si>
    <t>Vostro 5481</t>
  </si>
  <si>
    <t>Latitude E5450</t>
  </si>
  <si>
    <t>Latitude 5580</t>
  </si>
  <si>
    <t>Latitude 3340</t>
  </si>
  <si>
    <t>ThinkPad E15 Gen 2</t>
  </si>
  <si>
    <t>A1347</t>
  </si>
  <si>
    <t>P2721Q</t>
  </si>
  <si>
    <t>U2720Q</t>
  </si>
  <si>
    <t>U2722D</t>
  </si>
  <si>
    <t>P2415Q</t>
  </si>
  <si>
    <t>S2421HN</t>
  </si>
  <si>
    <t>Precision 5560</t>
  </si>
  <si>
    <t>XPS 15 9500</t>
  </si>
  <si>
    <t>Precision 5550</t>
  </si>
  <si>
    <t>XPS 15 7590</t>
  </si>
  <si>
    <t>XPS 15 9570</t>
  </si>
  <si>
    <t>Precision 7550</t>
  </si>
  <si>
    <t>124I:00036T:000M:0300000D:0B:05F:1C:05P:48S:01E:0Y:1K:0U:08</t>
  </si>
  <si>
    <t>Latitude 5421</t>
  </si>
  <si>
    <t>ThinkPad E14 Gen 2</t>
  </si>
  <si>
    <t>X512FA</t>
  </si>
  <si>
    <t>X406UAR</t>
  </si>
  <si>
    <t>UX410UAR</t>
  </si>
  <si>
    <t>UX331UA</t>
  </si>
  <si>
    <t>UX461UA</t>
  </si>
  <si>
    <t>UX333FA</t>
  </si>
  <si>
    <t>UX430UA</t>
  </si>
  <si>
    <t>14-al003nj</t>
  </si>
  <si>
    <t>P2540UA</t>
  </si>
  <si>
    <t>UX331U</t>
  </si>
  <si>
    <t>Latitude 7480</t>
  </si>
  <si>
    <t>ThinkPad X13 Gen 1</t>
  </si>
  <si>
    <t>U2419H</t>
  </si>
  <si>
    <t>U2422H</t>
  </si>
  <si>
    <t>U2717D</t>
  </si>
  <si>
    <t>U2417H</t>
  </si>
  <si>
    <t>P2723QE</t>
  </si>
  <si>
    <t>P2422H</t>
  </si>
  <si>
    <t>Latitude 5500</t>
  </si>
  <si>
    <t>Latitude 5290</t>
  </si>
  <si>
    <t>Latitude 5440</t>
  </si>
  <si>
    <t>Latitude 7440</t>
  </si>
  <si>
    <t>Precision 7780</t>
  </si>
  <si>
    <t>Precision 7770</t>
  </si>
  <si>
    <t>Vostro 15 3510</t>
  </si>
  <si>
    <t>Latitude 5530</t>
  </si>
  <si>
    <t>Latitude 5520</t>
  </si>
  <si>
    <t>Latitude 5540</t>
  </si>
  <si>
    <t>HP ZBook Fury 15.6 inch G8 Mobile Workstation PC</t>
  </si>
  <si>
    <t>HP EliteBook 850 G3</t>
  </si>
  <si>
    <t>HP ProBook 450 15.6 inch G9 Notebook PC</t>
  </si>
  <si>
    <t>Latitude 3550</t>
  </si>
  <si>
    <t>Latitude E5550</t>
  </si>
  <si>
    <t>ThinkPad E15</t>
  </si>
  <si>
    <t>ThinkPad E15 Gen 4</t>
  </si>
  <si>
    <t>ST2220Tc</t>
  </si>
  <si>
    <t>precision 7510</t>
  </si>
  <si>
    <t>precision M4800</t>
  </si>
  <si>
    <t>XPS 13 9310 2-in-1</t>
  </si>
  <si>
    <t>Latitude 7430</t>
  </si>
  <si>
    <t>precision tower 7810</t>
  </si>
  <si>
    <t>precision tower 3630</t>
  </si>
  <si>
    <t>precision tower 7910</t>
  </si>
  <si>
    <t>A1311</t>
  </si>
  <si>
    <t>optiplex 3010</t>
  </si>
  <si>
    <t>optiplex 7010</t>
  </si>
  <si>
    <t>optiplex 790</t>
  </si>
  <si>
    <t>U2711</t>
  </si>
  <si>
    <t>vostro 460</t>
  </si>
  <si>
    <t>G560</t>
  </si>
  <si>
    <t>HP EliteBook x360 1030 G7 Notebook PC</t>
  </si>
  <si>
    <t>U2414Hb</t>
  </si>
  <si>
    <t>OptiPlex 7040</t>
  </si>
  <si>
    <t>HP EliteDesk 800 G5 SFF</t>
  </si>
  <si>
    <t>OptiPlex 7050</t>
  </si>
  <si>
    <t>OptiPlex 3050</t>
  </si>
  <si>
    <t>OptiPlex 9020</t>
  </si>
  <si>
    <t>PV650</t>
  </si>
  <si>
    <t>PRV1000</t>
  </si>
  <si>
    <t>Latitude 7320</t>
  </si>
  <si>
    <t>LaserJet Pro M477FDW</t>
  </si>
  <si>
    <t>HL-L5100DN</t>
  </si>
  <si>
    <t>Latitude 5320</t>
  </si>
  <si>
    <t>Latitude 5300</t>
  </si>
  <si>
    <t>B2240W</t>
  </si>
  <si>
    <t>ThinkPad X1 Carbon 7th</t>
  </si>
  <si>
    <t>XPS 13 9360</t>
  </si>
  <si>
    <t>Precision 5540</t>
  </si>
  <si>
    <t>XPS 15 9560</t>
  </si>
  <si>
    <t>XPS 13 9370</t>
  </si>
  <si>
    <t>XPS 15 9510</t>
  </si>
  <si>
    <t>UX490U</t>
  </si>
  <si>
    <t>G510</t>
  </si>
  <si>
    <t>Latitude 3450</t>
  </si>
  <si>
    <t>UX330UAK</t>
  </si>
  <si>
    <t>Latitude 3400</t>
  </si>
  <si>
    <t>Yoga 510-14IBK</t>
  </si>
  <si>
    <t>Ideapad Y700-15ISK</t>
  </si>
  <si>
    <t>NUC6i7KYK</t>
  </si>
  <si>
    <t>Latitude 3420</t>
  </si>
  <si>
    <t>GL702V</t>
  </si>
  <si>
    <t>GL502V</t>
  </si>
  <si>
    <t>GL703G</t>
  </si>
  <si>
    <t>HP ProBook 430 G3</t>
  </si>
  <si>
    <t>HP ProBook 430 G6</t>
  </si>
  <si>
    <t>HP ProBook 430 G4</t>
  </si>
  <si>
    <t>ProBook 430 G3</t>
  </si>
  <si>
    <t>ProBook 430 G6</t>
  </si>
  <si>
    <t>ProBook 430 G4</t>
  </si>
  <si>
    <t>Latitude 3510</t>
  </si>
  <si>
    <t>Vostro 15-3568</t>
  </si>
  <si>
    <t>Inspiron 13-7359</t>
  </si>
  <si>
    <t>ThinkBook 14 G2 ITL</t>
  </si>
  <si>
    <t>Lenovo E31-80</t>
  </si>
  <si>
    <t>SATELLITE Z30-B-100</t>
  </si>
  <si>
    <t>thinkpad p14s gen 1</t>
  </si>
  <si>
    <t>thinkpad p14s gen 3</t>
  </si>
  <si>
    <t>T440p</t>
  </si>
  <si>
    <t>ThinkPad T460</t>
  </si>
  <si>
    <t>HP 240 G6 Notebook PC</t>
  </si>
  <si>
    <t>240 g6</t>
  </si>
  <si>
    <t>Latitude 5430</t>
  </si>
  <si>
    <t>Latitude E7270</t>
  </si>
  <si>
    <t>Precision 5520</t>
  </si>
  <si>
    <t>Precision 5510</t>
  </si>
  <si>
    <t>Latitude 5510</t>
  </si>
  <si>
    <t>Latitude E7470</t>
  </si>
  <si>
    <t>X390 Yoga</t>
  </si>
  <si>
    <t>x390</t>
  </si>
  <si>
    <t>x395</t>
  </si>
  <si>
    <t>t495s</t>
  </si>
  <si>
    <t>t14 g2</t>
  </si>
  <si>
    <t>t14s g2</t>
  </si>
  <si>
    <t>t14 g1</t>
  </si>
  <si>
    <t>t460</t>
  </si>
  <si>
    <t>latitude e5430</t>
  </si>
  <si>
    <t>elitebook 2560p</t>
  </si>
  <si>
    <t>latitude e6530</t>
  </si>
  <si>
    <t>latitude e4310</t>
  </si>
  <si>
    <t>precision 7520</t>
  </si>
  <si>
    <t>precision 7740</t>
  </si>
  <si>
    <t>latitude e5420</t>
  </si>
  <si>
    <t>ThinkPad X1 Carbon Gen 8</t>
  </si>
  <si>
    <t>X220i</t>
  </si>
  <si>
    <t>Latitude 7290</t>
  </si>
  <si>
    <t>Latitude E6420</t>
  </si>
  <si>
    <t>Latitude 5310</t>
  </si>
  <si>
    <t>ThinkPad T15 Gen 2i</t>
  </si>
  <si>
    <t>ThinkPad T15g Gen 1</t>
  </si>
  <si>
    <t>ThinkPad T15g Gen 2</t>
  </si>
  <si>
    <t>T550</t>
  </si>
  <si>
    <t>latitude e7250</t>
  </si>
  <si>
    <t>latitude e5270</t>
  </si>
  <si>
    <t>Asset Tag</t>
  </si>
  <si>
    <t>Disk Capacity</t>
  </si>
  <si>
    <t>Wiping Yes/No</t>
  </si>
  <si>
    <t>Wiping result</t>
  </si>
  <si>
    <t>Issue type</t>
  </si>
  <si>
    <t>Wiped</t>
  </si>
  <si>
    <t>Locked and Faulty</t>
  </si>
  <si>
    <t>Locked or Faulty</t>
  </si>
  <si>
    <t>Item Lookup</t>
  </si>
  <si>
    <t>ITEM</t>
  </si>
  <si>
    <t>Capacity</t>
  </si>
  <si>
    <t>Comment</t>
  </si>
  <si>
    <t>Comment2</t>
  </si>
  <si>
    <t>Comment3</t>
  </si>
  <si>
    <t>Comment4</t>
  </si>
  <si>
    <t>Comment5</t>
  </si>
  <si>
    <t>Comment6</t>
  </si>
  <si>
    <t>Comment7</t>
  </si>
  <si>
    <t>Comment8</t>
  </si>
  <si>
    <t>SHR</t>
  </si>
  <si>
    <t>XXX</t>
  </si>
  <si>
    <t>Mac16,12</t>
  </si>
  <si>
    <t>X</t>
  </si>
  <si>
    <t>failed</t>
  </si>
  <si>
    <t>Pro A2141</t>
  </si>
  <si>
    <t>Pro A2289</t>
  </si>
  <si>
    <t>Pro A2251</t>
  </si>
  <si>
    <t>Pro A2159</t>
  </si>
  <si>
    <t>Pro A1990</t>
  </si>
  <si>
    <t>Pro A1989</t>
  </si>
  <si>
    <t>Pro A1707</t>
  </si>
  <si>
    <t>Pro A1706</t>
  </si>
  <si>
    <t>Pro A1708</t>
  </si>
  <si>
    <t>Pro A1502</t>
  </si>
  <si>
    <t>Pro A1398</t>
  </si>
  <si>
    <t>Pro A2338</t>
  </si>
  <si>
    <t>Pro A2485</t>
  </si>
  <si>
    <t>Pro A2442</t>
  </si>
  <si>
    <t>Pro A2779</t>
  </si>
  <si>
    <t>Pro A2780</t>
  </si>
  <si>
    <t>Pro A3240</t>
  </si>
  <si>
    <t>Pro A2918</t>
  </si>
  <si>
    <t>Pro A2992</t>
  </si>
  <si>
    <t>Pro A2991</t>
  </si>
  <si>
    <t>Mac17,1</t>
  </si>
  <si>
    <t>Pro A3434</t>
  </si>
  <si>
    <t>Air A1465</t>
  </si>
  <si>
    <t>Air A1466</t>
  </si>
  <si>
    <t>Air A1932</t>
  </si>
  <si>
    <t>Air A2179</t>
  </si>
  <si>
    <t>Air A2337</t>
  </si>
  <si>
    <t>Air A2681</t>
  </si>
  <si>
    <t>Air A2941</t>
  </si>
  <si>
    <t>Air A3113</t>
  </si>
  <si>
    <t>Air A3114</t>
  </si>
  <si>
    <t xml:space="preserve">successful  </t>
  </si>
  <si>
    <t>IntelPart</t>
  </si>
  <si>
    <t>IntelCode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</si>
</sst>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1"/>
      <name val="Calibri"/>
      <family val="2"/>
    </font>
    <font>
      <sz val="11"/>
      <color theme="1"/>
      <name val="Arial"/>
      <family val="2"/>
    </font>
    <font>
      <sz val="48"/>
      <color theme="1"/>
      <name val="Aptos Narrow"/>
      <family val="2"/>
      <scheme val="minor"/>
    </font>
    <font>
      <sz val="72"/>
      <color theme="1"/>
      <name val="Aptos Narrow"/>
      <family val="2"/>
      <scheme val="minor"/>
    </font>
    <font>
      <sz val="11"/>
      <color rgb="FF333333"/>
      <name val="Arial"/>
      <family val="2"/>
    </font>
    <font>
      <sz val="11"/>
      <color theme="1"/>
      <name val="Docs-Calibri"/>
    </font>
    <font>
      <sz val="8"/>
      <name val="Aptos Narrow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CE5CD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3CEFA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3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0" borderId="1" xfId="1" applyAlignment="1">
      <alignment horizontal="center" vertical="center"/>
    </xf>
    <xf numFmtId="0" fontId="0" fillId="0" borderId="0" xfId="0" applyAlignment="1">
      <alignment horizontal="center" vertical="center"/>
    </xf>
    <xf numFmtId="22" fontId="0" fillId="0" borderId="0" xfId="0" applyNumberFormat="1"/>
    <xf numFmtId="11" fontId="0" fillId="0" borderId="0" xfId="0" applyNumberFormat="1"/>
    <xf numFmtId="0" fontId="7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vertical="top" wrapText="1"/>
    </xf>
    <xf numFmtId="0" fontId="3" fillId="2" borderId="2" xfId="0" applyFont="1" applyFill="1" applyBorder="1" applyAlignment="1">
      <alignment vertical="top" wrapText="1"/>
    </xf>
    <xf numFmtId="0" fontId="4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horizontal="right" vertical="top" wrapText="1"/>
    </xf>
    <xf numFmtId="0" fontId="3" fillId="2" borderId="2" xfId="0" applyFont="1" applyFill="1" applyBorder="1" applyAlignment="1">
      <alignment vertical="top"/>
    </xf>
    <xf numFmtId="0" fontId="8" fillId="2" borderId="2" xfId="0" applyFont="1" applyFill="1" applyBorder="1" applyAlignment="1">
      <alignment vertical="top" wrapText="1"/>
    </xf>
    <xf numFmtId="0" fontId="1" fillId="3" borderId="1" xfId="1" applyFill="1" applyAlignment="1">
      <alignment horizontal="center" vertical="center"/>
    </xf>
    <xf numFmtId="0" fontId="0" fillId="3" borderId="0" xfId="0" applyFill="1"/>
    <xf numFmtId="2" fontId="0" fillId="0" borderId="0" xfId="0" applyNumberFormat="1"/>
    <xf numFmtId="1" fontId="0" fillId="0" borderId="0" xfId="0" applyNumberFormat="1"/>
    <xf numFmtId="1" fontId="0" fillId="3" borderId="0" xfId="0" applyNumberFormat="1" applyFill="1"/>
    <xf numFmtId="0" fontId="1" fillId="0" borderId="1" xfId="1" applyFill="1" applyAlignment="1">
      <alignment horizontal="center" vertical="center"/>
    </xf>
    <xf numFmtId="49" fontId="0" fillId="0" borderId="0" xfId="0" applyNumberFormat="1"/>
    <xf numFmtId="0" fontId="0" fillId="4" borderId="0" xfId="0" applyFill="1"/>
    <xf numFmtId="0" fontId="7" fillId="2" borderId="3" xfId="0" applyFont="1" applyFill="1" applyBorder="1" applyAlignment="1">
      <alignment vertical="top" wrapText="1"/>
    </xf>
    <xf numFmtId="0" fontId="4" fillId="2" borderId="3" xfId="0" applyFont="1" applyFill="1" applyBorder="1" applyAlignment="1">
      <alignment horizontal="right" vertical="top" wrapText="1"/>
    </xf>
    <xf numFmtId="0" fontId="3" fillId="2" borderId="3" xfId="0" applyFont="1" applyFill="1" applyBorder="1" applyAlignment="1">
      <alignment horizontal="right" vertical="top" wrapText="1"/>
    </xf>
    <xf numFmtId="0" fontId="7" fillId="2" borderId="4" xfId="0" applyFont="1" applyFill="1" applyBorder="1" applyAlignment="1">
      <alignment vertical="top" wrapText="1"/>
    </xf>
    <xf numFmtId="0" fontId="4" fillId="2" borderId="4" xfId="0" applyFont="1" applyFill="1" applyBorder="1" applyAlignment="1">
      <alignment vertical="top" wrapText="1"/>
    </xf>
    <xf numFmtId="0" fontId="3" fillId="2" borderId="4" xfId="0" applyFont="1" applyFill="1" applyBorder="1" applyAlignment="1">
      <alignment vertical="top" wrapText="1"/>
    </xf>
    <xf numFmtId="0" fontId="0" fillId="4" borderId="5" xfId="0" applyFill="1" applyBorder="1"/>
    <xf numFmtId="0" fontId="3" fillId="5" borderId="2" xfId="0" applyFont="1" applyFill="1" applyBorder="1" applyAlignment="1">
      <alignment vertical="top" wrapText="1"/>
    </xf>
    <xf numFmtId="0" fontId="4" fillId="5" borderId="2" xfId="0" applyFont="1" applyFill="1" applyBorder="1" applyAlignment="1">
      <alignment vertical="top" wrapText="1"/>
    </xf>
    <xf numFmtId="0" fontId="1" fillId="0" borderId="1" xfId="1" applyAlignment="1">
      <alignment horizontal="center"/>
    </xf>
    <xf numFmtId="0" fontId="2" fillId="0" borderId="0" xfId="2"/>
    <xf numFmtId="0" fontId="0" fillId="0" borderId="0" xfId="0" pivotButton="1"/>
    <xf numFmtId="0" fontId="0" fillId="0" borderId="0" xfId="0" applyAlignment="1">
      <alignment horizontal="left"/>
    </xf>
    <xf numFmtId="0" fontId="1" fillId="0" borderId="1" xfId="1"/>
    <xf numFmtId="0" fontId="10" fillId="0" borderId="0" xfId="0" applyFont="1"/>
    <xf numFmtId="0" fontId="10" fillId="0" borderId="2" xfId="0" applyFont="1" applyBorder="1" applyAlignment="1">
      <alignment wrapText="1"/>
    </xf>
    <xf numFmtId="0" fontId="0" fillId="0" borderId="0" xfId="0" applyAlignment="1">
      <alignment horizontal="center"/>
    </xf>
    <xf numFmtId="0" fontId="11" fillId="6" borderId="6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 wrapText="1"/>
    </xf>
    <xf numFmtId="0" fontId="1" fillId="0" borderId="0" xfId="1" applyFill="1" applyBorder="1" applyAlignment="1">
      <alignment horizontal="center" vertical="center"/>
    </xf>
    <xf numFmtId="0" fontId="5" fillId="0" borderId="0" xfId="0" applyFont="1" applyAlignment="1">
      <alignment horizontal="center" vertical="top" textRotation="255"/>
    </xf>
    <xf numFmtId="0" fontId="6" fillId="0" borderId="0" xfId="0" applyFont="1" applyAlignment="1">
      <alignment horizontal="center" vertical="top" textRotation="255"/>
    </xf>
    <xf numFmtId="0" fontId="1" fillId="3" borderId="1" xfId="1" applyFill="1" applyAlignment="1">
      <alignment horizontal="center" vertical="center"/>
    </xf>
    <xf numFmtId="0" fontId="0" fillId="0" borderId="0" xfId="0" applyNumberFormat="1"/>
  </cellXfs>
  <cellStyles count="3">
    <cellStyle name="Explanatory Text" xfId="2" builtinId="53"/>
    <cellStyle name="Heading 2" xfId="1" builtinId="17"/>
    <cellStyle name="Normal" xfId="0" builtinId="0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</dxf>
    <dxf>
      <border outline="0">
        <left style="thick">
          <color indexed="64"/>
        </lef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dmin" refreshedDate="46132.485676504628" createdVersion="8" refreshedVersion="8" minRefreshableVersion="3" recordCount="1000" xr:uid="{ED94AB4B-4EB7-4768-82BF-9E9AE399EFE7}">
  <cacheSource type="worksheet">
    <worksheetSource ref="A1:AC1048576" sheet="Disk_Pivot_Data"/>
  </cacheSource>
  <cacheFields count="29">
    <cacheField name="Business name" numFmtId="0">
      <sharedItems containsString="0" containsBlank="1" containsNumber="1" containsInteger="1" minValue="0" maxValue="0"/>
    </cacheField>
    <cacheField name="System manufacturer" numFmtId="0">
      <sharedItems containsString="0" containsBlank="1" containsNumber="1" containsInteger="1" minValue="0" maxValue="0"/>
    </cacheField>
    <cacheField name="System chassis type" numFmtId="0">
      <sharedItems containsString="0" containsBlank="1" containsNumber="1" containsInteger="1" minValue="0" maxValue="0"/>
    </cacheField>
    <cacheField name="Custom 1" numFmtId="0">
      <sharedItems containsString="0" containsBlank="1" containsNumber="1" containsInteger="1" minValue="0" maxValue="0"/>
    </cacheField>
    <cacheField name="Device Identifier" numFmtId="0">
      <sharedItems containsString="0" containsBlank="1" containsNumber="1" containsInteger="1" minValue="0" maxValue="0"/>
    </cacheField>
    <cacheField name="Erasure state" numFmtId="0">
      <sharedItems containsString="0" containsBlank="1" containsNumber="1" containsInteger="1" minValue="0" maxValue="0"/>
    </cacheField>
    <cacheField name="System serial" numFmtId="0">
      <sharedItems containsString="0" containsBlank="1" containsNumber="1" containsInteger="1" minValue="0" maxValue="0" count="2">
        <n v="0"/>
        <m/>
      </sharedItems>
    </cacheField>
    <cacheField name="System version" numFmtId="0">
      <sharedItems containsString="0" containsBlank="1" containsNumber="1" containsInteger="1" minValue="0" maxValue="0"/>
    </cacheField>
    <cacheField name="System model" numFmtId="0">
      <sharedItems containsString="0" containsBlank="1" containsNumber="1" containsInteger="1" minValue="0" maxValue="0"/>
    </cacheField>
    <cacheField name="Capacity" numFmtId="0">
      <sharedItems containsString="0" containsBlank="1" containsNumber="1" containsInteger="1" minValue="0" maxValue="0"/>
    </cacheField>
    <cacheField name="Comment" numFmtId="0">
      <sharedItems containsString="0" containsBlank="1" containsNumber="1" containsInteger="1" minValue="0" maxValue="0"/>
    </cacheField>
    <cacheField name="Comment2" numFmtId="0">
      <sharedItems containsString="0" containsBlank="1" containsNumber="1" containsInteger="1" minValue="0" maxValue="0"/>
    </cacheField>
    <cacheField name="Comment3" numFmtId="0">
      <sharedItems containsString="0" containsBlank="1" containsNumber="1" containsInteger="1" minValue="0" maxValue="0"/>
    </cacheField>
    <cacheField name="Comment4" numFmtId="0">
      <sharedItems containsString="0" containsBlank="1" containsNumber="1" containsInteger="1" minValue="0" maxValue="0"/>
    </cacheField>
    <cacheField name="Comment5" numFmtId="0">
      <sharedItems containsString="0" containsBlank="1" containsNumber="1" containsInteger="1" minValue="0" maxValue="0"/>
    </cacheField>
    <cacheField name="Comment6" numFmtId="0">
      <sharedItems containsString="0" containsBlank="1" containsNumber="1" containsInteger="1" minValue="0" maxValue="0"/>
    </cacheField>
    <cacheField name="Comment7" numFmtId="0">
      <sharedItems containsString="0" containsBlank="1" containsNumber="1" containsInteger="1" minValue="0" maxValue="0"/>
    </cacheField>
    <cacheField name="Comment8" numFmtId="0">
      <sharedItems containsString="0" containsBlank="1" containsNumber="1" containsInteger="1" minValue="0" maxValue="0"/>
    </cacheField>
    <cacheField name="Comment9" numFmtId="0">
      <sharedItems containsString="0" containsBlank="1" containsNumber="1" containsInteger="1" minValue="0" maxValue="0"/>
    </cacheField>
    <cacheField name="CPU model" numFmtId="0">
      <sharedItems containsString="0" containsBlank="1" containsNumber="1" containsInteger="1" minValue="0" maxValue="0"/>
    </cacheField>
    <cacheField name="Memory capacity" numFmtId="0">
      <sharedItems containsString="0" containsBlank="1" containsNumber="1" containsInteger="1" minValue="0" maxValue="0"/>
    </cacheField>
    <cacheField name="Memory type" numFmtId="0">
      <sharedItems containsString="0" containsBlank="1" containsNumber="1" containsInteger="1" minValue="0" maxValue="0"/>
    </cacheField>
    <cacheField name="Disk capacity" numFmtId="0">
      <sharedItems containsString="0" containsBlank="1" containsNumber="1" containsInteger="1" minValue="0" maxValue="0"/>
    </cacheField>
    <cacheField name="Disk interface type" numFmtId="0">
      <sharedItems containsString="0" containsBlank="1" containsNumber="1" containsInteger="1" minValue="0" maxValue="0"/>
    </cacheField>
    <cacheField name="Disk serial" numFmtId="0">
      <sharedItems containsString="0" containsBlank="1" containsNumber="1" containsInteger="1" minValue="0" maxValue="0"/>
    </cacheField>
    <cacheField name="Disk model" numFmtId="0">
      <sharedItems containsString="0" containsBlank="1" containsNumber="1" containsInteger="1" minValue="0" maxValue="0"/>
    </cacheField>
    <cacheField name="Erasure start time" numFmtId="0">
      <sharedItems containsString="0" containsBlank="1" containsNumber="1" containsInteger="1" minValue="0" maxValue="0"/>
    </cacheField>
    <cacheField name="Battery test comment" numFmtId="0">
      <sharedItems containsString="0" containsBlank="1" containsNumber="1" containsInteger="1" minValue="0" maxValue="0"/>
    </cacheField>
    <cacheField name="Successful / Failed" numFmtId="0">
      <sharedItems containsBlank="1" count="5">
        <s v=""/>
        <m/>
        <s v="successful  "/>
        <s v="failed"/>
        <s v="Successful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2"/>
  </r>
  <r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3"/>
  </r>
  <r>
    <m/>
    <m/>
    <m/>
    <m/>
    <m/>
    <m/>
    <x v="1"/>
    <m/>
    <m/>
    <m/>
    <m/>
    <m/>
    <m/>
    <m/>
    <m/>
    <m/>
    <m/>
    <m/>
    <m/>
    <m/>
    <m/>
    <m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E7CD75-522A-4B22-9987-418AB6311BA6}" name="Pass/Fail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:C4" firstHeaderRow="1" firstDataRow="2" firstDataCol="1"/>
  <pivotFields count="29"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Col" dataField="1" showAll="0">
      <items count="6">
        <item h="1" x="0"/>
        <item x="3"/>
        <item m="1" x="4"/>
        <item h="1" x="1"/>
        <item h="1" x="2"/>
        <item t="default"/>
      </items>
    </pivotField>
  </pivotFields>
  <rowFields count="1">
    <field x="6"/>
  </rowFields>
  <rowItems count="2">
    <i>
      <x/>
    </i>
    <i t="grand">
      <x/>
    </i>
  </rowItems>
  <colFields count="1">
    <field x="28"/>
  </colFields>
  <colItems count="2">
    <i>
      <x v="1"/>
    </i>
    <i t="grand">
      <x/>
    </i>
  </colItems>
  <dataFields count="1">
    <dataField name="Count of Successful / Failed" fld="2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9308B2E-F192-42B4-8523-53AD44BB76CD}" name="Table2" displayName="Table2" ref="D1:AF1048576" totalsRowShown="0" tableBorderDxfId="5">
  <autoFilter ref="D1:AF1048576" xr:uid="{29308B2E-F192-42B4-8523-53AD44BB76CD}"/>
  <tableColumns count="29">
    <tableColumn id="1" xr3:uid="{CA4A19EC-6339-4325-A6BC-133496FB2C2B}" name="Business name"/>
    <tableColumn id="2" xr3:uid="{E8939219-9533-4261-9B75-9E2EEAD29D82}" name="System manufacturer"/>
    <tableColumn id="3" xr3:uid="{CF1B9FB7-360A-441F-9794-6814816BBACC}" name="System chassis type"/>
    <tableColumn id="4" xr3:uid="{1CCD10D5-E1EB-4E59-8947-E2E611153631}" name="Custom 1"/>
    <tableColumn id="5" xr3:uid="{B2523AC3-1063-4191-AE8B-126221A9B0EE}" name="Device Identifier"/>
    <tableColumn id="6" xr3:uid="{1C96BB52-9FD7-4294-9A12-E4806761FA73}" name="Erasure state"/>
    <tableColumn id="7" xr3:uid="{1B4B9B8A-2393-4981-8F5F-201262948360}" name="System serial"/>
    <tableColumn id="8" xr3:uid="{F4AA606D-0AB3-452C-B903-16B8C5D35911}" name="System version"/>
    <tableColumn id="9" xr3:uid="{194EE924-59CC-4F8A-AA5B-D9BDEFE83D5B}" name="System model"/>
    <tableColumn id="10" xr3:uid="{7F7FE8DD-10D1-4C92-B90D-F8622A18C631}" name="Capacity"/>
    <tableColumn id="11" xr3:uid="{64E7313F-9764-4039-ACF2-C26A42FA7871}" name="Comment"/>
    <tableColumn id="12" xr3:uid="{F4945B93-6847-4A4C-891D-0CCA487E3C05}" name="Comment2"/>
    <tableColumn id="14" xr3:uid="{E1D7D404-EDA4-4347-901D-F1BE69507E44}" name="Comment3"/>
    <tableColumn id="15" xr3:uid="{277DC48B-A6F1-448E-AD2E-244326B1EE05}" name="Comment4"/>
    <tableColumn id="16" xr3:uid="{64567BD6-EB70-472D-8F5D-F45DE6897DA3}" name="Comment5"/>
    <tableColumn id="17" xr3:uid="{DE0C002B-64F3-4C56-A6CC-E2F99B41DD0F}" name="Comment6"/>
    <tableColumn id="19" xr3:uid="{1887D030-FA0F-451B-B129-80FEE6CFAA53}" name="Comment7"/>
    <tableColumn id="20" xr3:uid="{B946C031-7248-4A4E-B14A-6120F0C64983}" name="Comment8"/>
    <tableColumn id="22" xr3:uid="{DB98B945-3709-420E-924A-FFA918C4CDFC}" name="CPU model"/>
    <tableColumn id="23" xr3:uid="{D44E1F9F-981A-4F98-BD6C-E86E2C91E7D5}" name="Memory capacity"/>
    <tableColumn id="24" xr3:uid="{00F92944-EE85-489C-9796-712BF730220F}" name="Memory type" dataDxfId="4"/>
    <tableColumn id="25" xr3:uid="{142BB3A2-A27E-40E2-B3D1-7BF1AA333550}" name="Disk capacity"/>
    <tableColumn id="26" xr3:uid="{3C512A73-D70A-427B-BD05-153BCFB5F7F3}" name="Disk interface type"/>
    <tableColumn id="27" xr3:uid="{1C7C5782-8831-4ECC-8367-7A6FCD2462BA}" name="Disk serial"/>
    <tableColumn id="28" xr3:uid="{2AEE377B-86E4-4F06-95D9-38854F86FA1E}" name="Disk model"/>
    <tableColumn id="29" xr3:uid="{F7E5595E-CE00-474F-8219-E0FA8B5B5CB9}" name="Erasure start time"/>
    <tableColumn id="30" xr3:uid="{80EED2BA-96AB-419E-80D9-28E14D0A4A90}" name="Battery test comment"/>
    <tableColumn id="13" xr3:uid="{BB5E493C-EAB2-44B4-B667-13B055EA9CC4}" name="Erasure technician"/>
    <tableColumn id="18" xr3:uid="{B2EFA05B-964D-4129-A960-A539CA32F6BB}" name="UUI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EA0642-D003-44E0-B644-5798523C3892}" name="Table3" displayName="Table3" ref="A1:C2" totalsRowShown="0" dataDxfId="3">
  <autoFilter ref="A1:C2" xr:uid="{91EA0642-D003-44E0-B644-5798523C3892}"/>
  <tableColumns count="3">
    <tableColumn id="1" xr3:uid="{6E6F8EA8-FB6F-4A67-90FD-C7B6AFB035E4}" name="מספר פרויקט" dataDxfId="2"/>
    <tableColumn id="2" xr3:uid="{9C21112A-AE9D-46C7-9194-30F78707C528}" name="Item code" dataDxfId="1"/>
    <tableColumn id="3" xr3:uid="{D157A6C9-50AE-40BB-A385-BA3D5F36133C}" name="לקוח סופי" dataDxfId="0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EBCD98-A94D-41DA-81ED-307598EC0F43}">
  <sheetPr codeName="Sheet1">
    <tabColor theme="9"/>
  </sheetPr>
  <dimension ref="A1:X1245"/>
  <sheetViews>
    <sheetView topLeftCell="B1" workbookViewId="0">
      <selection activeCell="G21" sqref="G21"/>
    </sheetView>
  </sheetViews>
  <sheetFormatPr defaultRowHeight="15"/>
  <cols>
    <col min="1" max="1" width="9.42578125" style="2" hidden="1" customWidth="1"/>
    <col min="2" max="2" width="26" style="2" customWidth="1"/>
    <col min="3" max="3" width="18.7109375" style="2" customWidth="1"/>
    <col min="4" max="4" width="7" style="2" bestFit="1" customWidth="1"/>
    <col min="5" max="5" width="13" style="2" customWidth="1"/>
    <col min="6" max="6" width="11.5703125" style="2" customWidth="1"/>
    <col min="7" max="7" width="22" style="2" customWidth="1"/>
    <col min="8" max="8" width="28.42578125" style="2" customWidth="1"/>
    <col min="9" max="9" width="18.28515625" style="2" customWidth="1"/>
    <col min="10" max="10" width="20.7109375" style="2" customWidth="1"/>
    <col min="11" max="11" width="15.140625" style="2" customWidth="1"/>
    <col min="12" max="12" width="26.140625" style="2" customWidth="1"/>
    <col min="13" max="13" width="17.85546875" style="2" customWidth="1"/>
    <col min="14" max="14" width="20" style="2" customWidth="1"/>
    <col min="15" max="15" width="71.85546875" style="2" customWidth="1"/>
    <col min="16" max="16" width="17.28515625" style="2" bestFit="1" customWidth="1"/>
    <col min="17" max="17" width="32.140625" style="2" bestFit="1" customWidth="1"/>
    <col min="18" max="18" width="18" style="2" bestFit="1" customWidth="1"/>
    <col min="19" max="19" width="17.140625" style="2" bestFit="1" customWidth="1"/>
    <col min="20" max="20" width="26.7109375" style="2" bestFit="1" customWidth="1"/>
    <col min="21" max="22" width="12.5703125" style="2" bestFit="1" customWidth="1"/>
    <col min="23" max="23" width="11.28515625" style="2" bestFit="1" customWidth="1"/>
    <col min="24" max="24" width="17.28515625" customWidth="1"/>
  </cols>
  <sheetData>
    <row r="1" spans="1:24" ht="18" thickBot="1">
      <c r="A1" s="1" t="s">
        <v>495</v>
      </c>
      <c r="B1" s="1" t="s">
        <v>496</v>
      </c>
      <c r="C1" s="1" t="s">
        <v>59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39" t="s">
        <v>494</v>
      </c>
    </row>
    <row r="2" spans="1:24" ht="15.75" thickTop="1">
      <c r="A2" s="2" t="str">
        <f>_xlfn.TEXTJOIN("",TRUE,Input!$B$2,"0",ROW(My_Audit!A1))</f>
        <v>X01</v>
      </c>
      <c r="B2" s="2" t="str">
        <f>_xlfn.TEXTJOIN("-",TRUE,"ITD",Input!$A$2,A2)</f>
        <v>ITD-SHR-X01</v>
      </c>
      <c r="C2" s="2" t="str" cm="1">
        <f t="array" ref="C2">IFERROR(_xlfn.LET(
_xlpm.CSVVal,_xlfn.XLOOKUP($A2,CSV!$A:$A,CSV!B:B,""),
_xlpm.MacVal,_xlfn.XLOOKUP($A2,Output_Mac!$A:$A,Output_Mac!B:B,""),
_xlpm.MyAuditVal,_xlfn.XLOOKUP($A2,My_Audit!$A:$A,My_Audit!B:B,""),
_xlfn.IFS(_xlpm.MyAuditVal&lt;&gt;"",UPPER(_xlpm.MyAuditVal),_xlpm.MacVal&lt;&gt;"",_xlpm.MacVal,_xlpm.CSVVal&lt;&gt;"",_xlpm.CSVVal
)),"")</f>
        <v/>
      </c>
      <c r="D2" s="2" t="str" cm="1">
        <f t="array" ref="D2">IFERROR(_xlfn.LET(
_xlpm.CSVVal,_xlfn.XLOOKUP($A2,CSV!$A:$A,CSV!D:D,""),
_xlpm.MacVal,_xlfn.XLOOKUP($A2,Output_Mac!$A:$A,Output_Mac!C:C,""),
_xlpm.MyAuditVal,_xlfn.XLOOKUP($A2,My_Audit!$A:$A,My_Audit!C:C,""),
_xlfn.IFS(_xlpm.MyAuditVal&lt;&gt;"",_xlpm.MyAuditVal,_xlpm.MacVal&lt;&gt;"",_xlpm.MacVal,_xlpm.CSVVal&lt;&gt;"",_xlpm.CSVVal
)),"")</f>
        <v/>
      </c>
      <c r="E2" s="2" t="str">
        <f>_xlfn.XLOOKUP(A2,My_Audit!A:A,My_Audit!D:D,"")&amp;""</f>
        <v/>
      </c>
      <c r="F2" s="2" t="str" cm="1">
        <f t="array" ref="F2">IFERROR(_xlfn.LET(
_xlpm.CSVVal,_xlfn.XLOOKUP($A2,CSV!$A:$A,CSV!F:F,""),
_xlpm.MacVal,_xlfn.XLOOKUP($A2,Output_Mac!$A:$A,Output_Mac!E:E,""),
_xlpm.MyAuditVal,_xlfn.XLOOKUP($A2,My_Audit!$A:$A,My_Audit!E:E,""),
_xlfn.IFS(_xlpm.MyAuditVal&lt;&gt;"",_xlpm.MyAuditVal,_xlpm.MacVal&lt;&gt;"",_xlpm.MacVal,_xlpm.CSVVal&lt;&gt;"",_xlpm.CSVVal
)),"")</f>
        <v/>
      </c>
      <c r="G2" s="2" t="str" cm="1">
        <f t="array" ref="G2">IFERROR(_xlfn.LET(
_xlpm.CSVVal,_xlfn.XLOOKUP($A2,CSV!$A:$A,CSV!G:G,""),
_xlpm.MacVal,_xlfn.XLOOKUP($A2,Output_Mac!$A:$A,Output_Mac!F:F,""),
_xlpm.MyAuditVal,_xlfn.XLOOKUP($A2,My_Audit!$A:$A,My_Audit!F:F,""),
_xlfn.IFS(_xlpm.MyAuditVal&lt;&gt;"",_xlpm.MyAuditVal,_xlpm.MacVal&lt;&gt;"",_xlpm.MacVal,_xlpm.CSVVal&lt;&gt;"",PROPER(_xlpm.CSVVal)
)),"")</f>
        <v/>
      </c>
      <c r="H2" s="2" t="str" cm="1">
        <f t="array" ref="H2">IFERROR(_xlfn.LET(
_xlpm.CSVVal,_xlfn.XLOOKUP($A2,CSV!$A:$A,CSV!H:H,""),
_xlpm.MacVal,_xlfn.XLOOKUP($A2,Output_Mac!$A:$A,Output_Mac!H:H,""),
_xlpm.MyAuditVal,_xlfn.XLOOKUP($A2,My_Audit!$A:$A,My_Audit!G:G,""),
_xlfn.IFS(_xlpm.MyAuditVal&lt;&gt;"",_xlpm.MyAuditVal,_xlpm.MacVal&lt;&gt;"",_xlpm.MacVal,_xlpm.CSVVal&lt;&gt;"",_xlpm.CSVVal
)),"")</f>
        <v/>
      </c>
      <c r="I2" s="2" t="str">
        <f>_xlfn.XLOOKUP(A2,Output_Mac!A:A,Output_Mac!I:I,"")</f>
        <v/>
      </c>
      <c r="J2" s="2" t="str" cm="1">
        <f t="array" ref="J2">IFERROR(_xlfn.LET(
_xlpm.CSVVal,_xlfn.XLOOKUP($A2,CSV!$A:$A,CSV!I:I,""),
_xlpm.MacVal,_xlfn.XLOOKUP($A2,Output_Mac!$A:$A,Output_Mac!J:J,""),
_xlpm.MyAuditVal,_xlfn.XLOOKUP($A2,My_Audit!$A:$A,My_Audit!I:I,""),
_xlfn.IFS(_xlpm.MyAuditVal&lt;&gt;"",UPPER(_xlpm.MyAuditVal),_xlpm.MacVal&lt;&gt;"",_xlpm.MacVal,_xlpm.CSVVal&lt;&gt;"",_xlpm.CSVVal
)),"")</f>
        <v/>
      </c>
      <c r="K2" s="2" t="str" cm="1">
        <f t="array" ref="K2">IFERROR(_xlfn.LET(
_xlpm.CSVVal,_xlfn.XLOOKUP($A2,CSV!$A:$A,CSV!K:K,""),
_xlpm.MacVal,_xlfn.XLOOKUP($A2,Output_Mac!$A:$A,Output_Mac!K:K,""),
_xlpm.MyAuditVal,_xlfn.XLOOKUP($A2,My_Audit!$A:$A,My_Audit!J:J,""),
_xlfn.IFS(_xlpm.MyAuditVal&lt;&gt;"",UPPER(_xlpm.MyAuditVal),_xlpm.MacVal&lt;&gt;"",_xlpm.MacVal,_xlpm.CSVVal&lt;&gt;"",_xlpm.CSVVal
)),"")</f>
        <v/>
      </c>
      <c r="L2" s="2" t="str" cm="1">
        <f t="array" ref="L2">IFERROR(_xlfn.LET(
_xlpm.CSVVal,_xlfn.XLOOKUP($A2,CSV!$A:$A,CSV!P:P,""),
_xlpm.MacVal,_xlfn.XLOOKUP($A2,Output_Mac!$A:$A,Output_Mac!L:L,""),
_xlpm.MyAuditVal,_xlfn.XLOOKUP($A2,My_Audit!$A:$A,My_Audit!K:K,""),
_xlfn.IFS(_xlpm.MyAuditVal&lt;&gt;"",UPPER(_xlpm.MyAuditVal),_xlpm.MacVal&lt;&gt;"",_xlpm.MacVal,_xlpm.CSVVal&lt;&gt;"",_xlpm.CSVVal
)),"")</f>
        <v/>
      </c>
      <c r="M2" s="2" t="str" cm="1">
        <f t="array" ref="M2">IFERROR(_xlfn.LET(
_xlpm.CSVVal,_xlfn.XLOOKUP($A2,CSV!$A:$A,CSV!Q:Q,""),
_xlpm.MacVal,_xlfn.XLOOKUP($A2,Output_Mac!$A:$A,Output_Mac!M:M,""),
_xlpm.MyAuditVal,_xlfn.XLOOKUP($A2,My_Audit!$A:$A,My_Audit!L:L,""),
_xlfn.IFS(_xlpm.MyAuditVal&lt;&gt;"",UPPER(_xlpm.MyAuditVal),_xlpm.MacVal&lt;&gt;"",_xlpm.MacVal,_xlpm.CSVVal&lt;&gt;"",_xlpm.CSVVal
)),"")</f>
        <v/>
      </c>
      <c r="O2" s="2" t="str">
        <f>_xlfn.LET(
    _xlpm.CSVVal, _xlfn.XLOOKUP($A2, CSV!$A:$A, CSV!AC:AC, ""),
    _xlpm.MacVal, _xlfn.XLOOKUP($A2, Output_Mac!$A:$A, Output_Mac!S:S, ""),
    _xlpm.MyAuditVal, _xlfn.XLOOKUP($A2, My_Audit!$A:$A, My_Audit!P:P, ""),
    _xlfn.TEXTJOIN(", ", TRUE, _xlpm.MyAuditVal, _xlpm.MacVal, _xlpm.CSVVal)
)</f>
        <v/>
      </c>
      <c r="P2" s="2" t="str" cm="1">
        <f t="array" ref="P2">IFERROR(_xlfn.LET(
_xlpm.CSVVal,_xlfn.XLOOKUP($A2,CSV!$A:$A,CSV!AD:AD,""),
_xlpm.MacVal,_xlfn.XLOOKUP($A2,Output_Mac!$A:$A,Output_Mac!T:T,""),
_xlpm.MyAuditVal,_xlfn.XLOOKUP($A2,My_Audit!$A:$A,My_Audit!Q:Q,""),
_xlfn.IFS(_xlpm.MyAuditVal&lt;&gt;"",UPPER(_xlpm.MyAuditVal),_xlpm.MacVal&lt;&gt;"",_xlpm.MacVal,_xlpm.CSVVal&lt;&gt;"",_xlpm.CSVVal
)),"No")</f>
        <v>No</v>
      </c>
      <c r="Q2" s="2" t="str" cm="1">
        <f t="array" ref="Q2">IFERROR(_xlfn.LET(
_xlpm.CSVVal,_xlfn.XLOOKUP($A2,CSV!$A:$A,CSV!AE:AE,""),
_xlpm.MacVal,_xlfn.XLOOKUP($A2,Output_Mac!$A:$A,Output_Mac!U:U,""),
_xlpm.MyAuditVal,_xlfn.XLOOKUP($A2,My_Audit!$A:$A,My_Audit!R:R,""),
_xlfn.IFS(_xlpm.MyAuditVal&lt;&gt;"",UPPER(_xlpm.MyAuditVal),_xlpm.MacVal&lt;&gt;"",_xlpm.MacVal,_xlpm.CSVVal&lt;&gt;"",_xlpm.CSVVal
)),"")</f>
        <v/>
      </c>
      <c r="X2" t="str">
        <f>_xlfn.LET(
    _xlpm.MacVal, _xlfn.XLOOKUP($A2, Output_Mac!$A:$A, Output_Mac!AB:AB, ""),
    _xlpm.MyAuditVal, _xlfn.XLOOKUP($A2, My_Audit!$A:$A, My_Audit!N:N, ""),
    _xlfn.TEXTJOIN(", ", TRUE, _xlpm.MyAuditVal, _xlpm.MacVal)
)</f>
        <v/>
      </c>
    </row>
    <row r="3" spans="1:24">
      <c r="A3" s="2" t="str">
        <f>_xlfn.TEXTJOIN("",TRUE,Input!$B$2,"0",ROW(My_Audit!A2))</f>
        <v>X02</v>
      </c>
      <c r="B3" s="2" t="str">
        <f>_xlfn.TEXTJOIN("-",TRUE,"ITD",Input!$A$2,A3)</f>
        <v>ITD-SHR-X02</v>
      </c>
      <c r="C3" s="2" t="str" cm="1">
        <f t="array" ref="C3">IFERROR(_xlfn.LET(
_xlpm.CSVVal,_xlfn.XLOOKUP($A3,CSV!$A:$A,CSV!B:B,""),
_xlpm.MacVal,_xlfn.XLOOKUP($A3,Output_Mac!$A:$A,Output_Mac!B:B,""),
_xlpm.MyAuditVal,_xlfn.XLOOKUP($A3,My_Audit!$A:$A,My_Audit!B:B,""),
_xlfn.IFS(_xlpm.MyAuditVal&lt;&gt;"",UPPER(_xlpm.MyAuditVal),_xlpm.MacVal&lt;&gt;"",_xlpm.MacVal,_xlpm.CSVVal&lt;&gt;"",_xlpm.CSVVal
)),"")</f>
        <v/>
      </c>
      <c r="D3" s="2" t="str" cm="1">
        <f t="array" ref="D3">IFERROR(_xlfn.LET(
_xlpm.CSVVal,_xlfn.XLOOKUP($A3,CSV!$A:$A,CSV!D:D,""),
_xlpm.MacVal,_xlfn.XLOOKUP($A3,Output_Mac!$A:$A,Output_Mac!C:C,""),
_xlpm.MyAuditVal,_xlfn.XLOOKUP($A3,My_Audit!$A:$A,My_Audit!C:C,""),
_xlfn.IFS(_xlpm.MyAuditVal&lt;&gt;"",_xlpm.MyAuditVal,_xlpm.MacVal&lt;&gt;"",_xlpm.MacVal,_xlpm.CSVVal&lt;&gt;"",_xlpm.CSVVal
)),"")</f>
        <v/>
      </c>
      <c r="E3" s="2" t="str">
        <f>_xlfn.XLOOKUP(A3,My_Audit!A:A,My_Audit!D:D,"")&amp;""</f>
        <v/>
      </c>
      <c r="F3" s="2" t="str" cm="1">
        <f t="array" ref="F3">IFERROR(_xlfn.LET(
_xlpm.CSVVal,_xlfn.XLOOKUP($A3,CSV!$A:$A,CSV!F:F,""),
_xlpm.MacVal,_xlfn.XLOOKUP($A3,Output_Mac!$A:$A,Output_Mac!E:E,""),
_xlpm.MyAuditVal,_xlfn.XLOOKUP($A3,My_Audit!$A:$A,My_Audit!E:E,""),
_xlfn.IFS(_xlpm.MyAuditVal&lt;&gt;"",_xlpm.MyAuditVal,_xlpm.MacVal&lt;&gt;"",_xlpm.MacVal,_xlpm.CSVVal&lt;&gt;"",_xlpm.CSVVal
)),"")</f>
        <v/>
      </c>
      <c r="G3" s="2" t="str" cm="1">
        <f t="array" ref="G3">IFERROR(_xlfn.LET(
_xlpm.CSVVal,_xlfn.XLOOKUP($A3,CSV!$A:$A,CSV!G:G,""),
_xlpm.MacVal,_xlfn.XLOOKUP($A3,Output_Mac!$A:$A,Output_Mac!F:F,""),
_xlpm.MyAuditVal,_xlfn.XLOOKUP($A3,My_Audit!$A:$A,My_Audit!F:F,""),
_xlfn.IFS(_xlpm.MyAuditVal&lt;&gt;"",_xlpm.MyAuditVal,_xlpm.MacVal&lt;&gt;"",_xlpm.MacVal,_xlpm.CSVVal&lt;&gt;"",PROPER(_xlpm.CSVVal)
)),"")</f>
        <v/>
      </c>
      <c r="H3" s="2" t="str" cm="1">
        <f t="array" ref="H3">IFERROR(_xlfn.LET(
_xlpm.CSVVal,_xlfn.XLOOKUP($A3,CSV!$A:$A,CSV!H:H,""),
_xlpm.MacVal,_xlfn.XLOOKUP($A3,Output_Mac!$A:$A,Output_Mac!H:H,""),
_xlpm.MyAuditVal,_xlfn.XLOOKUP($A3,My_Audit!$A:$A,My_Audit!G:G,""),
_xlfn.IFS(_xlpm.MyAuditVal&lt;&gt;"",_xlpm.MyAuditVal,_xlpm.MacVal&lt;&gt;"",_xlpm.MacVal,_xlpm.CSVVal&lt;&gt;"",_xlpm.CSVVal
)),"")</f>
        <v/>
      </c>
      <c r="I3" s="2" t="str">
        <f>_xlfn.XLOOKUP(A3,Output_Mac!A:A,Output_Mac!I:I,"")</f>
        <v/>
      </c>
      <c r="J3" s="2" t="str" cm="1">
        <f t="array" ref="J3">IFERROR(_xlfn.LET(
_xlpm.CSVVal,_xlfn.XLOOKUP($A3,CSV!$A:$A,CSV!I:I,""),
_xlpm.MacVal,_xlfn.XLOOKUP($A3,Output_Mac!$A:$A,Output_Mac!J:J,""),
_xlpm.MyAuditVal,_xlfn.XLOOKUP($A3,My_Audit!$A:$A,My_Audit!I:I,""),
_xlfn.IFS(_xlpm.MyAuditVal&lt;&gt;"",UPPER(_xlpm.MyAuditVal),_xlpm.MacVal&lt;&gt;"",_xlpm.MacVal,_xlpm.CSVVal&lt;&gt;"",_xlpm.CSVVal
)),"")</f>
        <v/>
      </c>
      <c r="K3" s="2" t="str" cm="1">
        <f t="array" ref="K3">IFERROR(_xlfn.LET(
_xlpm.CSVVal,_xlfn.XLOOKUP($A3,CSV!$A:$A,CSV!K:K,""),
_xlpm.MacVal,_xlfn.XLOOKUP($A3,Output_Mac!$A:$A,Output_Mac!K:K,""),
_xlpm.MyAuditVal,_xlfn.XLOOKUP($A3,My_Audit!$A:$A,My_Audit!J:J,""),
_xlfn.IFS(_xlpm.MyAuditVal&lt;&gt;"",UPPER(_xlpm.MyAuditVal),_xlpm.MacVal&lt;&gt;"",_xlpm.MacVal,_xlpm.CSVVal&lt;&gt;"",_xlpm.CSVVal
)),"")</f>
        <v/>
      </c>
      <c r="L3" s="2" t="str" cm="1">
        <f t="array" ref="L3">IFERROR(_xlfn.LET(
_xlpm.CSVVal,_xlfn.XLOOKUP($A3,CSV!$A:$A,CSV!P:P,""),
_xlpm.MacVal,_xlfn.XLOOKUP($A3,Output_Mac!$A:$A,Output_Mac!L:L,""),
_xlpm.MyAuditVal,_xlfn.XLOOKUP($A3,My_Audit!$A:$A,My_Audit!K:K,""),
_xlfn.IFS(_xlpm.MyAuditVal&lt;&gt;"",UPPER(_xlpm.MyAuditVal),_xlpm.MacVal&lt;&gt;"",_xlpm.MacVal,_xlpm.CSVVal&lt;&gt;"",_xlpm.CSVVal
)),"")</f>
        <v/>
      </c>
      <c r="M3" s="2" t="str" cm="1">
        <f t="array" ref="M3">IFERROR(_xlfn.LET(
_xlpm.CSVVal,_xlfn.XLOOKUP($A3,CSV!$A:$A,CSV!Q:Q,""),
_xlpm.MacVal,_xlfn.XLOOKUP($A3,Output_Mac!$A:$A,Output_Mac!M:M,""),
_xlpm.MyAuditVal,_xlfn.XLOOKUP($A3,My_Audit!$A:$A,My_Audit!L:L,""),
_xlfn.IFS(_xlpm.MyAuditVal&lt;&gt;"",UPPER(_xlpm.MyAuditVal),_xlpm.MacVal&lt;&gt;"",_xlpm.MacVal,_xlpm.CSVVal&lt;&gt;"",_xlpm.CSVVal
)),"")</f>
        <v/>
      </c>
      <c r="O3" s="2" t="str">
        <f>_xlfn.LET(
    _xlpm.CSVVal, _xlfn.XLOOKUP($A3, CSV!$A:$A, CSV!AC:AC, ""),
    _xlpm.MacVal, _xlfn.XLOOKUP($A3, Output_Mac!$A:$A, Output_Mac!S:S, ""),
    _xlpm.MyAuditVal, _xlfn.XLOOKUP($A3, My_Audit!$A:$A, My_Audit!P:P, ""),
    _xlfn.TEXTJOIN(", ", TRUE, _xlpm.MyAuditVal, _xlpm.MacVal, _xlpm.CSVVal)
)</f>
        <v/>
      </c>
      <c r="P3" s="2" t="str" cm="1">
        <f t="array" ref="P3">IFERROR(_xlfn.LET(
_xlpm.CSVVal,_xlfn.XLOOKUP($A3,CSV!$A:$A,CSV!AD:AD,""),
_xlpm.MacVal,_xlfn.XLOOKUP($A3,Output_Mac!$A:$A,Output_Mac!T:T,""),
_xlpm.MyAuditVal,_xlfn.XLOOKUP($A3,My_Audit!$A:$A,My_Audit!Q:Q,""),
_xlfn.IFS(_xlpm.MyAuditVal&lt;&gt;"",UPPER(_xlpm.MyAuditVal),_xlpm.MacVal&lt;&gt;"",_xlpm.MacVal,_xlpm.CSVVal&lt;&gt;"",_xlpm.CSVVal
)),"No")</f>
        <v>No</v>
      </c>
      <c r="Q3" s="2" t="str" cm="1">
        <f t="array" ref="Q3">IFERROR(_xlfn.LET(
_xlpm.CSVVal,_xlfn.XLOOKUP($A3,CSV!$A:$A,CSV!AE:AE,""),
_xlpm.MacVal,_xlfn.XLOOKUP($A3,Output_Mac!$A:$A,Output_Mac!U:U,""),
_xlpm.MyAuditVal,_xlfn.XLOOKUP($A3,My_Audit!$A:$A,My_Audit!R:R,""),
_xlfn.IFS(_xlpm.MyAuditVal&lt;&gt;"",UPPER(_xlpm.MyAuditVal),_xlpm.MacVal&lt;&gt;"",_xlpm.MacVal,_xlpm.CSVVal&lt;&gt;"",_xlpm.CSVVal
)),"")</f>
        <v/>
      </c>
      <c r="X3" t="str">
        <f>_xlfn.LET(
    _xlpm.MacVal, _xlfn.XLOOKUP($A3, Output_Mac!$A:$A, Output_Mac!AB:AB, ""),
    _xlpm.MyAuditVal, _xlfn.XLOOKUP($A3, My_Audit!$A:$A, My_Audit!N:N, ""),
    _xlfn.TEXTJOIN(", ", TRUE, _xlpm.MyAuditVal, _xlpm.MacVal)
)</f>
        <v/>
      </c>
    </row>
    <row r="4" spans="1:24">
      <c r="A4" s="2" t="str">
        <f>_xlfn.TEXTJOIN("",TRUE,Input!$B$2,"0",ROW(My_Audit!A3))</f>
        <v>X03</v>
      </c>
      <c r="B4" s="2" t="str">
        <f>_xlfn.TEXTJOIN("-",TRUE,"ITD",Input!$A$2,A4)</f>
        <v>ITD-SHR-X03</v>
      </c>
      <c r="C4" s="2" t="str" cm="1">
        <f t="array" ref="C4">IFERROR(_xlfn.LET(
_xlpm.CSVVal,_xlfn.XLOOKUP($A4,CSV!$A:$A,CSV!B:B,""),
_xlpm.MacVal,_xlfn.XLOOKUP($A4,Output_Mac!$A:$A,Output_Mac!B:B,""),
_xlpm.MyAuditVal,_xlfn.XLOOKUP($A4,My_Audit!$A:$A,My_Audit!B:B,""),
_xlfn.IFS(_xlpm.MyAuditVal&lt;&gt;"",UPPER(_xlpm.MyAuditVal),_xlpm.MacVal&lt;&gt;"",_xlpm.MacVal,_xlpm.CSVVal&lt;&gt;"",_xlpm.CSVVal
)),"")</f>
        <v/>
      </c>
      <c r="D4" s="2" t="str" cm="1">
        <f t="array" ref="D4">IFERROR(_xlfn.LET(
_xlpm.CSVVal,_xlfn.XLOOKUP($A4,CSV!$A:$A,CSV!D:D,""),
_xlpm.MacVal,_xlfn.XLOOKUP($A4,Output_Mac!$A:$A,Output_Mac!C:C,""),
_xlpm.MyAuditVal,_xlfn.XLOOKUP($A4,My_Audit!$A:$A,My_Audit!C:C,""),
_xlfn.IFS(_xlpm.MyAuditVal&lt;&gt;"",_xlpm.MyAuditVal,_xlpm.MacVal&lt;&gt;"",_xlpm.MacVal,_xlpm.CSVVal&lt;&gt;"",_xlpm.CSVVal
)),"")</f>
        <v/>
      </c>
      <c r="E4" s="2" t="str">
        <f>_xlfn.XLOOKUP(A4,My_Audit!A:A,My_Audit!D:D,"")&amp;""</f>
        <v/>
      </c>
      <c r="F4" s="2" t="str" cm="1">
        <f t="array" ref="F4">IFERROR(_xlfn.LET(
_xlpm.CSVVal,_xlfn.XLOOKUP($A4,CSV!$A:$A,CSV!F:F,""),
_xlpm.MacVal,_xlfn.XLOOKUP($A4,Output_Mac!$A:$A,Output_Mac!E:E,""),
_xlpm.MyAuditVal,_xlfn.XLOOKUP($A4,My_Audit!$A:$A,My_Audit!E:E,""),
_xlfn.IFS(_xlpm.MyAuditVal&lt;&gt;"",_xlpm.MyAuditVal,_xlpm.MacVal&lt;&gt;"",_xlpm.MacVal,_xlpm.CSVVal&lt;&gt;"",_xlpm.CSVVal
)),"")</f>
        <v/>
      </c>
      <c r="G4" s="2" t="str" cm="1">
        <f t="array" ref="G4">IFERROR(_xlfn.LET(
_xlpm.CSVVal,_xlfn.XLOOKUP($A4,CSV!$A:$A,CSV!G:G,""),
_xlpm.MacVal,_xlfn.XLOOKUP($A4,Output_Mac!$A:$A,Output_Mac!F:F,""),
_xlpm.MyAuditVal,_xlfn.XLOOKUP($A4,My_Audit!$A:$A,My_Audit!F:F,""),
_xlfn.IFS(_xlpm.MyAuditVal&lt;&gt;"",_xlpm.MyAuditVal,_xlpm.MacVal&lt;&gt;"",_xlpm.MacVal,_xlpm.CSVVal&lt;&gt;"",PROPER(_xlpm.CSVVal)
)),"")</f>
        <v/>
      </c>
      <c r="H4" s="2" t="str" cm="1">
        <f t="array" ref="H4">IFERROR(_xlfn.LET(
_xlpm.CSVVal,_xlfn.XLOOKUP($A4,CSV!$A:$A,CSV!H:H,""),
_xlpm.MacVal,_xlfn.XLOOKUP($A4,Output_Mac!$A:$A,Output_Mac!H:H,""),
_xlpm.MyAuditVal,_xlfn.XLOOKUP($A4,My_Audit!$A:$A,My_Audit!G:G,""),
_xlfn.IFS(_xlpm.MyAuditVal&lt;&gt;"",_xlpm.MyAuditVal,_xlpm.MacVal&lt;&gt;"",_xlpm.MacVal,_xlpm.CSVVal&lt;&gt;"",_xlpm.CSVVal
)),"")</f>
        <v/>
      </c>
      <c r="I4" s="2" t="str">
        <f>_xlfn.XLOOKUP(A4,Output_Mac!A:A,Output_Mac!I:I,"")</f>
        <v/>
      </c>
      <c r="J4" s="2" t="str" cm="1">
        <f t="array" ref="J4">IFERROR(_xlfn.LET(
_xlpm.CSVVal,_xlfn.XLOOKUP($A4,CSV!$A:$A,CSV!I:I,""),
_xlpm.MacVal,_xlfn.XLOOKUP($A4,Output_Mac!$A:$A,Output_Mac!J:J,""),
_xlpm.MyAuditVal,_xlfn.XLOOKUP($A4,My_Audit!$A:$A,My_Audit!I:I,""),
_xlfn.IFS(_xlpm.MyAuditVal&lt;&gt;"",UPPER(_xlpm.MyAuditVal),_xlpm.MacVal&lt;&gt;"",_xlpm.MacVal,_xlpm.CSVVal&lt;&gt;"",_xlpm.CSVVal
)),"")</f>
        <v/>
      </c>
      <c r="K4" s="2" t="str" cm="1">
        <f t="array" ref="K4">IFERROR(_xlfn.LET(
_xlpm.CSVVal,_xlfn.XLOOKUP($A4,CSV!$A:$A,CSV!K:K,""),
_xlpm.MacVal,_xlfn.XLOOKUP($A4,Output_Mac!$A:$A,Output_Mac!K:K,""),
_xlpm.MyAuditVal,_xlfn.XLOOKUP($A4,My_Audit!$A:$A,My_Audit!J:J,""),
_xlfn.IFS(_xlpm.MyAuditVal&lt;&gt;"",UPPER(_xlpm.MyAuditVal),_xlpm.MacVal&lt;&gt;"",_xlpm.MacVal,_xlpm.CSVVal&lt;&gt;"",_xlpm.CSVVal
)),"")</f>
        <v/>
      </c>
      <c r="L4" s="2" t="str" cm="1">
        <f t="array" ref="L4">IFERROR(_xlfn.LET(
_xlpm.CSVVal,_xlfn.XLOOKUP($A4,CSV!$A:$A,CSV!P:P,""),
_xlpm.MacVal,_xlfn.XLOOKUP($A4,Output_Mac!$A:$A,Output_Mac!L:L,""),
_xlpm.MyAuditVal,_xlfn.XLOOKUP($A4,My_Audit!$A:$A,My_Audit!K:K,""),
_xlfn.IFS(_xlpm.MyAuditVal&lt;&gt;"",UPPER(_xlpm.MyAuditVal),_xlpm.MacVal&lt;&gt;"",_xlpm.MacVal,_xlpm.CSVVal&lt;&gt;"",_xlpm.CSVVal
)),"")</f>
        <v/>
      </c>
      <c r="M4" s="2" t="str" cm="1">
        <f t="array" ref="M4">IFERROR(_xlfn.LET(
_xlpm.CSVVal,_xlfn.XLOOKUP($A4,CSV!$A:$A,CSV!Q:Q,""),
_xlpm.MacVal,_xlfn.XLOOKUP($A4,Output_Mac!$A:$A,Output_Mac!M:M,""),
_xlpm.MyAuditVal,_xlfn.XLOOKUP($A4,My_Audit!$A:$A,My_Audit!L:L,""),
_xlfn.IFS(_xlpm.MyAuditVal&lt;&gt;"",UPPER(_xlpm.MyAuditVal),_xlpm.MacVal&lt;&gt;"",_xlpm.MacVal,_xlpm.CSVVal&lt;&gt;"",_xlpm.CSVVal
)),"")</f>
        <v/>
      </c>
      <c r="O4" s="2" t="str">
        <f>_xlfn.LET(
    _xlpm.CSVVal, _xlfn.XLOOKUP($A4, CSV!$A:$A, CSV!AC:AC, ""),
    _xlpm.MacVal, _xlfn.XLOOKUP($A4, Output_Mac!$A:$A, Output_Mac!S:S, ""),
    _xlpm.MyAuditVal, _xlfn.XLOOKUP($A4, My_Audit!$A:$A, My_Audit!P:P, ""),
    _xlfn.TEXTJOIN(", ", TRUE, _xlpm.MyAuditVal, _xlpm.MacVal, _xlpm.CSVVal)
)</f>
        <v/>
      </c>
      <c r="P4" s="2" t="str" cm="1">
        <f t="array" ref="P4">IFERROR(_xlfn.LET(
_xlpm.CSVVal,_xlfn.XLOOKUP($A4,CSV!$A:$A,CSV!AD:AD,""),
_xlpm.MacVal,_xlfn.XLOOKUP($A4,Output_Mac!$A:$A,Output_Mac!T:T,""),
_xlpm.MyAuditVal,_xlfn.XLOOKUP($A4,My_Audit!$A:$A,My_Audit!Q:Q,""),
_xlfn.IFS(_xlpm.MyAuditVal&lt;&gt;"",UPPER(_xlpm.MyAuditVal),_xlpm.MacVal&lt;&gt;"",_xlpm.MacVal,_xlpm.CSVVal&lt;&gt;"",_xlpm.CSVVal
)),"No")</f>
        <v>No</v>
      </c>
      <c r="Q4" s="2" t="str" cm="1">
        <f t="array" ref="Q4">IFERROR(_xlfn.LET(
_xlpm.CSVVal,_xlfn.XLOOKUP($A4,CSV!$A:$A,CSV!AE:AE,""),
_xlpm.MacVal,_xlfn.XLOOKUP($A4,Output_Mac!$A:$A,Output_Mac!U:U,""),
_xlpm.MyAuditVal,_xlfn.XLOOKUP($A4,My_Audit!$A:$A,My_Audit!R:R,""),
_xlfn.IFS(_xlpm.MyAuditVal&lt;&gt;"",UPPER(_xlpm.MyAuditVal),_xlpm.MacVal&lt;&gt;"",_xlpm.MacVal,_xlpm.CSVVal&lt;&gt;"",_xlpm.CSVVal
)),"")</f>
        <v/>
      </c>
      <c r="X4" t="str">
        <f>_xlfn.LET(
    _xlpm.MacVal, _xlfn.XLOOKUP($A4, Output_Mac!$A:$A, Output_Mac!AB:AB, ""),
    _xlpm.MyAuditVal, _xlfn.XLOOKUP($A4, My_Audit!$A:$A, My_Audit!N:N, ""),
    _xlfn.TEXTJOIN(", ", TRUE, _xlpm.MyAuditVal, _xlpm.MacVal)
)</f>
        <v/>
      </c>
    </row>
    <row r="5" spans="1:24">
      <c r="A5" s="2" t="str">
        <f>_xlfn.TEXTJOIN("",TRUE,Input!$B$2,"0",ROW(My_Audit!A4))</f>
        <v>X04</v>
      </c>
      <c r="B5" s="2" t="str">
        <f>_xlfn.TEXTJOIN("-",TRUE,"ITD",Input!$A$2,A5)</f>
        <v>ITD-SHR-X04</v>
      </c>
      <c r="C5" s="2" t="str" cm="1">
        <f t="array" ref="C5">IFERROR(_xlfn.LET(
_xlpm.CSVVal,_xlfn.XLOOKUP($A5,CSV!$A:$A,CSV!B:B,""),
_xlpm.MacVal,_xlfn.XLOOKUP($A5,Output_Mac!$A:$A,Output_Mac!B:B,""),
_xlpm.MyAuditVal,_xlfn.XLOOKUP($A5,My_Audit!$A:$A,My_Audit!B:B,""),
_xlfn.IFS(_xlpm.MyAuditVal&lt;&gt;"",UPPER(_xlpm.MyAuditVal),_xlpm.MacVal&lt;&gt;"",_xlpm.MacVal,_xlpm.CSVVal&lt;&gt;"",_xlpm.CSVVal
)),"")</f>
        <v/>
      </c>
      <c r="D5" s="2" t="str" cm="1">
        <f t="array" ref="D5">IFERROR(_xlfn.LET(
_xlpm.CSVVal,_xlfn.XLOOKUP($A5,CSV!$A:$A,CSV!D:D,""),
_xlpm.MacVal,_xlfn.XLOOKUP($A5,Output_Mac!$A:$A,Output_Mac!C:C,""),
_xlpm.MyAuditVal,_xlfn.XLOOKUP($A5,My_Audit!$A:$A,My_Audit!C:C,""),
_xlfn.IFS(_xlpm.MyAuditVal&lt;&gt;"",_xlpm.MyAuditVal,_xlpm.MacVal&lt;&gt;"",_xlpm.MacVal,_xlpm.CSVVal&lt;&gt;"",_xlpm.CSVVal
)),"")</f>
        <v/>
      </c>
      <c r="E5" s="2" t="str">
        <f>_xlfn.XLOOKUP(A5,My_Audit!A:A,My_Audit!D:D,"")&amp;""</f>
        <v/>
      </c>
      <c r="F5" s="2" t="str" cm="1">
        <f t="array" ref="F5">IFERROR(_xlfn.LET(
_xlpm.CSVVal,_xlfn.XLOOKUP($A5,CSV!$A:$A,CSV!F:F,""),
_xlpm.MacVal,_xlfn.XLOOKUP($A5,Output_Mac!$A:$A,Output_Mac!E:E,""),
_xlpm.MyAuditVal,_xlfn.XLOOKUP($A5,My_Audit!$A:$A,My_Audit!E:E,""),
_xlfn.IFS(_xlpm.MyAuditVal&lt;&gt;"",_xlpm.MyAuditVal,_xlpm.MacVal&lt;&gt;"",_xlpm.MacVal,_xlpm.CSVVal&lt;&gt;"",_xlpm.CSVVal
)),"")</f>
        <v/>
      </c>
      <c r="G5" s="2" t="str" cm="1">
        <f t="array" ref="G5">IFERROR(_xlfn.LET(
_xlpm.CSVVal,_xlfn.XLOOKUP($A5,CSV!$A:$A,CSV!G:G,""),
_xlpm.MacVal,_xlfn.XLOOKUP($A5,Output_Mac!$A:$A,Output_Mac!F:F,""),
_xlpm.MyAuditVal,_xlfn.XLOOKUP($A5,My_Audit!$A:$A,My_Audit!F:F,""),
_xlfn.IFS(_xlpm.MyAuditVal&lt;&gt;"",_xlpm.MyAuditVal,_xlpm.MacVal&lt;&gt;"",_xlpm.MacVal,_xlpm.CSVVal&lt;&gt;"",PROPER(_xlpm.CSVVal)
)),"")</f>
        <v/>
      </c>
      <c r="H5" s="2" t="str" cm="1">
        <f t="array" ref="H5">IFERROR(_xlfn.LET(
_xlpm.CSVVal,_xlfn.XLOOKUP($A5,CSV!$A:$A,CSV!H:H,""),
_xlpm.MacVal,_xlfn.XLOOKUP($A5,Output_Mac!$A:$A,Output_Mac!H:H,""),
_xlpm.MyAuditVal,_xlfn.XLOOKUP($A5,My_Audit!$A:$A,My_Audit!G:G,""),
_xlfn.IFS(_xlpm.MyAuditVal&lt;&gt;"",_xlpm.MyAuditVal,_xlpm.MacVal&lt;&gt;"",_xlpm.MacVal,_xlpm.CSVVal&lt;&gt;"",_xlpm.CSVVal
)),"")</f>
        <v/>
      </c>
      <c r="I5" s="2" t="str">
        <f>_xlfn.XLOOKUP(A5,Output_Mac!A:A,Output_Mac!I:I,"")</f>
        <v/>
      </c>
      <c r="J5" s="2" t="str" cm="1">
        <f t="array" ref="J5">IFERROR(_xlfn.LET(
_xlpm.CSVVal,_xlfn.XLOOKUP($A5,CSV!$A:$A,CSV!I:I,""),
_xlpm.MacVal,_xlfn.XLOOKUP($A5,Output_Mac!$A:$A,Output_Mac!J:J,""),
_xlpm.MyAuditVal,_xlfn.XLOOKUP($A5,My_Audit!$A:$A,My_Audit!I:I,""),
_xlfn.IFS(_xlpm.MyAuditVal&lt;&gt;"",UPPER(_xlpm.MyAuditVal),_xlpm.MacVal&lt;&gt;"",_xlpm.MacVal,_xlpm.CSVVal&lt;&gt;"",_xlpm.CSVVal
)),"")</f>
        <v/>
      </c>
      <c r="K5" s="2" t="str" cm="1">
        <f t="array" ref="K5">IFERROR(_xlfn.LET(
_xlpm.CSVVal,_xlfn.XLOOKUP($A5,CSV!$A:$A,CSV!K:K,""),
_xlpm.MacVal,_xlfn.XLOOKUP($A5,Output_Mac!$A:$A,Output_Mac!K:K,""),
_xlpm.MyAuditVal,_xlfn.XLOOKUP($A5,My_Audit!$A:$A,My_Audit!J:J,""),
_xlfn.IFS(_xlpm.MyAuditVal&lt;&gt;"",UPPER(_xlpm.MyAuditVal),_xlpm.MacVal&lt;&gt;"",_xlpm.MacVal,_xlpm.CSVVal&lt;&gt;"",_xlpm.CSVVal
)),"")</f>
        <v/>
      </c>
      <c r="L5" s="2" t="str" cm="1">
        <f t="array" ref="L5">IFERROR(_xlfn.LET(
_xlpm.CSVVal,_xlfn.XLOOKUP($A5,CSV!$A:$A,CSV!P:P,""),
_xlpm.MacVal,_xlfn.XLOOKUP($A5,Output_Mac!$A:$A,Output_Mac!L:L,""),
_xlpm.MyAuditVal,_xlfn.XLOOKUP($A5,My_Audit!$A:$A,My_Audit!K:K,""),
_xlfn.IFS(_xlpm.MyAuditVal&lt;&gt;"",UPPER(_xlpm.MyAuditVal),_xlpm.MacVal&lt;&gt;"",_xlpm.MacVal,_xlpm.CSVVal&lt;&gt;"",_xlpm.CSVVal
)),"")</f>
        <v/>
      </c>
      <c r="M5" s="2" t="str" cm="1">
        <f t="array" ref="M5">IFERROR(_xlfn.LET(
_xlpm.CSVVal,_xlfn.XLOOKUP($A5,CSV!$A:$A,CSV!Q:Q,""),
_xlpm.MacVal,_xlfn.XLOOKUP($A5,Output_Mac!$A:$A,Output_Mac!M:M,""),
_xlpm.MyAuditVal,_xlfn.XLOOKUP($A5,My_Audit!$A:$A,My_Audit!L:L,""),
_xlfn.IFS(_xlpm.MyAuditVal&lt;&gt;"",UPPER(_xlpm.MyAuditVal),_xlpm.MacVal&lt;&gt;"",_xlpm.MacVal,_xlpm.CSVVal&lt;&gt;"",_xlpm.CSVVal
)),"")</f>
        <v/>
      </c>
      <c r="O5" s="2" t="str">
        <f>_xlfn.LET(
    _xlpm.CSVVal, _xlfn.XLOOKUP($A5, CSV!$A:$A, CSV!AC:AC, ""),
    _xlpm.MacVal, _xlfn.XLOOKUP($A5, Output_Mac!$A:$A, Output_Mac!S:S, ""),
    _xlpm.MyAuditVal, _xlfn.XLOOKUP($A5, My_Audit!$A:$A, My_Audit!P:P, ""),
    _xlfn.TEXTJOIN(", ", TRUE, _xlpm.MyAuditVal, _xlpm.MacVal, _xlpm.CSVVal)
)</f>
        <v/>
      </c>
      <c r="P5" s="2" t="str" cm="1">
        <f t="array" ref="P5">IFERROR(_xlfn.LET(
_xlpm.CSVVal,_xlfn.XLOOKUP($A5,CSV!$A:$A,CSV!AD:AD,""),
_xlpm.MacVal,_xlfn.XLOOKUP($A5,Output_Mac!$A:$A,Output_Mac!T:T,""),
_xlpm.MyAuditVal,_xlfn.XLOOKUP($A5,My_Audit!$A:$A,My_Audit!Q:Q,""),
_xlfn.IFS(_xlpm.MyAuditVal&lt;&gt;"",UPPER(_xlpm.MyAuditVal),_xlpm.MacVal&lt;&gt;"",_xlpm.MacVal,_xlpm.CSVVal&lt;&gt;"",_xlpm.CSVVal
)),"No")</f>
        <v>No</v>
      </c>
      <c r="Q5" s="2" t="str" cm="1">
        <f t="array" ref="Q5">IFERROR(_xlfn.LET(
_xlpm.CSVVal,_xlfn.XLOOKUP($A5,CSV!$A:$A,CSV!AE:AE,""),
_xlpm.MacVal,_xlfn.XLOOKUP($A5,Output_Mac!$A:$A,Output_Mac!U:U,""),
_xlpm.MyAuditVal,_xlfn.XLOOKUP($A5,My_Audit!$A:$A,My_Audit!R:R,""),
_xlfn.IFS(_xlpm.MyAuditVal&lt;&gt;"",UPPER(_xlpm.MyAuditVal),_xlpm.MacVal&lt;&gt;"",_xlpm.MacVal,_xlpm.CSVVal&lt;&gt;"",_xlpm.CSVVal
)),"")</f>
        <v/>
      </c>
      <c r="X5" t="str">
        <f>_xlfn.LET(
    _xlpm.MacVal, _xlfn.XLOOKUP($A5, Output_Mac!$A:$A, Output_Mac!AB:AB, ""),
    _xlpm.MyAuditVal, _xlfn.XLOOKUP($A5, My_Audit!$A:$A, My_Audit!N:N, ""),
    _xlfn.TEXTJOIN(", ", TRUE, _xlpm.MyAuditVal, _xlpm.MacVal)
)</f>
        <v/>
      </c>
    </row>
    <row r="6" spans="1:24">
      <c r="A6" s="2" t="str">
        <f>_xlfn.TEXTJOIN("",TRUE,Input!$B$2,"0",ROW(My_Audit!A5))</f>
        <v>X05</v>
      </c>
      <c r="B6" s="2" t="str">
        <f>_xlfn.TEXTJOIN("-",TRUE,"ITD",Input!$A$2,A6)</f>
        <v>ITD-SHR-X05</v>
      </c>
      <c r="C6" s="2" t="str" cm="1">
        <f t="array" ref="C6">IFERROR(_xlfn.LET(
_xlpm.CSVVal,_xlfn.XLOOKUP($A6,CSV!$A:$A,CSV!B:B,""),
_xlpm.MacVal,_xlfn.XLOOKUP($A6,Output_Mac!$A:$A,Output_Mac!B:B,""),
_xlpm.MyAuditVal,_xlfn.XLOOKUP($A6,My_Audit!$A:$A,My_Audit!B:B,""),
_xlfn.IFS(_xlpm.MyAuditVal&lt;&gt;"",UPPER(_xlpm.MyAuditVal),_xlpm.MacVal&lt;&gt;"",_xlpm.MacVal,_xlpm.CSVVal&lt;&gt;"",_xlpm.CSVVal
)),"")</f>
        <v/>
      </c>
      <c r="D6" s="2" t="str" cm="1">
        <f t="array" ref="D6">IFERROR(_xlfn.LET(
_xlpm.CSVVal,_xlfn.XLOOKUP($A6,CSV!$A:$A,CSV!D:D,""),
_xlpm.MacVal,_xlfn.XLOOKUP($A6,Output_Mac!$A:$A,Output_Mac!C:C,""),
_xlpm.MyAuditVal,_xlfn.XLOOKUP($A6,My_Audit!$A:$A,My_Audit!C:C,""),
_xlfn.IFS(_xlpm.MyAuditVal&lt;&gt;"",_xlpm.MyAuditVal,_xlpm.MacVal&lt;&gt;"",_xlpm.MacVal,_xlpm.CSVVal&lt;&gt;"",_xlpm.CSVVal
)),"")</f>
        <v/>
      </c>
      <c r="E6" s="2" t="str">
        <f>_xlfn.XLOOKUP(A6,My_Audit!A:A,My_Audit!D:D,"")&amp;""</f>
        <v/>
      </c>
      <c r="F6" s="2" t="str" cm="1">
        <f t="array" ref="F6">IFERROR(_xlfn.LET(
_xlpm.CSVVal,_xlfn.XLOOKUP($A6,CSV!$A:$A,CSV!F:F,""),
_xlpm.MacVal,_xlfn.XLOOKUP($A6,Output_Mac!$A:$A,Output_Mac!E:E,""),
_xlpm.MyAuditVal,_xlfn.XLOOKUP($A6,My_Audit!$A:$A,My_Audit!E:E,""),
_xlfn.IFS(_xlpm.MyAuditVal&lt;&gt;"",_xlpm.MyAuditVal,_xlpm.MacVal&lt;&gt;"",_xlpm.MacVal,_xlpm.CSVVal&lt;&gt;"",_xlpm.CSVVal
)),"")</f>
        <v/>
      </c>
      <c r="G6" s="2" t="str" cm="1">
        <f t="array" ref="G6">IFERROR(_xlfn.LET(
_xlpm.CSVVal,_xlfn.XLOOKUP($A6,CSV!$A:$A,CSV!G:G,""),
_xlpm.MacVal,_xlfn.XLOOKUP($A6,Output_Mac!$A:$A,Output_Mac!F:F,""),
_xlpm.MyAuditVal,_xlfn.XLOOKUP($A6,My_Audit!$A:$A,My_Audit!F:F,""),
_xlfn.IFS(_xlpm.MyAuditVal&lt;&gt;"",_xlpm.MyAuditVal,_xlpm.MacVal&lt;&gt;"",_xlpm.MacVal,_xlpm.CSVVal&lt;&gt;"",PROPER(_xlpm.CSVVal)
)),"")</f>
        <v/>
      </c>
      <c r="H6" s="2" t="str" cm="1">
        <f t="array" ref="H6">IFERROR(_xlfn.LET(
_xlpm.CSVVal,_xlfn.XLOOKUP($A6,CSV!$A:$A,CSV!H:H,""),
_xlpm.MacVal,_xlfn.XLOOKUP($A6,Output_Mac!$A:$A,Output_Mac!H:H,""),
_xlpm.MyAuditVal,_xlfn.XLOOKUP($A6,My_Audit!$A:$A,My_Audit!G:G,""),
_xlfn.IFS(_xlpm.MyAuditVal&lt;&gt;"",_xlpm.MyAuditVal,_xlpm.MacVal&lt;&gt;"",_xlpm.MacVal,_xlpm.CSVVal&lt;&gt;"",_xlpm.CSVVal
)),"")</f>
        <v/>
      </c>
      <c r="I6" s="2" t="str">
        <f>_xlfn.XLOOKUP(A6,Output_Mac!A:A,Output_Mac!I:I,"")</f>
        <v/>
      </c>
      <c r="J6" s="2" t="str" cm="1">
        <f t="array" ref="J6">IFERROR(_xlfn.LET(
_xlpm.CSVVal,_xlfn.XLOOKUP($A6,CSV!$A:$A,CSV!I:I,""),
_xlpm.MacVal,_xlfn.XLOOKUP($A6,Output_Mac!$A:$A,Output_Mac!J:J,""),
_xlpm.MyAuditVal,_xlfn.XLOOKUP($A6,My_Audit!$A:$A,My_Audit!I:I,""),
_xlfn.IFS(_xlpm.MyAuditVal&lt;&gt;"",UPPER(_xlpm.MyAuditVal),_xlpm.MacVal&lt;&gt;"",_xlpm.MacVal,_xlpm.CSVVal&lt;&gt;"",_xlpm.CSVVal
)),"")</f>
        <v/>
      </c>
      <c r="K6" s="2" t="str" cm="1">
        <f t="array" ref="K6">IFERROR(_xlfn.LET(
_xlpm.CSVVal,_xlfn.XLOOKUP($A6,CSV!$A:$A,CSV!K:K,""),
_xlpm.MacVal,_xlfn.XLOOKUP($A6,Output_Mac!$A:$A,Output_Mac!K:K,""),
_xlpm.MyAuditVal,_xlfn.XLOOKUP($A6,My_Audit!$A:$A,My_Audit!J:J,""),
_xlfn.IFS(_xlpm.MyAuditVal&lt;&gt;"",UPPER(_xlpm.MyAuditVal),_xlpm.MacVal&lt;&gt;"",_xlpm.MacVal,_xlpm.CSVVal&lt;&gt;"",_xlpm.CSVVal
)),"")</f>
        <v/>
      </c>
      <c r="L6" s="2" t="str" cm="1">
        <f t="array" ref="L6">IFERROR(_xlfn.LET(
_xlpm.CSVVal,_xlfn.XLOOKUP($A6,CSV!$A:$A,CSV!P:P,""),
_xlpm.MacVal,_xlfn.XLOOKUP($A6,Output_Mac!$A:$A,Output_Mac!L:L,""),
_xlpm.MyAuditVal,_xlfn.XLOOKUP($A6,My_Audit!$A:$A,My_Audit!K:K,""),
_xlfn.IFS(_xlpm.MyAuditVal&lt;&gt;"",UPPER(_xlpm.MyAuditVal),_xlpm.MacVal&lt;&gt;"",_xlpm.MacVal,_xlpm.CSVVal&lt;&gt;"",_xlpm.CSVVal
)),"")</f>
        <v/>
      </c>
      <c r="M6" s="2" t="str" cm="1">
        <f t="array" ref="M6">IFERROR(_xlfn.LET(
_xlpm.CSVVal,_xlfn.XLOOKUP($A6,CSV!$A:$A,CSV!Q:Q,""),
_xlpm.MacVal,_xlfn.XLOOKUP($A6,Output_Mac!$A:$A,Output_Mac!M:M,""),
_xlpm.MyAuditVal,_xlfn.XLOOKUP($A6,My_Audit!$A:$A,My_Audit!L:L,""),
_xlfn.IFS(_xlpm.MyAuditVal&lt;&gt;"",UPPER(_xlpm.MyAuditVal),_xlpm.MacVal&lt;&gt;"",_xlpm.MacVal,_xlpm.CSVVal&lt;&gt;"",_xlpm.CSVVal
)),"")</f>
        <v/>
      </c>
      <c r="O6" s="2" t="str">
        <f>_xlfn.LET(
    _xlpm.CSVVal, _xlfn.XLOOKUP($A6, CSV!$A:$A, CSV!AC:AC, ""),
    _xlpm.MacVal, _xlfn.XLOOKUP($A6, Output_Mac!$A:$A, Output_Mac!S:S, ""),
    _xlpm.MyAuditVal, _xlfn.XLOOKUP($A6, My_Audit!$A:$A, My_Audit!P:P, ""),
    _xlfn.TEXTJOIN(", ", TRUE, _xlpm.MyAuditVal, _xlpm.MacVal, _xlpm.CSVVal)
)</f>
        <v/>
      </c>
      <c r="P6" s="2" t="str" cm="1">
        <f t="array" ref="P6">IFERROR(_xlfn.LET(
_xlpm.CSVVal,_xlfn.XLOOKUP($A6,CSV!$A:$A,CSV!AD:AD,""),
_xlpm.MacVal,_xlfn.XLOOKUP($A6,Output_Mac!$A:$A,Output_Mac!T:T,""),
_xlpm.MyAuditVal,_xlfn.XLOOKUP($A6,My_Audit!$A:$A,My_Audit!Q:Q,""),
_xlfn.IFS(_xlpm.MyAuditVal&lt;&gt;"",UPPER(_xlpm.MyAuditVal),_xlpm.MacVal&lt;&gt;"",_xlpm.MacVal,_xlpm.CSVVal&lt;&gt;"",_xlpm.CSVVal
)),"No")</f>
        <v>No</v>
      </c>
      <c r="Q6" s="2" t="str" cm="1">
        <f t="array" ref="Q6">IFERROR(_xlfn.LET(
_xlpm.CSVVal,_xlfn.XLOOKUP($A6,CSV!$A:$A,CSV!AE:AE,""),
_xlpm.MacVal,_xlfn.XLOOKUP($A6,Output_Mac!$A:$A,Output_Mac!U:U,""),
_xlpm.MyAuditVal,_xlfn.XLOOKUP($A6,My_Audit!$A:$A,My_Audit!R:R,""),
_xlfn.IFS(_xlpm.MyAuditVal&lt;&gt;"",UPPER(_xlpm.MyAuditVal),_xlpm.MacVal&lt;&gt;"",_xlpm.MacVal,_xlpm.CSVVal&lt;&gt;"",_xlpm.CSVVal
)),"")</f>
        <v/>
      </c>
      <c r="X6" t="str">
        <f>_xlfn.LET(
    _xlpm.MacVal, _xlfn.XLOOKUP($A6, Output_Mac!$A:$A, Output_Mac!AB:AB, ""),
    _xlpm.MyAuditVal, _xlfn.XLOOKUP($A6, My_Audit!$A:$A, My_Audit!N:N, ""),
    _xlfn.TEXTJOIN(", ", TRUE, _xlpm.MyAuditVal, _xlpm.MacVal)
)</f>
        <v/>
      </c>
    </row>
    <row r="7" spans="1:24">
      <c r="A7" s="2" t="str">
        <f>_xlfn.TEXTJOIN("",TRUE,Input!$B$2,"0",ROW(My_Audit!A6))</f>
        <v>X06</v>
      </c>
      <c r="B7" s="2" t="str">
        <f>_xlfn.TEXTJOIN("-",TRUE,"ITD",Input!$A$2,A7)</f>
        <v>ITD-SHR-X06</v>
      </c>
      <c r="C7" s="2" t="str" cm="1">
        <f t="array" ref="C7">IFERROR(_xlfn.LET(
_xlpm.CSVVal,_xlfn.XLOOKUP($A7,CSV!$A:$A,CSV!B:B,""),
_xlpm.MacVal,_xlfn.XLOOKUP($A7,Output_Mac!$A:$A,Output_Mac!B:B,""),
_xlpm.MyAuditVal,_xlfn.XLOOKUP($A7,My_Audit!$A:$A,My_Audit!B:B,""),
_xlfn.IFS(_xlpm.MyAuditVal&lt;&gt;"",UPPER(_xlpm.MyAuditVal),_xlpm.MacVal&lt;&gt;"",_xlpm.MacVal,_xlpm.CSVVal&lt;&gt;"",_xlpm.CSVVal
)),"")</f>
        <v/>
      </c>
      <c r="D7" s="2" t="str" cm="1">
        <f t="array" ref="D7">IFERROR(_xlfn.LET(
_xlpm.CSVVal,_xlfn.XLOOKUP($A7,CSV!$A:$A,CSV!D:D,""),
_xlpm.MacVal,_xlfn.XLOOKUP($A7,Output_Mac!$A:$A,Output_Mac!C:C,""),
_xlpm.MyAuditVal,_xlfn.XLOOKUP($A7,My_Audit!$A:$A,My_Audit!C:C,""),
_xlfn.IFS(_xlpm.MyAuditVal&lt;&gt;"",_xlpm.MyAuditVal,_xlpm.MacVal&lt;&gt;"",_xlpm.MacVal,_xlpm.CSVVal&lt;&gt;"",_xlpm.CSVVal
)),"")</f>
        <v/>
      </c>
      <c r="E7" s="2" t="str">
        <f>_xlfn.XLOOKUP(A7,My_Audit!A:A,My_Audit!D:D,"")&amp;""</f>
        <v/>
      </c>
      <c r="F7" s="2" t="str" cm="1">
        <f t="array" ref="F7">IFERROR(_xlfn.LET(
_xlpm.CSVVal,_xlfn.XLOOKUP($A7,CSV!$A:$A,CSV!F:F,""),
_xlpm.MacVal,_xlfn.XLOOKUP($A7,Output_Mac!$A:$A,Output_Mac!E:E,""),
_xlpm.MyAuditVal,_xlfn.XLOOKUP($A7,My_Audit!$A:$A,My_Audit!E:E,""),
_xlfn.IFS(_xlpm.MyAuditVal&lt;&gt;"",_xlpm.MyAuditVal,_xlpm.MacVal&lt;&gt;"",_xlpm.MacVal,_xlpm.CSVVal&lt;&gt;"",_xlpm.CSVVal
)),"")</f>
        <v/>
      </c>
      <c r="G7" s="2" t="str" cm="1">
        <f t="array" ref="G7">IFERROR(_xlfn.LET(
_xlpm.CSVVal,_xlfn.XLOOKUP($A7,CSV!$A:$A,CSV!G:G,""),
_xlpm.MacVal,_xlfn.XLOOKUP($A7,Output_Mac!$A:$A,Output_Mac!F:F,""),
_xlpm.MyAuditVal,_xlfn.XLOOKUP($A7,My_Audit!$A:$A,My_Audit!F:F,""),
_xlfn.IFS(_xlpm.MyAuditVal&lt;&gt;"",_xlpm.MyAuditVal,_xlpm.MacVal&lt;&gt;"",_xlpm.MacVal,_xlpm.CSVVal&lt;&gt;"",PROPER(_xlpm.CSVVal)
)),"")</f>
        <v/>
      </c>
      <c r="H7" s="2" t="str" cm="1">
        <f t="array" ref="H7">IFERROR(_xlfn.LET(
_xlpm.CSVVal,_xlfn.XLOOKUP($A7,CSV!$A:$A,CSV!H:H,""),
_xlpm.MacVal,_xlfn.XLOOKUP($A7,Output_Mac!$A:$A,Output_Mac!H:H,""),
_xlpm.MyAuditVal,_xlfn.XLOOKUP($A7,My_Audit!$A:$A,My_Audit!G:G,""),
_xlfn.IFS(_xlpm.MyAuditVal&lt;&gt;"",_xlpm.MyAuditVal,_xlpm.MacVal&lt;&gt;"",_xlpm.MacVal,_xlpm.CSVVal&lt;&gt;"",_xlpm.CSVVal
)),"")</f>
        <v/>
      </c>
      <c r="I7" s="2" t="str">
        <f>_xlfn.XLOOKUP(A7,Output_Mac!A:A,Output_Mac!I:I,"")</f>
        <v/>
      </c>
      <c r="J7" s="2" t="str" cm="1">
        <f t="array" ref="J7">IFERROR(_xlfn.LET(
_xlpm.CSVVal,_xlfn.XLOOKUP($A7,CSV!$A:$A,CSV!I:I,""),
_xlpm.MacVal,_xlfn.XLOOKUP($A7,Output_Mac!$A:$A,Output_Mac!J:J,""),
_xlpm.MyAuditVal,_xlfn.XLOOKUP($A7,My_Audit!$A:$A,My_Audit!I:I,""),
_xlfn.IFS(_xlpm.MyAuditVal&lt;&gt;"",UPPER(_xlpm.MyAuditVal),_xlpm.MacVal&lt;&gt;"",_xlpm.MacVal,_xlpm.CSVVal&lt;&gt;"",_xlpm.CSVVal
)),"")</f>
        <v/>
      </c>
      <c r="K7" s="2" t="str" cm="1">
        <f t="array" ref="K7">IFERROR(_xlfn.LET(
_xlpm.CSVVal,_xlfn.XLOOKUP($A7,CSV!$A:$A,CSV!K:K,""),
_xlpm.MacVal,_xlfn.XLOOKUP($A7,Output_Mac!$A:$A,Output_Mac!K:K,""),
_xlpm.MyAuditVal,_xlfn.XLOOKUP($A7,My_Audit!$A:$A,My_Audit!J:J,""),
_xlfn.IFS(_xlpm.MyAuditVal&lt;&gt;"",UPPER(_xlpm.MyAuditVal),_xlpm.MacVal&lt;&gt;"",_xlpm.MacVal,_xlpm.CSVVal&lt;&gt;"",_xlpm.CSVVal
)),"")</f>
        <v/>
      </c>
      <c r="L7" s="2" t="str" cm="1">
        <f t="array" ref="L7">IFERROR(_xlfn.LET(
_xlpm.CSVVal,_xlfn.XLOOKUP($A7,CSV!$A:$A,CSV!P:P,""),
_xlpm.MacVal,_xlfn.XLOOKUP($A7,Output_Mac!$A:$A,Output_Mac!L:L,""),
_xlpm.MyAuditVal,_xlfn.XLOOKUP($A7,My_Audit!$A:$A,My_Audit!K:K,""),
_xlfn.IFS(_xlpm.MyAuditVal&lt;&gt;"",UPPER(_xlpm.MyAuditVal),_xlpm.MacVal&lt;&gt;"",_xlpm.MacVal,_xlpm.CSVVal&lt;&gt;"",_xlpm.CSVVal
)),"")</f>
        <v/>
      </c>
      <c r="M7" s="2" t="str" cm="1">
        <f t="array" ref="M7">IFERROR(_xlfn.LET(
_xlpm.CSVVal,_xlfn.XLOOKUP($A7,CSV!$A:$A,CSV!Q:Q,""),
_xlpm.MacVal,_xlfn.XLOOKUP($A7,Output_Mac!$A:$A,Output_Mac!M:M,""),
_xlpm.MyAuditVal,_xlfn.XLOOKUP($A7,My_Audit!$A:$A,My_Audit!L:L,""),
_xlfn.IFS(_xlpm.MyAuditVal&lt;&gt;"",UPPER(_xlpm.MyAuditVal),_xlpm.MacVal&lt;&gt;"",_xlpm.MacVal,_xlpm.CSVVal&lt;&gt;"",_xlpm.CSVVal
)),"")</f>
        <v/>
      </c>
      <c r="O7" s="2" t="str">
        <f>_xlfn.LET(
    _xlpm.CSVVal, _xlfn.XLOOKUP($A7, CSV!$A:$A, CSV!AC:AC, ""),
    _xlpm.MacVal, _xlfn.XLOOKUP($A7, Output_Mac!$A:$A, Output_Mac!S:S, ""),
    _xlpm.MyAuditVal, _xlfn.XLOOKUP($A7, My_Audit!$A:$A, My_Audit!P:P, ""),
    _xlfn.TEXTJOIN(", ", TRUE, _xlpm.MyAuditVal, _xlpm.MacVal, _xlpm.CSVVal)
)</f>
        <v/>
      </c>
      <c r="P7" s="2" t="str" cm="1">
        <f t="array" ref="P7">IFERROR(_xlfn.LET(
_xlpm.CSVVal,_xlfn.XLOOKUP($A7,CSV!$A:$A,CSV!AD:AD,""),
_xlpm.MacVal,_xlfn.XLOOKUP($A7,Output_Mac!$A:$A,Output_Mac!T:T,""),
_xlpm.MyAuditVal,_xlfn.XLOOKUP($A7,My_Audit!$A:$A,My_Audit!Q:Q,""),
_xlfn.IFS(_xlpm.MyAuditVal&lt;&gt;"",UPPER(_xlpm.MyAuditVal),_xlpm.MacVal&lt;&gt;"",_xlpm.MacVal,_xlpm.CSVVal&lt;&gt;"",_xlpm.CSVVal
)),"No")</f>
        <v>No</v>
      </c>
      <c r="Q7" s="2" t="str" cm="1">
        <f t="array" ref="Q7">IFERROR(_xlfn.LET(
_xlpm.CSVVal,_xlfn.XLOOKUP($A7,CSV!$A:$A,CSV!AE:AE,""),
_xlpm.MacVal,_xlfn.XLOOKUP($A7,Output_Mac!$A:$A,Output_Mac!U:U,""),
_xlpm.MyAuditVal,_xlfn.XLOOKUP($A7,My_Audit!$A:$A,My_Audit!R:R,""),
_xlfn.IFS(_xlpm.MyAuditVal&lt;&gt;"",UPPER(_xlpm.MyAuditVal),_xlpm.MacVal&lt;&gt;"",_xlpm.MacVal,_xlpm.CSVVal&lt;&gt;"",_xlpm.CSVVal
)),"")</f>
        <v/>
      </c>
      <c r="X7" t="str">
        <f>_xlfn.LET(
    _xlpm.MacVal, _xlfn.XLOOKUP($A7, Output_Mac!$A:$A, Output_Mac!AB:AB, ""),
    _xlpm.MyAuditVal, _xlfn.XLOOKUP($A7, My_Audit!$A:$A, My_Audit!N:N, ""),
    _xlfn.TEXTJOIN(", ", TRUE, _xlpm.MyAuditVal, _xlpm.MacVal)
)</f>
        <v/>
      </c>
    </row>
    <row r="8" spans="1:24">
      <c r="A8" s="2" t="str">
        <f>_xlfn.TEXTJOIN("",TRUE,Input!$B$2,"0",ROW(My_Audit!A7))</f>
        <v>X07</v>
      </c>
      <c r="B8" s="2" t="str">
        <f>_xlfn.TEXTJOIN("-",TRUE,"ITD",Input!$A$2,A8)</f>
        <v>ITD-SHR-X07</v>
      </c>
      <c r="C8" s="2" t="str" cm="1">
        <f t="array" ref="C8">IFERROR(_xlfn.LET(
_xlpm.CSVVal,_xlfn.XLOOKUP($A8,CSV!$A:$A,CSV!B:B,""),
_xlpm.MacVal,_xlfn.XLOOKUP($A8,Output_Mac!$A:$A,Output_Mac!B:B,""),
_xlpm.MyAuditVal,_xlfn.XLOOKUP($A8,My_Audit!$A:$A,My_Audit!B:B,""),
_xlfn.IFS(_xlpm.MyAuditVal&lt;&gt;"",UPPER(_xlpm.MyAuditVal),_xlpm.MacVal&lt;&gt;"",_xlpm.MacVal,_xlpm.CSVVal&lt;&gt;"",_xlpm.CSVVal
)),"")</f>
        <v/>
      </c>
      <c r="D8" s="2" t="str" cm="1">
        <f t="array" ref="D8">IFERROR(_xlfn.LET(
_xlpm.CSVVal,_xlfn.XLOOKUP($A8,CSV!$A:$A,CSV!D:D,""),
_xlpm.MacVal,_xlfn.XLOOKUP($A8,Output_Mac!$A:$A,Output_Mac!C:C,""),
_xlpm.MyAuditVal,_xlfn.XLOOKUP($A8,My_Audit!$A:$A,My_Audit!C:C,""),
_xlfn.IFS(_xlpm.MyAuditVal&lt;&gt;"",_xlpm.MyAuditVal,_xlpm.MacVal&lt;&gt;"",_xlpm.MacVal,_xlpm.CSVVal&lt;&gt;"",_xlpm.CSVVal
)),"")</f>
        <v/>
      </c>
      <c r="E8" s="2" t="str">
        <f>_xlfn.XLOOKUP(A8,My_Audit!A:A,My_Audit!D:D,"")&amp;""</f>
        <v/>
      </c>
      <c r="F8" s="2" t="str" cm="1">
        <f t="array" ref="F8">IFERROR(_xlfn.LET(
_xlpm.CSVVal,_xlfn.XLOOKUP($A8,CSV!$A:$A,CSV!F:F,""),
_xlpm.MacVal,_xlfn.XLOOKUP($A8,Output_Mac!$A:$A,Output_Mac!E:E,""),
_xlpm.MyAuditVal,_xlfn.XLOOKUP($A8,My_Audit!$A:$A,My_Audit!E:E,""),
_xlfn.IFS(_xlpm.MyAuditVal&lt;&gt;"",_xlpm.MyAuditVal,_xlpm.MacVal&lt;&gt;"",_xlpm.MacVal,_xlpm.CSVVal&lt;&gt;"",_xlpm.CSVVal
)),"")</f>
        <v/>
      </c>
      <c r="G8" s="2" t="str" cm="1">
        <f t="array" ref="G8">IFERROR(_xlfn.LET(
_xlpm.CSVVal,_xlfn.XLOOKUP($A8,CSV!$A:$A,CSV!G:G,""),
_xlpm.MacVal,_xlfn.XLOOKUP($A8,Output_Mac!$A:$A,Output_Mac!F:F,""),
_xlpm.MyAuditVal,_xlfn.XLOOKUP($A8,My_Audit!$A:$A,My_Audit!F:F,""),
_xlfn.IFS(_xlpm.MyAuditVal&lt;&gt;"",_xlpm.MyAuditVal,_xlpm.MacVal&lt;&gt;"",_xlpm.MacVal,_xlpm.CSVVal&lt;&gt;"",PROPER(_xlpm.CSVVal)
)),"")</f>
        <v/>
      </c>
      <c r="H8" s="2" t="str" cm="1">
        <f t="array" ref="H8">IFERROR(_xlfn.LET(
_xlpm.CSVVal,_xlfn.XLOOKUP($A8,CSV!$A:$A,CSV!H:H,""),
_xlpm.MacVal,_xlfn.XLOOKUP($A8,Output_Mac!$A:$A,Output_Mac!H:H,""),
_xlpm.MyAuditVal,_xlfn.XLOOKUP($A8,My_Audit!$A:$A,My_Audit!G:G,""),
_xlfn.IFS(_xlpm.MyAuditVal&lt;&gt;"",_xlpm.MyAuditVal,_xlpm.MacVal&lt;&gt;"",_xlpm.MacVal,_xlpm.CSVVal&lt;&gt;"",_xlpm.CSVVal
)),"")</f>
        <v/>
      </c>
      <c r="I8" s="2" t="str">
        <f>_xlfn.XLOOKUP(A8,Output_Mac!A:A,Output_Mac!I:I,"")</f>
        <v/>
      </c>
      <c r="J8" s="2" t="str" cm="1">
        <f t="array" ref="J8">IFERROR(_xlfn.LET(
_xlpm.CSVVal,_xlfn.XLOOKUP($A8,CSV!$A:$A,CSV!I:I,""),
_xlpm.MacVal,_xlfn.XLOOKUP($A8,Output_Mac!$A:$A,Output_Mac!J:J,""),
_xlpm.MyAuditVal,_xlfn.XLOOKUP($A8,My_Audit!$A:$A,My_Audit!I:I,""),
_xlfn.IFS(_xlpm.MyAuditVal&lt;&gt;"",UPPER(_xlpm.MyAuditVal),_xlpm.MacVal&lt;&gt;"",_xlpm.MacVal,_xlpm.CSVVal&lt;&gt;"",_xlpm.CSVVal
)),"")</f>
        <v/>
      </c>
      <c r="K8" s="2" t="str" cm="1">
        <f t="array" ref="K8">IFERROR(_xlfn.LET(
_xlpm.CSVVal,_xlfn.XLOOKUP($A8,CSV!$A:$A,CSV!K:K,""),
_xlpm.MacVal,_xlfn.XLOOKUP($A8,Output_Mac!$A:$A,Output_Mac!K:K,""),
_xlpm.MyAuditVal,_xlfn.XLOOKUP($A8,My_Audit!$A:$A,My_Audit!J:J,""),
_xlfn.IFS(_xlpm.MyAuditVal&lt;&gt;"",UPPER(_xlpm.MyAuditVal),_xlpm.MacVal&lt;&gt;"",_xlpm.MacVal,_xlpm.CSVVal&lt;&gt;"",_xlpm.CSVVal
)),"")</f>
        <v/>
      </c>
      <c r="L8" s="2" t="str" cm="1">
        <f t="array" ref="L8">IFERROR(_xlfn.LET(
_xlpm.CSVVal,_xlfn.XLOOKUP($A8,CSV!$A:$A,CSV!P:P,""),
_xlpm.MacVal,_xlfn.XLOOKUP($A8,Output_Mac!$A:$A,Output_Mac!L:L,""),
_xlpm.MyAuditVal,_xlfn.XLOOKUP($A8,My_Audit!$A:$A,My_Audit!K:K,""),
_xlfn.IFS(_xlpm.MyAuditVal&lt;&gt;"",UPPER(_xlpm.MyAuditVal),_xlpm.MacVal&lt;&gt;"",_xlpm.MacVal,_xlpm.CSVVal&lt;&gt;"",_xlpm.CSVVal
)),"")</f>
        <v/>
      </c>
      <c r="M8" s="2" t="str" cm="1">
        <f t="array" ref="M8">IFERROR(_xlfn.LET(
_xlpm.CSVVal,_xlfn.XLOOKUP($A8,CSV!$A:$A,CSV!Q:Q,""),
_xlpm.MacVal,_xlfn.XLOOKUP($A8,Output_Mac!$A:$A,Output_Mac!M:M,""),
_xlpm.MyAuditVal,_xlfn.XLOOKUP($A8,My_Audit!$A:$A,My_Audit!L:L,""),
_xlfn.IFS(_xlpm.MyAuditVal&lt;&gt;"",UPPER(_xlpm.MyAuditVal),_xlpm.MacVal&lt;&gt;"",_xlpm.MacVal,_xlpm.CSVVal&lt;&gt;"",_xlpm.CSVVal
)),"")</f>
        <v/>
      </c>
      <c r="O8" s="2" t="str">
        <f>_xlfn.LET(
    _xlpm.CSVVal, _xlfn.XLOOKUP($A8, CSV!$A:$A, CSV!AC:AC, ""),
    _xlpm.MacVal, _xlfn.XLOOKUP($A8, Output_Mac!$A:$A, Output_Mac!S:S, ""),
    _xlpm.MyAuditVal, _xlfn.XLOOKUP($A8, My_Audit!$A:$A, My_Audit!P:P, ""),
    _xlfn.TEXTJOIN(", ", TRUE, _xlpm.MyAuditVal, _xlpm.MacVal, _xlpm.CSVVal)
)</f>
        <v/>
      </c>
      <c r="P8" s="2" t="str" cm="1">
        <f t="array" ref="P8">IFERROR(_xlfn.LET(
_xlpm.CSVVal,_xlfn.XLOOKUP($A8,CSV!$A:$A,CSV!AD:AD,""),
_xlpm.MacVal,_xlfn.XLOOKUP($A8,Output_Mac!$A:$A,Output_Mac!T:T,""),
_xlpm.MyAuditVal,_xlfn.XLOOKUP($A8,My_Audit!$A:$A,My_Audit!Q:Q,""),
_xlfn.IFS(_xlpm.MyAuditVal&lt;&gt;"",UPPER(_xlpm.MyAuditVal),_xlpm.MacVal&lt;&gt;"",_xlpm.MacVal,_xlpm.CSVVal&lt;&gt;"",_xlpm.CSVVal
)),"No")</f>
        <v>No</v>
      </c>
      <c r="Q8" s="2" t="str" cm="1">
        <f t="array" ref="Q8">IFERROR(_xlfn.LET(
_xlpm.CSVVal,_xlfn.XLOOKUP($A8,CSV!$A:$A,CSV!AE:AE,""),
_xlpm.MacVal,_xlfn.XLOOKUP($A8,Output_Mac!$A:$A,Output_Mac!U:U,""),
_xlpm.MyAuditVal,_xlfn.XLOOKUP($A8,My_Audit!$A:$A,My_Audit!R:R,""),
_xlfn.IFS(_xlpm.MyAuditVal&lt;&gt;"",UPPER(_xlpm.MyAuditVal),_xlpm.MacVal&lt;&gt;"",_xlpm.MacVal,_xlpm.CSVVal&lt;&gt;"",_xlpm.CSVVal
)),"")</f>
        <v/>
      </c>
      <c r="X8" t="str">
        <f>_xlfn.LET(
    _xlpm.MacVal, _xlfn.XLOOKUP($A8, Output_Mac!$A:$A, Output_Mac!AB:AB, ""),
    _xlpm.MyAuditVal, _xlfn.XLOOKUP($A8, My_Audit!$A:$A, My_Audit!N:N, ""),
    _xlfn.TEXTJOIN(", ", TRUE, _xlpm.MyAuditVal, _xlpm.MacVal)
)</f>
        <v/>
      </c>
    </row>
    <row r="9" spans="1:24">
      <c r="A9" s="2" t="str">
        <f>_xlfn.TEXTJOIN("",TRUE,Input!$B$2,"0",ROW(My_Audit!A8))</f>
        <v>X08</v>
      </c>
      <c r="B9" s="2" t="str">
        <f>_xlfn.TEXTJOIN("-",TRUE,"ITD",Input!$A$2,A9)</f>
        <v>ITD-SHR-X08</v>
      </c>
      <c r="C9" s="2" t="str" cm="1">
        <f t="array" ref="C9">IFERROR(_xlfn.LET(
_xlpm.CSVVal,_xlfn.XLOOKUP($A9,CSV!$A:$A,CSV!B:B,""),
_xlpm.MacVal,_xlfn.XLOOKUP($A9,Output_Mac!$A:$A,Output_Mac!B:B,""),
_xlpm.MyAuditVal,_xlfn.XLOOKUP($A9,My_Audit!$A:$A,My_Audit!B:B,""),
_xlfn.IFS(_xlpm.MyAuditVal&lt;&gt;"",UPPER(_xlpm.MyAuditVal),_xlpm.MacVal&lt;&gt;"",_xlpm.MacVal,_xlpm.CSVVal&lt;&gt;"",_xlpm.CSVVal
)),"")</f>
        <v/>
      </c>
      <c r="D9" s="2" t="str" cm="1">
        <f t="array" ref="D9">IFERROR(_xlfn.LET(
_xlpm.CSVVal,_xlfn.XLOOKUP($A9,CSV!$A:$A,CSV!D:D,""),
_xlpm.MacVal,_xlfn.XLOOKUP($A9,Output_Mac!$A:$A,Output_Mac!C:C,""),
_xlpm.MyAuditVal,_xlfn.XLOOKUP($A9,My_Audit!$A:$A,My_Audit!C:C,""),
_xlfn.IFS(_xlpm.MyAuditVal&lt;&gt;"",_xlpm.MyAuditVal,_xlpm.MacVal&lt;&gt;"",_xlpm.MacVal,_xlpm.CSVVal&lt;&gt;"",_xlpm.CSVVal
)),"")</f>
        <v/>
      </c>
      <c r="E9" s="2" t="str">
        <f>_xlfn.XLOOKUP(A9,My_Audit!A:A,My_Audit!D:D,"")&amp;""</f>
        <v/>
      </c>
      <c r="F9" s="2" t="str" cm="1">
        <f t="array" ref="F9">IFERROR(_xlfn.LET(
_xlpm.CSVVal,_xlfn.XLOOKUP($A9,CSV!$A:$A,CSV!F:F,""),
_xlpm.MacVal,_xlfn.XLOOKUP($A9,Output_Mac!$A:$A,Output_Mac!E:E,""),
_xlpm.MyAuditVal,_xlfn.XLOOKUP($A9,My_Audit!$A:$A,My_Audit!E:E,""),
_xlfn.IFS(_xlpm.MyAuditVal&lt;&gt;"",_xlpm.MyAuditVal,_xlpm.MacVal&lt;&gt;"",_xlpm.MacVal,_xlpm.CSVVal&lt;&gt;"",_xlpm.CSVVal
)),"")</f>
        <v/>
      </c>
      <c r="G9" s="2" t="str" cm="1">
        <f t="array" ref="G9">IFERROR(_xlfn.LET(
_xlpm.CSVVal,_xlfn.XLOOKUP($A9,CSV!$A:$A,CSV!G:G,""),
_xlpm.MacVal,_xlfn.XLOOKUP($A9,Output_Mac!$A:$A,Output_Mac!F:F,""),
_xlpm.MyAuditVal,_xlfn.XLOOKUP($A9,My_Audit!$A:$A,My_Audit!F:F,""),
_xlfn.IFS(_xlpm.MyAuditVal&lt;&gt;"",_xlpm.MyAuditVal,_xlpm.MacVal&lt;&gt;"",_xlpm.MacVal,_xlpm.CSVVal&lt;&gt;"",PROPER(_xlpm.CSVVal)
)),"")</f>
        <v/>
      </c>
      <c r="H9" s="2" t="str" cm="1">
        <f t="array" ref="H9">IFERROR(_xlfn.LET(
_xlpm.CSVVal,_xlfn.XLOOKUP($A9,CSV!$A:$A,CSV!H:H,""),
_xlpm.MacVal,_xlfn.XLOOKUP($A9,Output_Mac!$A:$A,Output_Mac!H:H,""),
_xlpm.MyAuditVal,_xlfn.XLOOKUP($A9,My_Audit!$A:$A,My_Audit!G:G,""),
_xlfn.IFS(_xlpm.MyAuditVal&lt;&gt;"",_xlpm.MyAuditVal,_xlpm.MacVal&lt;&gt;"",_xlpm.MacVal,_xlpm.CSVVal&lt;&gt;"",_xlpm.CSVVal
)),"")</f>
        <v/>
      </c>
      <c r="I9" s="2" t="str">
        <f>_xlfn.XLOOKUP(A9,Output_Mac!A:A,Output_Mac!I:I,"")</f>
        <v/>
      </c>
      <c r="J9" s="2" t="str" cm="1">
        <f t="array" ref="J9">IFERROR(_xlfn.LET(
_xlpm.CSVVal,_xlfn.XLOOKUP($A9,CSV!$A:$A,CSV!I:I,""),
_xlpm.MacVal,_xlfn.XLOOKUP($A9,Output_Mac!$A:$A,Output_Mac!J:J,""),
_xlpm.MyAuditVal,_xlfn.XLOOKUP($A9,My_Audit!$A:$A,My_Audit!I:I,""),
_xlfn.IFS(_xlpm.MyAuditVal&lt;&gt;"",UPPER(_xlpm.MyAuditVal),_xlpm.MacVal&lt;&gt;"",_xlpm.MacVal,_xlpm.CSVVal&lt;&gt;"",_xlpm.CSVVal
)),"")</f>
        <v/>
      </c>
      <c r="K9" s="2" t="str" cm="1">
        <f t="array" ref="K9">IFERROR(_xlfn.LET(
_xlpm.CSVVal,_xlfn.XLOOKUP($A9,CSV!$A:$A,CSV!K:K,""),
_xlpm.MacVal,_xlfn.XLOOKUP($A9,Output_Mac!$A:$A,Output_Mac!K:K,""),
_xlpm.MyAuditVal,_xlfn.XLOOKUP($A9,My_Audit!$A:$A,My_Audit!J:J,""),
_xlfn.IFS(_xlpm.MyAuditVal&lt;&gt;"",UPPER(_xlpm.MyAuditVal),_xlpm.MacVal&lt;&gt;"",_xlpm.MacVal,_xlpm.CSVVal&lt;&gt;"",_xlpm.CSVVal
)),"")</f>
        <v/>
      </c>
      <c r="L9" s="2" t="str" cm="1">
        <f t="array" ref="L9">IFERROR(_xlfn.LET(
_xlpm.CSVVal,_xlfn.XLOOKUP($A9,CSV!$A:$A,CSV!P:P,""),
_xlpm.MacVal,_xlfn.XLOOKUP($A9,Output_Mac!$A:$A,Output_Mac!L:L,""),
_xlpm.MyAuditVal,_xlfn.XLOOKUP($A9,My_Audit!$A:$A,My_Audit!K:K,""),
_xlfn.IFS(_xlpm.MyAuditVal&lt;&gt;"",UPPER(_xlpm.MyAuditVal),_xlpm.MacVal&lt;&gt;"",_xlpm.MacVal,_xlpm.CSVVal&lt;&gt;"",_xlpm.CSVVal
)),"")</f>
        <v/>
      </c>
      <c r="M9" s="2" t="str" cm="1">
        <f t="array" ref="M9">IFERROR(_xlfn.LET(
_xlpm.CSVVal,_xlfn.XLOOKUP($A9,CSV!$A:$A,CSV!Q:Q,""),
_xlpm.MacVal,_xlfn.XLOOKUP($A9,Output_Mac!$A:$A,Output_Mac!M:M,""),
_xlpm.MyAuditVal,_xlfn.XLOOKUP($A9,My_Audit!$A:$A,My_Audit!L:L,""),
_xlfn.IFS(_xlpm.MyAuditVal&lt;&gt;"",UPPER(_xlpm.MyAuditVal),_xlpm.MacVal&lt;&gt;"",_xlpm.MacVal,_xlpm.CSVVal&lt;&gt;"",_xlpm.CSVVal
)),"")</f>
        <v/>
      </c>
      <c r="O9" s="2" t="str">
        <f>_xlfn.LET(
    _xlpm.CSVVal, _xlfn.XLOOKUP($A9, CSV!$A:$A, CSV!AC:AC, ""),
    _xlpm.MacVal, _xlfn.XLOOKUP($A9, Output_Mac!$A:$A, Output_Mac!S:S, ""),
    _xlpm.MyAuditVal, _xlfn.XLOOKUP($A9, My_Audit!$A:$A, My_Audit!P:P, ""),
    _xlfn.TEXTJOIN(", ", TRUE, _xlpm.MyAuditVal, _xlpm.MacVal, _xlpm.CSVVal)
)</f>
        <v/>
      </c>
      <c r="P9" s="2" t="str" cm="1">
        <f t="array" ref="P9">IFERROR(_xlfn.LET(
_xlpm.CSVVal,_xlfn.XLOOKUP($A9,CSV!$A:$A,CSV!AD:AD,""),
_xlpm.MacVal,_xlfn.XLOOKUP($A9,Output_Mac!$A:$A,Output_Mac!T:T,""),
_xlpm.MyAuditVal,_xlfn.XLOOKUP($A9,My_Audit!$A:$A,My_Audit!Q:Q,""),
_xlfn.IFS(_xlpm.MyAuditVal&lt;&gt;"",UPPER(_xlpm.MyAuditVal),_xlpm.MacVal&lt;&gt;"",_xlpm.MacVal,_xlpm.CSVVal&lt;&gt;"",_xlpm.CSVVal
)),"No")</f>
        <v>No</v>
      </c>
      <c r="Q9" s="2" t="str" cm="1">
        <f t="array" ref="Q9">IFERROR(_xlfn.LET(
_xlpm.CSVVal,_xlfn.XLOOKUP($A9,CSV!$A:$A,CSV!AE:AE,""),
_xlpm.MacVal,_xlfn.XLOOKUP($A9,Output_Mac!$A:$A,Output_Mac!U:U,""),
_xlpm.MyAuditVal,_xlfn.XLOOKUP($A9,My_Audit!$A:$A,My_Audit!R:R,""),
_xlfn.IFS(_xlpm.MyAuditVal&lt;&gt;"",UPPER(_xlpm.MyAuditVal),_xlpm.MacVal&lt;&gt;"",_xlpm.MacVal,_xlpm.CSVVal&lt;&gt;"",_xlpm.CSVVal
)),"")</f>
        <v/>
      </c>
      <c r="X9" t="str">
        <f>_xlfn.LET(
    _xlpm.MacVal, _xlfn.XLOOKUP($A9, Output_Mac!$A:$A, Output_Mac!AB:AB, ""),
    _xlpm.MyAuditVal, _xlfn.XLOOKUP($A9, My_Audit!$A:$A, My_Audit!N:N, ""),
    _xlfn.TEXTJOIN(", ", TRUE, _xlpm.MyAuditVal, _xlpm.MacVal)
)</f>
        <v/>
      </c>
    </row>
    <row r="10" spans="1:24">
      <c r="A10" s="2" t="str">
        <f>_xlfn.TEXTJOIN("",TRUE,Input!$B$2,"0",ROW(My_Audit!A9))</f>
        <v>X09</v>
      </c>
      <c r="B10" s="2" t="str">
        <f>_xlfn.TEXTJOIN("-",TRUE,"ITD",Input!$A$2,A10)</f>
        <v>ITD-SHR-X09</v>
      </c>
      <c r="C10" s="2" t="str" cm="1">
        <f t="array" ref="C10">IFERROR(_xlfn.LET(
_xlpm.CSVVal,_xlfn.XLOOKUP($A10,CSV!$A:$A,CSV!B:B,""),
_xlpm.MacVal,_xlfn.XLOOKUP($A10,Output_Mac!$A:$A,Output_Mac!B:B,""),
_xlpm.MyAuditVal,_xlfn.XLOOKUP($A10,My_Audit!$A:$A,My_Audit!B:B,""),
_xlfn.IFS(_xlpm.MyAuditVal&lt;&gt;"",UPPER(_xlpm.MyAuditVal),_xlpm.MacVal&lt;&gt;"",_xlpm.MacVal,_xlpm.CSVVal&lt;&gt;"",_xlpm.CSVVal
)),"")</f>
        <v/>
      </c>
      <c r="D10" s="2" t="str" cm="1">
        <f t="array" ref="D10">IFERROR(_xlfn.LET(
_xlpm.CSVVal,_xlfn.XLOOKUP($A10,CSV!$A:$A,CSV!D:D,""),
_xlpm.MacVal,_xlfn.XLOOKUP($A10,Output_Mac!$A:$A,Output_Mac!C:C,""),
_xlpm.MyAuditVal,_xlfn.XLOOKUP($A10,My_Audit!$A:$A,My_Audit!C:C,""),
_xlfn.IFS(_xlpm.MyAuditVal&lt;&gt;"",_xlpm.MyAuditVal,_xlpm.MacVal&lt;&gt;"",_xlpm.MacVal,_xlpm.CSVVal&lt;&gt;"",_xlpm.CSVVal
)),"")</f>
        <v/>
      </c>
      <c r="E10" s="2" t="str">
        <f>_xlfn.XLOOKUP(A10,My_Audit!A:A,My_Audit!D:D,"")&amp;""</f>
        <v/>
      </c>
      <c r="F10" s="2" t="str" cm="1">
        <f t="array" ref="F10">IFERROR(_xlfn.LET(
_xlpm.CSVVal,_xlfn.XLOOKUP($A10,CSV!$A:$A,CSV!F:F,""),
_xlpm.MacVal,_xlfn.XLOOKUP($A10,Output_Mac!$A:$A,Output_Mac!E:E,""),
_xlpm.MyAuditVal,_xlfn.XLOOKUP($A10,My_Audit!$A:$A,My_Audit!E:E,""),
_xlfn.IFS(_xlpm.MyAuditVal&lt;&gt;"",_xlpm.MyAuditVal,_xlpm.MacVal&lt;&gt;"",_xlpm.MacVal,_xlpm.CSVVal&lt;&gt;"",_xlpm.CSVVal
)),"")</f>
        <v/>
      </c>
      <c r="G10" s="2" t="str" cm="1">
        <f t="array" ref="G10">IFERROR(_xlfn.LET(
_xlpm.CSVVal,_xlfn.XLOOKUP($A10,CSV!$A:$A,CSV!G:G,""),
_xlpm.MacVal,_xlfn.XLOOKUP($A10,Output_Mac!$A:$A,Output_Mac!F:F,""),
_xlpm.MyAuditVal,_xlfn.XLOOKUP($A10,My_Audit!$A:$A,My_Audit!F:F,""),
_xlfn.IFS(_xlpm.MyAuditVal&lt;&gt;"",_xlpm.MyAuditVal,_xlpm.MacVal&lt;&gt;"",_xlpm.MacVal,_xlpm.CSVVal&lt;&gt;"",PROPER(_xlpm.CSVVal)
)),"")</f>
        <v/>
      </c>
      <c r="H10" s="2" t="str" cm="1">
        <f t="array" ref="H10">IFERROR(_xlfn.LET(
_xlpm.CSVVal,_xlfn.XLOOKUP($A10,CSV!$A:$A,CSV!H:H,""),
_xlpm.MacVal,_xlfn.XLOOKUP($A10,Output_Mac!$A:$A,Output_Mac!H:H,""),
_xlpm.MyAuditVal,_xlfn.XLOOKUP($A10,My_Audit!$A:$A,My_Audit!G:G,""),
_xlfn.IFS(_xlpm.MyAuditVal&lt;&gt;"",_xlpm.MyAuditVal,_xlpm.MacVal&lt;&gt;"",_xlpm.MacVal,_xlpm.CSVVal&lt;&gt;"",_xlpm.CSVVal
)),"")</f>
        <v/>
      </c>
      <c r="I10" s="2" t="str">
        <f>_xlfn.XLOOKUP(A10,Output_Mac!A:A,Output_Mac!I:I,"")</f>
        <v/>
      </c>
      <c r="J10" s="2" t="str" cm="1">
        <f t="array" ref="J10">IFERROR(_xlfn.LET(
_xlpm.CSVVal,_xlfn.XLOOKUP($A10,CSV!$A:$A,CSV!I:I,""),
_xlpm.MacVal,_xlfn.XLOOKUP($A10,Output_Mac!$A:$A,Output_Mac!J:J,""),
_xlpm.MyAuditVal,_xlfn.XLOOKUP($A10,My_Audit!$A:$A,My_Audit!I:I,""),
_xlfn.IFS(_xlpm.MyAuditVal&lt;&gt;"",UPPER(_xlpm.MyAuditVal),_xlpm.MacVal&lt;&gt;"",_xlpm.MacVal,_xlpm.CSVVal&lt;&gt;"",_xlpm.CSVVal
)),"")</f>
        <v/>
      </c>
      <c r="K10" s="2" t="str" cm="1">
        <f t="array" ref="K10">IFERROR(_xlfn.LET(
_xlpm.CSVVal,_xlfn.XLOOKUP($A10,CSV!$A:$A,CSV!K:K,""),
_xlpm.MacVal,_xlfn.XLOOKUP($A10,Output_Mac!$A:$A,Output_Mac!K:K,""),
_xlpm.MyAuditVal,_xlfn.XLOOKUP($A10,My_Audit!$A:$A,My_Audit!J:J,""),
_xlfn.IFS(_xlpm.MyAuditVal&lt;&gt;"",UPPER(_xlpm.MyAuditVal),_xlpm.MacVal&lt;&gt;"",_xlpm.MacVal,_xlpm.CSVVal&lt;&gt;"",_xlpm.CSVVal
)),"")</f>
        <v/>
      </c>
      <c r="L10" s="2" t="str" cm="1">
        <f t="array" ref="L10">IFERROR(_xlfn.LET(
_xlpm.CSVVal,_xlfn.XLOOKUP($A10,CSV!$A:$A,CSV!P:P,""),
_xlpm.MacVal,_xlfn.XLOOKUP($A10,Output_Mac!$A:$A,Output_Mac!L:L,""),
_xlpm.MyAuditVal,_xlfn.XLOOKUP($A10,My_Audit!$A:$A,My_Audit!K:K,""),
_xlfn.IFS(_xlpm.MyAuditVal&lt;&gt;"",UPPER(_xlpm.MyAuditVal),_xlpm.MacVal&lt;&gt;"",_xlpm.MacVal,_xlpm.CSVVal&lt;&gt;"",_xlpm.CSVVal
)),"")</f>
        <v/>
      </c>
      <c r="M10" s="2" t="str" cm="1">
        <f t="array" ref="M10">IFERROR(_xlfn.LET(
_xlpm.CSVVal,_xlfn.XLOOKUP($A10,CSV!$A:$A,CSV!Q:Q,""),
_xlpm.MacVal,_xlfn.XLOOKUP($A10,Output_Mac!$A:$A,Output_Mac!M:M,""),
_xlpm.MyAuditVal,_xlfn.XLOOKUP($A10,My_Audit!$A:$A,My_Audit!L:L,""),
_xlfn.IFS(_xlpm.MyAuditVal&lt;&gt;"",UPPER(_xlpm.MyAuditVal),_xlpm.MacVal&lt;&gt;"",_xlpm.MacVal,_xlpm.CSVVal&lt;&gt;"",_xlpm.CSVVal
)),"")</f>
        <v/>
      </c>
      <c r="O10" s="2" t="str">
        <f>_xlfn.LET(
    _xlpm.CSVVal, _xlfn.XLOOKUP($A10, CSV!$A:$A, CSV!AC:AC, ""),
    _xlpm.MacVal, _xlfn.XLOOKUP($A10, Output_Mac!$A:$A, Output_Mac!S:S, ""),
    _xlpm.MyAuditVal, _xlfn.XLOOKUP($A10, My_Audit!$A:$A, My_Audit!P:P, ""),
    _xlfn.TEXTJOIN(", ", TRUE, _xlpm.MyAuditVal, _xlpm.MacVal, _xlpm.CSVVal)
)</f>
        <v/>
      </c>
      <c r="P10" s="2" t="str" cm="1">
        <f t="array" ref="P10">IFERROR(_xlfn.LET(
_xlpm.CSVVal,_xlfn.XLOOKUP($A10,CSV!$A:$A,CSV!AD:AD,""),
_xlpm.MacVal,_xlfn.XLOOKUP($A10,Output_Mac!$A:$A,Output_Mac!T:T,""),
_xlpm.MyAuditVal,_xlfn.XLOOKUP($A10,My_Audit!$A:$A,My_Audit!Q:Q,""),
_xlfn.IFS(_xlpm.MyAuditVal&lt;&gt;"",UPPER(_xlpm.MyAuditVal),_xlpm.MacVal&lt;&gt;"",_xlpm.MacVal,_xlpm.CSVVal&lt;&gt;"",_xlpm.CSVVal
)),"No")</f>
        <v>No</v>
      </c>
      <c r="Q10" s="2" t="str" cm="1">
        <f t="array" ref="Q10">IFERROR(_xlfn.LET(
_xlpm.CSVVal,_xlfn.XLOOKUP($A10,CSV!$A:$A,CSV!AE:AE,""),
_xlpm.MacVal,_xlfn.XLOOKUP($A10,Output_Mac!$A:$A,Output_Mac!U:U,""),
_xlpm.MyAuditVal,_xlfn.XLOOKUP($A10,My_Audit!$A:$A,My_Audit!R:R,""),
_xlfn.IFS(_xlpm.MyAuditVal&lt;&gt;"",UPPER(_xlpm.MyAuditVal),_xlpm.MacVal&lt;&gt;"",_xlpm.MacVal,_xlpm.CSVVal&lt;&gt;"",_xlpm.CSVVal
)),"")</f>
        <v/>
      </c>
      <c r="X10" t="str">
        <f>_xlfn.LET(
    _xlpm.MacVal, _xlfn.XLOOKUP($A10, Output_Mac!$A:$A, Output_Mac!AB:AB, ""),
    _xlpm.MyAuditVal, _xlfn.XLOOKUP($A10, My_Audit!$A:$A, My_Audit!N:N, ""),
    _xlfn.TEXTJOIN(", ", TRUE, _xlpm.MyAuditVal, _xlpm.MacVal)
)</f>
        <v/>
      </c>
    </row>
    <row r="11" spans="1:24">
      <c r="A11" s="2" t="str">
        <f>_xlfn.TEXTJOIN("",TRUE,Input!$B$2,ROW(My_Audit!A10))</f>
        <v>X10</v>
      </c>
      <c r="B11" s="2" t="str">
        <f>_xlfn.TEXTJOIN("-",TRUE,"ITD",Input!$A$2,A11)</f>
        <v>ITD-SHR-X10</v>
      </c>
      <c r="C11" s="2" t="str" cm="1">
        <f t="array" ref="C11">IFERROR(_xlfn.LET(
_xlpm.CSVVal,_xlfn.XLOOKUP($A11,CSV!$A:$A,CSV!B:B,""),
_xlpm.MacVal,_xlfn.XLOOKUP($A11,Output_Mac!$A:$A,Output_Mac!B:B,""),
_xlpm.MyAuditVal,_xlfn.XLOOKUP($A11,My_Audit!$A:$A,My_Audit!B:B,""),
_xlfn.IFS(_xlpm.MyAuditVal&lt;&gt;"",UPPER(_xlpm.MyAuditVal),_xlpm.MacVal&lt;&gt;"",_xlpm.MacVal,_xlpm.CSVVal&lt;&gt;"",_xlpm.CSVVal
)),"")</f>
        <v/>
      </c>
      <c r="D11" s="2" t="str" cm="1">
        <f t="array" ref="D11">IFERROR(_xlfn.LET(
_xlpm.CSVVal,_xlfn.XLOOKUP($A11,CSV!$A:$A,CSV!D:D,""),
_xlpm.MacVal,_xlfn.XLOOKUP($A11,Output_Mac!$A:$A,Output_Mac!C:C,""),
_xlpm.MyAuditVal,_xlfn.XLOOKUP($A11,My_Audit!$A:$A,My_Audit!C:C,""),
_xlfn.IFS(_xlpm.MyAuditVal&lt;&gt;"",_xlpm.MyAuditVal,_xlpm.MacVal&lt;&gt;"",_xlpm.MacVal,_xlpm.CSVVal&lt;&gt;"",_xlpm.CSVVal
)),"")</f>
        <v/>
      </c>
      <c r="E11" s="2" t="str">
        <f>_xlfn.XLOOKUP(A11,My_Audit!A:A,My_Audit!D:D,"")&amp;""</f>
        <v/>
      </c>
      <c r="F11" s="2" t="str" cm="1">
        <f t="array" ref="F11">IFERROR(_xlfn.LET(
_xlpm.CSVVal,_xlfn.XLOOKUP($A11,CSV!$A:$A,CSV!F:F,""),
_xlpm.MacVal,_xlfn.XLOOKUP($A11,Output_Mac!$A:$A,Output_Mac!E:E,""),
_xlpm.MyAuditVal,_xlfn.XLOOKUP($A11,My_Audit!$A:$A,My_Audit!E:E,""),
_xlfn.IFS(_xlpm.MyAuditVal&lt;&gt;"",_xlpm.MyAuditVal,_xlpm.MacVal&lt;&gt;"",_xlpm.MacVal,_xlpm.CSVVal&lt;&gt;"",_xlpm.CSVVal
)),"")</f>
        <v/>
      </c>
      <c r="G11" s="2" t="str" cm="1">
        <f t="array" ref="G11">IFERROR(_xlfn.LET(
_xlpm.CSVVal,_xlfn.XLOOKUP($A11,CSV!$A:$A,CSV!G:G,""),
_xlpm.MacVal,_xlfn.XLOOKUP($A11,Output_Mac!$A:$A,Output_Mac!F:F,""),
_xlpm.MyAuditVal,_xlfn.XLOOKUP($A11,My_Audit!$A:$A,My_Audit!F:F,""),
_xlfn.IFS(_xlpm.MyAuditVal&lt;&gt;"",_xlpm.MyAuditVal,_xlpm.MacVal&lt;&gt;"",_xlpm.MacVal,_xlpm.CSVVal&lt;&gt;"",PROPER(_xlpm.CSVVal)
)),"")</f>
        <v/>
      </c>
      <c r="H11" s="2" t="str" cm="1">
        <f t="array" ref="H11">IFERROR(_xlfn.LET(
_xlpm.CSVVal,_xlfn.XLOOKUP($A11,CSV!$A:$A,CSV!H:H,""),
_xlpm.MacVal,_xlfn.XLOOKUP($A11,Output_Mac!$A:$A,Output_Mac!H:H,""),
_xlpm.MyAuditVal,_xlfn.XLOOKUP($A11,My_Audit!$A:$A,My_Audit!G:G,""),
_xlfn.IFS(_xlpm.MyAuditVal&lt;&gt;"",_xlpm.MyAuditVal,_xlpm.MacVal&lt;&gt;"",_xlpm.MacVal,_xlpm.CSVVal&lt;&gt;"",_xlpm.CSVVal
)),"")</f>
        <v/>
      </c>
      <c r="I11" s="2" t="str">
        <f>_xlfn.XLOOKUP(A11,Output_Mac!A:A,Output_Mac!I:I,"")</f>
        <v/>
      </c>
      <c r="J11" s="2" t="str" cm="1">
        <f t="array" ref="J11">IFERROR(_xlfn.LET(
_xlpm.CSVVal,_xlfn.XLOOKUP($A11,CSV!$A:$A,CSV!I:I,""),
_xlpm.MacVal,_xlfn.XLOOKUP($A11,Output_Mac!$A:$A,Output_Mac!J:J,""),
_xlpm.MyAuditVal,_xlfn.XLOOKUP($A11,My_Audit!$A:$A,My_Audit!I:I,""),
_xlfn.IFS(_xlpm.MyAuditVal&lt;&gt;"",UPPER(_xlpm.MyAuditVal),_xlpm.MacVal&lt;&gt;"",_xlpm.MacVal,_xlpm.CSVVal&lt;&gt;"",_xlpm.CSVVal
)),"")</f>
        <v/>
      </c>
      <c r="K11" s="2" t="str" cm="1">
        <f t="array" ref="K11">IFERROR(_xlfn.LET(
_xlpm.CSVVal,_xlfn.XLOOKUP($A11,CSV!$A:$A,CSV!K:K,""),
_xlpm.MacVal,_xlfn.XLOOKUP($A11,Output_Mac!$A:$A,Output_Mac!K:K,""),
_xlpm.MyAuditVal,_xlfn.XLOOKUP($A11,My_Audit!$A:$A,My_Audit!J:J,""),
_xlfn.IFS(_xlpm.MyAuditVal&lt;&gt;"",UPPER(_xlpm.MyAuditVal),_xlpm.MacVal&lt;&gt;"",_xlpm.MacVal,_xlpm.CSVVal&lt;&gt;"",_xlpm.CSVVal
)),"")</f>
        <v/>
      </c>
      <c r="L11" s="2" t="str" cm="1">
        <f t="array" ref="L11">IFERROR(_xlfn.LET(
_xlpm.CSVVal,_xlfn.XLOOKUP($A11,CSV!$A:$A,CSV!P:P,""),
_xlpm.MacVal,_xlfn.XLOOKUP($A11,Output_Mac!$A:$A,Output_Mac!L:L,""),
_xlpm.MyAuditVal,_xlfn.XLOOKUP($A11,My_Audit!$A:$A,My_Audit!K:K,""),
_xlfn.IFS(_xlpm.MyAuditVal&lt;&gt;"",UPPER(_xlpm.MyAuditVal),_xlpm.MacVal&lt;&gt;"",_xlpm.MacVal,_xlpm.CSVVal&lt;&gt;"",_xlpm.CSVVal
)),"")</f>
        <v/>
      </c>
      <c r="M11" s="2" t="str" cm="1">
        <f t="array" ref="M11">IFERROR(_xlfn.LET(
_xlpm.CSVVal,_xlfn.XLOOKUP($A11,CSV!$A:$A,CSV!Q:Q,""),
_xlpm.MacVal,_xlfn.XLOOKUP($A11,Output_Mac!$A:$A,Output_Mac!M:M,""),
_xlpm.MyAuditVal,_xlfn.XLOOKUP($A11,My_Audit!$A:$A,My_Audit!L:L,""),
_xlfn.IFS(_xlpm.MyAuditVal&lt;&gt;"",UPPER(_xlpm.MyAuditVal),_xlpm.MacVal&lt;&gt;"",_xlpm.MacVal,_xlpm.CSVVal&lt;&gt;"",_xlpm.CSVVal
)),"")</f>
        <v/>
      </c>
      <c r="O11" s="2" t="str">
        <f>_xlfn.LET(
    _xlpm.CSVVal, _xlfn.XLOOKUP($A11, CSV!$A:$A, CSV!AC:AC, ""),
    _xlpm.MacVal, _xlfn.XLOOKUP($A11, Output_Mac!$A:$A, Output_Mac!S:S, ""),
    _xlpm.MyAuditVal, _xlfn.XLOOKUP($A11, My_Audit!$A:$A, My_Audit!P:P, ""),
    _xlfn.TEXTJOIN(", ", TRUE, _xlpm.MyAuditVal, _xlpm.MacVal, _xlpm.CSVVal)
)</f>
        <v/>
      </c>
      <c r="P11" s="2" t="str" cm="1">
        <f t="array" ref="P11">IFERROR(_xlfn.LET(
_xlpm.CSVVal,_xlfn.XLOOKUP($A11,CSV!$A:$A,CSV!AD:AD,""),
_xlpm.MacVal,_xlfn.XLOOKUP($A11,Output_Mac!$A:$A,Output_Mac!T:T,""),
_xlpm.MyAuditVal,_xlfn.XLOOKUP($A11,My_Audit!$A:$A,My_Audit!Q:Q,""),
_xlfn.IFS(_xlpm.MyAuditVal&lt;&gt;"",UPPER(_xlpm.MyAuditVal),_xlpm.MacVal&lt;&gt;"",_xlpm.MacVal,_xlpm.CSVVal&lt;&gt;"",_xlpm.CSVVal
)),"No")</f>
        <v>No</v>
      </c>
      <c r="Q11" s="2" t="str" cm="1">
        <f t="array" ref="Q11">IFERROR(_xlfn.LET(
_xlpm.CSVVal,_xlfn.XLOOKUP($A11,CSV!$A:$A,CSV!AE:AE,""),
_xlpm.MacVal,_xlfn.XLOOKUP($A11,Output_Mac!$A:$A,Output_Mac!U:U,""),
_xlpm.MyAuditVal,_xlfn.XLOOKUP($A11,My_Audit!$A:$A,My_Audit!R:R,""),
_xlfn.IFS(_xlpm.MyAuditVal&lt;&gt;"",UPPER(_xlpm.MyAuditVal),_xlpm.MacVal&lt;&gt;"",_xlpm.MacVal,_xlpm.CSVVal&lt;&gt;"",_xlpm.CSVVal
)),"")</f>
        <v/>
      </c>
      <c r="X11" t="str">
        <f>_xlfn.LET(
    _xlpm.MacVal, _xlfn.XLOOKUP($A11, Output_Mac!$A:$A, Output_Mac!AB:AB, ""),
    _xlpm.MyAuditVal, _xlfn.XLOOKUP($A11, My_Audit!$A:$A, My_Audit!N:N, ""),
    _xlfn.TEXTJOIN(", ", TRUE, _xlpm.MyAuditVal, _xlpm.MacVal)
)</f>
        <v/>
      </c>
    </row>
    <row r="12" spans="1:24">
      <c r="A12" s="2" t="str">
        <f>_xlfn.TEXTJOIN("",TRUE,Input!$B$2,ROW(My_Audit!A11))</f>
        <v>X11</v>
      </c>
      <c r="B12" s="2" t="str">
        <f>_xlfn.TEXTJOIN("-",TRUE,"ITD",Input!$A$2,A12)</f>
        <v>ITD-SHR-X11</v>
      </c>
      <c r="C12" s="2" t="str" cm="1">
        <f t="array" ref="C12">IFERROR(_xlfn.LET(
_xlpm.CSVVal,_xlfn.XLOOKUP($A12,CSV!$A:$A,CSV!B:B,""),
_xlpm.MacVal,_xlfn.XLOOKUP($A12,Output_Mac!$A:$A,Output_Mac!B:B,""),
_xlpm.MyAuditVal,_xlfn.XLOOKUP($A12,My_Audit!$A:$A,My_Audit!B:B,""),
_xlfn.IFS(_xlpm.MyAuditVal&lt;&gt;"",UPPER(_xlpm.MyAuditVal),_xlpm.MacVal&lt;&gt;"",_xlpm.MacVal,_xlpm.CSVVal&lt;&gt;"",_xlpm.CSVVal
)),"")</f>
        <v/>
      </c>
      <c r="D12" s="2" t="str" cm="1">
        <f t="array" ref="D12">IFERROR(_xlfn.LET(
_xlpm.CSVVal,_xlfn.XLOOKUP($A12,CSV!$A:$A,CSV!D:D,""),
_xlpm.MacVal,_xlfn.XLOOKUP($A12,Output_Mac!$A:$A,Output_Mac!C:C,""),
_xlpm.MyAuditVal,_xlfn.XLOOKUP($A12,My_Audit!$A:$A,My_Audit!C:C,""),
_xlfn.IFS(_xlpm.MyAuditVal&lt;&gt;"",_xlpm.MyAuditVal,_xlpm.MacVal&lt;&gt;"",_xlpm.MacVal,_xlpm.CSVVal&lt;&gt;"",_xlpm.CSVVal
)),"")</f>
        <v/>
      </c>
      <c r="E12" s="2" t="str">
        <f>_xlfn.XLOOKUP(A12,My_Audit!A:A,My_Audit!D:D,"")&amp;""</f>
        <v/>
      </c>
      <c r="F12" s="2" t="str" cm="1">
        <f t="array" ref="F12">IFERROR(_xlfn.LET(
_xlpm.CSVVal,_xlfn.XLOOKUP($A12,CSV!$A:$A,CSV!F:F,""),
_xlpm.MacVal,_xlfn.XLOOKUP($A12,Output_Mac!$A:$A,Output_Mac!E:E,""),
_xlpm.MyAuditVal,_xlfn.XLOOKUP($A12,My_Audit!$A:$A,My_Audit!E:E,""),
_xlfn.IFS(_xlpm.MyAuditVal&lt;&gt;"",_xlpm.MyAuditVal,_xlpm.MacVal&lt;&gt;"",_xlpm.MacVal,_xlpm.CSVVal&lt;&gt;"",_xlpm.CSVVal
)),"")</f>
        <v/>
      </c>
      <c r="G12" s="2" t="str" cm="1">
        <f t="array" ref="G12">IFERROR(_xlfn.LET(
_xlpm.CSVVal,_xlfn.XLOOKUP($A12,CSV!$A:$A,CSV!G:G,""),
_xlpm.MacVal,_xlfn.XLOOKUP($A12,Output_Mac!$A:$A,Output_Mac!F:F,""),
_xlpm.MyAuditVal,_xlfn.XLOOKUP($A12,My_Audit!$A:$A,My_Audit!F:F,""),
_xlfn.IFS(_xlpm.MyAuditVal&lt;&gt;"",_xlpm.MyAuditVal,_xlpm.MacVal&lt;&gt;"",_xlpm.MacVal,_xlpm.CSVVal&lt;&gt;"",PROPER(_xlpm.CSVVal)
)),"")</f>
        <v/>
      </c>
      <c r="H12" s="2" t="str" cm="1">
        <f t="array" ref="H12">IFERROR(_xlfn.LET(
_xlpm.CSVVal,_xlfn.XLOOKUP($A12,CSV!$A:$A,CSV!H:H,""),
_xlpm.MacVal,_xlfn.XLOOKUP($A12,Output_Mac!$A:$A,Output_Mac!H:H,""),
_xlpm.MyAuditVal,_xlfn.XLOOKUP($A12,My_Audit!$A:$A,My_Audit!G:G,""),
_xlfn.IFS(_xlpm.MyAuditVal&lt;&gt;"",_xlpm.MyAuditVal,_xlpm.MacVal&lt;&gt;"",_xlpm.MacVal,_xlpm.CSVVal&lt;&gt;"",_xlpm.CSVVal
)),"")</f>
        <v/>
      </c>
      <c r="I12" s="2" t="str">
        <f>_xlfn.XLOOKUP(A12,Output_Mac!A:A,Output_Mac!I:I,"")</f>
        <v/>
      </c>
      <c r="J12" s="2" t="str" cm="1">
        <f t="array" ref="J12">IFERROR(_xlfn.LET(
_xlpm.CSVVal,_xlfn.XLOOKUP($A12,CSV!$A:$A,CSV!I:I,""),
_xlpm.MacVal,_xlfn.XLOOKUP($A12,Output_Mac!$A:$A,Output_Mac!J:J,""),
_xlpm.MyAuditVal,_xlfn.XLOOKUP($A12,My_Audit!$A:$A,My_Audit!I:I,""),
_xlfn.IFS(_xlpm.MyAuditVal&lt;&gt;"",UPPER(_xlpm.MyAuditVal),_xlpm.MacVal&lt;&gt;"",_xlpm.MacVal,_xlpm.CSVVal&lt;&gt;"",_xlpm.CSVVal
)),"")</f>
        <v/>
      </c>
      <c r="K12" s="2" t="str" cm="1">
        <f t="array" ref="K12">IFERROR(_xlfn.LET(
_xlpm.CSVVal,_xlfn.XLOOKUP($A12,CSV!$A:$A,CSV!K:K,""),
_xlpm.MacVal,_xlfn.XLOOKUP($A12,Output_Mac!$A:$A,Output_Mac!K:K,""),
_xlpm.MyAuditVal,_xlfn.XLOOKUP($A12,My_Audit!$A:$A,My_Audit!J:J,""),
_xlfn.IFS(_xlpm.MyAuditVal&lt;&gt;"",UPPER(_xlpm.MyAuditVal),_xlpm.MacVal&lt;&gt;"",_xlpm.MacVal,_xlpm.CSVVal&lt;&gt;"",_xlpm.CSVVal
)),"")</f>
        <v/>
      </c>
      <c r="L12" s="2" t="str" cm="1">
        <f t="array" ref="L12">IFERROR(_xlfn.LET(
_xlpm.CSVVal,_xlfn.XLOOKUP($A12,CSV!$A:$A,CSV!P:P,""),
_xlpm.MacVal,_xlfn.XLOOKUP($A12,Output_Mac!$A:$A,Output_Mac!L:L,""),
_xlpm.MyAuditVal,_xlfn.XLOOKUP($A12,My_Audit!$A:$A,My_Audit!K:K,""),
_xlfn.IFS(_xlpm.MyAuditVal&lt;&gt;"",UPPER(_xlpm.MyAuditVal),_xlpm.MacVal&lt;&gt;"",_xlpm.MacVal,_xlpm.CSVVal&lt;&gt;"",_xlpm.CSVVal
)),"")</f>
        <v/>
      </c>
      <c r="M12" s="2" t="str" cm="1">
        <f t="array" ref="M12">IFERROR(_xlfn.LET(
_xlpm.CSVVal,_xlfn.XLOOKUP($A12,CSV!$A:$A,CSV!Q:Q,""),
_xlpm.MacVal,_xlfn.XLOOKUP($A12,Output_Mac!$A:$A,Output_Mac!M:M,""),
_xlpm.MyAuditVal,_xlfn.XLOOKUP($A12,My_Audit!$A:$A,My_Audit!L:L,""),
_xlfn.IFS(_xlpm.MyAuditVal&lt;&gt;"",UPPER(_xlpm.MyAuditVal),_xlpm.MacVal&lt;&gt;"",_xlpm.MacVal,_xlpm.CSVVal&lt;&gt;"",_xlpm.CSVVal
)),"")</f>
        <v/>
      </c>
      <c r="O12" s="2" t="str">
        <f>_xlfn.LET(
    _xlpm.CSVVal, _xlfn.XLOOKUP($A12, CSV!$A:$A, CSV!AC:AC, ""),
    _xlpm.MacVal, _xlfn.XLOOKUP($A12, Output_Mac!$A:$A, Output_Mac!S:S, ""),
    _xlpm.MyAuditVal, _xlfn.XLOOKUP($A12, My_Audit!$A:$A, My_Audit!P:P, ""),
    _xlfn.TEXTJOIN(", ", TRUE, _xlpm.MyAuditVal, _xlpm.MacVal, _xlpm.CSVVal)
)</f>
        <v/>
      </c>
      <c r="P12" s="2" t="str" cm="1">
        <f t="array" ref="P12">IFERROR(_xlfn.LET(
_xlpm.CSVVal,_xlfn.XLOOKUP($A12,CSV!$A:$A,CSV!AD:AD,""),
_xlpm.MacVal,_xlfn.XLOOKUP($A12,Output_Mac!$A:$A,Output_Mac!T:T,""),
_xlpm.MyAuditVal,_xlfn.XLOOKUP($A12,My_Audit!$A:$A,My_Audit!Q:Q,""),
_xlfn.IFS(_xlpm.MyAuditVal&lt;&gt;"",UPPER(_xlpm.MyAuditVal),_xlpm.MacVal&lt;&gt;"",_xlpm.MacVal,_xlpm.CSVVal&lt;&gt;"",_xlpm.CSVVal
)),"No")</f>
        <v>No</v>
      </c>
      <c r="Q12" s="2" t="str" cm="1">
        <f t="array" ref="Q12">IFERROR(_xlfn.LET(
_xlpm.CSVVal,_xlfn.XLOOKUP($A12,CSV!$A:$A,CSV!AE:AE,""),
_xlpm.MacVal,_xlfn.XLOOKUP($A12,Output_Mac!$A:$A,Output_Mac!U:U,""),
_xlpm.MyAuditVal,_xlfn.XLOOKUP($A12,My_Audit!$A:$A,My_Audit!R:R,""),
_xlfn.IFS(_xlpm.MyAuditVal&lt;&gt;"",UPPER(_xlpm.MyAuditVal),_xlpm.MacVal&lt;&gt;"",_xlpm.MacVal,_xlpm.CSVVal&lt;&gt;"",_xlpm.CSVVal
)),"")</f>
        <v/>
      </c>
      <c r="X12" t="str">
        <f>_xlfn.LET(
    _xlpm.MacVal, _xlfn.XLOOKUP($A12, Output_Mac!$A:$A, Output_Mac!AB:AB, ""),
    _xlpm.MyAuditVal, _xlfn.XLOOKUP($A12, My_Audit!$A:$A, My_Audit!N:N, ""),
    _xlfn.TEXTJOIN(", ", TRUE, _xlpm.MyAuditVal, _xlpm.MacVal)
)</f>
        <v/>
      </c>
    </row>
    <row r="13" spans="1:24">
      <c r="A13" s="2" t="str">
        <f>_xlfn.TEXTJOIN("",TRUE,Input!$B$2,ROW(My_Audit!A12))</f>
        <v>X12</v>
      </c>
      <c r="B13" s="2" t="str">
        <f>_xlfn.TEXTJOIN("-",TRUE,"ITD",Input!$A$2,A13)</f>
        <v>ITD-SHR-X12</v>
      </c>
      <c r="C13" s="2" t="str" cm="1">
        <f t="array" ref="C13">IFERROR(_xlfn.LET(
_xlpm.CSVVal,_xlfn.XLOOKUP($A13,CSV!$A:$A,CSV!B:B,""),
_xlpm.MacVal,_xlfn.XLOOKUP($A13,Output_Mac!$A:$A,Output_Mac!B:B,""),
_xlpm.MyAuditVal,_xlfn.XLOOKUP($A13,My_Audit!$A:$A,My_Audit!B:B,""),
_xlfn.IFS(_xlpm.MyAuditVal&lt;&gt;"",UPPER(_xlpm.MyAuditVal),_xlpm.MacVal&lt;&gt;"",_xlpm.MacVal,_xlpm.CSVVal&lt;&gt;"",_xlpm.CSVVal
)),"")</f>
        <v/>
      </c>
      <c r="D13" s="2" t="str" cm="1">
        <f t="array" ref="D13">IFERROR(_xlfn.LET(
_xlpm.CSVVal,_xlfn.XLOOKUP($A13,CSV!$A:$A,CSV!D:D,""),
_xlpm.MacVal,_xlfn.XLOOKUP($A13,Output_Mac!$A:$A,Output_Mac!C:C,""),
_xlpm.MyAuditVal,_xlfn.XLOOKUP($A13,My_Audit!$A:$A,My_Audit!C:C,""),
_xlfn.IFS(_xlpm.MyAuditVal&lt;&gt;"",_xlpm.MyAuditVal,_xlpm.MacVal&lt;&gt;"",_xlpm.MacVal,_xlpm.CSVVal&lt;&gt;"",_xlpm.CSVVal
)),"")</f>
        <v/>
      </c>
      <c r="E13" s="2" t="str">
        <f>_xlfn.XLOOKUP(A13,My_Audit!A:A,My_Audit!D:D,"")&amp;""</f>
        <v/>
      </c>
      <c r="F13" s="2" t="str" cm="1">
        <f t="array" ref="F13">IFERROR(_xlfn.LET(
_xlpm.CSVVal,_xlfn.XLOOKUP($A13,CSV!$A:$A,CSV!F:F,""),
_xlpm.MacVal,_xlfn.XLOOKUP($A13,Output_Mac!$A:$A,Output_Mac!E:E,""),
_xlpm.MyAuditVal,_xlfn.XLOOKUP($A13,My_Audit!$A:$A,My_Audit!E:E,""),
_xlfn.IFS(_xlpm.MyAuditVal&lt;&gt;"",_xlpm.MyAuditVal,_xlpm.MacVal&lt;&gt;"",_xlpm.MacVal,_xlpm.CSVVal&lt;&gt;"",_xlpm.CSVVal
)),"")</f>
        <v/>
      </c>
      <c r="G13" s="2" t="str" cm="1">
        <f t="array" ref="G13">IFERROR(_xlfn.LET(
_xlpm.CSVVal,_xlfn.XLOOKUP($A13,CSV!$A:$A,CSV!G:G,""),
_xlpm.MacVal,_xlfn.XLOOKUP($A13,Output_Mac!$A:$A,Output_Mac!F:F,""),
_xlpm.MyAuditVal,_xlfn.XLOOKUP($A13,My_Audit!$A:$A,My_Audit!F:F,""),
_xlfn.IFS(_xlpm.MyAuditVal&lt;&gt;"",_xlpm.MyAuditVal,_xlpm.MacVal&lt;&gt;"",_xlpm.MacVal,_xlpm.CSVVal&lt;&gt;"",PROPER(_xlpm.CSVVal)
)),"")</f>
        <v/>
      </c>
      <c r="H13" s="2" t="str" cm="1">
        <f t="array" ref="H13">IFERROR(_xlfn.LET(
_xlpm.CSVVal,_xlfn.XLOOKUP($A13,CSV!$A:$A,CSV!H:H,""),
_xlpm.MacVal,_xlfn.XLOOKUP($A13,Output_Mac!$A:$A,Output_Mac!H:H,""),
_xlpm.MyAuditVal,_xlfn.XLOOKUP($A13,My_Audit!$A:$A,My_Audit!G:G,""),
_xlfn.IFS(_xlpm.MyAuditVal&lt;&gt;"",_xlpm.MyAuditVal,_xlpm.MacVal&lt;&gt;"",_xlpm.MacVal,_xlpm.CSVVal&lt;&gt;"",_xlpm.CSVVal
)),"")</f>
        <v/>
      </c>
      <c r="I13" s="2" t="str">
        <f>_xlfn.XLOOKUP(A13,Output_Mac!A:A,Output_Mac!I:I,"")</f>
        <v/>
      </c>
      <c r="J13" s="2" t="str" cm="1">
        <f t="array" ref="J13">IFERROR(_xlfn.LET(
_xlpm.CSVVal,_xlfn.XLOOKUP($A13,CSV!$A:$A,CSV!I:I,""),
_xlpm.MacVal,_xlfn.XLOOKUP($A13,Output_Mac!$A:$A,Output_Mac!J:J,""),
_xlpm.MyAuditVal,_xlfn.XLOOKUP($A13,My_Audit!$A:$A,My_Audit!I:I,""),
_xlfn.IFS(_xlpm.MyAuditVal&lt;&gt;"",UPPER(_xlpm.MyAuditVal),_xlpm.MacVal&lt;&gt;"",_xlpm.MacVal,_xlpm.CSVVal&lt;&gt;"",_xlpm.CSVVal
)),"")</f>
        <v/>
      </c>
      <c r="K13" s="2" t="str" cm="1">
        <f t="array" ref="K13">IFERROR(_xlfn.LET(
_xlpm.CSVVal,_xlfn.XLOOKUP($A13,CSV!$A:$A,CSV!K:K,""),
_xlpm.MacVal,_xlfn.XLOOKUP($A13,Output_Mac!$A:$A,Output_Mac!K:K,""),
_xlpm.MyAuditVal,_xlfn.XLOOKUP($A13,My_Audit!$A:$A,My_Audit!J:J,""),
_xlfn.IFS(_xlpm.MyAuditVal&lt;&gt;"",UPPER(_xlpm.MyAuditVal),_xlpm.MacVal&lt;&gt;"",_xlpm.MacVal,_xlpm.CSVVal&lt;&gt;"",_xlpm.CSVVal
)),"")</f>
        <v/>
      </c>
      <c r="L13" s="2" t="str" cm="1">
        <f t="array" ref="L13">IFERROR(_xlfn.LET(
_xlpm.CSVVal,_xlfn.XLOOKUP($A13,CSV!$A:$A,CSV!P:P,""),
_xlpm.MacVal,_xlfn.XLOOKUP($A13,Output_Mac!$A:$A,Output_Mac!L:L,""),
_xlpm.MyAuditVal,_xlfn.XLOOKUP($A13,My_Audit!$A:$A,My_Audit!K:K,""),
_xlfn.IFS(_xlpm.MyAuditVal&lt;&gt;"",UPPER(_xlpm.MyAuditVal),_xlpm.MacVal&lt;&gt;"",_xlpm.MacVal,_xlpm.CSVVal&lt;&gt;"",_xlpm.CSVVal
)),"")</f>
        <v/>
      </c>
      <c r="M13" s="2" t="str" cm="1">
        <f t="array" ref="M13">IFERROR(_xlfn.LET(
_xlpm.CSVVal,_xlfn.XLOOKUP($A13,CSV!$A:$A,CSV!Q:Q,""),
_xlpm.MacVal,_xlfn.XLOOKUP($A13,Output_Mac!$A:$A,Output_Mac!M:M,""),
_xlpm.MyAuditVal,_xlfn.XLOOKUP($A13,My_Audit!$A:$A,My_Audit!L:L,""),
_xlfn.IFS(_xlpm.MyAuditVal&lt;&gt;"",UPPER(_xlpm.MyAuditVal),_xlpm.MacVal&lt;&gt;"",_xlpm.MacVal,_xlpm.CSVVal&lt;&gt;"",_xlpm.CSVVal
)),"")</f>
        <v/>
      </c>
      <c r="O13" s="2" t="str">
        <f>_xlfn.LET(
    _xlpm.CSVVal, _xlfn.XLOOKUP($A13, CSV!$A:$A, CSV!AC:AC, ""),
    _xlpm.MacVal, _xlfn.XLOOKUP($A13, Output_Mac!$A:$A, Output_Mac!S:S, ""),
    _xlpm.MyAuditVal, _xlfn.XLOOKUP($A13, My_Audit!$A:$A, My_Audit!P:P, ""),
    _xlfn.TEXTJOIN(", ", TRUE, _xlpm.MyAuditVal, _xlpm.MacVal, _xlpm.CSVVal)
)</f>
        <v/>
      </c>
      <c r="P13" s="2" t="str" cm="1">
        <f t="array" ref="P13">IFERROR(_xlfn.LET(
_xlpm.CSVVal,_xlfn.XLOOKUP($A13,CSV!$A:$A,CSV!AD:AD,""),
_xlpm.MacVal,_xlfn.XLOOKUP($A13,Output_Mac!$A:$A,Output_Mac!T:T,""),
_xlpm.MyAuditVal,_xlfn.XLOOKUP($A13,My_Audit!$A:$A,My_Audit!Q:Q,""),
_xlfn.IFS(_xlpm.MyAuditVal&lt;&gt;"",UPPER(_xlpm.MyAuditVal),_xlpm.MacVal&lt;&gt;"",_xlpm.MacVal,_xlpm.CSVVal&lt;&gt;"",_xlpm.CSVVal
)),"No")</f>
        <v>No</v>
      </c>
      <c r="Q13" s="2" t="str" cm="1">
        <f t="array" ref="Q13">IFERROR(_xlfn.LET(
_xlpm.CSVVal,_xlfn.XLOOKUP($A13,CSV!$A:$A,CSV!AE:AE,""),
_xlpm.MacVal,_xlfn.XLOOKUP($A13,Output_Mac!$A:$A,Output_Mac!U:U,""),
_xlpm.MyAuditVal,_xlfn.XLOOKUP($A13,My_Audit!$A:$A,My_Audit!R:R,""),
_xlfn.IFS(_xlpm.MyAuditVal&lt;&gt;"",UPPER(_xlpm.MyAuditVal),_xlpm.MacVal&lt;&gt;"",_xlpm.MacVal,_xlpm.CSVVal&lt;&gt;"",_xlpm.CSVVal
)),"")</f>
        <v/>
      </c>
      <c r="X13" t="str">
        <f>_xlfn.LET(
    _xlpm.MacVal, _xlfn.XLOOKUP($A13, Output_Mac!$A:$A, Output_Mac!AB:AB, ""),
    _xlpm.MyAuditVal, _xlfn.XLOOKUP($A13, My_Audit!$A:$A, My_Audit!N:N, ""),
    _xlfn.TEXTJOIN(", ", TRUE, _xlpm.MyAuditVal, _xlpm.MacVal)
)</f>
        <v/>
      </c>
    </row>
    <row r="14" spans="1:24">
      <c r="A14" s="2" t="str">
        <f>_xlfn.TEXTJOIN("",TRUE,Input!$B$2,ROW(My_Audit!A13))</f>
        <v>X13</v>
      </c>
      <c r="B14" s="2" t="str">
        <f>_xlfn.TEXTJOIN("-",TRUE,"ITD",Input!$A$2,A14)</f>
        <v>ITD-SHR-X13</v>
      </c>
      <c r="C14" s="2" t="str" cm="1">
        <f t="array" ref="C14">IFERROR(_xlfn.LET(
_xlpm.CSVVal,_xlfn.XLOOKUP($A14,CSV!$A:$A,CSV!B:B,""),
_xlpm.MacVal,_xlfn.XLOOKUP($A14,Output_Mac!$A:$A,Output_Mac!B:B,""),
_xlpm.MyAuditVal,_xlfn.XLOOKUP($A14,My_Audit!$A:$A,My_Audit!B:B,""),
_xlfn.IFS(_xlpm.MyAuditVal&lt;&gt;"",UPPER(_xlpm.MyAuditVal),_xlpm.MacVal&lt;&gt;"",_xlpm.MacVal,_xlpm.CSVVal&lt;&gt;"",_xlpm.CSVVal
)),"")</f>
        <v/>
      </c>
      <c r="D14" s="2" t="str" cm="1">
        <f t="array" ref="D14">IFERROR(_xlfn.LET(
_xlpm.CSVVal,_xlfn.XLOOKUP($A14,CSV!$A:$A,CSV!D:D,""),
_xlpm.MacVal,_xlfn.XLOOKUP($A14,Output_Mac!$A:$A,Output_Mac!C:C,""),
_xlpm.MyAuditVal,_xlfn.XLOOKUP($A14,My_Audit!$A:$A,My_Audit!C:C,""),
_xlfn.IFS(_xlpm.MyAuditVal&lt;&gt;"",_xlpm.MyAuditVal,_xlpm.MacVal&lt;&gt;"",_xlpm.MacVal,_xlpm.CSVVal&lt;&gt;"",_xlpm.CSVVal
)),"")</f>
        <v/>
      </c>
      <c r="E14" s="2" t="str">
        <f>_xlfn.XLOOKUP(A14,My_Audit!A:A,My_Audit!D:D,"")&amp;""</f>
        <v/>
      </c>
      <c r="F14" s="2" t="str" cm="1">
        <f t="array" ref="F14">IFERROR(_xlfn.LET(
_xlpm.CSVVal,_xlfn.XLOOKUP($A14,CSV!$A:$A,CSV!F:F,""),
_xlpm.MacVal,_xlfn.XLOOKUP($A14,Output_Mac!$A:$A,Output_Mac!E:E,""),
_xlpm.MyAuditVal,_xlfn.XLOOKUP($A14,My_Audit!$A:$A,My_Audit!E:E,""),
_xlfn.IFS(_xlpm.MyAuditVal&lt;&gt;"",_xlpm.MyAuditVal,_xlpm.MacVal&lt;&gt;"",_xlpm.MacVal,_xlpm.CSVVal&lt;&gt;"",_xlpm.CSVVal
)),"")</f>
        <v/>
      </c>
      <c r="G14" s="2" t="str" cm="1">
        <f t="array" ref="G14">IFERROR(_xlfn.LET(
_xlpm.CSVVal,_xlfn.XLOOKUP($A14,CSV!$A:$A,CSV!G:G,""),
_xlpm.MacVal,_xlfn.XLOOKUP($A14,Output_Mac!$A:$A,Output_Mac!F:F,""),
_xlpm.MyAuditVal,_xlfn.XLOOKUP($A14,My_Audit!$A:$A,My_Audit!F:F,""),
_xlfn.IFS(_xlpm.MyAuditVal&lt;&gt;"",_xlpm.MyAuditVal,_xlpm.MacVal&lt;&gt;"",_xlpm.MacVal,_xlpm.CSVVal&lt;&gt;"",PROPER(_xlpm.CSVVal)
)),"")</f>
        <v/>
      </c>
      <c r="H14" s="2" t="str" cm="1">
        <f t="array" ref="H14">IFERROR(_xlfn.LET(
_xlpm.CSVVal,_xlfn.XLOOKUP($A14,CSV!$A:$A,CSV!H:H,""),
_xlpm.MacVal,_xlfn.XLOOKUP($A14,Output_Mac!$A:$A,Output_Mac!H:H,""),
_xlpm.MyAuditVal,_xlfn.XLOOKUP($A14,My_Audit!$A:$A,My_Audit!G:G,""),
_xlfn.IFS(_xlpm.MyAuditVal&lt;&gt;"",_xlpm.MyAuditVal,_xlpm.MacVal&lt;&gt;"",_xlpm.MacVal,_xlpm.CSVVal&lt;&gt;"",_xlpm.CSVVal
)),"")</f>
        <v/>
      </c>
      <c r="I14" s="2" t="str">
        <f>_xlfn.XLOOKUP(A14,Output_Mac!A:A,Output_Mac!I:I,"")</f>
        <v/>
      </c>
      <c r="J14" s="2" t="str" cm="1">
        <f t="array" ref="J14">IFERROR(_xlfn.LET(
_xlpm.CSVVal,_xlfn.XLOOKUP($A14,CSV!$A:$A,CSV!I:I,""),
_xlpm.MacVal,_xlfn.XLOOKUP($A14,Output_Mac!$A:$A,Output_Mac!J:J,""),
_xlpm.MyAuditVal,_xlfn.XLOOKUP($A14,My_Audit!$A:$A,My_Audit!I:I,""),
_xlfn.IFS(_xlpm.MyAuditVal&lt;&gt;"",UPPER(_xlpm.MyAuditVal),_xlpm.MacVal&lt;&gt;"",_xlpm.MacVal,_xlpm.CSVVal&lt;&gt;"",_xlpm.CSVVal
)),"")</f>
        <v/>
      </c>
      <c r="K14" s="2" t="str" cm="1">
        <f t="array" ref="K14">IFERROR(_xlfn.LET(
_xlpm.CSVVal,_xlfn.XLOOKUP($A14,CSV!$A:$A,CSV!K:K,""),
_xlpm.MacVal,_xlfn.XLOOKUP($A14,Output_Mac!$A:$A,Output_Mac!K:K,""),
_xlpm.MyAuditVal,_xlfn.XLOOKUP($A14,My_Audit!$A:$A,My_Audit!J:J,""),
_xlfn.IFS(_xlpm.MyAuditVal&lt;&gt;"",UPPER(_xlpm.MyAuditVal),_xlpm.MacVal&lt;&gt;"",_xlpm.MacVal,_xlpm.CSVVal&lt;&gt;"",_xlpm.CSVVal
)),"")</f>
        <v/>
      </c>
      <c r="L14" s="2" t="str" cm="1">
        <f t="array" ref="L14">IFERROR(_xlfn.LET(
_xlpm.CSVVal,_xlfn.XLOOKUP($A14,CSV!$A:$A,CSV!P:P,""),
_xlpm.MacVal,_xlfn.XLOOKUP($A14,Output_Mac!$A:$A,Output_Mac!L:L,""),
_xlpm.MyAuditVal,_xlfn.XLOOKUP($A14,My_Audit!$A:$A,My_Audit!K:K,""),
_xlfn.IFS(_xlpm.MyAuditVal&lt;&gt;"",UPPER(_xlpm.MyAuditVal),_xlpm.MacVal&lt;&gt;"",_xlpm.MacVal,_xlpm.CSVVal&lt;&gt;"",_xlpm.CSVVal
)),"")</f>
        <v/>
      </c>
      <c r="M14" s="2" t="str" cm="1">
        <f t="array" ref="M14">IFERROR(_xlfn.LET(
_xlpm.CSVVal,_xlfn.XLOOKUP($A14,CSV!$A:$A,CSV!Q:Q,""),
_xlpm.MacVal,_xlfn.XLOOKUP($A14,Output_Mac!$A:$A,Output_Mac!M:M,""),
_xlpm.MyAuditVal,_xlfn.XLOOKUP($A14,My_Audit!$A:$A,My_Audit!L:L,""),
_xlfn.IFS(_xlpm.MyAuditVal&lt;&gt;"",UPPER(_xlpm.MyAuditVal),_xlpm.MacVal&lt;&gt;"",_xlpm.MacVal,_xlpm.CSVVal&lt;&gt;"",_xlpm.CSVVal
)),"")</f>
        <v/>
      </c>
      <c r="O14" s="2" t="str">
        <f>_xlfn.LET(
    _xlpm.CSVVal, _xlfn.XLOOKUP($A14, CSV!$A:$A, CSV!AC:AC, ""),
    _xlpm.MacVal, _xlfn.XLOOKUP($A14, Output_Mac!$A:$A, Output_Mac!S:S, ""),
    _xlpm.MyAuditVal, _xlfn.XLOOKUP($A14, My_Audit!$A:$A, My_Audit!P:P, ""),
    _xlfn.TEXTJOIN(", ", TRUE, _xlpm.MyAuditVal, _xlpm.MacVal, _xlpm.CSVVal)
)</f>
        <v/>
      </c>
      <c r="P14" s="2" t="str" cm="1">
        <f t="array" ref="P14">IFERROR(_xlfn.LET(
_xlpm.CSVVal,_xlfn.XLOOKUP($A14,CSV!$A:$A,CSV!AD:AD,""),
_xlpm.MacVal,_xlfn.XLOOKUP($A14,Output_Mac!$A:$A,Output_Mac!T:T,""),
_xlpm.MyAuditVal,_xlfn.XLOOKUP($A14,My_Audit!$A:$A,My_Audit!Q:Q,""),
_xlfn.IFS(_xlpm.MyAuditVal&lt;&gt;"",UPPER(_xlpm.MyAuditVal),_xlpm.MacVal&lt;&gt;"",_xlpm.MacVal,_xlpm.CSVVal&lt;&gt;"",_xlpm.CSVVal
)),"No")</f>
        <v>No</v>
      </c>
      <c r="Q14" s="2" t="str" cm="1">
        <f t="array" ref="Q14">IFERROR(_xlfn.LET(
_xlpm.CSVVal,_xlfn.XLOOKUP($A14,CSV!$A:$A,CSV!AE:AE,""),
_xlpm.MacVal,_xlfn.XLOOKUP($A14,Output_Mac!$A:$A,Output_Mac!U:U,""),
_xlpm.MyAuditVal,_xlfn.XLOOKUP($A14,My_Audit!$A:$A,My_Audit!R:R,""),
_xlfn.IFS(_xlpm.MyAuditVal&lt;&gt;"",UPPER(_xlpm.MyAuditVal),_xlpm.MacVal&lt;&gt;"",_xlpm.MacVal,_xlpm.CSVVal&lt;&gt;"",_xlpm.CSVVal
)),"")</f>
        <v/>
      </c>
      <c r="X14" t="str">
        <f>_xlfn.LET(
    _xlpm.MacVal, _xlfn.XLOOKUP($A14, Output_Mac!$A:$A, Output_Mac!AB:AB, ""),
    _xlpm.MyAuditVal, _xlfn.XLOOKUP($A14, My_Audit!$A:$A, My_Audit!N:N, ""),
    _xlfn.TEXTJOIN(", ", TRUE, _xlpm.MyAuditVal, _xlpm.MacVal)
)</f>
        <v/>
      </c>
    </row>
    <row r="15" spans="1:24">
      <c r="A15" s="2" t="str">
        <f>_xlfn.TEXTJOIN("",TRUE,Input!$B$2,ROW(My_Audit!A14))</f>
        <v>X14</v>
      </c>
      <c r="B15" s="2" t="str">
        <f>_xlfn.TEXTJOIN("-",TRUE,"ITD",Input!$A$2,A15)</f>
        <v>ITD-SHR-X14</v>
      </c>
      <c r="C15" s="2" t="str" cm="1">
        <f t="array" ref="C15">IFERROR(_xlfn.LET(
_xlpm.CSVVal,_xlfn.XLOOKUP($A15,CSV!$A:$A,CSV!B:B,""),
_xlpm.MacVal,_xlfn.XLOOKUP($A15,Output_Mac!$A:$A,Output_Mac!B:B,""),
_xlpm.MyAuditVal,_xlfn.XLOOKUP($A15,My_Audit!$A:$A,My_Audit!B:B,""),
_xlfn.IFS(_xlpm.MyAuditVal&lt;&gt;"",UPPER(_xlpm.MyAuditVal),_xlpm.MacVal&lt;&gt;"",_xlpm.MacVal,_xlpm.CSVVal&lt;&gt;"",_xlpm.CSVVal
)),"")</f>
        <v/>
      </c>
      <c r="D15" s="2" t="str" cm="1">
        <f t="array" ref="D15">IFERROR(_xlfn.LET(
_xlpm.CSVVal,_xlfn.XLOOKUP($A15,CSV!$A:$A,CSV!D:D,""),
_xlpm.MacVal,_xlfn.XLOOKUP($A15,Output_Mac!$A:$A,Output_Mac!C:C,""),
_xlpm.MyAuditVal,_xlfn.XLOOKUP($A15,My_Audit!$A:$A,My_Audit!C:C,""),
_xlfn.IFS(_xlpm.MyAuditVal&lt;&gt;"",_xlpm.MyAuditVal,_xlpm.MacVal&lt;&gt;"",_xlpm.MacVal,_xlpm.CSVVal&lt;&gt;"",_xlpm.CSVVal
)),"")</f>
        <v/>
      </c>
      <c r="E15" s="2" t="str">
        <f>_xlfn.XLOOKUP(A15,My_Audit!A:A,My_Audit!D:D,"")&amp;""</f>
        <v/>
      </c>
      <c r="F15" s="2" t="str" cm="1">
        <f t="array" ref="F15">IFERROR(_xlfn.LET(
_xlpm.CSVVal,_xlfn.XLOOKUP($A15,CSV!$A:$A,CSV!F:F,""),
_xlpm.MacVal,_xlfn.XLOOKUP($A15,Output_Mac!$A:$A,Output_Mac!E:E,""),
_xlpm.MyAuditVal,_xlfn.XLOOKUP($A15,My_Audit!$A:$A,My_Audit!E:E,""),
_xlfn.IFS(_xlpm.MyAuditVal&lt;&gt;"",_xlpm.MyAuditVal,_xlpm.MacVal&lt;&gt;"",_xlpm.MacVal,_xlpm.CSVVal&lt;&gt;"",_xlpm.CSVVal
)),"")</f>
        <v/>
      </c>
      <c r="G15" s="2" t="str" cm="1">
        <f t="array" ref="G15">IFERROR(_xlfn.LET(
_xlpm.CSVVal,_xlfn.XLOOKUP($A15,CSV!$A:$A,CSV!G:G,""),
_xlpm.MacVal,_xlfn.XLOOKUP($A15,Output_Mac!$A:$A,Output_Mac!F:F,""),
_xlpm.MyAuditVal,_xlfn.XLOOKUP($A15,My_Audit!$A:$A,My_Audit!F:F,""),
_xlfn.IFS(_xlpm.MyAuditVal&lt;&gt;"",_xlpm.MyAuditVal,_xlpm.MacVal&lt;&gt;"",_xlpm.MacVal,_xlpm.CSVVal&lt;&gt;"",PROPER(_xlpm.CSVVal)
)),"")</f>
        <v/>
      </c>
      <c r="H15" s="2" t="str" cm="1">
        <f t="array" ref="H15">IFERROR(_xlfn.LET(
_xlpm.CSVVal,_xlfn.XLOOKUP($A15,CSV!$A:$A,CSV!H:H,""),
_xlpm.MacVal,_xlfn.XLOOKUP($A15,Output_Mac!$A:$A,Output_Mac!H:H,""),
_xlpm.MyAuditVal,_xlfn.XLOOKUP($A15,My_Audit!$A:$A,My_Audit!G:G,""),
_xlfn.IFS(_xlpm.MyAuditVal&lt;&gt;"",_xlpm.MyAuditVal,_xlpm.MacVal&lt;&gt;"",_xlpm.MacVal,_xlpm.CSVVal&lt;&gt;"",_xlpm.CSVVal
)),"")</f>
        <v/>
      </c>
      <c r="I15" s="2" t="str">
        <f>_xlfn.XLOOKUP(A15,Output_Mac!A:A,Output_Mac!I:I,"")</f>
        <v/>
      </c>
      <c r="J15" s="2" t="str" cm="1">
        <f t="array" ref="J15">IFERROR(_xlfn.LET(
_xlpm.CSVVal,_xlfn.XLOOKUP($A15,CSV!$A:$A,CSV!I:I,""),
_xlpm.MacVal,_xlfn.XLOOKUP($A15,Output_Mac!$A:$A,Output_Mac!J:J,""),
_xlpm.MyAuditVal,_xlfn.XLOOKUP($A15,My_Audit!$A:$A,My_Audit!I:I,""),
_xlfn.IFS(_xlpm.MyAuditVal&lt;&gt;"",UPPER(_xlpm.MyAuditVal),_xlpm.MacVal&lt;&gt;"",_xlpm.MacVal,_xlpm.CSVVal&lt;&gt;"",_xlpm.CSVVal
)),"")</f>
        <v/>
      </c>
      <c r="K15" s="2" t="str" cm="1">
        <f t="array" ref="K15">IFERROR(_xlfn.LET(
_xlpm.CSVVal,_xlfn.XLOOKUP($A15,CSV!$A:$A,CSV!K:K,""),
_xlpm.MacVal,_xlfn.XLOOKUP($A15,Output_Mac!$A:$A,Output_Mac!K:K,""),
_xlpm.MyAuditVal,_xlfn.XLOOKUP($A15,My_Audit!$A:$A,My_Audit!J:J,""),
_xlfn.IFS(_xlpm.MyAuditVal&lt;&gt;"",UPPER(_xlpm.MyAuditVal),_xlpm.MacVal&lt;&gt;"",_xlpm.MacVal,_xlpm.CSVVal&lt;&gt;"",_xlpm.CSVVal
)),"")</f>
        <v/>
      </c>
      <c r="L15" s="2" t="str" cm="1">
        <f t="array" ref="L15">IFERROR(_xlfn.LET(
_xlpm.CSVVal,_xlfn.XLOOKUP($A15,CSV!$A:$A,CSV!P:P,""),
_xlpm.MacVal,_xlfn.XLOOKUP($A15,Output_Mac!$A:$A,Output_Mac!L:L,""),
_xlpm.MyAuditVal,_xlfn.XLOOKUP($A15,My_Audit!$A:$A,My_Audit!K:K,""),
_xlfn.IFS(_xlpm.MyAuditVal&lt;&gt;"",UPPER(_xlpm.MyAuditVal),_xlpm.MacVal&lt;&gt;"",_xlpm.MacVal,_xlpm.CSVVal&lt;&gt;"",_xlpm.CSVVal
)),"")</f>
        <v/>
      </c>
      <c r="M15" s="2" t="str" cm="1">
        <f t="array" ref="M15">IFERROR(_xlfn.LET(
_xlpm.CSVVal,_xlfn.XLOOKUP($A15,CSV!$A:$A,CSV!Q:Q,""),
_xlpm.MacVal,_xlfn.XLOOKUP($A15,Output_Mac!$A:$A,Output_Mac!M:M,""),
_xlpm.MyAuditVal,_xlfn.XLOOKUP($A15,My_Audit!$A:$A,My_Audit!L:L,""),
_xlfn.IFS(_xlpm.MyAuditVal&lt;&gt;"",UPPER(_xlpm.MyAuditVal),_xlpm.MacVal&lt;&gt;"",_xlpm.MacVal,_xlpm.CSVVal&lt;&gt;"",_xlpm.CSVVal
)),"")</f>
        <v/>
      </c>
      <c r="O15" s="2" t="str">
        <f>_xlfn.LET(
    _xlpm.CSVVal, _xlfn.XLOOKUP($A15, CSV!$A:$A, CSV!AC:AC, ""),
    _xlpm.MacVal, _xlfn.XLOOKUP($A15, Output_Mac!$A:$A, Output_Mac!S:S, ""),
    _xlpm.MyAuditVal, _xlfn.XLOOKUP($A15, My_Audit!$A:$A, My_Audit!P:P, ""),
    _xlfn.TEXTJOIN(", ", TRUE, _xlpm.MyAuditVal, _xlpm.MacVal, _xlpm.CSVVal)
)</f>
        <v/>
      </c>
      <c r="P15" s="2" t="str" cm="1">
        <f t="array" ref="P15">IFERROR(_xlfn.LET(
_xlpm.CSVVal,_xlfn.XLOOKUP($A15,CSV!$A:$A,CSV!AD:AD,""),
_xlpm.MacVal,_xlfn.XLOOKUP($A15,Output_Mac!$A:$A,Output_Mac!T:T,""),
_xlpm.MyAuditVal,_xlfn.XLOOKUP($A15,My_Audit!$A:$A,My_Audit!Q:Q,""),
_xlfn.IFS(_xlpm.MyAuditVal&lt;&gt;"",UPPER(_xlpm.MyAuditVal),_xlpm.MacVal&lt;&gt;"",_xlpm.MacVal,_xlpm.CSVVal&lt;&gt;"",_xlpm.CSVVal
)),"No")</f>
        <v>No</v>
      </c>
      <c r="Q15" s="2" t="str" cm="1">
        <f t="array" ref="Q15">IFERROR(_xlfn.LET(
_xlpm.CSVVal,_xlfn.XLOOKUP($A15,CSV!$A:$A,CSV!AE:AE,""),
_xlpm.MacVal,_xlfn.XLOOKUP($A15,Output_Mac!$A:$A,Output_Mac!U:U,""),
_xlpm.MyAuditVal,_xlfn.XLOOKUP($A15,My_Audit!$A:$A,My_Audit!R:R,""),
_xlfn.IFS(_xlpm.MyAuditVal&lt;&gt;"",UPPER(_xlpm.MyAuditVal),_xlpm.MacVal&lt;&gt;"",_xlpm.MacVal,_xlpm.CSVVal&lt;&gt;"",_xlpm.CSVVal
)),"")</f>
        <v/>
      </c>
      <c r="X15" t="str">
        <f>_xlfn.LET(
    _xlpm.MacVal, _xlfn.XLOOKUP($A15, Output_Mac!$A:$A, Output_Mac!AB:AB, ""),
    _xlpm.MyAuditVal, _xlfn.XLOOKUP($A15, My_Audit!$A:$A, My_Audit!N:N, ""),
    _xlfn.TEXTJOIN(", ", TRUE, _xlpm.MyAuditVal, _xlpm.MacVal)
)</f>
        <v/>
      </c>
    </row>
    <row r="16" spans="1:24">
      <c r="A16" s="2" t="str">
        <f>_xlfn.TEXTJOIN("",TRUE,Input!$B$2,ROW(My_Audit!A15))</f>
        <v>X15</v>
      </c>
      <c r="B16" s="2" t="str">
        <f>_xlfn.TEXTJOIN("-",TRUE,"ITD",Input!$A$2,A16)</f>
        <v>ITD-SHR-X15</v>
      </c>
      <c r="C16" s="2" t="str" cm="1">
        <f t="array" ref="C16">IFERROR(_xlfn.LET(
_xlpm.CSVVal,_xlfn.XLOOKUP($A16,CSV!$A:$A,CSV!B:B,""),
_xlpm.MacVal,_xlfn.XLOOKUP($A16,Output_Mac!$A:$A,Output_Mac!B:B,""),
_xlpm.MyAuditVal,_xlfn.XLOOKUP($A16,My_Audit!$A:$A,My_Audit!B:B,""),
_xlfn.IFS(_xlpm.MyAuditVal&lt;&gt;"",UPPER(_xlpm.MyAuditVal),_xlpm.MacVal&lt;&gt;"",_xlpm.MacVal,_xlpm.CSVVal&lt;&gt;"",_xlpm.CSVVal
)),"")</f>
        <v/>
      </c>
      <c r="D16" s="2" t="str" cm="1">
        <f t="array" ref="D16">IFERROR(_xlfn.LET(
_xlpm.CSVVal,_xlfn.XLOOKUP($A16,CSV!$A:$A,CSV!D:D,""),
_xlpm.MacVal,_xlfn.XLOOKUP($A16,Output_Mac!$A:$A,Output_Mac!C:C,""),
_xlpm.MyAuditVal,_xlfn.XLOOKUP($A16,My_Audit!$A:$A,My_Audit!C:C,""),
_xlfn.IFS(_xlpm.MyAuditVal&lt;&gt;"",_xlpm.MyAuditVal,_xlpm.MacVal&lt;&gt;"",_xlpm.MacVal,_xlpm.CSVVal&lt;&gt;"",_xlpm.CSVVal
)),"")</f>
        <v/>
      </c>
      <c r="E16" s="2" t="str">
        <f>_xlfn.XLOOKUP(A16,My_Audit!A:A,My_Audit!D:D,"")&amp;""</f>
        <v/>
      </c>
      <c r="F16" s="2" t="str" cm="1">
        <f t="array" ref="F16">IFERROR(_xlfn.LET(
_xlpm.CSVVal,_xlfn.XLOOKUP($A16,CSV!$A:$A,CSV!F:F,""),
_xlpm.MacVal,_xlfn.XLOOKUP($A16,Output_Mac!$A:$A,Output_Mac!E:E,""),
_xlpm.MyAuditVal,_xlfn.XLOOKUP($A16,My_Audit!$A:$A,My_Audit!E:E,""),
_xlfn.IFS(_xlpm.MyAuditVal&lt;&gt;"",_xlpm.MyAuditVal,_xlpm.MacVal&lt;&gt;"",_xlpm.MacVal,_xlpm.CSVVal&lt;&gt;"",_xlpm.CSVVal
)),"")</f>
        <v/>
      </c>
      <c r="G16" s="2" t="str" cm="1">
        <f t="array" ref="G16">IFERROR(_xlfn.LET(
_xlpm.CSVVal,_xlfn.XLOOKUP($A16,CSV!$A:$A,CSV!G:G,""),
_xlpm.MacVal,_xlfn.XLOOKUP($A16,Output_Mac!$A:$A,Output_Mac!F:F,""),
_xlpm.MyAuditVal,_xlfn.XLOOKUP($A16,My_Audit!$A:$A,My_Audit!F:F,""),
_xlfn.IFS(_xlpm.MyAuditVal&lt;&gt;"",_xlpm.MyAuditVal,_xlpm.MacVal&lt;&gt;"",_xlpm.MacVal,_xlpm.CSVVal&lt;&gt;"",PROPER(_xlpm.CSVVal)
)),"")</f>
        <v/>
      </c>
      <c r="H16" s="2" t="str" cm="1">
        <f t="array" ref="H16">IFERROR(_xlfn.LET(
_xlpm.CSVVal,_xlfn.XLOOKUP($A16,CSV!$A:$A,CSV!H:H,""),
_xlpm.MacVal,_xlfn.XLOOKUP($A16,Output_Mac!$A:$A,Output_Mac!H:H,""),
_xlpm.MyAuditVal,_xlfn.XLOOKUP($A16,My_Audit!$A:$A,My_Audit!G:G,""),
_xlfn.IFS(_xlpm.MyAuditVal&lt;&gt;"",_xlpm.MyAuditVal,_xlpm.MacVal&lt;&gt;"",_xlpm.MacVal,_xlpm.CSVVal&lt;&gt;"",_xlpm.CSVVal
)),"")</f>
        <v/>
      </c>
      <c r="I16" s="2" t="str">
        <f>_xlfn.XLOOKUP(A16,Output_Mac!A:A,Output_Mac!I:I,"")</f>
        <v/>
      </c>
      <c r="J16" s="2" t="str" cm="1">
        <f t="array" ref="J16">IFERROR(_xlfn.LET(
_xlpm.CSVVal,_xlfn.XLOOKUP($A16,CSV!$A:$A,CSV!I:I,""),
_xlpm.MacVal,_xlfn.XLOOKUP($A16,Output_Mac!$A:$A,Output_Mac!J:J,""),
_xlpm.MyAuditVal,_xlfn.XLOOKUP($A16,My_Audit!$A:$A,My_Audit!I:I,""),
_xlfn.IFS(_xlpm.MyAuditVal&lt;&gt;"",UPPER(_xlpm.MyAuditVal),_xlpm.MacVal&lt;&gt;"",_xlpm.MacVal,_xlpm.CSVVal&lt;&gt;"",_xlpm.CSVVal
)),"")</f>
        <v/>
      </c>
      <c r="K16" s="2" t="str" cm="1">
        <f t="array" ref="K16">IFERROR(_xlfn.LET(
_xlpm.CSVVal,_xlfn.XLOOKUP($A16,CSV!$A:$A,CSV!K:K,""),
_xlpm.MacVal,_xlfn.XLOOKUP($A16,Output_Mac!$A:$A,Output_Mac!K:K,""),
_xlpm.MyAuditVal,_xlfn.XLOOKUP($A16,My_Audit!$A:$A,My_Audit!J:J,""),
_xlfn.IFS(_xlpm.MyAuditVal&lt;&gt;"",UPPER(_xlpm.MyAuditVal),_xlpm.MacVal&lt;&gt;"",_xlpm.MacVal,_xlpm.CSVVal&lt;&gt;"",_xlpm.CSVVal
)),"")</f>
        <v/>
      </c>
      <c r="L16" s="2" t="str" cm="1">
        <f t="array" ref="L16">IFERROR(_xlfn.LET(
_xlpm.CSVVal,_xlfn.XLOOKUP($A16,CSV!$A:$A,CSV!P:P,""),
_xlpm.MacVal,_xlfn.XLOOKUP($A16,Output_Mac!$A:$A,Output_Mac!L:L,""),
_xlpm.MyAuditVal,_xlfn.XLOOKUP($A16,My_Audit!$A:$A,My_Audit!K:K,""),
_xlfn.IFS(_xlpm.MyAuditVal&lt;&gt;"",UPPER(_xlpm.MyAuditVal),_xlpm.MacVal&lt;&gt;"",_xlpm.MacVal,_xlpm.CSVVal&lt;&gt;"",_xlpm.CSVVal
)),"")</f>
        <v/>
      </c>
      <c r="M16" s="2" t="str" cm="1">
        <f t="array" ref="M16">IFERROR(_xlfn.LET(
_xlpm.CSVVal,_xlfn.XLOOKUP($A16,CSV!$A:$A,CSV!Q:Q,""),
_xlpm.MacVal,_xlfn.XLOOKUP($A16,Output_Mac!$A:$A,Output_Mac!M:M,""),
_xlpm.MyAuditVal,_xlfn.XLOOKUP($A16,My_Audit!$A:$A,My_Audit!L:L,""),
_xlfn.IFS(_xlpm.MyAuditVal&lt;&gt;"",UPPER(_xlpm.MyAuditVal),_xlpm.MacVal&lt;&gt;"",_xlpm.MacVal,_xlpm.CSVVal&lt;&gt;"",_xlpm.CSVVal
)),"")</f>
        <v/>
      </c>
      <c r="O16" s="2" t="str">
        <f>_xlfn.LET(
    _xlpm.CSVVal, _xlfn.XLOOKUP($A16, CSV!$A:$A, CSV!AC:AC, ""),
    _xlpm.MacVal, _xlfn.XLOOKUP($A16, Output_Mac!$A:$A, Output_Mac!S:S, ""),
    _xlpm.MyAuditVal, _xlfn.XLOOKUP($A16, My_Audit!$A:$A, My_Audit!P:P, ""),
    _xlfn.TEXTJOIN(", ", TRUE, _xlpm.MyAuditVal, _xlpm.MacVal, _xlpm.CSVVal)
)</f>
        <v/>
      </c>
      <c r="P16" s="2" t="str" cm="1">
        <f t="array" ref="P16">IFERROR(_xlfn.LET(
_xlpm.CSVVal,_xlfn.XLOOKUP($A16,CSV!$A:$A,CSV!AD:AD,""),
_xlpm.MacVal,_xlfn.XLOOKUP($A16,Output_Mac!$A:$A,Output_Mac!T:T,""),
_xlpm.MyAuditVal,_xlfn.XLOOKUP($A16,My_Audit!$A:$A,My_Audit!Q:Q,""),
_xlfn.IFS(_xlpm.MyAuditVal&lt;&gt;"",UPPER(_xlpm.MyAuditVal),_xlpm.MacVal&lt;&gt;"",_xlpm.MacVal,_xlpm.CSVVal&lt;&gt;"",_xlpm.CSVVal
)),"No")</f>
        <v>No</v>
      </c>
      <c r="Q16" s="2" t="str" cm="1">
        <f t="array" ref="Q16">IFERROR(_xlfn.LET(
_xlpm.CSVVal,_xlfn.XLOOKUP($A16,CSV!$A:$A,CSV!AE:AE,""),
_xlpm.MacVal,_xlfn.XLOOKUP($A16,Output_Mac!$A:$A,Output_Mac!U:U,""),
_xlpm.MyAuditVal,_xlfn.XLOOKUP($A16,My_Audit!$A:$A,My_Audit!R:R,""),
_xlfn.IFS(_xlpm.MyAuditVal&lt;&gt;"",UPPER(_xlpm.MyAuditVal),_xlpm.MacVal&lt;&gt;"",_xlpm.MacVal,_xlpm.CSVVal&lt;&gt;"",_xlpm.CSVVal
)),"")</f>
        <v/>
      </c>
      <c r="X16" t="str">
        <f>_xlfn.LET(
    _xlpm.MacVal, _xlfn.XLOOKUP($A16, Output_Mac!$A:$A, Output_Mac!AB:AB, ""),
    _xlpm.MyAuditVal, _xlfn.XLOOKUP($A16, My_Audit!$A:$A, My_Audit!N:N, ""),
    _xlfn.TEXTJOIN(", ", TRUE, _xlpm.MyAuditVal, _xlpm.MacVal)
)</f>
        <v/>
      </c>
    </row>
    <row r="17" spans="1:24">
      <c r="A17" s="2" t="str">
        <f>_xlfn.TEXTJOIN("",TRUE,Input!$B$2,ROW(My_Audit!A16))</f>
        <v>X16</v>
      </c>
      <c r="B17" s="2" t="str">
        <f>_xlfn.TEXTJOIN("-",TRUE,"ITD",Input!$A$2,A17)</f>
        <v>ITD-SHR-X16</v>
      </c>
      <c r="C17" s="2" t="str" cm="1">
        <f t="array" ref="C17">IFERROR(_xlfn.LET(
_xlpm.CSVVal,_xlfn.XLOOKUP($A17,CSV!$A:$A,CSV!B:B,""),
_xlpm.MacVal,_xlfn.XLOOKUP($A17,Output_Mac!$A:$A,Output_Mac!B:B,""),
_xlpm.MyAuditVal,_xlfn.XLOOKUP($A17,My_Audit!$A:$A,My_Audit!B:B,""),
_xlfn.IFS(_xlpm.MyAuditVal&lt;&gt;"",UPPER(_xlpm.MyAuditVal),_xlpm.MacVal&lt;&gt;"",_xlpm.MacVal,_xlpm.CSVVal&lt;&gt;"",_xlpm.CSVVal
)),"")</f>
        <v/>
      </c>
      <c r="D17" s="2" t="str" cm="1">
        <f t="array" ref="D17">IFERROR(_xlfn.LET(
_xlpm.CSVVal,_xlfn.XLOOKUP($A17,CSV!$A:$A,CSV!D:D,""),
_xlpm.MacVal,_xlfn.XLOOKUP($A17,Output_Mac!$A:$A,Output_Mac!C:C,""),
_xlpm.MyAuditVal,_xlfn.XLOOKUP($A17,My_Audit!$A:$A,My_Audit!C:C,""),
_xlfn.IFS(_xlpm.MyAuditVal&lt;&gt;"",_xlpm.MyAuditVal,_xlpm.MacVal&lt;&gt;"",_xlpm.MacVal,_xlpm.CSVVal&lt;&gt;"",_xlpm.CSVVal
)),"")</f>
        <v/>
      </c>
      <c r="E17" s="2" t="str">
        <f>_xlfn.XLOOKUP(A17,My_Audit!A:A,My_Audit!D:D,"")&amp;""</f>
        <v/>
      </c>
      <c r="F17" s="2" t="str" cm="1">
        <f t="array" ref="F17">IFERROR(_xlfn.LET(
_xlpm.CSVVal,_xlfn.XLOOKUP($A17,CSV!$A:$A,CSV!F:F,""),
_xlpm.MacVal,_xlfn.XLOOKUP($A17,Output_Mac!$A:$A,Output_Mac!E:E,""),
_xlpm.MyAuditVal,_xlfn.XLOOKUP($A17,My_Audit!$A:$A,My_Audit!E:E,""),
_xlfn.IFS(_xlpm.MyAuditVal&lt;&gt;"",_xlpm.MyAuditVal,_xlpm.MacVal&lt;&gt;"",_xlpm.MacVal,_xlpm.CSVVal&lt;&gt;"",_xlpm.CSVVal
)),"")</f>
        <v/>
      </c>
      <c r="G17" s="2" t="str" cm="1">
        <f t="array" ref="G17">IFERROR(_xlfn.LET(
_xlpm.CSVVal,_xlfn.XLOOKUP($A17,CSV!$A:$A,CSV!G:G,""),
_xlpm.MacVal,_xlfn.XLOOKUP($A17,Output_Mac!$A:$A,Output_Mac!F:F,""),
_xlpm.MyAuditVal,_xlfn.XLOOKUP($A17,My_Audit!$A:$A,My_Audit!F:F,""),
_xlfn.IFS(_xlpm.MyAuditVal&lt;&gt;"",_xlpm.MyAuditVal,_xlpm.MacVal&lt;&gt;"",_xlpm.MacVal,_xlpm.CSVVal&lt;&gt;"",PROPER(_xlpm.CSVVal)
)),"")</f>
        <v/>
      </c>
      <c r="H17" s="2" t="str" cm="1">
        <f t="array" ref="H17">IFERROR(_xlfn.LET(
_xlpm.CSVVal,_xlfn.XLOOKUP($A17,CSV!$A:$A,CSV!H:H,""),
_xlpm.MacVal,_xlfn.XLOOKUP($A17,Output_Mac!$A:$A,Output_Mac!H:H,""),
_xlpm.MyAuditVal,_xlfn.XLOOKUP($A17,My_Audit!$A:$A,My_Audit!G:G,""),
_xlfn.IFS(_xlpm.MyAuditVal&lt;&gt;"",_xlpm.MyAuditVal,_xlpm.MacVal&lt;&gt;"",_xlpm.MacVal,_xlpm.CSVVal&lt;&gt;"",_xlpm.CSVVal
)),"")</f>
        <v/>
      </c>
      <c r="I17" s="2" t="str">
        <f>_xlfn.XLOOKUP(A17,Output_Mac!A:A,Output_Mac!I:I,"")</f>
        <v/>
      </c>
      <c r="J17" s="2" t="str" cm="1">
        <f t="array" ref="J17">IFERROR(_xlfn.LET(
_xlpm.CSVVal,_xlfn.XLOOKUP($A17,CSV!$A:$A,CSV!I:I,""),
_xlpm.MacVal,_xlfn.XLOOKUP($A17,Output_Mac!$A:$A,Output_Mac!J:J,""),
_xlpm.MyAuditVal,_xlfn.XLOOKUP($A17,My_Audit!$A:$A,My_Audit!I:I,""),
_xlfn.IFS(_xlpm.MyAuditVal&lt;&gt;"",UPPER(_xlpm.MyAuditVal),_xlpm.MacVal&lt;&gt;"",_xlpm.MacVal,_xlpm.CSVVal&lt;&gt;"",_xlpm.CSVVal
)),"")</f>
        <v/>
      </c>
      <c r="K17" s="2" t="str" cm="1">
        <f t="array" ref="K17">IFERROR(_xlfn.LET(
_xlpm.CSVVal,_xlfn.XLOOKUP($A17,CSV!$A:$A,CSV!K:K,""),
_xlpm.MacVal,_xlfn.XLOOKUP($A17,Output_Mac!$A:$A,Output_Mac!K:K,""),
_xlpm.MyAuditVal,_xlfn.XLOOKUP($A17,My_Audit!$A:$A,My_Audit!J:J,""),
_xlfn.IFS(_xlpm.MyAuditVal&lt;&gt;"",UPPER(_xlpm.MyAuditVal),_xlpm.MacVal&lt;&gt;"",_xlpm.MacVal,_xlpm.CSVVal&lt;&gt;"",_xlpm.CSVVal
)),"")</f>
        <v/>
      </c>
      <c r="L17" s="2" t="str" cm="1">
        <f t="array" ref="L17">IFERROR(_xlfn.LET(
_xlpm.CSVVal,_xlfn.XLOOKUP($A17,CSV!$A:$A,CSV!P:P,""),
_xlpm.MacVal,_xlfn.XLOOKUP($A17,Output_Mac!$A:$A,Output_Mac!L:L,""),
_xlpm.MyAuditVal,_xlfn.XLOOKUP($A17,My_Audit!$A:$A,My_Audit!K:K,""),
_xlfn.IFS(_xlpm.MyAuditVal&lt;&gt;"",UPPER(_xlpm.MyAuditVal),_xlpm.MacVal&lt;&gt;"",_xlpm.MacVal,_xlpm.CSVVal&lt;&gt;"",_xlpm.CSVVal
)),"")</f>
        <v/>
      </c>
      <c r="M17" s="2" t="str" cm="1">
        <f t="array" ref="M17">IFERROR(_xlfn.LET(
_xlpm.CSVVal,_xlfn.XLOOKUP($A17,CSV!$A:$A,CSV!Q:Q,""),
_xlpm.MacVal,_xlfn.XLOOKUP($A17,Output_Mac!$A:$A,Output_Mac!M:M,""),
_xlpm.MyAuditVal,_xlfn.XLOOKUP($A17,My_Audit!$A:$A,My_Audit!L:L,""),
_xlfn.IFS(_xlpm.MyAuditVal&lt;&gt;"",UPPER(_xlpm.MyAuditVal),_xlpm.MacVal&lt;&gt;"",_xlpm.MacVal,_xlpm.CSVVal&lt;&gt;"",_xlpm.CSVVal
)),"")</f>
        <v/>
      </c>
      <c r="O17" s="2" t="str">
        <f>_xlfn.LET(
    _xlpm.CSVVal, _xlfn.XLOOKUP($A17, CSV!$A:$A, CSV!AC:AC, ""),
    _xlpm.MacVal, _xlfn.XLOOKUP($A17, Output_Mac!$A:$A, Output_Mac!S:S, ""),
    _xlpm.MyAuditVal, _xlfn.XLOOKUP($A17, My_Audit!$A:$A, My_Audit!P:P, ""),
    _xlfn.TEXTJOIN(", ", TRUE, _xlpm.MyAuditVal, _xlpm.MacVal, _xlpm.CSVVal)
)</f>
        <v/>
      </c>
      <c r="P17" s="2" t="str" cm="1">
        <f t="array" ref="P17">IFERROR(_xlfn.LET(
_xlpm.CSVVal,_xlfn.XLOOKUP($A17,CSV!$A:$A,CSV!AD:AD,""),
_xlpm.MacVal,_xlfn.XLOOKUP($A17,Output_Mac!$A:$A,Output_Mac!T:T,""),
_xlpm.MyAuditVal,_xlfn.XLOOKUP($A17,My_Audit!$A:$A,My_Audit!Q:Q,""),
_xlfn.IFS(_xlpm.MyAuditVal&lt;&gt;"",UPPER(_xlpm.MyAuditVal),_xlpm.MacVal&lt;&gt;"",_xlpm.MacVal,_xlpm.CSVVal&lt;&gt;"",_xlpm.CSVVal
)),"No")</f>
        <v>No</v>
      </c>
      <c r="Q17" s="2" t="str" cm="1">
        <f t="array" ref="Q17">IFERROR(_xlfn.LET(
_xlpm.CSVVal,_xlfn.XLOOKUP($A17,CSV!$A:$A,CSV!AE:AE,""),
_xlpm.MacVal,_xlfn.XLOOKUP($A17,Output_Mac!$A:$A,Output_Mac!U:U,""),
_xlpm.MyAuditVal,_xlfn.XLOOKUP($A17,My_Audit!$A:$A,My_Audit!R:R,""),
_xlfn.IFS(_xlpm.MyAuditVal&lt;&gt;"",UPPER(_xlpm.MyAuditVal),_xlpm.MacVal&lt;&gt;"",_xlpm.MacVal,_xlpm.CSVVal&lt;&gt;"",_xlpm.CSVVal
)),"")</f>
        <v/>
      </c>
      <c r="X17" t="str">
        <f>_xlfn.LET(
    _xlpm.MacVal, _xlfn.XLOOKUP($A17, Output_Mac!$A:$A, Output_Mac!AB:AB, ""),
    _xlpm.MyAuditVal, _xlfn.XLOOKUP($A17, My_Audit!$A:$A, My_Audit!N:N, ""),
    _xlfn.TEXTJOIN(", ", TRUE, _xlpm.MyAuditVal, _xlpm.MacVal)
)</f>
        <v/>
      </c>
    </row>
    <row r="18" spans="1:24">
      <c r="A18" s="2" t="str">
        <f>_xlfn.TEXTJOIN("",TRUE,Input!$B$2,ROW(My_Audit!A17))</f>
        <v>X17</v>
      </c>
      <c r="B18" s="2" t="str">
        <f>_xlfn.TEXTJOIN("-",TRUE,"ITD",Input!$A$2,A18)</f>
        <v>ITD-SHR-X17</v>
      </c>
      <c r="C18" s="2" t="str" cm="1">
        <f t="array" ref="C18">IFERROR(_xlfn.LET(
_xlpm.CSVVal,_xlfn.XLOOKUP($A18,CSV!$A:$A,CSV!B:B,""),
_xlpm.MacVal,_xlfn.XLOOKUP($A18,Output_Mac!$A:$A,Output_Mac!B:B,""),
_xlpm.MyAuditVal,_xlfn.XLOOKUP($A18,My_Audit!$A:$A,My_Audit!B:B,""),
_xlfn.IFS(_xlpm.MyAuditVal&lt;&gt;"",UPPER(_xlpm.MyAuditVal),_xlpm.MacVal&lt;&gt;"",_xlpm.MacVal,_xlpm.CSVVal&lt;&gt;"",_xlpm.CSVVal
)),"")</f>
        <v/>
      </c>
      <c r="D18" s="2" t="str" cm="1">
        <f t="array" ref="D18">IFERROR(_xlfn.LET(
_xlpm.CSVVal,_xlfn.XLOOKUP($A18,CSV!$A:$A,CSV!D:D,""),
_xlpm.MacVal,_xlfn.XLOOKUP($A18,Output_Mac!$A:$A,Output_Mac!C:C,""),
_xlpm.MyAuditVal,_xlfn.XLOOKUP($A18,My_Audit!$A:$A,My_Audit!C:C,""),
_xlfn.IFS(_xlpm.MyAuditVal&lt;&gt;"",_xlpm.MyAuditVal,_xlpm.MacVal&lt;&gt;"",_xlpm.MacVal,_xlpm.CSVVal&lt;&gt;"",_xlpm.CSVVal
)),"")</f>
        <v/>
      </c>
      <c r="E18" s="2" t="str">
        <f>_xlfn.XLOOKUP(A18,My_Audit!A:A,My_Audit!D:D,"")&amp;""</f>
        <v/>
      </c>
      <c r="F18" s="2" t="str" cm="1">
        <f t="array" ref="F18">IFERROR(_xlfn.LET(
_xlpm.CSVVal,_xlfn.XLOOKUP($A18,CSV!$A:$A,CSV!F:F,""),
_xlpm.MacVal,_xlfn.XLOOKUP($A18,Output_Mac!$A:$A,Output_Mac!E:E,""),
_xlpm.MyAuditVal,_xlfn.XLOOKUP($A18,My_Audit!$A:$A,My_Audit!E:E,""),
_xlfn.IFS(_xlpm.MyAuditVal&lt;&gt;"",_xlpm.MyAuditVal,_xlpm.MacVal&lt;&gt;"",_xlpm.MacVal,_xlpm.CSVVal&lt;&gt;"",_xlpm.CSVVal
)),"")</f>
        <v/>
      </c>
      <c r="G18" s="2" t="str" cm="1">
        <f t="array" ref="G18">IFERROR(_xlfn.LET(
_xlpm.CSVVal,_xlfn.XLOOKUP($A18,CSV!$A:$A,CSV!G:G,""),
_xlpm.MacVal,_xlfn.XLOOKUP($A18,Output_Mac!$A:$A,Output_Mac!F:F,""),
_xlpm.MyAuditVal,_xlfn.XLOOKUP($A18,My_Audit!$A:$A,My_Audit!F:F,""),
_xlfn.IFS(_xlpm.MyAuditVal&lt;&gt;"",_xlpm.MyAuditVal,_xlpm.MacVal&lt;&gt;"",_xlpm.MacVal,_xlpm.CSVVal&lt;&gt;"",PROPER(_xlpm.CSVVal)
)),"")</f>
        <v/>
      </c>
      <c r="H18" s="2" t="str" cm="1">
        <f t="array" ref="H18">IFERROR(_xlfn.LET(
_xlpm.CSVVal,_xlfn.XLOOKUP($A18,CSV!$A:$A,CSV!H:H,""),
_xlpm.MacVal,_xlfn.XLOOKUP($A18,Output_Mac!$A:$A,Output_Mac!H:H,""),
_xlpm.MyAuditVal,_xlfn.XLOOKUP($A18,My_Audit!$A:$A,My_Audit!G:G,""),
_xlfn.IFS(_xlpm.MyAuditVal&lt;&gt;"",_xlpm.MyAuditVal,_xlpm.MacVal&lt;&gt;"",_xlpm.MacVal,_xlpm.CSVVal&lt;&gt;"",_xlpm.CSVVal
)),"")</f>
        <v/>
      </c>
      <c r="I18" s="2" t="str">
        <f>_xlfn.XLOOKUP(A18,Output_Mac!A:A,Output_Mac!I:I,"")</f>
        <v/>
      </c>
      <c r="J18" s="2" t="str" cm="1">
        <f t="array" ref="J18">IFERROR(_xlfn.LET(
_xlpm.CSVVal,_xlfn.XLOOKUP($A18,CSV!$A:$A,CSV!I:I,""),
_xlpm.MacVal,_xlfn.XLOOKUP($A18,Output_Mac!$A:$A,Output_Mac!J:J,""),
_xlpm.MyAuditVal,_xlfn.XLOOKUP($A18,My_Audit!$A:$A,My_Audit!I:I,""),
_xlfn.IFS(_xlpm.MyAuditVal&lt;&gt;"",UPPER(_xlpm.MyAuditVal),_xlpm.MacVal&lt;&gt;"",_xlpm.MacVal,_xlpm.CSVVal&lt;&gt;"",_xlpm.CSVVal
)),"")</f>
        <v/>
      </c>
      <c r="K18" s="2" t="str" cm="1">
        <f t="array" ref="K18">IFERROR(_xlfn.LET(
_xlpm.CSVVal,_xlfn.XLOOKUP($A18,CSV!$A:$A,CSV!K:K,""),
_xlpm.MacVal,_xlfn.XLOOKUP($A18,Output_Mac!$A:$A,Output_Mac!K:K,""),
_xlpm.MyAuditVal,_xlfn.XLOOKUP($A18,My_Audit!$A:$A,My_Audit!J:J,""),
_xlfn.IFS(_xlpm.MyAuditVal&lt;&gt;"",UPPER(_xlpm.MyAuditVal),_xlpm.MacVal&lt;&gt;"",_xlpm.MacVal,_xlpm.CSVVal&lt;&gt;"",_xlpm.CSVVal
)),"")</f>
        <v/>
      </c>
      <c r="L18" s="2" t="str" cm="1">
        <f t="array" ref="L18">IFERROR(_xlfn.LET(
_xlpm.CSVVal,_xlfn.XLOOKUP($A18,CSV!$A:$A,CSV!P:P,""),
_xlpm.MacVal,_xlfn.XLOOKUP($A18,Output_Mac!$A:$A,Output_Mac!L:L,""),
_xlpm.MyAuditVal,_xlfn.XLOOKUP($A18,My_Audit!$A:$A,My_Audit!K:K,""),
_xlfn.IFS(_xlpm.MyAuditVal&lt;&gt;"",UPPER(_xlpm.MyAuditVal),_xlpm.MacVal&lt;&gt;"",_xlpm.MacVal,_xlpm.CSVVal&lt;&gt;"",_xlpm.CSVVal
)),"")</f>
        <v/>
      </c>
      <c r="M18" s="2" t="str" cm="1">
        <f t="array" ref="M18">IFERROR(_xlfn.LET(
_xlpm.CSVVal,_xlfn.XLOOKUP($A18,CSV!$A:$A,CSV!Q:Q,""),
_xlpm.MacVal,_xlfn.XLOOKUP($A18,Output_Mac!$A:$A,Output_Mac!M:M,""),
_xlpm.MyAuditVal,_xlfn.XLOOKUP($A18,My_Audit!$A:$A,My_Audit!L:L,""),
_xlfn.IFS(_xlpm.MyAuditVal&lt;&gt;"",UPPER(_xlpm.MyAuditVal),_xlpm.MacVal&lt;&gt;"",_xlpm.MacVal,_xlpm.CSVVal&lt;&gt;"",_xlpm.CSVVal
)),"")</f>
        <v/>
      </c>
      <c r="O18" s="2" t="str">
        <f>_xlfn.LET(
    _xlpm.CSVVal, _xlfn.XLOOKUP($A18, CSV!$A:$A, CSV!AC:AC, ""),
    _xlpm.MacVal, _xlfn.XLOOKUP($A18, Output_Mac!$A:$A, Output_Mac!S:S, ""),
    _xlpm.MyAuditVal, _xlfn.XLOOKUP($A18, My_Audit!$A:$A, My_Audit!P:P, ""),
    _xlfn.TEXTJOIN(", ", TRUE, _xlpm.MyAuditVal, _xlpm.MacVal, _xlpm.CSVVal)
)</f>
        <v/>
      </c>
      <c r="P18" s="2" t="str" cm="1">
        <f t="array" ref="P18">IFERROR(_xlfn.LET(
_xlpm.CSVVal,_xlfn.XLOOKUP($A18,CSV!$A:$A,CSV!AD:AD,""),
_xlpm.MacVal,_xlfn.XLOOKUP($A18,Output_Mac!$A:$A,Output_Mac!T:T,""),
_xlpm.MyAuditVal,_xlfn.XLOOKUP($A18,My_Audit!$A:$A,My_Audit!Q:Q,""),
_xlfn.IFS(_xlpm.MyAuditVal&lt;&gt;"",UPPER(_xlpm.MyAuditVal),_xlpm.MacVal&lt;&gt;"",_xlpm.MacVal,_xlpm.CSVVal&lt;&gt;"",_xlpm.CSVVal
)),"No")</f>
        <v>No</v>
      </c>
      <c r="Q18" s="2" t="str" cm="1">
        <f t="array" ref="Q18">IFERROR(_xlfn.LET(
_xlpm.CSVVal,_xlfn.XLOOKUP($A18,CSV!$A:$A,CSV!AE:AE,""),
_xlpm.MacVal,_xlfn.XLOOKUP($A18,Output_Mac!$A:$A,Output_Mac!U:U,""),
_xlpm.MyAuditVal,_xlfn.XLOOKUP($A18,My_Audit!$A:$A,My_Audit!R:R,""),
_xlfn.IFS(_xlpm.MyAuditVal&lt;&gt;"",UPPER(_xlpm.MyAuditVal),_xlpm.MacVal&lt;&gt;"",_xlpm.MacVal,_xlpm.CSVVal&lt;&gt;"",_xlpm.CSVVal
)),"")</f>
        <v/>
      </c>
      <c r="X18" t="str">
        <f>_xlfn.LET(
    _xlpm.MacVal, _xlfn.XLOOKUP($A18, Output_Mac!$A:$A, Output_Mac!AB:AB, ""),
    _xlpm.MyAuditVal, _xlfn.XLOOKUP($A18, My_Audit!$A:$A, My_Audit!N:N, ""),
    _xlfn.TEXTJOIN(", ", TRUE, _xlpm.MyAuditVal, _xlpm.MacVal)
)</f>
        <v/>
      </c>
    </row>
    <row r="19" spans="1:24">
      <c r="A19" s="2" t="str">
        <f>_xlfn.TEXTJOIN("",TRUE,Input!$B$2,ROW(My_Audit!A18))</f>
        <v>X18</v>
      </c>
      <c r="B19" s="2" t="str">
        <f>_xlfn.TEXTJOIN("-",TRUE,"ITD",Input!$A$2,A19)</f>
        <v>ITD-SHR-X18</v>
      </c>
      <c r="C19" s="2" t="str" cm="1">
        <f t="array" ref="C19">IFERROR(_xlfn.LET(
_xlpm.CSVVal,_xlfn.XLOOKUP($A19,CSV!$A:$A,CSV!B:B,""),
_xlpm.MacVal,_xlfn.XLOOKUP($A19,Output_Mac!$A:$A,Output_Mac!B:B,""),
_xlpm.MyAuditVal,_xlfn.XLOOKUP($A19,My_Audit!$A:$A,My_Audit!B:B,""),
_xlfn.IFS(_xlpm.MyAuditVal&lt;&gt;"",UPPER(_xlpm.MyAuditVal),_xlpm.MacVal&lt;&gt;"",_xlpm.MacVal,_xlpm.CSVVal&lt;&gt;"",_xlpm.CSVVal
)),"")</f>
        <v/>
      </c>
      <c r="D19" s="2" t="str" cm="1">
        <f t="array" ref="D19">IFERROR(_xlfn.LET(
_xlpm.CSVVal,_xlfn.XLOOKUP($A19,CSV!$A:$A,CSV!D:D,""),
_xlpm.MacVal,_xlfn.XLOOKUP($A19,Output_Mac!$A:$A,Output_Mac!C:C,""),
_xlpm.MyAuditVal,_xlfn.XLOOKUP($A19,My_Audit!$A:$A,My_Audit!C:C,""),
_xlfn.IFS(_xlpm.MyAuditVal&lt;&gt;"",_xlpm.MyAuditVal,_xlpm.MacVal&lt;&gt;"",_xlpm.MacVal,_xlpm.CSVVal&lt;&gt;"",_xlpm.CSVVal
)),"")</f>
        <v/>
      </c>
      <c r="E19" s="2" t="str">
        <f>_xlfn.XLOOKUP(A19,My_Audit!A:A,My_Audit!D:D,"")&amp;""</f>
        <v/>
      </c>
      <c r="F19" s="2" t="str" cm="1">
        <f t="array" ref="F19">IFERROR(_xlfn.LET(
_xlpm.CSVVal,_xlfn.XLOOKUP($A19,CSV!$A:$A,CSV!F:F,""),
_xlpm.MacVal,_xlfn.XLOOKUP($A19,Output_Mac!$A:$A,Output_Mac!E:E,""),
_xlpm.MyAuditVal,_xlfn.XLOOKUP($A19,My_Audit!$A:$A,My_Audit!E:E,""),
_xlfn.IFS(_xlpm.MyAuditVal&lt;&gt;"",_xlpm.MyAuditVal,_xlpm.MacVal&lt;&gt;"",_xlpm.MacVal,_xlpm.CSVVal&lt;&gt;"",_xlpm.CSVVal
)),"")</f>
        <v/>
      </c>
      <c r="G19" s="2" t="str" cm="1">
        <f t="array" ref="G19">IFERROR(_xlfn.LET(
_xlpm.CSVVal,_xlfn.XLOOKUP($A19,CSV!$A:$A,CSV!G:G,""),
_xlpm.MacVal,_xlfn.XLOOKUP($A19,Output_Mac!$A:$A,Output_Mac!F:F,""),
_xlpm.MyAuditVal,_xlfn.XLOOKUP($A19,My_Audit!$A:$A,My_Audit!F:F,""),
_xlfn.IFS(_xlpm.MyAuditVal&lt;&gt;"",_xlpm.MyAuditVal,_xlpm.MacVal&lt;&gt;"",_xlpm.MacVal,_xlpm.CSVVal&lt;&gt;"",PROPER(_xlpm.CSVVal)
)),"")</f>
        <v/>
      </c>
      <c r="H19" s="2" t="str" cm="1">
        <f t="array" ref="H19">IFERROR(_xlfn.LET(
_xlpm.CSVVal,_xlfn.XLOOKUP($A19,CSV!$A:$A,CSV!H:H,""),
_xlpm.MacVal,_xlfn.XLOOKUP($A19,Output_Mac!$A:$A,Output_Mac!H:H,""),
_xlpm.MyAuditVal,_xlfn.XLOOKUP($A19,My_Audit!$A:$A,My_Audit!G:G,""),
_xlfn.IFS(_xlpm.MyAuditVal&lt;&gt;"",_xlpm.MyAuditVal,_xlpm.MacVal&lt;&gt;"",_xlpm.MacVal,_xlpm.CSVVal&lt;&gt;"",_xlpm.CSVVal
)),"")</f>
        <v/>
      </c>
      <c r="I19" s="2" t="str">
        <f>_xlfn.XLOOKUP(A19,Output_Mac!A:A,Output_Mac!I:I,"")</f>
        <v/>
      </c>
      <c r="J19" s="2" t="str" cm="1">
        <f t="array" ref="J19">IFERROR(_xlfn.LET(
_xlpm.CSVVal,_xlfn.XLOOKUP($A19,CSV!$A:$A,CSV!I:I,""),
_xlpm.MacVal,_xlfn.XLOOKUP($A19,Output_Mac!$A:$A,Output_Mac!J:J,""),
_xlpm.MyAuditVal,_xlfn.XLOOKUP($A19,My_Audit!$A:$A,My_Audit!I:I,""),
_xlfn.IFS(_xlpm.MyAuditVal&lt;&gt;"",UPPER(_xlpm.MyAuditVal),_xlpm.MacVal&lt;&gt;"",_xlpm.MacVal,_xlpm.CSVVal&lt;&gt;"",_xlpm.CSVVal
)),"")</f>
        <v/>
      </c>
      <c r="K19" s="2" t="str" cm="1">
        <f t="array" ref="K19">IFERROR(_xlfn.LET(
_xlpm.CSVVal,_xlfn.XLOOKUP($A19,CSV!$A:$A,CSV!K:K,""),
_xlpm.MacVal,_xlfn.XLOOKUP($A19,Output_Mac!$A:$A,Output_Mac!K:K,""),
_xlpm.MyAuditVal,_xlfn.XLOOKUP($A19,My_Audit!$A:$A,My_Audit!J:J,""),
_xlfn.IFS(_xlpm.MyAuditVal&lt;&gt;"",UPPER(_xlpm.MyAuditVal),_xlpm.MacVal&lt;&gt;"",_xlpm.MacVal,_xlpm.CSVVal&lt;&gt;"",_xlpm.CSVVal
)),"")</f>
        <v/>
      </c>
      <c r="L19" s="2" t="str" cm="1">
        <f t="array" ref="L19">IFERROR(_xlfn.LET(
_xlpm.CSVVal,_xlfn.XLOOKUP($A19,CSV!$A:$A,CSV!P:P,""),
_xlpm.MacVal,_xlfn.XLOOKUP($A19,Output_Mac!$A:$A,Output_Mac!L:L,""),
_xlpm.MyAuditVal,_xlfn.XLOOKUP($A19,My_Audit!$A:$A,My_Audit!K:K,""),
_xlfn.IFS(_xlpm.MyAuditVal&lt;&gt;"",UPPER(_xlpm.MyAuditVal),_xlpm.MacVal&lt;&gt;"",_xlpm.MacVal,_xlpm.CSVVal&lt;&gt;"",_xlpm.CSVVal
)),"")</f>
        <v/>
      </c>
      <c r="M19" s="2" t="str" cm="1">
        <f t="array" ref="M19">IFERROR(_xlfn.LET(
_xlpm.CSVVal,_xlfn.XLOOKUP($A19,CSV!$A:$A,CSV!Q:Q,""),
_xlpm.MacVal,_xlfn.XLOOKUP($A19,Output_Mac!$A:$A,Output_Mac!M:M,""),
_xlpm.MyAuditVal,_xlfn.XLOOKUP($A19,My_Audit!$A:$A,My_Audit!L:L,""),
_xlfn.IFS(_xlpm.MyAuditVal&lt;&gt;"",UPPER(_xlpm.MyAuditVal),_xlpm.MacVal&lt;&gt;"",_xlpm.MacVal,_xlpm.CSVVal&lt;&gt;"",_xlpm.CSVVal
)),"")</f>
        <v/>
      </c>
      <c r="O19" s="2" t="str">
        <f>_xlfn.LET(
    _xlpm.CSVVal, _xlfn.XLOOKUP($A19, CSV!$A:$A, CSV!AC:AC, ""),
    _xlpm.MacVal, _xlfn.XLOOKUP($A19, Output_Mac!$A:$A, Output_Mac!S:S, ""),
    _xlpm.MyAuditVal, _xlfn.XLOOKUP($A19, My_Audit!$A:$A, My_Audit!P:P, ""),
    _xlfn.TEXTJOIN(", ", TRUE, _xlpm.MyAuditVal, _xlpm.MacVal, _xlpm.CSVVal)
)</f>
        <v/>
      </c>
      <c r="P19" s="2" t="str" cm="1">
        <f t="array" ref="P19">IFERROR(_xlfn.LET(
_xlpm.CSVVal,_xlfn.XLOOKUP($A19,CSV!$A:$A,CSV!AD:AD,""),
_xlpm.MacVal,_xlfn.XLOOKUP($A19,Output_Mac!$A:$A,Output_Mac!T:T,""),
_xlpm.MyAuditVal,_xlfn.XLOOKUP($A19,My_Audit!$A:$A,My_Audit!Q:Q,""),
_xlfn.IFS(_xlpm.MyAuditVal&lt;&gt;"",UPPER(_xlpm.MyAuditVal),_xlpm.MacVal&lt;&gt;"",_xlpm.MacVal,_xlpm.CSVVal&lt;&gt;"",_xlpm.CSVVal
)),"No")</f>
        <v>No</v>
      </c>
      <c r="Q19" s="2" t="str" cm="1">
        <f t="array" ref="Q19">IFERROR(_xlfn.LET(
_xlpm.CSVVal,_xlfn.XLOOKUP($A19,CSV!$A:$A,CSV!AE:AE,""),
_xlpm.MacVal,_xlfn.XLOOKUP($A19,Output_Mac!$A:$A,Output_Mac!U:U,""),
_xlpm.MyAuditVal,_xlfn.XLOOKUP($A19,My_Audit!$A:$A,My_Audit!R:R,""),
_xlfn.IFS(_xlpm.MyAuditVal&lt;&gt;"",UPPER(_xlpm.MyAuditVal),_xlpm.MacVal&lt;&gt;"",_xlpm.MacVal,_xlpm.CSVVal&lt;&gt;"",_xlpm.CSVVal
)),"")</f>
        <v/>
      </c>
      <c r="X19" t="str">
        <f>_xlfn.LET(
    _xlpm.MacVal, _xlfn.XLOOKUP($A19, Output_Mac!$A:$A, Output_Mac!AB:AB, ""),
    _xlpm.MyAuditVal, _xlfn.XLOOKUP($A19, My_Audit!$A:$A, My_Audit!N:N, ""),
    _xlfn.TEXTJOIN(", ", TRUE, _xlpm.MyAuditVal, _xlpm.MacVal)
)</f>
        <v/>
      </c>
    </row>
    <row r="20" spans="1:24">
      <c r="A20" s="2" t="str">
        <f>_xlfn.TEXTJOIN("",TRUE,Input!$B$2,ROW(My_Audit!A19))</f>
        <v>X19</v>
      </c>
      <c r="B20" s="2" t="str">
        <f>_xlfn.TEXTJOIN("-",TRUE,"ITD",Input!$A$2,A20)</f>
        <v>ITD-SHR-X19</v>
      </c>
      <c r="C20" s="2" t="str" cm="1">
        <f t="array" ref="C20">IFERROR(_xlfn.LET(
_xlpm.CSVVal,_xlfn.XLOOKUP($A20,CSV!$A:$A,CSV!B:B,""),
_xlpm.MacVal,_xlfn.XLOOKUP($A20,Output_Mac!$A:$A,Output_Mac!B:B,""),
_xlpm.MyAuditVal,_xlfn.XLOOKUP($A20,My_Audit!$A:$A,My_Audit!B:B,""),
_xlfn.IFS(_xlpm.MyAuditVal&lt;&gt;"",UPPER(_xlpm.MyAuditVal),_xlpm.MacVal&lt;&gt;"",_xlpm.MacVal,_xlpm.CSVVal&lt;&gt;"",_xlpm.CSVVal
)),"")</f>
        <v/>
      </c>
      <c r="D20" s="2" t="str" cm="1">
        <f t="array" ref="D20">IFERROR(_xlfn.LET(
_xlpm.CSVVal,_xlfn.XLOOKUP($A20,CSV!$A:$A,CSV!D:D,""),
_xlpm.MacVal,_xlfn.XLOOKUP($A20,Output_Mac!$A:$A,Output_Mac!C:C,""),
_xlpm.MyAuditVal,_xlfn.XLOOKUP($A20,My_Audit!$A:$A,My_Audit!C:C,""),
_xlfn.IFS(_xlpm.MyAuditVal&lt;&gt;"",_xlpm.MyAuditVal,_xlpm.MacVal&lt;&gt;"",_xlpm.MacVal,_xlpm.CSVVal&lt;&gt;"",_xlpm.CSVVal
)),"")</f>
        <v/>
      </c>
      <c r="E20" s="2" t="str">
        <f>_xlfn.XLOOKUP(A20,My_Audit!A:A,My_Audit!D:D,"")&amp;""</f>
        <v/>
      </c>
      <c r="F20" s="2" t="str" cm="1">
        <f t="array" ref="F20">IFERROR(_xlfn.LET(
_xlpm.CSVVal,_xlfn.XLOOKUP($A20,CSV!$A:$A,CSV!F:F,""),
_xlpm.MacVal,_xlfn.XLOOKUP($A20,Output_Mac!$A:$A,Output_Mac!E:E,""),
_xlpm.MyAuditVal,_xlfn.XLOOKUP($A20,My_Audit!$A:$A,My_Audit!E:E,""),
_xlfn.IFS(_xlpm.MyAuditVal&lt;&gt;"",_xlpm.MyAuditVal,_xlpm.MacVal&lt;&gt;"",_xlpm.MacVal,_xlpm.CSVVal&lt;&gt;"",_xlpm.CSVVal
)),"")</f>
        <v/>
      </c>
      <c r="G20" s="2" t="str" cm="1">
        <f t="array" ref="G20">IFERROR(_xlfn.LET(
_xlpm.CSVVal,_xlfn.XLOOKUP($A20,CSV!$A:$A,CSV!G:G,""),
_xlpm.MacVal,_xlfn.XLOOKUP($A20,Output_Mac!$A:$A,Output_Mac!F:F,""),
_xlpm.MyAuditVal,_xlfn.XLOOKUP($A20,My_Audit!$A:$A,My_Audit!F:F,""),
_xlfn.IFS(_xlpm.MyAuditVal&lt;&gt;"",_xlpm.MyAuditVal,_xlpm.MacVal&lt;&gt;"",_xlpm.MacVal,_xlpm.CSVVal&lt;&gt;"",PROPER(_xlpm.CSVVal)
)),"")</f>
        <v/>
      </c>
      <c r="H20" s="2" t="str" cm="1">
        <f t="array" ref="H20">IFERROR(_xlfn.LET(
_xlpm.CSVVal,_xlfn.XLOOKUP($A20,CSV!$A:$A,CSV!H:H,""),
_xlpm.MacVal,_xlfn.XLOOKUP($A20,Output_Mac!$A:$A,Output_Mac!H:H,""),
_xlpm.MyAuditVal,_xlfn.XLOOKUP($A20,My_Audit!$A:$A,My_Audit!G:G,""),
_xlfn.IFS(_xlpm.MyAuditVal&lt;&gt;"",_xlpm.MyAuditVal,_xlpm.MacVal&lt;&gt;"",_xlpm.MacVal,_xlpm.CSVVal&lt;&gt;"",_xlpm.CSVVal
)),"")</f>
        <v/>
      </c>
      <c r="I20" s="2" t="str">
        <f>_xlfn.XLOOKUP(A20,Output_Mac!A:A,Output_Mac!I:I,"")</f>
        <v/>
      </c>
      <c r="J20" s="2" t="str" cm="1">
        <f t="array" ref="J20">IFERROR(_xlfn.LET(
_xlpm.CSVVal,_xlfn.XLOOKUP($A20,CSV!$A:$A,CSV!I:I,""),
_xlpm.MacVal,_xlfn.XLOOKUP($A20,Output_Mac!$A:$A,Output_Mac!J:J,""),
_xlpm.MyAuditVal,_xlfn.XLOOKUP($A20,My_Audit!$A:$A,My_Audit!I:I,""),
_xlfn.IFS(_xlpm.MyAuditVal&lt;&gt;"",UPPER(_xlpm.MyAuditVal),_xlpm.MacVal&lt;&gt;"",_xlpm.MacVal,_xlpm.CSVVal&lt;&gt;"",_xlpm.CSVVal
)),"")</f>
        <v/>
      </c>
      <c r="K20" s="2" t="str" cm="1">
        <f t="array" ref="K20">IFERROR(_xlfn.LET(
_xlpm.CSVVal,_xlfn.XLOOKUP($A20,CSV!$A:$A,CSV!K:K,""),
_xlpm.MacVal,_xlfn.XLOOKUP($A20,Output_Mac!$A:$A,Output_Mac!K:K,""),
_xlpm.MyAuditVal,_xlfn.XLOOKUP($A20,My_Audit!$A:$A,My_Audit!J:J,""),
_xlfn.IFS(_xlpm.MyAuditVal&lt;&gt;"",UPPER(_xlpm.MyAuditVal),_xlpm.MacVal&lt;&gt;"",_xlpm.MacVal,_xlpm.CSVVal&lt;&gt;"",_xlpm.CSVVal
)),"")</f>
        <v/>
      </c>
      <c r="L20" s="2" t="str" cm="1">
        <f t="array" ref="L20">IFERROR(_xlfn.LET(
_xlpm.CSVVal,_xlfn.XLOOKUP($A20,CSV!$A:$A,CSV!P:P,""),
_xlpm.MacVal,_xlfn.XLOOKUP($A20,Output_Mac!$A:$A,Output_Mac!L:L,""),
_xlpm.MyAuditVal,_xlfn.XLOOKUP($A20,My_Audit!$A:$A,My_Audit!K:K,""),
_xlfn.IFS(_xlpm.MyAuditVal&lt;&gt;"",UPPER(_xlpm.MyAuditVal),_xlpm.MacVal&lt;&gt;"",_xlpm.MacVal,_xlpm.CSVVal&lt;&gt;"",_xlpm.CSVVal
)),"")</f>
        <v/>
      </c>
      <c r="M20" s="2" t="str" cm="1">
        <f t="array" ref="M20">IFERROR(_xlfn.LET(
_xlpm.CSVVal,_xlfn.XLOOKUP($A20,CSV!$A:$A,CSV!Q:Q,""),
_xlpm.MacVal,_xlfn.XLOOKUP($A20,Output_Mac!$A:$A,Output_Mac!M:M,""),
_xlpm.MyAuditVal,_xlfn.XLOOKUP($A20,My_Audit!$A:$A,My_Audit!L:L,""),
_xlfn.IFS(_xlpm.MyAuditVal&lt;&gt;"",UPPER(_xlpm.MyAuditVal),_xlpm.MacVal&lt;&gt;"",_xlpm.MacVal,_xlpm.CSVVal&lt;&gt;"",_xlpm.CSVVal
)),"")</f>
        <v/>
      </c>
      <c r="O20" s="2" t="str">
        <f>_xlfn.LET(
    _xlpm.CSVVal, _xlfn.XLOOKUP($A20, CSV!$A:$A, CSV!AC:AC, ""),
    _xlpm.MacVal, _xlfn.XLOOKUP($A20, Output_Mac!$A:$A, Output_Mac!S:S, ""),
    _xlpm.MyAuditVal, _xlfn.XLOOKUP($A20, My_Audit!$A:$A, My_Audit!P:P, ""),
    _xlfn.TEXTJOIN(", ", TRUE, _xlpm.MyAuditVal, _xlpm.MacVal, _xlpm.CSVVal)
)</f>
        <v/>
      </c>
      <c r="P20" s="2" t="str" cm="1">
        <f t="array" ref="P20">IFERROR(_xlfn.LET(
_xlpm.CSVVal,_xlfn.XLOOKUP($A20,CSV!$A:$A,CSV!AD:AD,""),
_xlpm.MacVal,_xlfn.XLOOKUP($A20,Output_Mac!$A:$A,Output_Mac!T:T,""),
_xlpm.MyAuditVal,_xlfn.XLOOKUP($A20,My_Audit!$A:$A,My_Audit!Q:Q,""),
_xlfn.IFS(_xlpm.MyAuditVal&lt;&gt;"",UPPER(_xlpm.MyAuditVal),_xlpm.MacVal&lt;&gt;"",_xlpm.MacVal,_xlpm.CSVVal&lt;&gt;"",_xlpm.CSVVal
)),"No")</f>
        <v>No</v>
      </c>
      <c r="Q20" s="2" t="str" cm="1">
        <f t="array" ref="Q20">IFERROR(_xlfn.LET(
_xlpm.CSVVal,_xlfn.XLOOKUP($A20,CSV!$A:$A,CSV!AE:AE,""),
_xlpm.MacVal,_xlfn.XLOOKUP($A20,Output_Mac!$A:$A,Output_Mac!U:U,""),
_xlpm.MyAuditVal,_xlfn.XLOOKUP($A20,My_Audit!$A:$A,My_Audit!R:R,""),
_xlfn.IFS(_xlpm.MyAuditVal&lt;&gt;"",UPPER(_xlpm.MyAuditVal),_xlpm.MacVal&lt;&gt;"",_xlpm.MacVal,_xlpm.CSVVal&lt;&gt;"",_xlpm.CSVVal
)),"")</f>
        <v/>
      </c>
      <c r="X20" t="str">
        <f>_xlfn.LET(
    _xlpm.MacVal, _xlfn.XLOOKUP($A20, Output_Mac!$A:$A, Output_Mac!AB:AB, ""),
    _xlpm.MyAuditVal, _xlfn.XLOOKUP($A20, My_Audit!$A:$A, My_Audit!N:N, ""),
    _xlfn.TEXTJOIN(", ", TRUE, _xlpm.MyAuditVal, _xlpm.MacVal)
)</f>
        <v/>
      </c>
    </row>
    <row r="21" spans="1:24">
      <c r="A21" s="2" t="str">
        <f>_xlfn.TEXTJOIN("",TRUE,Input!$B$2,ROW(My_Audit!A20))</f>
        <v>X20</v>
      </c>
      <c r="B21" s="2" t="str">
        <f>_xlfn.TEXTJOIN("-",TRUE,"ITD",Input!$A$2,A21)</f>
        <v>ITD-SHR-X20</v>
      </c>
      <c r="C21" s="2" t="str" cm="1">
        <f t="array" ref="C21">IFERROR(_xlfn.LET(
_xlpm.CSVVal,_xlfn.XLOOKUP($A21,CSV!$A:$A,CSV!B:B,""),
_xlpm.MacVal,_xlfn.XLOOKUP($A21,Output_Mac!$A:$A,Output_Mac!B:B,""),
_xlpm.MyAuditVal,_xlfn.XLOOKUP($A21,My_Audit!$A:$A,My_Audit!B:B,""),
_xlfn.IFS(_xlpm.MyAuditVal&lt;&gt;"",UPPER(_xlpm.MyAuditVal),_xlpm.MacVal&lt;&gt;"",_xlpm.MacVal,_xlpm.CSVVal&lt;&gt;"",_xlpm.CSVVal
)),"")</f>
        <v/>
      </c>
      <c r="D21" s="2" t="str" cm="1">
        <f t="array" ref="D21">IFERROR(_xlfn.LET(
_xlpm.CSVVal,_xlfn.XLOOKUP($A21,CSV!$A:$A,CSV!D:D,""),
_xlpm.MacVal,_xlfn.XLOOKUP($A21,Output_Mac!$A:$A,Output_Mac!C:C,""),
_xlpm.MyAuditVal,_xlfn.XLOOKUP($A21,My_Audit!$A:$A,My_Audit!C:C,""),
_xlfn.IFS(_xlpm.MyAuditVal&lt;&gt;"",_xlpm.MyAuditVal,_xlpm.MacVal&lt;&gt;"",_xlpm.MacVal,_xlpm.CSVVal&lt;&gt;"",_xlpm.CSVVal
)),"")</f>
        <v/>
      </c>
      <c r="E21" s="2" t="str">
        <f>_xlfn.XLOOKUP(A21,My_Audit!A:A,My_Audit!D:D,"")&amp;""</f>
        <v/>
      </c>
      <c r="F21" s="2" t="str" cm="1">
        <f t="array" ref="F21">IFERROR(_xlfn.LET(
_xlpm.CSVVal,_xlfn.XLOOKUP($A21,CSV!$A:$A,CSV!F:F,""),
_xlpm.MacVal,_xlfn.XLOOKUP($A21,Output_Mac!$A:$A,Output_Mac!E:E,""),
_xlpm.MyAuditVal,_xlfn.XLOOKUP($A21,My_Audit!$A:$A,My_Audit!E:E,""),
_xlfn.IFS(_xlpm.MyAuditVal&lt;&gt;"",_xlpm.MyAuditVal,_xlpm.MacVal&lt;&gt;"",_xlpm.MacVal,_xlpm.CSVVal&lt;&gt;"",_xlpm.CSVVal
)),"")</f>
        <v/>
      </c>
      <c r="G21" s="2" t="str" cm="1">
        <f t="array" ref="G21">IFERROR(_xlfn.LET(
_xlpm.CSVVal,_xlfn.XLOOKUP($A21,CSV!$A:$A,CSV!G:G,""),
_xlpm.MacVal,_xlfn.XLOOKUP($A21,Output_Mac!$A:$A,Output_Mac!F:F,""),
_xlpm.MyAuditVal,_xlfn.XLOOKUP($A21,My_Audit!$A:$A,My_Audit!F:F,""),
_xlfn.IFS(_xlpm.MyAuditVal&lt;&gt;"",_xlpm.MyAuditVal,_xlpm.MacVal&lt;&gt;"",_xlpm.MacVal,_xlpm.CSVVal&lt;&gt;"",PROPER(_xlpm.CSVVal)
)),"")</f>
        <v/>
      </c>
      <c r="H21" s="2" t="str" cm="1">
        <f t="array" ref="H21">IFERROR(_xlfn.LET(
_xlpm.CSVVal,_xlfn.XLOOKUP($A21,CSV!$A:$A,CSV!H:H,""),
_xlpm.MacVal,_xlfn.XLOOKUP($A21,Output_Mac!$A:$A,Output_Mac!H:H,""),
_xlpm.MyAuditVal,_xlfn.XLOOKUP($A21,My_Audit!$A:$A,My_Audit!G:G,""),
_xlfn.IFS(_xlpm.MyAuditVal&lt;&gt;"",_xlpm.MyAuditVal,_xlpm.MacVal&lt;&gt;"",_xlpm.MacVal,_xlpm.CSVVal&lt;&gt;"",_xlpm.CSVVal
)),"")</f>
        <v/>
      </c>
      <c r="I21" s="2" t="str">
        <f>_xlfn.XLOOKUP(A21,Output_Mac!A:A,Output_Mac!I:I,"")</f>
        <v/>
      </c>
      <c r="J21" s="2" t="str" cm="1">
        <f t="array" ref="J21">IFERROR(_xlfn.LET(
_xlpm.CSVVal,_xlfn.XLOOKUP($A21,CSV!$A:$A,CSV!I:I,""),
_xlpm.MacVal,_xlfn.XLOOKUP($A21,Output_Mac!$A:$A,Output_Mac!J:J,""),
_xlpm.MyAuditVal,_xlfn.XLOOKUP($A21,My_Audit!$A:$A,My_Audit!I:I,""),
_xlfn.IFS(_xlpm.MyAuditVal&lt;&gt;"",UPPER(_xlpm.MyAuditVal),_xlpm.MacVal&lt;&gt;"",_xlpm.MacVal,_xlpm.CSVVal&lt;&gt;"",_xlpm.CSVVal
)),"")</f>
        <v/>
      </c>
      <c r="K21" s="2" t="str" cm="1">
        <f t="array" ref="K21">IFERROR(_xlfn.LET(
_xlpm.CSVVal,_xlfn.XLOOKUP($A21,CSV!$A:$A,CSV!K:K,""),
_xlpm.MacVal,_xlfn.XLOOKUP($A21,Output_Mac!$A:$A,Output_Mac!K:K,""),
_xlpm.MyAuditVal,_xlfn.XLOOKUP($A21,My_Audit!$A:$A,My_Audit!J:J,""),
_xlfn.IFS(_xlpm.MyAuditVal&lt;&gt;"",UPPER(_xlpm.MyAuditVal),_xlpm.MacVal&lt;&gt;"",_xlpm.MacVal,_xlpm.CSVVal&lt;&gt;"",_xlpm.CSVVal
)),"")</f>
        <v/>
      </c>
      <c r="L21" s="2" t="str" cm="1">
        <f t="array" ref="L21">IFERROR(_xlfn.LET(
_xlpm.CSVVal,_xlfn.XLOOKUP($A21,CSV!$A:$A,CSV!P:P,""),
_xlpm.MacVal,_xlfn.XLOOKUP($A21,Output_Mac!$A:$A,Output_Mac!L:L,""),
_xlpm.MyAuditVal,_xlfn.XLOOKUP($A21,My_Audit!$A:$A,My_Audit!K:K,""),
_xlfn.IFS(_xlpm.MyAuditVal&lt;&gt;"",UPPER(_xlpm.MyAuditVal),_xlpm.MacVal&lt;&gt;"",_xlpm.MacVal,_xlpm.CSVVal&lt;&gt;"",_xlpm.CSVVal
)),"")</f>
        <v/>
      </c>
      <c r="M21" s="2" t="str" cm="1">
        <f t="array" ref="M21">IFERROR(_xlfn.LET(
_xlpm.CSVVal,_xlfn.XLOOKUP($A21,CSV!$A:$A,CSV!Q:Q,""),
_xlpm.MacVal,_xlfn.XLOOKUP($A21,Output_Mac!$A:$A,Output_Mac!M:M,""),
_xlpm.MyAuditVal,_xlfn.XLOOKUP($A21,My_Audit!$A:$A,My_Audit!L:L,""),
_xlfn.IFS(_xlpm.MyAuditVal&lt;&gt;"",UPPER(_xlpm.MyAuditVal),_xlpm.MacVal&lt;&gt;"",_xlpm.MacVal,_xlpm.CSVVal&lt;&gt;"",_xlpm.CSVVal
)),"")</f>
        <v/>
      </c>
      <c r="O21" s="2" t="str">
        <f>_xlfn.LET(
    _xlpm.CSVVal, _xlfn.XLOOKUP($A21, CSV!$A:$A, CSV!AC:AC, ""),
    _xlpm.MacVal, _xlfn.XLOOKUP($A21, Output_Mac!$A:$A, Output_Mac!S:S, ""),
    _xlpm.MyAuditVal, _xlfn.XLOOKUP($A21, My_Audit!$A:$A, My_Audit!P:P, ""),
    _xlfn.TEXTJOIN(", ", TRUE, _xlpm.MyAuditVal, _xlpm.MacVal, _xlpm.CSVVal)
)</f>
        <v/>
      </c>
      <c r="P21" s="2" t="str" cm="1">
        <f t="array" ref="P21">IFERROR(_xlfn.LET(
_xlpm.CSVVal,_xlfn.XLOOKUP($A21,CSV!$A:$A,CSV!AD:AD,""),
_xlpm.MacVal,_xlfn.XLOOKUP($A21,Output_Mac!$A:$A,Output_Mac!T:T,""),
_xlpm.MyAuditVal,_xlfn.XLOOKUP($A21,My_Audit!$A:$A,My_Audit!Q:Q,""),
_xlfn.IFS(_xlpm.MyAuditVal&lt;&gt;"",UPPER(_xlpm.MyAuditVal),_xlpm.MacVal&lt;&gt;"",_xlpm.MacVal,_xlpm.CSVVal&lt;&gt;"",_xlpm.CSVVal
)),"No")</f>
        <v>No</v>
      </c>
      <c r="Q21" s="2" t="str" cm="1">
        <f t="array" ref="Q21">IFERROR(_xlfn.LET(
_xlpm.CSVVal,_xlfn.XLOOKUP($A21,CSV!$A:$A,CSV!AE:AE,""),
_xlpm.MacVal,_xlfn.XLOOKUP($A21,Output_Mac!$A:$A,Output_Mac!U:U,""),
_xlpm.MyAuditVal,_xlfn.XLOOKUP($A21,My_Audit!$A:$A,My_Audit!R:R,""),
_xlfn.IFS(_xlpm.MyAuditVal&lt;&gt;"",UPPER(_xlpm.MyAuditVal),_xlpm.MacVal&lt;&gt;"",_xlpm.MacVal,_xlpm.CSVVal&lt;&gt;"",_xlpm.CSVVal
)),"")</f>
        <v/>
      </c>
      <c r="X21" t="str">
        <f>_xlfn.LET(
    _xlpm.MacVal, _xlfn.XLOOKUP($A21, Output_Mac!$A:$A, Output_Mac!AB:AB, ""),
    _xlpm.MyAuditVal, _xlfn.XLOOKUP($A21, My_Audit!$A:$A, My_Audit!N:N, ""),
    _xlfn.TEXTJOIN(", ", TRUE, _xlpm.MyAuditVal, _xlpm.MacVal)
)</f>
        <v/>
      </c>
    </row>
    <row r="22" spans="1:24">
      <c r="A22" s="2" t="str">
        <f>_xlfn.TEXTJOIN("",TRUE,Input!$B$2,ROW(My_Audit!A21))</f>
        <v>X21</v>
      </c>
      <c r="B22" s="2" t="str">
        <f>_xlfn.TEXTJOIN("-",TRUE,"ITD",Input!$A$2,A22)</f>
        <v>ITD-SHR-X21</v>
      </c>
      <c r="C22" s="2" t="str" cm="1">
        <f t="array" ref="C22">IFERROR(_xlfn.LET(
_xlpm.CSVVal,_xlfn.XLOOKUP($A22,CSV!$A:$A,CSV!B:B,""),
_xlpm.MacVal,_xlfn.XLOOKUP($A22,Output_Mac!$A:$A,Output_Mac!B:B,""),
_xlpm.MyAuditVal,_xlfn.XLOOKUP($A22,My_Audit!$A:$A,My_Audit!B:B,""),
_xlfn.IFS(_xlpm.MyAuditVal&lt;&gt;"",UPPER(_xlpm.MyAuditVal),_xlpm.MacVal&lt;&gt;"",_xlpm.MacVal,_xlpm.CSVVal&lt;&gt;"",_xlpm.CSVVal
)),"")</f>
        <v/>
      </c>
      <c r="D22" s="2" t="str" cm="1">
        <f t="array" ref="D22">IFERROR(_xlfn.LET(
_xlpm.CSVVal,_xlfn.XLOOKUP($A22,CSV!$A:$A,CSV!D:D,""),
_xlpm.MacVal,_xlfn.XLOOKUP($A22,Output_Mac!$A:$A,Output_Mac!C:C,""),
_xlpm.MyAuditVal,_xlfn.XLOOKUP($A22,My_Audit!$A:$A,My_Audit!C:C,""),
_xlfn.IFS(_xlpm.MyAuditVal&lt;&gt;"",_xlpm.MyAuditVal,_xlpm.MacVal&lt;&gt;"",_xlpm.MacVal,_xlpm.CSVVal&lt;&gt;"",_xlpm.CSVVal
)),"")</f>
        <v/>
      </c>
      <c r="E22" s="2" t="str">
        <f>_xlfn.XLOOKUP(A22,My_Audit!A:A,My_Audit!D:D,"")&amp;""</f>
        <v/>
      </c>
      <c r="F22" s="2" t="str" cm="1">
        <f t="array" ref="F22">IFERROR(_xlfn.LET(
_xlpm.CSVVal,_xlfn.XLOOKUP($A22,CSV!$A:$A,CSV!F:F,""),
_xlpm.MacVal,_xlfn.XLOOKUP($A22,Output_Mac!$A:$A,Output_Mac!E:E,""),
_xlpm.MyAuditVal,_xlfn.XLOOKUP($A22,My_Audit!$A:$A,My_Audit!E:E,""),
_xlfn.IFS(_xlpm.MyAuditVal&lt;&gt;"",_xlpm.MyAuditVal,_xlpm.MacVal&lt;&gt;"",_xlpm.MacVal,_xlpm.CSVVal&lt;&gt;"",_xlpm.CSVVal
)),"")</f>
        <v/>
      </c>
      <c r="G22" s="2" t="str" cm="1">
        <f t="array" ref="G22">IFERROR(_xlfn.LET(
_xlpm.CSVVal,_xlfn.XLOOKUP($A22,CSV!$A:$A,CSV!G:G,""),
_xlpm.MacVal,_xlfn.XLOOKUP($A22,Output_Mac!$A:$A,Output_Mac!F:F,""),
_xlpm.MyAuditVal,_xlfn.XLOOKUP($A22,My_Audit!$A:$A,My_Audit!F:F,""),
_xlfn.IFS(_xlpm.MyAuditVal&lt;&gt;"",_xlpm.MyAuditVal,_xlpm.MacVal&lt;&gt;"",_xlpm.MacVal,_xlpm.CSVVal&lt;&gt;"",PROPER(_xlpm.CSVVal)
)),"")</f>
        <v/>
      </c>
      <c r="H22" s="2" t="str" cm="1">
        <f t="array" ref="H22">IFERROR(_xlfn.LET(
_xlpm.CSVVal,_xlfn.XLOOKUP($A22,CSV!$A:$A,CSV!H:H,""),
_xlpm.MacVal,_xlfn.XLOOKUP($A22,Output_Mac!$A:$A,Output_Mac!H:H,""),
_xlpm.MyAuditVal,_xlfn.XLOOKUP($A22,My_Audit!$A:$A,My_Audit!G:G,""),
_xlfn.IFS(_xlpm.MyAuditVal&lt;&gt;"",_xlpm.MyAuditVal,_xlpm.MacVal&lt;&gt;"",_xlpm.MacVal,_xlpm.CSVVal&lt;&gt;"",_xlpm.CSVVal
)),"")</f>
        <v/>
      </c>
      <c r="I22" s="2" t="str">
        <f>_xlfn.XLOOKUP(A22,Output_Mac!A:A,Output_Mac!I:I,"")</f>
        <v/>
      </c>
      <c r="J22" s="2" t="str" cm="1">
        <f t="array" ref="J22">IFERROR(_xlfn.LET(
_xlpm.CSVVal,_xlfn.XLOOKUP($A22,CSV!$A:$A,CSV!I:I,""),
_xlpm.MacVal,_xlfn.XLOOKUP($A22,Output_Mac!$A:$A,Output_Mac!J:J,""),
_xlpm.MyAuditVal,_xlfn.XLOOKUP($A22,My_Audit!$A:$A,My_Audit!I:I,""),
_xlfn.IFS(_xlpm.MyAuditVal&lt;&gt;"",UPPER(_xlpm.MyAuditVal),_xlpm.MacVal&lt;&gt;"",_xlpm.MacVal,_xlpm.CSVVal&lt;&gt;"",_xlpm.CSVVal
)),"")</f>
        <v/>
      </c>
      <c r="K22" s="2" t="str" cm="1">
        <f t="array" ref="K22">IFERROR(_xlfn.LET(
_xlpm.CSVVal,_xlfn.XLOOKUP($A22,CSV!$A:$A,CSV!K:K,""),
_xlpm.MacVal,_xlfn.XLOOKUP($A22,Output_Mac!$A:$A,Output_Mac!K:K,""),
_xlpm.MyAuditVal,_xlfn.XLOOKUP($A22,My_Audit!$A:$A,My_Audit!J:J,""),
_xlfn.IFS(_xlpm.MyAuditVal&lt;&gt;"",UPPER(_xlpm.MyAuditVal),_xlpm.MacVal&lt;&gt;"",_xlpm.MacVal,_xlpm.CSVVal&lt;&gt;"",_xlpm.CSVVal
)),"")</f>
        <v/>
      </c>
      <c r="L22" s="2" t="str" cm="1">
        <f t="array" ref="L22">IFERROR(_xlfn.LET(
_xlpm.CSVVal,_xlfn.XLOOKUP($A22,CSV!$A:$A,CSV!P:P,""),
_xlpm.MacVal,_xlfn.XLOOKUP($A22,Output_Mac!$A:$A,Output_Mac!L:L,""),
_xlpm.MyAuditVal,_xlfn.XLOOKUP($A22,My_Audit!$A:$A,My_Audit!K:K,""),
_xlfn.IFS(_xlpm.MyAuditVal&lt;&gt;"",UPPER(_xlpm.MyAuditVal),_xlpm.MacVal&lt;&gt;"",_xlpm.MacVal,_xlpm.CSVVal&lt;&gt;"",_xlpm.CSVVal
)),"")</f>
        <v/>
      </c>
      <c r="M22" s="2" t="str" cm="1">
        <f t="array" ref="M22">IFERROR(_xlfn.LET(
_xlpm.CSVVal,_xlfn.XLOOKUP($A22,CSV!$A:$A,CSV!Q:Q,""),
_xlpm.MacVal,_xlfn.XLOOKUP($A22,Output_Mac!$A:$A,Output_Mac!M:M,""),
_xlpm.MyAuditVal,_xlfn.XLOOKUP($A22,My_Audit!$A:$A,My_Audit!L:L,""),
_xlfn.IFS(_xlpm.MyAuditVal&lt;&gt;"",UPPER(_xlpm.MyAuditVal),_xlpm.MacVal&lt;&gt;"",_xlpm.MacVal,_xlpm.CSVVal&lt;&gt;"",_xlpm.CSVVal
)),"")</f>
        <v/>
      </c>
      <c r="O22" s="2" t="str">
        <f>_xlfn.LET(
    _xlpm.CSVVal, _xlfn.XLOOKUP($A22, CSV!$A:$A, CSV!AC:AC, ""),
    _xlpm.MacVal, _xlfn.XLOOKUP($A22, Output_Mac!$A:$A, Output_Mac!S:S, ""),
    _xlpm.MyAuditVal, _xlfn.XLOOKUP($A22, My_Audit!$A:$A, My_Audit!P:P, ""),
    _xlfn.TEXTJOIN(", ", TRUE, _xlpm.MyAuditVal, _xlpm.MacVal, _xlpm.CSVVal)
)</f>
        <v/>
      </c>
      <c r="P22" s="2" t="str" cm="1">
        <f t="array" ref="P22">IFERROR(_xlfn.LET(
_xlpm.CSVVal,_xlfn.XLOOKUP($A22,CSV!$A:$A,CSV!AD:AD,""),
_xlpm.MacVal,_xlfn.XLOOKUP($A22,Output_Mac!$A:$A,Output_Mac!T:T,""),
_xlpm.MyAuditVal,_xlfn.XLOOKUP($A22,My_Audit!$A:$A,My_Audit!Q:Q,""),
_xlfn.IFS(_xlpm.MyAuditVal&lt;&gt;"",UPPER(_xlpm.MyAuditVal),_xlpm.MacVal&lt;&gt;"",_xlpm.MacVal,_xlpm.CSVVal&lt;&gt;"",_xlpm.CSVVal
)),"No")</f>
        <v>No</v>
      </c>
      <c r="Q22" s="2" t="str" cm="1">
        <f t="array" ref="Q22">IFERROR(_xlfn.LET(
_xlpm.CSVVal,_xlfn.XLOOKUP($A22,CSV!$A:$A,CSV!AE:AE,""),
_xlpm.MacVal,_xlfn.XLOOKUP($A22,Output_Mac!$A:$A,Output_Mac!U:U,""),
_xlpm.MyAuditVal,_xlfn.XLOOKUP($A22,My_Audit!$A:$A,My_Audit!R:R,""),
_xlfn.IFS(_xlpm.MyAuditVal&lt;&gt;"",UPPER(_xlpm.MyAuditVal),_xlpm.MacVal&lt;&gt;"",_xlpm.MacVal,_xlpm.CSVVal&lt;&gt;"",_xlpm.CSVVal
)),"")</f>
        <v/>
      </c>
      <c r="X22" t="str">
        <f>_xlfn.LET(
    _xlpm.MacVal, _xlfn.XLOOKUP($A22, Output_Mac!$A:$A, Output_Mac!AB:AB, ""),
    _xlpm.MyAuditVal, _xlfn.XLOOKUP($A22, My_Audit!$A:$A, My_Audit!N:N, ""),
    _xlfn.TEXTJOIN(", ", TRUE, _xlpm.MyAuditVal, _xlpm.MacVal)
)</f>
        <v/>
      </c>
    </row>
    <row r="23" spans="1:24">
      <c r="A23" s="2" t="str">
        <f>_xlfn.TEXTJOIN("",TRUE,Input!$B$2,ROW(My_Audit!A22))</f>
        <v>X22</v>
      </c>
      <c r="B23" s="2" t="str">
        <f>_xlfn.TEXTJOIN("-",TRUE,"ITD",Input!$A$2,A23)</f>
        <v>ITD-SHR-X22</v>
      </c>
      <c r="C23" s="2" t="str" cm="1">
        <f t="array" ref="C23">IFERROR(_xlfn.LET(
_xlpm.CSVVal,_xlfn.XLOOKUP($A23,CSV!$A:$A,CSV!B:B,""),
_xlpm.MacVal,_xlfn.XLOOKUP($A23,Output_Mac!$A:$A,Output_Mac!B:B,""),
_xlpm.MyAuditVal,_xlfn.XLOOKUP($A23,My_Audit!$A:$A,My_Audit!B:B,""),
_xlfn.IFS(_xlpm.MyAuditVal&lt;&gt;"",UPPER(_xlpm.MyAuditVal),_xlpm.MacVal&lt;&gt;"",_xlpm.MacVal,_xlpm.CSVVal&lt;&gt;"",_xlpm.CSVVal
)),"")</f>
        <v/>
      </c>
      <c r="D23" s="2" t="str" cm="1">
        <f t="array" ref="D23">IFERROR(_xlfn.LET(
_xlpm.CSVVal,_xlfn.XLOOKUP($A23,CSV!$A:$A,CSV!D:D,""),
_xlpm.MacVal,_xlfn.XLOOKUP($A23,Output_Mac!$A:$A,Output_Mac!C:C,""),
_xlpm.MyAuditVal,_xlfn.XLOOKUP($A23,My_Audit!$A:$A,My_Audit!C:C,""),
_xlfn.IFS(_xlpm.MyAuditVal&lt;&gt;"",_xlpm.MyAuditVal,_xlpm.MacVal&lt;&gt;"",_xlpm.MacVal,_xlpm.CSVVal&lt;&gt;"",_xlpm.CSVVal
)),"")</f>
        <v/>
      </c>
      <c r="E23" s="2" t="str">
        <f>_xlfn.XLOOKUP(A23,My_Audit!A:A,My_Audit!D:D,"")&amp;""</f>
        <v/>
      </c>
      <c r="F23" s="2" t="str" cm="1">
        <f t="array" ref="F23">IFERROR(_xlfn.LET(
_xlpm.CSVVal,_xlfn.XLOOKUP($A23,CSV!$A:$A,CSV!F:F,""),
_xlpm.MacVal,_xlfn.XLOOKUP($A23,Output_Mac!$A:$A,Output_Mac!E:E,""),
_xlpm.MyAuditVal,_xlfn.XLOOKUP($A23,My_Audit!$A:$A,My_Audit!E:E,""),
_xlfn.IFS(_xlpm.MyAuditVal&lt;&gt;"",_xlpm.MyAuditVal,_xlpm.MacVal&lt;&gt;"",_xlpm.MacVal,_xlpm.CSVVal&lt;&gt;"",_xlpm.CSVVal
)),"")</f>
        <v/>
      </c>
      <c r="G23" s="2" t="str" cm="1">
        <f t="array" ref="G23">IFERROR(_xlfn.LET(
_xlpm.CSVVal,_xlfn.XLOOKUP($A23,CSV!$A:$A,CSV!G:G,""),
_xlpm.MacVal,_xlfn.XLOOKUP($A23,Output_Mac!$A:$A,Output_Mac!F:F,""),
_xlpm.MyAuditVal,_xlfn.XLOOKUP($A23,My_Audit!$A:$A,My_Audit!F:F,""),
_xlfn.IFS(_xlpm.MyAuditVal&lt;&gt;"",_xlpm.MyAuditVal,_xlpm.MacVal&lt;&gt;"",_xlpm.MacVal,_xlpm.CSVVal&lt;&gt;"",PROPER(_xlpm.CSVVal)
)),"")</f>
        <v/>
      </c>
      <c r="H23" s="2" t="str" cm="1">
        <f t="array" ref="H23">IFERROR(_xlfn.LET(
_xlpm.CSVVal,_xlfn.XLOOKUP($A23,CSV!$A:$A,CSV!H:H,""),
_xlpm.MacVal,_xlfn.XLOOKUP($A23,Output_Mac!$A:$A,Output_Mac!H:H,""),
_xlpm.MyAuditVal,_xlfn.XLOOKUP($A23,My_Audit!$A:$A,My_Audit!G:G,""),
_xlfn.IFS(_xlpm.MyAuditVal&lt;&gt;"",_xlpm.MyAuditVal,_xlpm.MacVal&lt;&gt;"",_xlpm.MacVal,_xlpm.CSVVal&lt;&gt;"",_xlpm.CSVVal
)),"")</f>
        <v/>
      </c>
      <c r="I23" s="2" t="str">
        <f>_xlfn.XLOOKUP(A23,Output_Mac!A:A,Output_Mac!I:I,"")</f>
        <v/>
      </c>
      <c r="J23" s="2" t="str" cm="1">
        <f t="array" ref="J23">IFERROR(_xlfn.LET(
_xlpm.CSVVal,_xlfn.XLOOKUP($A23,CSV!$A:$A,CSV!I:I,""),
_xlpm.MacVal,_xlfn.XLOOKUP($A23,Output_Mac!$A:$A,Output_Mac!J:J,""),
_xlpm.MyAuditVal,_xlfn.XLOOKUP($A23,My_Audit!$A:$A,My_Audit!I:I,""),
_xlfn.IFS(_xlpm.MyAuditVal&lt;&gt;"",UPPER(_xlpm.MyAuditVal),_xlpm.MacVal&lt;&gt;"",_xlpm.MacVal,_xlpm.CSVVal&lt;&gt;"",_xlpm.CSVVal
)),"")</f>
        <v/>
      </c>
      <c r="K23" s="2" t="str" cm="1">
        <f t="array" ref="K23">IFERROR(_xlfn.LET(
_xlpm.CSVVal,_xlfn.XLOOKUP($A23,CSV!$A:$A,CSV!K:K,""),
_xlpm.MacVal,_xlfn.XLOOKUP($A23,Output_Mac!$A:$A,Output_Mac!K:K,""),
_xlpm.MyAuditVal,_xlfn.XLOOKUP($A23,My_Audit!$A:$A,My_Audit!J:J,""),
_xlfn.IFS(_xlpm.MyAuditVal&lt;&gt;"",UPPER(_xlpm.MyAuditVal),_xlpm.MacVal&lt;&gt;"",_xlpm.MacVal,_xlpm.CSVVal&lt;&gt;"",_xlpm.CSVVal
)),"")</f>
        <v/>
      </c>
      <c r="L23" s="2" t="str" cm="1">
        <f t="array" ref="L23">IFERROR(_xlfn.LET(
_xlpm.CSVVal,_xlfn.XLOOKUP($A23,CSV!$A:$A,CSV!P:P,""),
_xlpm.MacVal,_xlfn.XLOOKUP($A23,Output_Mac!$A:$A,Output_Mac!L:L,""),
_xlpm.MyAuditVal,_xlfn.XLOOKUP($A23,My_Audit!$A:$A,My_Audit!K:K,""),
_xlfn.IFS(_xlpm.MyAuditVal&lt;&gt;"",UPPER(_xlpm.MyAuditVal),_xlpm.MacVal&lt;&gt;"",_xlpm.MacVal,_xlpm.CSVVal&lt;&gt;"",_xlpm.CSVVal
)),"")</f>
        <v/>
      </c>
      <c r="M23" s="2" t="str" cm="1">
        <f t="array" ref="M23">IFERROR(_xlfn.LET(
_xlpm.CSVVal,_xlfn.XLOOKUP($A23,CSV!$A:$A,CSV!Q:Q,""),
_xlpm.MacVal,_xlfn.XLOOKUP($A23,Output_Mac!$A:$A,Output_Mac!M:M,""),
_xlpm.MyAuditVal,_xlfn.XLOOKUP($A23,My_Audit!$A:$A,My_Audit!L:L,""),
_xlfn.IFS(_xlpm.MyAuditVal&lt;&gt;"",UPPER(_xlpm.MyAuditVal),_xlpm.MacVal&lt;&gt;"",_xlpm.MacVal,_xlpm.CSVVal&lt;&gt;"",_xlpm.CSVVal
)),"")</f>
        <v/>
      </c>
      <c r="O23" s="2" t="str">
        <f>_xlfn.LET(
    _xlpm.CSVVal, _xlfn.XLOOKUP($A23, CSV!$A:$A, CSV!AC:AC, ""),
    _xlpm.MacVal, _xlfn.XLOOKUP($A23, Output_Mac!$A:$A, Output_Mac!S:S, ""),
    _xlpm.MyAuditVal, _xlfn.XLOOKUP($A23, My_Audit!$A:$A, My_Audit!P:P, ""),
    _xlfn.TEXTJOIN(", ", TRUE, _xlpm.MyAuditVal, _xlpm.MacVal, _xlpm.CSVVal)
)</f>
        <v/>
      </c>
      <c r="P23" s="2" t="str" cm="1">
        <f t="array" ref="P23">IFERROR(_xlfn.LET(
_xlpm.CSVVal,_xlfn.XLOOKUP($A23,CSV!$A:$A,CSV!AD:AD,""),
_xlpm.MacVal,_xlfn.XLOOKUP($A23,Output_Mac!$A:$A,Output_Mac!T:T,""),
_xlpm.MyAuditVal,_xlfn.XLOOKUP($A23,My_Audit!$A:$A,My_Audit!Q:Q,""),
_xlfn.IFS(_xlpm.MyAuditVal&lt;&gt;"",UPPER(_xlpm.MyAuditVal),_xlpm.MacVal&lt;&gt;"",_xlpm.MacVal,_xlpm.CSVVal&lt;&gt;"",_xlpm.CSVVal
)),"No")</f>
        <v>No</v>
      </c>
      <c r="Q23" s="2" t="str" cm="1">
        <f t="array" ref="Q23">IFERROR(_xlfn.LET(
_xlpm.CSVVal,_xlfn.XLOOKUP($A23,CSV!$A:$A,CSV!AE:AE,""),
_xlpm.MacVal,_xlfn.XLOOKUP($A23,Output_Mac!$A:$A,Output_Mac!U:U,""),
_xlpm.MyAuditVal,_xlfn.XLOOKUP($A23,My_Audit!$A:$A,My_Audit!R:R,""),
_xlfn.IFS(_xlpm.MyAuditVal&lt;&gt;"",UPPER(_xlpm.MyAuditVal),_xlpm.MacVal&lt;&gt;"",_xlpm.MacVal,_xlpm.CSVVal&lt;&gt;"",_xlpm.CSVVal
)),"")</f>
        <v/>
      </c>
      <c r="X23" t="str">
        <f>_xlfn.LET(
    _xlpm.MacVal, _xlfn.XLOOKUP($A23, Output_Mac!$A:$A, Output_Mac!AB:AB, ""),
    _xlpm.MyAuditVal, _xlfn.XLOOKUP($A23, My_Audit!$A:$A, My_Audit!N:N, ""),
    _xlfn.TEXTJOIN(", ", TRUE, _xlpm.MyAuditVal, _xlpm.MacVal)
)</f>
        <v/>
      </c>
    </row>
    <row r="24" spans="1:24">
      <c r="A24" s="2" t="str">
        <f>_xlfn.TEXTJOIN("",TRUE,Input!$B$2,ROW(My_Audit!A23))</f>
        <v>X23</v>
      </c>
      <c r="B24" s="2" t="str">
        <f>_xlfn.TEXTJOIN("-",TRUE,"ITD",Input!$A$2,A24)</f>
        <v>ITD-SHR-X23</v>
      </c>
      <c r="C24" s="2" t="str" cm="1">
        <f t="array" ref="C24">IFERROR(_xlfn.LET(
_xlpm.CSVVal,_xlfn.XLOOKUP($A24,CSV!$A:$A,CSV!B:B,""),
_xlpm.MacVal,_xlfn.XLOOKUP($A24,Output_Mac!$A:$A,Output_Mac!B:B,""),
_xlpm.MyAuditVal,_xlfn.XLOOKUP($A24,My_Audit!$A:$A,My_Audit!B:B,""),
_xlfn.IFS(_xlpm.MyAuditVal&lt;&gt;"",UPPER(_xlpm.MyAuditVal),_xlpm.MacVal&lt;&gt;"",_xlpm.MacVal,_xlpm.CSVVal&lt;&gt;"",_xlpm.CSVVal
)),"")</f>
        <v/>
      </c>
      <c r="D24" s="2" t="str" cm="1">
        <f t="array" ref="D24">IFERROR(_xlfn.LET(
_xlpm.CSVVal,_xlfn.XLOOKUP($A24,CSV!$A:$A,CSV!D:D,""),
_xlpm.MacVal,_xlfn.XLOOKUP($A24,Output_Mac!$A:$A,Output_Mac!C:C,""),
_xlpm.MyAuditVal,_xlfn.XLOOKUP($A24,My_Audit!$A:$A,My_Audit!C:C,""),
_xlfn.IFS(_xlpm.MyAuditVal&lt;&gt;"",_xlpm.MyAuditVal,_xlpm.MacVal&lt;&gt;"",_xlpm.MacVal,_xlpm.CSVVal&lt;&gt;"",_xlpm.CSVVal
)),"")</f>
        <v/>
      </c>
      <c r="E24" s="2" t="str">
        <f>_xlfn.XLOOKUP(A24,My_Audit!A:A,My_Audit!D:D,"")&amp;""</f>
        <v/>
      </c>
      <c r="F24" s="2" t="str" cm="1">
        <f t="array" ref="F24">IFERROR(_xlfn.LET(
_xlpm.CSVVal,_xlfn.XLOOKUP($A24,CSV!$A:$A,CSV!F:F,""),
_xlpm.MacVal,_xlfn.XLOOKUP($A24,Output_Mac!$A:$A,Output_Mac!E:E,""),
_xlpm.MyAuditVal,_xlfn.XLOOKUP($A24,My_Audit!$A:$A,My_Audit!E:E,""),
_xlfn.IFS(_xlpm.MyAuditVal&lt;&gt;"",_xlpm.MyAuditVal,_xlpm.MacVal&lt;&gt;"",_xlpm.MacVal,_xlpm.CSVVal&lt;&gt;"",_xlpm.CSVVal
)),"")</f>
        <v/>
      </c>
      <c r="G24" s="2" t="str" cm="1">
        <f t="array" ref="G24">IFERROR(_xlfn.LET(
_xlpm.CSVVal,_xlfn.XLOOKUP($A24,CSV!$A:$A,CSV!G:G,""),
_xlpm.MacVal,_xlfn.XLOOKUP($A24,Output_Mac!$A:$A,Output_Mac!F:F,""),
_xlpm.MyAuditVal,_xlfn.XLOOKUP($A24,My_Audit!$A:$A,My_Audit!F:F,""),
_xlfn.IFS(_xlpm.MyAuditVal&lt;&gt;"",_xlpm.MyAuditVal,_xlpm.MacVal&lt;&gt;"",_xlpm.MacVal,_xlpm.CSVVal&lt;&gt;"",PROPER(_xlpm.CSVVal)
)),"")</f>
        <v/>
      </c>
      <c r="H24" s="2" t="str" cm="1">
        <f t="array" ref="H24">IFERROR(_xlfn.LET(
_xlpm.CSVVal,_xlfn.XLOOKUP($A24,CSV!$A:$A,CSV!H:H,""),
_xlpm.MacVal,_xlfn.XLOOKUP($A24,Output_Mac!$A:$A,Output_Mac!H:H,""),
_xlpm.MyAuditVal,_xlfn.XLOOKUP($A24,My_Audit!$A:$A,My_Audit!G:G,""),
_xlfn.IFS(_xlpm.MyAuditVal&lt;&gt;"",_xlpm.MyAuditVal,_xlpm.MacVal&lt;&gt;"",_xlpm.MacVal,_xlpm.CSVVal&lt;&gt;"",_xlpm.CSVVal
)),"")</f>
        <v/>
      </c>
      <c r="I24" s="2" t="str">
        <f>_xlfn.XLOOKUP(A24,Output_Mac!A:A,Output_Mac!I:I,"")</f>
        <v/>
      </c>
      <c r="J24" s="2" t="str" cm="1">
        <f t="array" ref="J24">IFERROR(_xlfn.LET(
_xlpm.CSVVal,_xlfn.XLOOKUP($A24,CSV!$A:$A,CSV!I:I,""),
_xlpm.MacVal,_xlfn.XLOOKUP($A24,Output_Mac!$A:$A,Output_Mac!J:J,""),
_xlpm.MyAuditVal,_xlfn.XLOOKUP($A24,My_Audit!$A:$A,My_Audit!I:I,""),
_xlfn.IFS(_xlpm.MyAuditVal&lt;&gt;"",UPPER(_xlpm.MyAuditVal),_xlpm.MacVal&lt;&gt;"",_xlpm.MacVal,_xlpm.CSVVal&lt;&gt;"",_xlpm.CSVVal
)),"")</f>
        <v/>
      </c>
      <c r="K24" s="2" t="str" cm="1">
        <f t="array" ref="K24">IFERROR(_xlfn.LET(
_xlpm.CSVVal,_xlfn.XLOOKUP($A24,CSV!$A:$A,CSV!K:K,""),
_xlpm.MacVal,_xlfn.XLOOKUP($A24,Output_Mac!$A:$A,Output_Mac!K:K,""),
_xlpm.MyAuditVal,_xlfn.XLOOKUP($A24,My_Audit!$A:$A,My_Audit!J:J,""),
_xlfn.IFS(_xlpm.MyAuditVal&lt;&gt;"",UPPER(_xlpm.MyAuditVal),_xlpm.MacVal&lt;&gt;"",_xlpm.MacVal,_xlpm.CSVVal&lt;&gt;"",_xlpm.CSVVal
)),"")</f>
        <v/>
      </c>
      <c r="L24" s="2" t="str" cm="1">
        <f t="array" ref="L24">IFERROR(_xlfn.LET(
_xlpm.CSVVal,_xlfn.XLOOKUP($A24,CSV!$A:$A,CSV!P:P,""),
_xlpm.MacVal,_xlfn.XLOOKUP($A24,Output_Mac!$A:$A,Output_Mac!L:L,""),
_xlpm.MyAuditVal,_xlfn.XLOOKUP($A24,My_Audit!$A:$A,My_Audit!K:K,""),
_xlfn.IFS(_xlpm.MyAuditVal&lt;&gt;"",UPPER(_xlpm.MyAuditVal),_xlpm.MacVal&lt;&gt;"",_xlpm.MacVal,_xlpm.CSVVal&lt;&gt;"",_xlpm.CSVVal
)),"")</f>
        <v/>
      </c>
      <c r="M24" s="2" t="str" cm="1">
        <f t="array" ref="M24">IFERROR(_xlfn.LET(
_xlpm.CSVVal,_xlfn.XLOOKUP($A24,CSV!$A:$A,CSV!Q:Q,""),
_xlpm.MacVal,_xlfn.XLOOKUP($A24,Output_Mac!$A:$A,Output_Mac!M:M,""),
_xlpm.MyAuditVal,_xlfn.XLOOKUP($A24,My_Audit!$A:$A,My_Audit!L:L,""),
_xlfn.IFS(_xlpm.MyAuditVal&lt;&gt;"",UPPER(_xlpm.MyAuditVal),_xlpm.MacVal&lt;&gt;"",_xlpm.MacVal,_xlpm.CSVVal&lt;&gt;"",_xlpm.CSVVal
)),"")</f>
        <v/>
      </c>
      <c r="O24" s="2" t="str">
        <f>_xlfn.LET(
    _xlpm.CSVVal, _xlfn.XLOOKUP($A24, CSV!$A:$A, CSV!AC:AC, ""),
    _xlpm.MacVal, _xlfn.XLOOKUP($A24, Output_Mac!$A:$A, Output_Mac!S:S, ""),
    _xlpm.MyAuditVal, _xlfn.XLOOKUP($A24, My_Audit!$A:$A, My_Audit!P:P, ""),
    _xlfn.TEXTJOIN(", ", TRUE, _xlpm.MyAuditVal, _xlpm.MacVal, _xlpm.CSVVal)
)</f>
        <v/>
      </c>
      <c r="P24" s="2" t="str" cm="1">
        <f t="array" ref="P24">IFERROR(_xlfn.LET(
_xlpm.CSVVal,_xlfn.XLOOKUP($A24,CSV!$A:$A,CSV!AD:AD,""),
_xlpm.MacVal,_xlfn.XLOOKUP($A24,Output_Mac!$A:$A,Output_Mac!T:T,""),
_xlpm.MyAuditVal,_xlfn.XLOOKUP($A24,My_Audit!$A:$A,My_Audit!Q:Q,""),
_xlfn.IFS(_xlpm.MyAuditVal&lt;&gt;"",UPPER(_xlpm.MyAuditVal),_xlpm.MacVal&lt;&gt;"",_xlpm.MacVal,_xlpm.CSVVal&lt;&gt;"",_xlpm.CSVVal
)),"No")</f>
        <v>No</v>
      </c>
      <c r="Q24" s="2" t="str" cm="1">
        <f t="array" ref="Q24">IFERROR(_xlfn.LET(
_xlpm.CSVVal,_xlfn.XLOOKUP($A24,CSV!$A:$A,CSV!AE:AE,""),
_xlpm.MacVal,_xlfn.XLOOKUP($A24,Output_Mac!$A:$A,Output_Mac!U:U,""),
_xlpm.MyAuditVal,_xlfn.XLOOKUP($A24,My_Audit!$A:$A,My_Audit!R:R,""),
_xlfn.IFS(_xlpm.MyAuditVal&lt;&gt;"",UPPER(_xlpm.MyAuditVal),_xlpm.MacVal&lt;&gt;"",_xlpm.MacVal,_xlpm.CSVVal&lt;&gt;"",_xlpm.CSVVal
)),"")</f>
        <v/>
      </c>
      <c r="X24" t="str">
        <f>_xlfn.LET(
    _xlpm.MacVal, _xlfn.XLOOKUP($A24, Output_Mac!$A:$A, Output_Mac!AB:AB, ""),
    _xlpm.MyAuditVal, _xlfn.XLOOKUP($A24, My_Audit!$A:$A, My_Audit!N:N, ""),
    _xlfn.TEXTJOIN(", ", TRUE, _xlpm.MyAuditVal, _xlpm.MacVal)
)</f>
        <v/>
      </c>
    </row>
    <row r="25" spans="1:24">
      <c r="A25" s="2" t="str">
        <f>_xlfn.TEXTJOIN("",TRUE,Input!$B$2,ROW(My_Audit!A24))</f>
        <v>X24</v>
      </c>
      <c r="B25" s="2" t="str">
        <f>_xlfn.TEXTJOIN("-",TRUE,"ITD",Input!$A$2,A25)</f>
        <v>ITD-SHR-X24</v>
      </c>
      <c r="C25" s="2" t="str" cm="1">
        <f t="array" ref="C25">IFERROR(_xlfn.LET(
_xlpm.CSVVal,_xlfn.XLOOKUP($A25,CSV!$A:$A,CSV!B:B,""),
_xlpm.MacVal,_xlfn.XLOOKUP($A25,Output_Mac!$A:$A,Output_Mac!B:B,""),
_xlpm.MyAuditVal,_xlfn.XLOOKUP($A25,My_Audit!$A:$A,My_Audit!B:B,""),
_xlfn.IFS(_xlpm.MyAuditVal&lt;&gt;"",UPPER(_xlpm.MyAuditVal),_xlpm.MacVal&lt;&gt;"",_xlpm.MacVal,_xlpm.CSVVal&lt;&gt;"",_xlpm.CSVVal
)),"")</f>
        <v/>
      </c>
      <c r="D25" s="2" t="str" cm="1">
        <f t="array" ref="D25">IFERROR(_xlfn.LET(
_xlpm.CSVVal,_xlfn.XLOOKUP($A25,CSV!$A:$A,CSV!D:D,""),
_xlpm.MacVal,_xlfn.XLOOKUP($A25,Output_Mac!$A:$A,Output_Mac!C:C,""),
_xlpm.MyAuditVal,_xlfn.XLOOKUP($A25,My_Audit!$A:$A,My_Audit!C:C,""),
_xlfn.IFS(_xlpm.MyAuditVal&lt;&gt;"",_xlpm.MyAuditVal,_xlpm.MacVal&lt;&gt;"",_xlpm.MacVal,_xlpm.CSVVal&lt;&gt;"",_xlpm.CSVVal
)),"")</f>
        <v/>
      </c>
      <c r="E25" s="2" t="str">
        <f>_xlfn.XLOOKUP(A25,My_Audit!A:A,My_Audit!D:D,"")&amp;""</f>
        <v/>
      </c>
      <c r="F25" s="2" t="str" cm="1">
        <f t="array" ref="F25">IFERROR(_xlfn.LET(
_xlpm.CSVVal,_xlfn.XLOOKUP($A25,CSV!$A:$A,CSV!F:F,""),
_xlpm.MacVal,_xlfn.XLOOKUP($A25,Output_Mac!$A:$A,Output_Mac!E:E,""),
_xlpm.MyAuditVal,_xlfn.XLOOKUP($A25,My_Audit!$A:$A,My_Audit!E:E,""),
_xlfn.IFS(_xlpm.MyAuditVal&lt;&gt;"",_xlpm.MyAuditVal,_xlpm.MacVal&lt;&gt;"",_xlpm.MacVal,_xlpm.CSVVal&lt;&gt;"",_xlpm.CSVVal
)),"")</f>
        <v/>
      </c>
      <c r="G25" s="2" t="str" cm="1">
        <f t="array" ref="G25">IFERROR(_xlfn.LET(
_xlpm.CSVVal,_xlfn.XLOOKUP($A25,CSV!$A:$A,CSV!G:G,""),
_xlpm.MacVal,_xlfn.XLOOKUP($A25,Output_Mac!$A:$A,Output_Mac!F:F,""),
_xlpm.MyAuditVal,_xlfn.XLOOKUP($A25,My_Audit!$A:$A,My_Audit!F:F,""),
_xlfn.IFS(_xlpm.MyAuditVal&lt;&gt;"",_xlpm.MyAuditVal,_xlpm.MacVal&lt;&gt;"",_xlpm.MacVal,_xlpm.CSVVal&lt;&gt;"",PROPER(_xlpm.CSVVal)
)),"")</f>
        <v/>
      </c>
      <c r="H25" s="2" t="str" cm="1">
        <f t="array" ref="H25">IFERROR(_xlfn.LET(
_xlpm.CSVVal,_xlfn.XLOOKUP($A25,CSV!$A:$A,CSV!H:H,""),
_xlpm.MacVal,_xlfn.XLOOKUP($A25,Output_Mac!$A:$A,Output_Mac!H:H,""),
_xlpm.MyAuditVal,_xlfn.XLOOKUP($A25,My_Audit!$A:$A,My_Audit!G:G,""),
_xlfn.IFS(_xlpm.MyAuditVal&lt;&gt;"",_xlpm.MyAuditVal,_xlpm.MacVal&lt;&gt;"",_xlpm.MacVal,_xlpm.CSVVal&lt;&gt;"",_xlpm.CSVVal
)),"")</f>
        <v/>
      </c>
      <c r="I25" s="2" t="str">
        <f>_xlfn.XLOOKUP(A25,Output_Mac!A:A,Output_Mac!I:I,"")</f>
        <v/>
      </c>
      <c r="J25" s="2" t="str" cm="1">
        <f t="array" ref="J25">IFERROR(_xlfn.LET(
_xlpm.CSVVal,_xlfn.XLOOKUP($A25,CSV!$A:$A,CSV!I:I,""),
_xlpm.MacVal,_xlfn.XLOOKUP($A25,Output_Mac!$A:$A,Output_Mac!J:J,""),
_xlpm.MyAuditVal,_xlfn.XLOOKUP($A25,My_Audit!$A:$A,My_Audit!I:I,""),
_xlfn.IFS(_xlpm.MyAuditVal&lt;&gt;"",UPPER(_xlpm.MyAuditVal),_xlpm.MacVal&lt;&gt;"",_xlpm.MacVal,_xlpm.CSVVal&lt;&gt;"",_xlpm.CSVVal
)),"")</f>
        <v/>
      </c>
      <c r="K25" s="2" t="str" cm="1">
        <f t="array" ref="K25">IFERROR(_xlfn.LET(
_xlpm.CSVVal,_xlfn.XLOOKUP($A25,CSV!$A:$A,CSV!K:K,""),
_xlpm.MacVal,_xlfn.XLOOKUP($A25,Output_Mac!$A:$A,Output_Mac!K:K,""),
_xlpm.MyAuditVal,_xlfn.XLOOKUP($A25,My_Audit!$A:$A,My_Audit!J:J,""),
_xlfn.IFS(_xlpm.MyAuditVal&lt;&gt;"",UPPER(_xlpm.MyAuditVal),_xlpm.MacVal&lt;&gt;"",_xlpm.MacVal,_xlpm.CSVVal&lt;&gt;"",_xlpm.CSVVal
)),"")</f>
        <v/>
      </c>
      <c r="L25" s="2" t="str" cm="1">
        <f t="array" ref="L25">IFERROR(_xlfn.LET(
_xlpm.CSVVal,_xlfn.XLOOKUP($A25,CSV!$A:$A,CSV!P:P,""),
_xlpm.MacVal,_xlfn.XLOOKUP($A25,Output_Mac!$A:$A,Output_Mac!L:L,""),
_xlpm.MyAuditVal,_xlfn.XLOOKUP($A25,My_Audit!$A:$A,My_Audit!K:K,""),
_xlfn.IFS(_xlpm.MyAuditVal&lt;&gt;"",UPPER(_xlpm.MyAuditVal),_xlpm.MacVal&lt;&gt;"",_xlpm.MacVal,_xlpm.CSVVal&lt;&gt;"",_xlpm.CSVVal
)),"")</f>
        <v/>
      </c>
      <c r="M25" s="2" t="str" cm="1">
        <f t="array" ref="M25">IFERROR(_xlfn.LET(
_xlpm.CSVVal,_xlfn.XLOOKUP($A25,CSV!$A:$A,CSV!Q:Q,""),
_xlpm.MacVal,_xlfn.XLOOKUP($A25,Output_Mac!$A:$A,Output_Mac!M:M,""),
_xlpm.MyAuditVal,_xlfn.XLOOKUP($A25,My_Audit!$A:$A,My_Audit!L:L,""),
_xlfn.IFS(_xlpm.MyAuditVal&lt;&gt;"",UPPER(_xlpm.MyAuditVal),_xlpm.MacVal&lt;&gt;"",_xlpm.MacVal,_xlpm.CSVVal&lt;&gt;"",_xlpm.CSVVal
)),"")</f>
        <v/>
      </c>
      <c r="O25" s="2" t="str">
        <f>_xlfn.LET(
    _xlpm.CSVVal, _xlfn.XLOOKUP($A25, CSV!$A:$A, CSV!AC:AC, ""),
    _xlpm.MacVal, _xlfn.XLOOKUP($A25, Output_Mac!$A:$A, Output_Mac!S:S, ""),
    _xlpm.MyAuditVal, _xlfn.XLOOKUP($A25, My_Audit!$A:$A, My_Audit!P:P, ""),
    _xlfn.TEXTJOIN(", ", TRUE, _xlpm.MyAuditVal, _xlpm.MacVal, _xlpm.CSVVal)
)</f>
        <v/>
      </c>
      <c r="P25" s="2" t="str" cm="1">
        <f t="array" ref="P25">IFERROR(_xlfn.LET(
_xlpm.CSVVal,_xlfn.XLOOKUP($A25,CSV!$A:$A,CSV!AD:AD,""),
_xlpm.MacVal,_xlfn.XLOOKUP($A25,Output_Mac!$A:$A,Output_Mac!T:T,""),
_xlpm.MyAuditVal,_xlfn.XLOOKUP($A25,My_Audit!$A:$A,My_Audit!Q:Q,""),
_xlfn.IFS(_xlpm.MyAuditVal&lt;&gt;"",UPPER(_xlpm.MyAuditVal),_xlpm.MacVal&lt;&gt;"",_xlpm.MacVal,_xlpm.CSVVal&lt;&gt;"",_xlpm.CSVVal
)),"No")</f>
        <v>No</v>
      </c>
      <c r="Q25" s="2" t="str" cm="1">
        <f t="array" ref="Q25">IFERROR(_xlfn.LET(
_xlpm.CSVVal,_xlfn.XLOOKUP($A25,CSV!$A:$A,CSV!AE:AE,""),
_xlpm.MacVal,_xlfn.XLOOKUP($A25,Output_Mac!$A:$A,Output_Mac!U:U,""),
_xlpm.MyAuditVal,_xlfn.XLOOKUP($A25,My_Audit!$A:$A,My_Audit!R:R,""),
_xlfn.IFS(_xlpm.MyAuditVal&lt;&gt;"",UPPER(_xlpm.MyAuditVal),_xlpm.MacVal&lt;&gt;"",_xlpm.MacVal,_xlpm.CSVVal&lt;&gt;"",_xlpm.CSVVal
)),"")</f>
        <v/>
      </c>
      <c r="X25" t="str">
        <f>_xlfn.LET(
    _xlpm.MacVal, _xlfn.XLOOKUP($A25, Output_Mac!$A:$A, Output_Mac!AB:AB, ""),
    _xlpm.MyAuditVal, _xlfn.XLOOKUP($A25, My_Audit!$A:$A, My_Audit!N:N, ""),
    _xlfn.TEXTJOIN(", ", TRUE, _xlpm.MyAuditVal, _xlpm.MacVal)
)</f>
        <v/>
      </c>
    </row>
    <row r="26" spans="1:24">
      <c r="A26" s="2" t="str">
        <f>_xlfn.TEXTJOIN("",TRUE,Input!$B$2,ROW(My_Audit!A25))</f>
        <v>X25</v>
      </c>
      <c r="B26" s="2" t="str">
        <f>_xlfn.TEXTJOIN("-",TRUE,"ITD",Input!$A$2,A26)</f>
        <v>ITD-SHR-X25</v>
      </c>
      <c r="C26" s="2" t="str" cm="1">
        <f t="array" ref="C26">IFERROR(_xlfn.LET(
_xlpm.CSVVal,_xlfn.XLOOKUP($A26,CSV!$A:$A,CSV!B:B,""),
_xlpm.MacVal,_xlfn.XLOOKUP($A26,Output_Mac!$A:$A,Output_Mac!B:B,""),
_xlpm.MyAuditVal,_xlfn.XLOOKUP($A26,My_Audit!$A:$A,My_Audit!B:B,""),
_xlfn.IFS(_xlpm.MyAuditVal&lt;&gt;"",UPPER(_xlpm.MyAuditVal),_xlpm.MacVal&lt;&gt;"",_xlpm.MacVal,_xlpm.CSVVal&lt;&gt;"",_xlpm.CSVVal
)),"")</f>
        <v/>
      </c>
      <c r="D26" s="2" t="str" cm="1">
        <f t="array" ref="D26">IFERROR(_xlfn.LET(
_xlpm.CSVVal,_xlfn.XLOOKUP($A26,CSV!$A:$A,CSV!D:D,""),
_xlpm.MacVal,_xlfn.XLOOKUP($A26,Output_Mac!$A:$A,Output_Mac!C:C,""),
_xlpm.MyAuditVal,_xlfn.XLOOKUP($A26,My_Audit!$A:$A,My_Audit!C:C,""),
_xlfn.IFS(_xlpm.MyAuditVal&lt;&gt;"",_xlpm.MyAuditVal,_xlpm.MacVal&lt;&gt;"",_xlpm.MacVal,_xlpm.CSVVal&lt;&gt;"",_xlpm.CSVVal
)),"")</f>
        <v/>
      </c>
      <c r="E26" s="2" t="str">
        <f>_xlfn.XLOOKUP(A26,My_Audit!A:A,My_Audit!D:D,"")&amp;""</f>
        <v/>
      </c>
      <c r="F26" s="2" t="str" cm="1">
        <f t="array" ref="F26">IFERROR(_xlfn.LET(
_xlpm.CSVVal,_xlfn.XLOOKUP($A26,CSV!$A:$A,CSV!F:F,""),
_xlpm.MacVal,_xlfn.XLOOKUP($A26,Output_Mac!$A:$A,Output_Mac!E:E,""),
_xlpm.MyAuditVal,_xlfn.XLOOKUP($A26,My_Audit!$A:$A,My_Audit!E:E,""),
_xlfn.IFS(_xlpm.MyAuditVal&lt;&gt;"",_xlpm.MyAuditVal,_xlpm.MacVal&lt;&gt;"",_xlpm.MacVal,_xlpm.CSVVal&lt;&gt;"",_xlpm.CSVVal
)),"")</f>
        <v/>
      </c>
      <c r="G26" s="2" t="str" cm="1">
        <f t="array" ref="G26">IFERROR(_xlfn.LET(
_xlpm.CSVVal,_xlfn.XLOOKUP($A26,CSV!$A:$A,CSV!G:G,""),
_xlpm.MacVal,_xlfn.XLOOKUP($A26,Output_Mac!$A:$A,Output_Mac!F:F,""),
_xlpm.MyAuditVal,_xlfn.XLOOKUP($A26,My_Audit!$A:$A,My_Audit!F:F,""),
_xlfn.IFS(_xlpm.MyAuditVal&lt;&gt;"",_xlpm.MyAuditVal,_xlpm.MacVal&lt;&gt;"",_xlpm.MacVal,_xlpm.CSVVal&lt;&gt;"",PROPER(_xlpm.CSVVal)
)),"")</f>
        <v/>
      </c>
      <c r="H26" s="2" t="str" cm="1">
        <f t="array" ref="H26">IFERROR(_xlfn.LET(
_xlpm.CSVVal,_xlfn.XLOOKUP($A26,CSV!$A:$A,CSV!H:H,""),
_xlpm.MacVal,_xlfn.XLOOKUP($A26,Output_Mac!$A:$A,Output_Mac!H:H,""),
_xlpm.MyAuditVal,_xlfn.XLOOKUP($A26,My_Audit!$A:$A,My_Audit!G:G,""),
_xlfn.IFS(_xlpm.MyAuditVal&lt;&gt;"",_xlpm.MyAuditVal,_xlpm.MacVal&lt;&gt;"",_xlpm.MacVal,_xlpm.CSVVal&lt;&gt;"",_xlpm.CSVVal
)),"")</f>
        <v/>
      </c>
      <c r="I26" s="2" t="str">
        <f>_xlfn.XLOOKUP(A26,Output_Mac!A:A,Output_Mac!I:I,"")</f>
        <v/>
      </c>
      <c r="J26" s="2" t="str" cm="1">
        <f t="array" ref="J26">IFERROR(_xlfn.LET(
_xlpm.CSVVal,_xlfn.XLOOKUP($A26,CSV!$A:$A,CSV!I:I,""),
_xlpm.MacVal,_xlfn.XLOOKUP($A26,Output_Mac!$A:$A,Output_Mac!J:J,""),
_xlpm.MyAuditVal,_xlfn.XLOOKUP($A26,My_Audit!$A:$A,My_Audit!I:I,""),
_xlfn.IFS(_xlpm.MyAuditVal&lt;&gt;"",UPPER(_xlpm.MyAuditVal),_xlpm.MacVal&lt;&gt;"",_xlpm.MacVal,_xlpm.CSVVal&lt;&gt;"",_xlpm.CSVVal
)),"")</f>
        <v/>
      </c>
      <c r="K26" s="2" t="str" cm="1">
        <f t="array" ref="K26">IFERROR(_xlfn.LET(
_xlpm.CSVVal,_xlfn.XLOOKUP($A26,CSV!$A:$A,CSV!K:K,""),
_xlpm.MacVal,_xlfn.XLOOKUP($A26,Output_Mac!$A:$A,Output_Mac!K:K,""),
_xlpm.MyAuditVal,_xlfn.XLOOKUP($A26,My_Audit!$A:$A,My_Audit!J:J,""),
_xlfn.IFS(_xlpm.MyAuditVal&lt;&gt;"",UPPER(_xlpm.MyAuditVal),_xlpm.MacVal&lt;&gt;"",_xlpm.MacVal,_xlpm.CSVVal&lt;&gt;"",_xlpm.CSVVal
)),"")</f>
        <v/>
      </c>
      <c r="L26" s="2" t="str" cm="1">
        <f t="array" ref="L26">IFERROR(_xlfn.LET(
_xlpm.CSVVal,_xlfn.XLOOKUP($A26,CSV!$A:$A,CSV!P:P,""),
_xlpm.MacVal,_xlfn.XLOOKUP($A26,Output_Mac!$A:$A,Output_Mac!L:L,""),
_xlpm.MyAuditVal,_xlfn.XLOOKUP($A26,My_Audit!$A:$A,My_Audit!K:K,""),
_xlfn.IFS(_xlpm.MyAuditVal&lt;&gt;"",UPPER(_xlpm.MyAuditVal),_xlpm.MacVal&lt;&gt;"",_xlpm.MacVal,_xlpm.CSVVal&lt;&gt;"",_xlpm.CSVVal
)),"")</f>
        <v/>
      </c>
      <c r="M26" s="2" t="str" cm="1">
        <f t="array" ref="M26">IFERROR(_xlfn.LET(
_xlpm.CSVVal,_xlfn.XLOOKUP($A26,CSV!$A:$A,CSV!Q:Q,""),
_xlpm.MacVal,_xlfn.XLOOKUP($A26,Output_Mac!$A:$A,Output_Mac!M:M,""),
_xlpm.MyAuditVal,_xlfn.XLOOKUP($A26,My_Audit!$A:$A,My_Audit!L:L,""),
_xlfn.IFS(_xlpm.MyAuditVal&lt;&gt;"",UPPER(_xlpm.MyAuditVal),_xlpm.MacVal&lt;&gt;"",_xlpm.MacVal,_xlpm.CSVVal&lt;&gt;"",_xlpm.CSVVal
)),"")</f>
        <v/>
      </c>
      <c r="O26" s="2" t="str">
        <f>_xlfn.LET(
    _xlpm.CSVVal, _xlfn.XLOOKUP($A26, CSV!$A:$A, CSV!AC:AC, ""),
    _xlpm.MacVal, _xlfn.XLOOKUP($A26, Output_Mac!$A:$A, Output_Mac!S:S, ""),
    _xlpm.MyAuditVal, _xlfn.XLOOKUP($A26, My_Audit!$A:$A, My_Audit!P:P, ""),
    _xlfn.TEXTJOIN(", ", TRUE, _xlpm.MyAuditVal, _xlpm.MacVal, _xlpm.CSVVal)
)</f>
        <v/>
      </c>
      <c r="P26" s="2" t="str" cm="1">
        <f t="array" ref="P26">IFERROR(_xlfn.LET(
_xlpm.CSVVal,_xlfn.XLOOKUP($A26,CSV!$A:$A,CSV!AD:AD,""),
_xlpm.MacVal,_xlfn.XLOOKUP($A26,Output_Mac!$A:$A,Output_Mac!T:T,""),
_xlpm.MyAuditVal,_xlfn.XLOOKUP($A26,My_Audit!$A:$A,My_Audit!Q:Q,""),
_xlfn.IFS(_xlpm.MyAuditVal&lt;&gt;"",UPPER(_xlpm.MyAuditVal),_xlpm.MacVal&lt;&gt;"",_xlpm.MacVal,_xlpm.CSVVal&lt;&gt;"",_xlpm.CSVVal
)),"No")</f>
        <v>No</v>
      </c>
      <c r="Q26" s="2" t="str" cm="1">
        <f t="array" ref="Q26">IFERROR(_xlfn.LET(
_xlpm.CSVVal,_xlfn.XLOOKUP($A26,CSV!$A:$A,CSV!AE:AE,""),
_xlpm.MacVal,_xlfn.XLOOKUP($A26,Output_Mac!$A:$A,Output_Mac!U:U,""),
_xlpm.MyAuditVal,_xlfn.XLOOKUP($A26,My_Audit!$A:$A,My_Audit!R:R,""),
_xlfn.IFS(_xlpm.MyAuditVal&lt;&gt;"",UPPER(_xlpm.MyAuditVal),_xlpm.MacVal&lt;&gt;"",_xlpm.MacVal,_xlpm.CSVVal&lt;&gt;"",_xlpm.CSVVal
)),"")</f>
        <v/>
      </c>
      <c r="X26" t="str">
        <f>_xlfn.LET(
    _xlpm.MacVal, _xlfn.XLOOKUP($A26, Output_Mac!$A:$A, Output_Mac!AB:AB, ""),
    _xlpm.MyAuditVal, _xlfn.XLOOKUP($A26, My_Audit!$A:$A, My_Audit!N:N, ""),
    _xlfn.TEXTJOIN(", ", TRUE, _xlpm.MyAuditVal, _xlpm.MacVal)
)</f>
        <v/>
      </c>
    </row>
    <row r="27" spans="1:24">
      <c r="A27" s="2" t="str">
        <f>_xlfn.TEXTJOIN("",TRUE,Input!$B$2,ROW(My_Audit!A26))</f>
        <v>X26</v>
      </c>
      <c r="B27" s="2" t="str">
        <f>_xlfn.TEXTJOIN("-",TRUE,"ITD",Input!$A$2,A27)</f>
        <v>ITD-SHR-X26</v>
      </c>
      <c r="C27" s="2" t="str" cm="1">
        <f t="array" ref="C27">IFERROR(_xlfn.LET(
_xlpm.CSVVal,_xlfn.XLOOKUP($A27,CSV!$A:$A,CSV!B:B,""),
_xlpm.MacVal,_xlfn.XLOOKUP($A27,Output_Mac!$A:$A,Output_Mac!B:B,""),
_xlpm.MyAuditVal,_xlfn.XLOOKUP($A27,My_Audit!$A:$A,My_Audit!B:B,""),
_xlfn.IFS(_xlpm.MyAuditVal&lt;&gt;"",UPPER(_xlpm.MyAuditVal),_xlpm.MacVal&lt;&gt;"",_xlpm.MacVal,_xlpm.CSVVal&lt;&gt;"",_xlpm.CSVVal
)),"")</f>
        <v/>
      </c>
      <c r="D27" s="2" t="str" cm="1">
        <f t="array" ref="D27">IFERROR(_xlfn.LET(
_xlpm.CSVVal,_xlfn.XLOOKUP($A27,CSV!$A:$A,CSV!D:D,""),
_xlpm.MacVal,_xlfn.XLOOKUP($A27,Output_Mac!$A:$A,Output_Mac!C:C,""),
_xlpm.MyAuditVal,_xlfn.XLOOKUP($A27,My_Audit!$A:$A,My_Audit!C:C,""),
_xlfn.IFS(_xlpm.MyAuditVal&lt;&gt;"",_xlpm.MyAuditVal,_xlpm.MacVal&lt;&gt;"",_xlpm.MacVal,_xlpm.CSVVal&lt;&gt;"",_xlpm.CSVVal
)),"")</f>
        <v/>
      </c>
      <c r="E27" s="2" t="str">
        <f>_xlfn.XLOOKUP(A27,My_Audit!A:A,My_Audit!D:D,"")&amp;""</f>
        <v/>
      </c>
      <c r="F27" s="2" t="str" cm="1">
        <f t="array" ref="F27">IFERROR(_xlfn.LET(
_xlpm.CSVVal,_xlfn.XLOOKUP($A27,CSV!$A:$A,CSV!F:F,""),
_xlpm.MacVal,_xlfn.XLOOKUP($A27,Output_Mac!$A:$A,Output_Mac!E:E,""),
_xlpm.MyAuditVal,_xlfn.XLOOKUP($A27,My_Audit!$A:$A,My_Audit!E:E,""),
_xlfn.IFS(_xlpm.MyAuditVal&lt;&gt;"",_xlpm.MyAuditVal,_xlpm.MacVal&lt;&gt;"",_xlpm.MacVal,_xlpm.CSVVal&lt;&gt;"",_xlpm.CSVVal
)),"")</f>
        <v/>
      </c>
      <c r="G27" s="2" t="str" cm="1">
        <f t="array" ref="G27">IFERROR(_xlfn.LET(
_xlpm.CSVVal,_xlfn.XLOOKUP($A27,CSV!$A:$A,CSV!G:G,""),
_xlpm.MacVal,_xlfn.XLOOKUP($A27,Output_Mac!$A:$A,Output_Mac!F:F,""),
_xlpm.MyAuditVal,_xlfn.XLOOKUP($A27,My_Audit!$A:$A,My_Audit!F:F,""),
_xlfn.IFS(_xlpm.MyAuditVal&lt;&gt;"",_xlpm.MyAuditVal,_xlpm.MacVal&lt;&gt;"",_xlpm.MacVal,_xlpm.CSVVal&lt;&gt;"",PROPER(_xlpm.CSVVal)
)),"")</f>
        <v/>
      </c>
      <c r="H27" s="2" t="str" cm="1">
        <f t="array" ref="H27">IFERROR(_xlfn.LET(
_xlpm.CSVVal,_xlfn.XLOOKUP($A27,CSV!$A:$A,CSV!H:H,""),
_xlpm.MacVal,_xlfn.XLOOKUP($A27,Output_Mac!$A:$A,Output_Mac!H:H,""),
_xlpm.MyAuditVal,_xlfn.XLOOKUP($A27,My_Audit!$A:$A,My_Audit!G:G,""),
_xlfn.IFS(_xlpm.MyAuditVal&lt;&gt;"",_xlpm.MyAuditVal,_xlpm.MacVal&lt;&gt;"",_xlpm.MacVal,_xlpm.CSVVal&lt;&gt;"",_xlpm.CSVVal
)),"")</f>
        <v/>
      </c>
      <c r="I27" s="2" t="str">
        <f>_xlfn.XLOOKUP(A27,Output_Mac!A:A,Output_Mac!I:I,"")</f>
        <v/>
      </c>
      <c r="J27" s="2" t="str" cm="1">
        <f t="array" ref="J27">IFERROR(_xlfn.LET(
_xlpm.CSVVal,_xlfn.XLOOKUP($A27,CSV!$A:$A,CSV!I:I,""),
_xlpm.MacVal,_xlfn.XLOOKUP($A27,Output_Mac!$A:$A,Output_Mac!J:J,""),
_xlpm.MyAuditVal,_xlfn.XLOOKUP($A27,My_Audit!$A:$A,My_Audit!I:I,""),
_xlfn.IFS(_xlpm.MyAuditVal&lt;&gt;"",UPPER(_xlpm.MyAuditVal),_xlpm.MacVal&lt;&gt;"",_xlpm.MacVal,_xlpm.CSVVal&lt;&gt;"",_xlpm.CSVVal
)),"")</f>
        <v/>
      </c>
      <c r="K27" s="2" t="str" cm="1">
        <f t="array" ref="K27">IFERROR(_xlfn.LET(
_xlpm.CSVVal,_xlfn.XLOOKUP($A27,CSV!$A:$A,CSV!K:K,""),
_xlpm.MacVal,_xlfn.XLOOKUP($A27,Output_Mac!$A:$A,Output_Mac!K:K,""),
_xlpm.MyAuditVal,_xlfn.XLOOKUP($A27,My_Audit!$A:$A,My_Audit!J:J,""),
_xlfn.IFS(_xlpm.MyAuditVal&lt;&gt;"",UPPER(_xlpm.MyAuditVal),_xlpm.MacVal&lt;&gt;"",_xlpm.MacVal,_xlpm.CSVVal&lt;&gt;"",_xlpm.CSVVal
)),"")</f>
        <v/>
      </c>
      <c r="L27" s="2" t="str" cm="1">
        <f t="array" ref="L27">IFERROR(_xlfn.LET(
_xlpm.CSVVal,_xlfn.XLOOKUP($A27,CSV!$A:$A,CSV!P:P,""),
_xlpm.MacVal,_xlfn.XLOOKUP($A27,Output_Mac!$A:$A,Output_Mac!L:L,""),
_xlpm.MyAuditVal,_xlfn.XLOOKUP($A27,My_Audit!$A:$A,My_Audit!K:K,""),
_xlfn.IFS(_xlpm.MyAuditVal&lt;&gt;"",UPPER(_xlpm.MyAuditVal),_xlpm.MacVal&lt;&gt;"",_xlpm.MacVal,_xlpm.CSVVal&lt;&gt;"",_xlpm.CSVVal
)),"")</f>
        <v/>
      </c>
      <c r="M27" s="2" t="str" cm="1">
        <f t="array" ref="M27">IFERROR(_xlfn.LET(
_xlpm.CSVVal,_xlfn.XLOOKUP($A27,CSV!$A:$A,CSV!Q:Q,""),
_xlpm.MacVal,_xlfn.XLOOKUP($A27,Output_Mac!$A:$A,Output_Mac!M:M,""),
_xlpm.MyAuditVal,_xlfn.XLOOKUP($A27,My_Audit!$A:$A,My_Audit!L:L,""),
_xlfn.IFS(_xlpm.MyAuditVal&lt;&gt;"",UPPER(_xlpm.MyAuditVal),_xlpm.MacVal&lt;&gt;"",_xlpm.MacVal,_xlpm.CSVVal&lt;&gt;"",_xlpm.CSVVal
)),"")</f>
        <v/>
      </c>
      <c r="O27" s="2" t="str">
        <f>_xlfn.LET(
    _xlpm.CSVVal, _xlfn.XLOOKUP($A27, CSV!$A:$A, CSV!AC:AC, ""),
    _xlpm.MacVal, _xlfn.XLOOKUP($A27, Output_Mac!$A:$A, Output_Mac!S:S, ""),
    _xlpm.MyAuditVal, _xlfn.XLOOKUP($A27, My_Audit!$A:$A, My_Audit!P:P, ""),
    _xlfn.TEXTJOIN(", ", TRUE, _xlpm.MyAuditVal, _xlpm.MacVal, _xlpm.CSVVal)
)</f>
        <v/>
      </c>
      <c r="P27" s="2" t="str" cm="1">
        <f t="array" ref="P27">IFERROR(_xlfn.LET(
_xlpm.CSVVal,_xlfn.XLOOKUP($A27,CSV!$A:$A,CSV!AD:AD,""),
_xlpm.MacVal,_xlfn.XLOOKUP($A27,Output_Mac!$A:$A,Output_Mac!T:T,""),
_xlpm.MyAuditVal,_xlfn.XLOOKUP($A27,My_Audit!$A:$A,My_Audit!Q:Q,""),
_xlfn.IFS(_xlpm.MyAuditVal&lt;&gt;"",UPPER(_xlpm.MyAuditVal),_xlpm.MacVal&lt;&gt;"",_xlpm.MacVal,_xlpm.CSVVal&lt;&gt;"",_xlpm.CSVVal
)),"No")</f>
        <v>No</v>
      </c>
      <c r="Q27" s="2" t="str" cm="1">
        <f t="array" ref="Q27">IFERROR(_xlfn.LET(
_xlpm.CSVVal,_xlfn.XLOOKUP($A27,CSV!$A:$A,CSV!AE:AE,""),
_xlpm.MacVal,_xlfn.XLOOKUP($A27,Output_Mac!$A:$A,Output_Mac!U:U,""),
_xlpm.MyAuditVal,_xlfn.XLOOKUP($A27,My_Audit!$A:$A,My_Audit!R:R,""),
_xlfn.IFS(_xlpm.MyAuditVal&lt;&gt;"",UPPER(_xlpm.MyAuditVal),_xlpm.MacVal&lt;&gt;"",_xlpm.MacVal,_xlpm.CSVVal&lt;&gt;"",_xlpm.CSVVal
)),"")</f>
        <v/>
      </c>
      <c r="X27" t="str">
        <f>_xlfn.LET(
    _xlpm.MacVal, _xlfn.XLOOKUP($A27, Output_Mac!$A:$A, Output_Mac!AB:AB, ""),
    _xlpm.MyAuditVal, _xlfn.XLOOKUP($A27, My_Audit!$A:$A, My_Audit!N:N, ""),
    _xlfn.TEXTJOIN(", ", TRUE, _xlpm.MyAuditVal, _xlpm.MacVal)
)</f>
        <v/>
      </c>
    </row>
    <row r="28" spans="1:24">
      <c r="A28" s="2" t="str">
        <f>_xlfn.TEXTJOIN("",TRUE,Input!$B$2,ROW(My_Audit!A27))</f>
        <v>X27</v>
      </c>
      <c r="B28" s="2" t="str">
        <f>_xlfn.TEXTJOIN("-",TRUE,"ITD",Input!$A$2,A28)</f>
        <v>ITD-SHR-X27</v>
      </c>
      <c r="C28" s="2" t="str" cm="1">
        <f t="array" ref="C28">IFERROR(_xlfn.LET(
_xlpm.CSVVal,_xlfn.XLOOKUP($A28,CSV!$A:$A,CSV!B:B,""),
_xlpm.MacVal,_xlfn.XLOOKUP($A28,Output_Mac!$A:$A,Output_Mac!B:B,""),
_xlpm.MyAuditVal,_xlfn.XLOOKUP($A28,My_Audit!$A:$A,My_Audit!B:B,""),
_xlfn.IFS(_xlpm.MyAuditVal&lt;&gt;"",UPPER(_xlpm.MyAuditVal),_xlpm.MacVal&lt;&gt;"",_xlpm.MacVal,_xlpm.CSVVal&lt;&gt;"",_xlpm.CSVVal
)),"")</f>
        <v/>
      </c>
      <c r="D28" s="2" t="str" cm="1">
        <f t="array" ref="D28">IFERROR(_xlfn.LET(
_xlpm.CSVVal,_xlfn.XLOOKUP($A28,CSV!$A:$A,CSV!D:D,""),
_xlpm.MacVal,_xlfn.XLOOKUP($A28,Output_Mac!$A:$A,Output_Mac!C:C,""),
_xlpm.MyAuditVal,_xlfn.XLOOKUP($A28,My_Audit!$A:$A,My_Audit!C:C,""),
_xlfn.IFS(_xlpm.MyAuditVal&lt;&gt;"",_xlpm.MyAuditVal,_xlpm.MacVal&lt;&gt;"",_xlpm.MacVal,_xlpm.CSVVal&lt;&gt;"",_xlpm.CSVVal
)),"")</f>
        <v/>
      </c>
      <c r="E28" s="2" t="str">
        <f>_xlfn.XLOOKUP(A28,My_Audit!A:A,My_Audit!D:D,"")&amp;""</f>
        <v/>
      </c>
      <c r="F28" s="2" t="str" cm="1">
        <f t="array" ref="F28">IFERROR(_xlfn.LET(
_xlpm.CSVVal,_xlfn.XLOOKUP($A28,CSV!$A:$A,CSV!F:F,""),
_xlpm.MacVal,_xlfn.XLOOKUP($A28,Output_Mac!$A:$A,Output_Mac!E:E,""),
_xlpm.MyAuditVal,_xlfn.XLOOKUP($A28,My_Audit!$A:$A,My_Audit!E:E,""),
_xlfn.IFS(_xlpm.MyAuditVal&lt;&gt;"",_xlpm.MyAuditVal,_xlpm.MacVal&lt;&gt;"",_xlpm.MacVal,_xlpm.CSVVal&lt;&gt;"",_xlpm.CSVVal
)),"")</f>
        <v/>
      </c>
      <c r="G28" s="2" t="str" cm="1">
        <f t="array" ref="G28">IFERROR(_xlfn.LET(
_xlpm.CSVVal,_xlfn.XLOOKUP($A28,CSV!$A:$A,CSV!G:G,""),
_xlpm.MacVal,_xlfn.XLOOKUP($A28,Output_Mac!$A:$A,Output_Mac!F:F,""),
_xlpm.MyAuditVal,_xlfn.XLOOKUP($A28,My_Audit!$A:$A,My_Audit!F:F,""),
_xlfn.IFS(_xlpm.MyAuditVal&lt;&gt;"",_xlpm.MyAuditVal,_xlpm.MacVal&lt;&gt;"",_xlpm.MacVal,_xlpm.CSVVal&lt;&gt;"",PROPER(_xlpm.CSVVal)
)),"")</f>
        <v/>
      </c>
      <c r="H28" s="2" t="str" cm="1">
        <f t="array" ref="H28">IFERROR(_xlfn.LET(
_xlpm.CSVVal,_xlfn.XLOOKUP($A28,CSV!$A:$A,CSV!H:H,""),
_xlpm.MacVal,_xlfn.XLOOKUP($A28,Output_Mac!$A:$A,Output_Mac!H:H,""),
_xlpm.MyAuditVal,_xlfn.XLOOKUP($A28,My_Audit!$A:$A,My_Audit!G:G,""),
_xlfn.IFS(_xlpm.MyAuditVal&lt;&gt;"",_xlpm.MyAuditVal,_xlpm.MacVal&lt;&gt;"",_xlpm.MacVal,_xlpm.CSVVal&lt;&gt;"",_xlpm.CSVVal
)),"")</f>
        <v/>
      </c>
      <c r="I28" s="2" t="str">
        <f>_xlfn.XLOOKUP(A28,Output_Mac!A:A,Output_Mac!I:I,"")</f>
        <v/>
      </c>
      <c r="J28" s="2" t="str" cm="1">
        <f t="array" ref="J28">IFERROR(_xlfn.LET(
_xlpm.CSVVal,_xlfn.XLOOKUP($A28,CSV!$A:$A,CSV!I:I,""),
_xlpm.MacVal,_xlfn.XLOOKUP($A28,Output_Mac!$A:$A,Output_Mac!J:J,""),
_xlpm.MyAuditVal,_xlfn.XLOOKUP($A28,My_Audit!$A:$A,My_Audit!I:I,""),
_xlfn.IFS(_xlpm.MyAuditVal&lt;&gt;"",UPPER(_xlpm.MyAuditVal),_xlpm.MacVal&lt;&gt;"",_xlpm.MacVal,_xlpm.CSVVal&lt;&gt;"",_xlpm.CSVVal
)),"")</f>
        <v/>
      </c>
      <c r="K28" s="2" t="str" cm="1">
        <f t="array" ref="K28">IFERROR(_xlfn.LET(
_xlpm.CSVVal,_xlfn.XLOOKUP($A28,CSV!$A:$A,CSV!K:K,""),
_xlpm.MacVal,_xlfn.XLOOKUP($A28,Output_Mac!$A:$A,Output_Mac!K:K,""),
_xlpm.MyAuditVal,_xlfn.XLOOKUP($A28,My_Audit!$A:$A,My_Audit!J:J,""),
_xlfn.IFS(_xlpm.MyAuditVal&lt;&gt;"",UPPER(_xlpm.MyAuditVal),_xlpm.MacVal&lt;&gt;"",_xlpm.MacVal,_xlpm.CSVVal&lt;&gt;"",_xlpm.CSVVal
)),"")</f>
        <v/>
      </c>
      <c r="L28" s="2" t="str" cm="1">
        <f t="array" ref="L28">IFERROR(_xlfn.LET(
_xlpm.CSVVal,_xlfn.XLOOKUP($A28,CSV!$A:$A,CSV!P:P,""),
_xlpm.MacVal,_xlfn.XLOOKUP($A28,Output_Mac!$A:$A,Output_Mac!L:L,""),
_xlpm.MyAuditVal,_xlfn.XLOOKUP($A28,My_Audit!$A:$A,My_Audit!K:K,""),
_xlfn.IFS(_xlpm.MyAuditVal&lt;&gt;"",UPPER(_xlpm.MyAuditVal),_xlpm.MacVal&lt;&gt;"",_xlpm.MacVal,_xlpm.CSVVal&lt;&gt;"",_xlpm.CSVVal
)),"")</f>
        <v/>
      </c>
      <c r="M28" s="2" t="str" cm="1">
        <f t="array" ref="M28">IFERROR(_xlfn.LET(
_xlpm.CSVVal,_xlfn.XLOOKUP($A28,CSV!$A:$A,CSV!Q:Q,""),
_xlpm.MacVal,_xlfn.XLOOKUP($A28,Output_Mac!$A:$A,Output_Mac!M:M,""),
_xlpm.MyAuditVal,_xlfn.XLOOKUP($A28,My_Audit!$A:$A,My_Audit!L:L,""),
_xlfn.IFS(_xlpm.MyAuditVal&lt;&gt;"",UPPER(_xlpm.MyAuditVal),_xlpm.MacVal&lt;&gt;"",_xlpm.MacVal,_xlpm.CSVVal&lt;&gt;"",_xlpm.CSVVal
)),"")</f>
        <v/>
      </c>
      <c r="O28" s="2" t="str">
        <f>_xlfn.LET(
    _xlpm.CSVVal, _xlfn.XLOOKUP($A28, CSV!$A:$A, CSV!AC:AC, ""),
    _xlpm.MacVal, _xlfn.XLOOKUP($A28, Output_Mac!$A:$A, Output_Mac!S:S, ""),
    _xlpm.MyAuditVal, _xlfn.XLOOKUP($A28, My_Audit!$A:$A, My_Audit!P:P, ""),
    _xlfn.TEXTJOIN(", ", TRUE, _xlpm.MyAuditVal, _xlpm.MacVal, _xlpm.CSVVal)
)</f>
        <v/>
      </c>
      <c r="P28" s="2" t="str" cm="1">
        <f t="array" ref="P28">IFERROR(_xlfn.LET(
_xlpm.CSVVal,_xlfn.XLOOKUP($A28,CSV!$A:$A,CSV!AD:AD,""),
_xlpm.MacVal,_xlfn.XLOOKUP($A28,Output_Mac!$A:$A,Output_Mac!T:T,""),
_xlpm.MyAuditVal,_xlfn.XLOOKUP($A28,My_Audit!$A:$A,My_Audit!Q:Q,""),
_xlfn.IFS(_xlpm.MyAuditVal&lt;&gt;"",UPPER(_xlpm.MyAuditVal),_xlpm.MacVal&lt;&gt;"",_xlpm.MacVal,_xlpm.CSVVal&lt;&gt;"",_xlpm.CSVVal
)),"No")</f>
        <v>No</v>
      </c>
      <c r="Q28" s="2" t="str" cm="1">
        <f t="array" ref="Q28">IFERROR(_xlfn.LET(
_xlpm.CSVVal,_xlfn.XLOOKUP($A28,CSV!$A:$A,CSV!AE:AE,""),
_xlpm.MacVal,_xlfn.XLOOKUP($A28,Output_Mac!$A:$A,Output_Mac!U:U,""),
_xlpm.MyAuditVal,_xlfn.XLOOKUP($A28,My_Audit!$A:$A,My_Audit!R:R,""),
_xlfn.IFS(_xlpm.MyAuditVal&lt;&gt;"",UPPER(_xlpm.MyAuditVal),_xlpm.MacVal&lt;&gt;"",_xlpm.MacVal,_xlpm.CSVVal&lt;&gt;"",_xlpm.CSVVal
)),"")</f>
        <v/>
      </c>
      <c r="X28" t="str">
        <f>_xlfn.LET(
    _xlpm.MacVal, _xlfn.XLOOKUP($A28, Output_Mac!$A:$A, Output_Mac!AB:AB, ""),
    _xlpm.MyAuditVal, _xlfn.XLOOKUP($A28, My_Audit!$A:$A, My_Audit!N:N, ""),
    _xlfn.TEXTJOIN(", ", TRUE, _xlpm.MyAuditVal, _xlpm.MacVal)
)</f>
        <v/>
      </c>
    </row>
    <row r="29" spans="1:24">
      <c r="A29" s="2" t="str">
        <f>_xlfn.TEXTJOIN("",TRUE,Input!$B$2,ROW(My_Audit!A28))</f>
        <v>X28</v>
      </c>
      <c r="B29" s="2" t="str">
        <f>_xlfn.TEXTJOIN("-",TRUE,"ITD",Input!$A$2,A29)</f>
        <v>ITD-SHR-X28</v>
      </c>
      <c r="C29" s="2" t="str" cm="1">
        <f t="array" ref="C29">IFERROR(_xlfn.LET(
_xlpm.CSVVal,_xlfn.XLOOKUP($A29,CSV!$A:$A,CSV!B:B,""),
_xlpm.MacVal,_xlfn.XLOOKUP($A29,Output_Mac!$A:$A,Output_Mac!B:B,""),
_xlpm.MyAuditVal,_xlfn.XLOOKUP($A29,My_Audit!$A:$A,My_Audit!B:B,""),
_xlfn.IFS(_xlpm.MyAuditVal&lt;&gt;"",UPPER(_xlpm.MyAuditVal),_xlpm.MacVal&lt;&gt;"",_xlpm.MacVal,_xlpm.CSVVal&lt;&gt;"",_xlpm.CSVVal
)),"")</f>
        <v/>
      </c>
      <c r="D29" s="2" t="str" cm="1">
        <f t="array" ref="D29">IFERROR(_xlfn.LET(
_xlpm.CSVVal,_xlfn.XLOOKUP($A29,CSV!$A:$A,CSV!D:D,""),
_xlpm.MacVal,_xlfn.XLOOKUP($A29,Output_Mac!$A:$A,Output_Mac!C:C,""),
_xlpm.MyAuditVal,_xlfn.XLOOKUP($A29,My_Audit!$A:$A,My_Audit!C:C,""),
_xlfn.IFS(_xlpm.MyAuditVal&lt;&gt;"",_xlpm.MyAuditVal,_xlpm.MacVal&lt;&gt;"",_xlpm.MacVal,_xlpm.CSVVal&lt;&gt;"",_xlpm.CSVVal
)),"")</f>
        <v/>
      </c>
      <c r="E29" s="2" t="str">
        <f>_xlfn.XLOOKUP(A29,My_Audit!A:A,My_Audit!D:D,"")&amp;""</f>
        <v/>
      </c>
      <c r="F29" s="2" t="str" cm="1">
        <f t="array" ref="F29">IFERROR(_xlfn.LET(
_xlpm.CSVVal,_xlfn.XLOOKUP($A29,CSV!$A:$A,CSV!F:F,""),
_xlpm.MacVal,_xlfn.XLOOKUP($A29,Output_Mac!$A:$A,Output_Mac!E:E,""),
_xlpm.MyAuditVal,_xlfn.XLOOKUP($A29,My_Audit!$A:$A,My_Audit!E:E,""),
_xlfn.IFS(_xlpm.MyAuditVal&lt;&gt;"",_xlpm.MyAuditVal,_xlpm.MacVal&lt;&gt;"",_xlpm.MacVal,_xlpm.CSVVal&lt;&gt;"",_xlpm.CSVVal
)),"")</f>
        <v/>
      </c>
      <c r="G29" s="2" t="str" cm="1">
        <f t="array" ref="G29">IFERROR(_xlfn.LET(
_xlpm.CSVVal,_xlfn.XLOOKUP($A29,CSV!$A:$A,CSV!G:G,""),
_xlpm.MacVal,_xlfn.XLOOKUP($A29,Output_Mac!$A:$A,Output_Mac!F:F,""),
_xlpm.MyAuditVal,_xlfn.XLOOKUP($A29,My_Audit!$A:$A,My_Audit!F:F,""),
_xlfn.IFS(_xlpm.MyAuditVal&lt;&gt;"",_xlpm.MyAuditVal,_xlpm.MacVal&lt;&gt;"",_xlpm.MacVal,_xlpm.CSVVal&lt;&gt;"",PROPER(_xlpm.CSVVal)
)),"")</f>
        <v/>
      </c>
      <c r="H29" s="2" t="str" cm="1">
        <f t="array" ref="H29">IFERROR(_xlfn.LET(
_xlpm.CSVVal,_xlfn.XLOOKUP($A29,CSV!$A:$A,CSV!H:H,""),
_xlpm.MacVal,_xlfn.XLOOKUP($A29,Output_Mac!$A:$A,Output_Mac!H:H,""),
_xlpm.MyAuditVal,_xlfn.XLOOKUP($A29,My_Audit!$A:$A,My_Audit!G:G,""),
_xlfn.IFS(_xlpm.MyAuditVal&lt;&gt;"",_xlpm.MyAuditVal,_xlpm.MacVal&lt;&gt;"",_xlpm.MacVal,_xlpm.CSVVal&lt;&gt;"",_xlpm.CSVVal
)),"")</f>
        <v/>
      </c>
      <c r="I29" s="2" t="str">
        <f>_xlfn.XLOOKUP(A29,Output_Mac!A:A,Output_Mac!I:I,"")</f>
        <v/>
      </c>
      <c r="J29" s="2" t="str" cm="1">
        <f t="array" ref="J29">IFERROR(_xlfn.LET(
_xlpm.CSVVal,_xlfn.XLOOKUP($A29,CSV!$A:$A,CSV!I:I,""),
_xlpm.MacVal,_xlfn.XLOOKUP($A29,Output_Mac!$A:$A,Output_Mac!J:J,""),
_xlpm.MyAuditVal,_xlfn.XLOOKUP($A29,My_Audit!$A:$A,My_Audit!I:I,""),
_xlfn.IFS(_xlpm.MyAuditVal&lt;&gt;"",UPPER(_xlpm.MyAuditVal),_xlpm.MacVal&lt;&gt;"",_xlpm.MacVal,_xlpm.CSVVal&lt;&gt;"",_xlpm.CSVVal
)),"")</f>
        <v/>
      </c>
      <c r="K29" s="2" t="str" cm="1">
        <f t="array" ref="K29">IFERROR(_xlfn.LET(
_xlpm.CSVVal,_xlfn.XLOOKUP($A29,CSV!$A:$A,CSV!K:K,""),
_xlpm.MacVal,_xlfn.XLOOKUP($A29,Output_Mac!$A:$A,Output_Mac!K:K,""),
_xlpm.MyAuditVal,_xlfn.XLOOKUP($A29,My_Audit!$A:$A,My_Audit!J:J,""),
_xlfn.IFS(_xlpm.MyAuditVal&lt;&gt;"",UPPER(_xlpm.MyAuditVal),_xlpm.MacVal&lt;&gt;"",_xlpm.MacVal,_xlpm.CSVVal&lt;&gt;"",_xlpm.CSVVal
)),"")</f>
        <v/>
      </c>
      <c r="L29" s="2" t="str" cm="1">
        <f t="array" ref="L29">IFERROR(_xlfn.LET(
_xlpm.CSVVal,_xlfn.XLOOKUP($A29,CSV!$A:$A,CSV!P:P,""),
_xlpm.MacVal,_xlfn.XLOOKUP($A29,Output_Mac!$A:$A,Output_Mac!L:L,""),
_xlpm.MyAuditVal,_xlfn.XLOOKUP($A29,My_Audit!$A:$A,My_Audit!K:K,""),
_xlfn.IFS(_xlpm.MyAuditVal&lt;&gt;"",UPPER(_xlpm.MyAuditVal),_xlpm.MacVal&lt;&gt;"",_xlpm.MacVal,_xlpm.CSVVal&lt;&gt;"",_xlpm.CSVVal
)),"")</f>
        <v/>
      </c>
      <c r="M29" s="2" t="str" cm="1">
        <f t="array" ref="M29">IFERROR(_xlfn.LET(
_xlpm.CSVVal,_xlfn.XLOOKUP($A29,CSV!$A:$A,CSV!Q:Q,""),
_xlpm.MacVal,_xlfn.XLOOKUP($A29,Output_Mac!$A:$A,Output_Mac!M:M,""),
_xlpm.MyAuditVal,_xlfn.XLOOKUP($A29,My_Audit!$A:$A,My_Audit!L:L,""),
_xlfn.IFS(_xlpm.MyAuditVal&lt;&gt;"",UPPER(_xlpm.MyAuditVal),_xlpm.MacVal&lt;&gt;"",_xlpm.MacVal,_xlpm.CSVVal&lt;&gt;"",_xlpm.CSVVal
)),"")</f>
        <v/>
      </c>
      <c r="O29" s="2" t="str">
        <f>_xlfn.LET(
    _xlpm.CSVVal, _xlfn.XLOOKUP($A29, CSV!$A:$A, CSV!AC:AC, ""),
    _xlpm.MacVal, _xlfn.XLOOKUP($A29, Output_Mac!$A:$A, Output_Mac!S:S, ""),
    _xlpm.MyAuditVal, _xlfn.XLOOKUP($A29, My_Audit!$A:$A, My_Audit!P:P, ""),
    _xlfn.TEXTJOIN(", ", TRUE, _xlpm.MyAuditVal, _xlpm.MacVal, _xlpm.CSVVal)
)</f>
        <v/>
      </c>
      <c r="P29" s="2" t="str" cm="1">
        <f t="array" ref="P29">IFERROR(_xlfn.LET(
_xlpm.CSVVal,_xlfn.XLOOKUP($A29,CSV!$A:$A,CSV!AD:AD,""),
_xlpm.MacVal,_xlfn.XLOOKUP($A29,Output_Mac!$A:$A,Output_Mac!T:T,""),
_xlpm.MyAuditVal,_xlfn.XLOOKUP($A29,My_Audit!$A:$A,My_Audit!Q:Q,""),
_xlfn.IFS(_xlpm.MyAuditVal&lt;&gt;"",UPPER(_xlpm.MyAuditVal),_xlpm.MacVal&lt;&gt;"",_xlpm.MacVal,_xlpm.CSVVal&lt;&gt;"",_xlpm.CSVVal
)),"No")</f>
        <v>No</v>
      </c>
      <c r="Q29" s="2" t="str" cm="1">
        <f t="array" ref="Q29">IFERROR(_xlfn.LET(
_xlpm.CSVVal,_xlfn.XLOOKUP($A29,CSV!$A:$A,CSV!AE:AE,""),
_xlpm.MacVal,_xlfn.XLOOKUP($A29,Output_Mac!$A:$A,Output_Mac!U:U,""),
_xlpm.MyAuditVal,_xlfn.XLOOKUP($A29,My_Audit!$A:$A,My_Audit!R:R,""),
_xlfn.IFS(_xlpm.MyAuditVal&lt;&gt;"",UPPER(_xlpm.MyAuditVal),_xlpm.MacVal&lt;&gt;"",_xlpm.MacVal,_xlpm.CSVVal&lt;&gt;"",_xlpm.CSVVal
)),"")</f>
        <v/>
      </c>
      <c r="X29" t="str">
        <f>_xlfn.LET(
    _xlpm.MacVal, _xlfn.XLOOKUP($A29, Output_Mac!$A:$A, Output_Mac!AB:AB, ""),
    _xlpm.MyAuditVal, _xlfn.XLOOKUP($A29, My_Audit!$A:$A, My_Audit!N:N, ""),
    _xlfn.TEXTJOIN(", ", TRUE, _xlpm.MyAuditVal, _xlpm.MacVal)
)</f>
        <v/>
      </c>
    </row>
    <row r="30" spans="1:24">
      <c r="A30" s="2" t="str">
        <f>_xlfn.TEXTJOIN("",TRUE,Input!$B$2,ROW(My_Audit!A29))</f>
        <v>X29</v>
      </c>
      <c r="B30" s="2" t="str">
        <f>_xlfn.TEXTJOIN("-",TRUE,"ITD",Input!$A$2,A30)</f>
        <v>ITD-SHR-X29</v>
      </c>
      <c r="C30" s="2" t="str" cm="1">
        <f t="array" ref="C30">IFERROR(_xlfn.LET(
_xlpm.CSVVal,_xlfn.XLOOKUP($A30,CSV!$A:$A,CSV!B:B,""),
_xlpm.MacVal,_xlfn.XLOOKUP($A30,Output_Mac!$A:$A,Output_Mac!B:B,""),
_xlpm.MyAuditVal,_xlfn.XLOOKUP($A30,My_Audit!$A:$A,My_Audit!B:B,""),
_xlfn.IFS(_xlpm.MyAuditVal&lt;&gt;"",UPPER(_xlpm.MyAuditVal),_xlpm.MacVal&lt;&gt;"",_xlpm.MacVal,_xlpm.CSVVal&lt;&gt;"",_xlpm.CSVVal
)),"")</f>
        <v/>
      </c>
      <c r="D30" s="2" t="str" cm="1">
        <f t="array" ref="D30">IFERROR(_xlfn.LET(
_xlpm.CSVVal,_xlfn.XLOOKUP($A30,CSV!$A:$A,CSV!D:D,""),
_xlpm.MacVal,_xlfn.XLOOKUP($A30,Output_Mac!$A:$A,Output_Mac!C:C,""),
_xlpm.MyAuditVal,_xlfn.XLOOKUP($A30,My_Audit!$A:$A,My_Audit!C:C,""),
_xlfn.IFS(_xlpm.MyAuditVal&lt;&gt;"",_xlpm.MyAuditVal,_xlpm.MacVal&lt;&gt;"",_xlpm.MacVal,_xlpm.CSVVal&lt;&gt;"",_xlpm.CSVVal
)),"")</f>
        <v/>
      </c>
      <c r="E30" s="2" t="str">
        <f>_xlfn.XLOOKUP(A30,My_Audit!A:A,My_Audit!D:D,"")&amp;""</f>
        <v/>
      </c>
      <c r="F30" s="2" t="str" cm="1">
        <f t="array" ref="F30">IFERROR(_xlfn.LET(
_xlpm.CSVVal,_xlfn.XLOOKUP($A30,CSV!$A:$A,CSV!F:F,""),
_xlpm.MacVal,_xlfn.XLOOKUP($A30,Output_Mac!$A:$A,Output_Mac!E:E,""),
_xlpm.MyAuditVal,_xlfn.XLOOKUP($A30,My_Audit!$A:$A,My_Audit!E:E,""),
_xlfn.IFS(_xlpm.MyAuditVal&lt;&gt;"",_xlpm.MyAuditVal,_xlpm.MacVal&lt;&gt;"",_xlpm.MacVal,_xlpm.CSVVal&lt;&gt;"",_xlpm.CSVVal
)),"")</f>
        <v/>
      </c>
      <c r="G30" s="2" t="str" cm="1">
        <f t="array" ref="G30">IFERROR(_xlfn.LET(
_xlpm.CSVVal,_xlfn.XLOOKUP($A30,CSV!$A:$A,CSV!G:G,""),
_xlpm.MacVal,_xlfn.XLOOKUP($A30,Output_Mac!$A:$A,Output_Mac!F:F,""),
_xlpm.MyAuditVal,_xlfn.XLOOKUP($A30,My_Audit!$A:$A,My_Audit!F:F,""),
_xlfn.IFS(_xlpm.MyAuditVal&lt;&gt;"",_xlpm.MyAuditVal,_xlpm.MacVal&lt;&gt;"",_xlpm.MacVal,_xlpm.CSVVal&lt;&gt;"",PROPER(_xlpm.CSVVal)
)),"")</f>
        <v/>
      </c>
      <c r="H30" s="2" t="str" cm="1">
        <f t="array" ref="H30">IFERROR(_xlfn.LET(
_xlpm.CSVVal,_xlfn.XLOOKUP($A30,CSV!$A:$A,CSV!H:H,""),
_xlpm.MacVal,_xlfn.XLOOKUP($A30,Output_Mac!$A:$A,Output_Mac!H:H,""),
_xlpm.MyAuditVal,_xlfn.XLOOKUP($A30,My_Audit!$A:$A,My_Audit!G:G,""),
_xlfn.IFS(_xlpm.MyAuditVal&lt;&gt;"",_xlpm.MyAuditVal,_xlpm.MacVal&lt;&gt;"",_xlpm.MacVal,_xlpm.CSVVal&lt;&gt;"",_xlpm.CSVVal
)),"")</f>
        <v/>
      </c>
      <c r="I30" s="2" t="str">
        <f>_xlfn.XLOOKUP(A30,Output_Mac!A:A,Output_Mac!I:I,"")</f>
        <v/>
      </c>
      <c r="J30" s="2" t="str" cm="1">
        <f t="array" ref="J30">IFERROR(_xlfn.LET(
_xlpm.CSVVal,_xlfn.XLOOKUP($A30,CSV!$A:$A,CSV!I:I,""),
_xlpm.MacVal,_xlfn.XLOOKUP($A30,Output_Mac!$A:$A,Output_Mac!J:J,""),
_xlpm.MyAuditVal,_xlfn.XLOOKUP($A30,My_Audit!$A:$A,My_Audit!I:I,""),
_xlfn.IFS(_xlpm.MyAuditVal&lt;&gt;"",UPPER(_xlpm.MyAuditVal),_xlpm.MacVal&lt;&gt;"",_xlpm.MacVal,_xlpm.CSVVal&lt;&gt;"",_xlpm.CSVVal
)),"")</f>
        <v/>
      </c>
      <c r="K30" s="2" t="str" cm="1">
        <f t="array" ref="K30">IFERROR(_xlfn.LET(
_xlpm.CSVVal,_xlfn.XLOOKUP($A30,CSV!$A:$A,CSV!K:K,""),
_xlpm.MacVal,_xlfn.XLOOKUP($A30,Output_Mac!$A:$A,Output_Mac!K:K,""),
_xlpm.MyAuditVal,_xlfn.XLOOKUP($A30,My_Audit!$A:$A,My_Audit!J:J,""),
_xlfn.IFS(_xlpm.MyAuditVal&lt;&gt;"",UPPER(_xlpm.MyAuditVal),_xlpm.MacVal&lt;&gt;"",_xlpm.MacVal,_xlpm.CSVVal&lt;&gt;"",_xlpm.CSVVal
)),"")</f>
        <v/>
      </c>
      <c r="L30" s="2" t="str" cm="1">
        <f t="array" ref="L30">IFERROR(_xlfn.LET(
_xlpm.CSVVal,_xlfn.XLOOKUP($A30,CSV!$A:$A,CSV!P:P,""),
_xlpm.MacVal,_xlfn.XLOOKUP($A30,Output_Mac!$A:$A,Output_Mac!L:L,""),
_xlpm.MyAuditVal,_xlfn.XLOOKUP($A30,My_Audit!$A:$A,My_Audit!K:K,""),
_xlfn.IFS(_xlpm.MyAuditVal&lt;&gt;"",UPPER(_xlpm.MyAuditVal),_xlpm.MacVal&lt;&gt;"",_xlpm.MacVal,_xlpm.CSVVal&lt;&gt;"",_xlpm.CSVVal
)),"")</f>
        <v/>
      </c>
      <c r="M30" s="2" t="str" cm="1">
        <f t="array" ref="M30">IFERROR(_xlfn.LET(
_xlpm.CSVVal,_xlfn.XLOOKUP($A30,CSV!$A:$A,CSV!Q:Q,""),
_xlpm.MacVal,_xlfn.XLOOKUP($A30,Output_Mac!$A:$A,Output_Mac!M:M,""),
_xlpm.MyAuditVal,_xlfn.XLOOKUP($A30,My_Audit!$A:$A,My_Audit!L:L,""),
_xlfn.IFS(_xlpm.MyAuditVal&lt;&gt;"",UPPER(_xlpm.MyAuditVal),_xlpm.MacVal&lt;&gt;"",_xlpm.MacVal,_xlpm.CSVVal&lt;&gt;"",_xlpm.CSVVal
)),"")</f>
        <v/>
      </c>
      <c r="O30" s="2" t="str">
        <f>_xlfn.LET(
    _xlpm.CSVVal, _xlfn.XLOOKUP($A30, CSV!$A:$A, CSV!AC:AC, ""),
    _xlpm.MacVal, _xlfn.XLOOKUP($A30, Output_Mac!$A:$A, Output_Mac!S:S, ""),
    _xlpm.MyAuditVal, _xlfn.XLOOKUP($A30, My_Audit!$A:$A, My_Audit!P:P, ""),
    _xlfn.TEXTJOIN(", ", TRUE, _xlpm.MyAuditVal, _xlpm.MacVal, _xlpm.CSVVal)
)</f>
        <v/>
      </c>
      <c r="P30" s="2" t="str" cm="1">
        <f t="array" ref="P30">IFERROR(_xlfn.LET(
_xlpm.CSVVal,_xlfn.XLOOKUP($A30,CSV!$A:$A,CSV!AD:AD,""),
_xlpm.MacVal,_xlfn.XLOOKUP($A30,Output_Mac!$A:$A,Output_Mac!T:T,""),
_xlpm.MyAuditVal,_xlfn.XLOOKUP($A30,My_Audit!$A:$A,My_Audit!Q:Q,""),
_xlfn.IFS(_xlpm.MyAuditVal&lt;&gt;"",UPPER(_xlpm.MyAuditVal),_xlpm.MacVal&lt;&gt;"",_xlpm.MacVal,_xlpm.CSVVal&lt;&gt;"",_xlpm.CSVVal
)),"No")</f>
        <v>No</v>
      </c>
      <c r="Q30" s="2" t="str" cm="1">
        <f t="array" ref="Q30">IFERROR(_xlfn.LET(
_xlpm.CSVVal,_xlfn.XLOOKUP($A30,CSV!$A:$A,CSV!AE:AE,""),
_xlpm.MacVal,_xlfn.XLOOKUP($A30,Output_Mac!$A:$A,Output_Mac!U:U,""),
_xlpm.MyAuditVal,_xlfn.XLOOKUP($A30,My_Audit!$A:$A,My_Audit!R:R,""),
_xlfn.IFS(_xlpm.MyAuditVal&lt;&gt;"",UPPER(_xlpm.MyAuditVal),_xlpm.MacVal&lt;&gt;"",_xlpm.MacVal,_xlpm.CSVVal&lt;&gt;"",_xlpm.CSVVal
)),"")</f>
        <v/>
      </c>
      <c r="X30" t="str">
        <f>_xlfn.LET(
    _xlpm.MacVal, _xlfn.XLOOKUP($A30, Output_Mac!$A:$A, Output_Mac!AB:AB, ""),
    _xlpm.MyAuditVal, _xlfn.XLOOKUP($A30, My_Audit!$A:$A, My_Audit!N:N, ""),
    _xlfn.TEXTJOIN(", ", TRUE, _xlpm.MyAuditVal, _xlpm.MacVal)
)</f>
        <v/>
      </c>
    </row>
    <row r="31" spans="1:24">
      <c r="A31" s="2" t="str">
        <f>_xlfn.TEXTJOIN("",TRUE,Input!$B$2,ROW(My_Audit!A30))</f>
        <v>X30</v>
      </c>
      <c r="B31" s="2" t="str">
        <f>_xlfn.TEXTJOIN("-",TRUE,"ITD",Input!$A$2,A31)</f>
        <v>ITD-SHR-X30</v>
      </c>
      <c r="C31" s="2" t="str" cm="1">
        <f t="array" ref="C31">IFERROR(_xlfn.LET(
_xlpm.CSVVal,_xlfn.XLOOKUP($A31,CSV!$A:$A,CSV!B:B,""),
_xlpm.MacVal,_xlfn.XLOOKUP($A31,Output_Mac!$A:$A,Output_Mac!B:B,""),
_xlpm.MyAuditVal,_xlfn.XLOOKUP($A31,My_Audit!$A:$A,My_Audit!B:B,""),
_xlfn.IFS(_xlpm.MyAuditVal&lt;&gt;"",UPPER(_xlpm.MyAuditVal),_xlpm.MacVal&lt;&gt;"",_xlpm.MacVal,_xlpm.CSVVal&lt;&gt;"",_xlpm.CSVVal
)),"")</f>
        <v/>
      </c>
      <c r="D31" s="2" t="str" cm="1">
        <f t="array" ref="D31">IFERROR(_xlfn.LET(
_xlpm.CSVVal,_xlfn.XLOOKUP($A31,CSV!$A:$A,CSV!D:D,""),
_xlpm.MacVal,_xlfn.XLOOKUP($A31,Output_Mac!$A:$A,Output_Mac!C:C,""),
_xlpm.MyAuditVal,_xlfn.XLOOKUP($A31,My_Audit!$A:$A,My_Audit!C:C,""),
_xlfn.IFS(_xlpm.MyAuditVal&lt;&gt;"",_xlpm.MyAuditVal,_xlpm.MacVal&lt;&gt;"",_xlpm.MacVal,_xlpm.CSVVal&lt;&gt;"",_xlpm.CSVVal
)),"")</f>
        <v/>
      </c>
      <c r="E31" s="2" t="str">
        <f>_xlfn.XLOOKUP(A31,My_Audit!A:A,My_Audit!D:D,"")&amp;""</f>
        <v/>
      </c>
      <c r="F31" s="2" t="str" cm="1">
        <f t="array" ref="F31">IFERROR(_xlfn.LET(
_xlpm.CSVVal,_xlfn.XLOOKUP($A31,CSV!$A:$A,CSV!F:F,""),
_xlpm.MacVal,_xlfn.XLOOKUP($A31,Output_Mac!$A:$A,Output_Mac!E:E,""),
_xlpm.MyAuditVal,_xlfn.XLOOKUP($A31,My_Audit!$A:$A,My_Audit!E:E,""),
_xlfn.IFS(_xlpm.MyAuditVal&lt;&gt;"",_xlpm.MyAuditVal,_xlpm.MacVal&lt;&gt;"",_xlpm.MacVal,_xlpm.CSVVal&lt;&gt;"",_xlpm.CSVVal
)),"")</f>
        <v/>
      </c>
      <c r="G31" s="2" t="str" cm="1">
        <f t="array" ref="G31">IFERROR(_xlfn.LET(
_xlpm.CSVVal,_xlfn.XLOOKUP($A31,CSV!$A:$A,CSV!G:G,""),
_xlpm.MacVal,_xlfn.XLOOKUP($A31,Output_Mac!$A:$A,Output_Mac!F:F,""),
_xlpm.MyAuditVal,_xlfn.XLOOKUP($A31,My_Audit!$A:$A,My_Audit!F:F,""),
_xlfn.IFS(_xlpm.MyAuditVal&lt;&gt;"",_xlpm.MyAuditVal,_xlpm.MacVal&lt;&gt;"",_xlpm.MacVal,_xlpm.CSVVal&lt;&gt;"",PROPER(_xlpm.CSVVal)
)),"")</f>
        <v/>
      </c>
      <c r="H31" s="2" t="str" cm="1">
        <f t="array" ref="H31">IFERROR(_xlfn.LET(
_xlpm.CSVVal,_xlfn.XLOOKUP($A31,CSV!$A:$A,CSV!H:H,""),
_xlpm.MacVal,_xlfn.XLOOKUP($A31,Output_Mac!$A:$A,Output_Mac!H:H,""),
_xlpm.MyAuditVal,_xlfn.XLOOKUP($A31,My_Audit!$A:$A,My_Audit!G:G,""),
_xlfn.IFS(_xlpm.MyAuditVal&lt;&gt;"",_xlpm.MyAuditVal,_xlpm.MacVal&lt;&gt;"",_xlpm.MacVal,_xlpm.CSVVal&lt;&gt;"",_xlpm.CSVVal
)),"")</f>
        <v/>
      </c>
      <c r="I31" s="2" t="str">
        <f>_xlfn.XLOOKUP(A31,Output_Mac!A:A,Output_Mac!I:I,"")</f>
        <v/>
      </c>
      <c r="J31" s="2" t="str" cm="1">
        <f t="array" ref="J31">IFERROR(_xlfn.LET(
_xlpm.CSVVal,_xlfn.XLOOKUP($A31,CSV!$A:$A,CSV!I:I,""),
_xlpm.MacVal,_xlfn.XLOOKUP($A31,Output_Mac!$A:$A,Output_Mac!J:J,""),
_xlpm.MyAuditVal,_xlfn.XLOOKUP($A31,My_Audit!$A:$A,My_Audit!I:I,""),
_xlfn.IFS(_xlpm.MyAuditVal&lt;&gt;"",UPPER(_xlpm.MyAuditVal),_xlpm.MacVal&lt;&gt;"",_xlpm.MacVal,_xlpm.CSVVal&lt;&gt;"",_xlpm.CSVVal
)),"")</f>
        <v/>
      </c>
      <c r="K31" s="2" t="str" cm="1">
        <f t="array" ref="K31">IFERROR(_xlfn.LET(
_xlpm.CSVVal,_xlfn.XLOOKUP($A31,CSV!$A:$A,CSV!K:K,""),
_xlpm.MacVal,_xlfn.XLOOKUP($A31,Output_Mac!$A:$A,Output_Mac!K:K,""),
_xlpm.MyAuditVal,_xlfn.XLOOKUP($A31,My_Audit!$A:$A,My_Audit!J:J,""),
_xlfn.IFS(_xlpm.MyAuditVal&lt;&gt;"",UPPER(_xlpm.MyAuditVal),_xlpm.MacVal&lt;&gt;"",_xlpm.MacVal,_xlpm.CSVVal&lt;&gt;"",_xlpm.CSVVal
)),"")</f>
        <v/>
      </c>
      <c r="L31" s="2" t="str" cm="1">
        <f t="array" ref="L31">IFERROR(_xlfn.LET(
_xlpm.CSVVal,_xlfn.XLOOKUP($A31,CSV!$A:$A,CSV!P:P,""),
_xlpm.MacVal,_xlfn.XLOOKUP($A31,Output_Mac!$A:$A,Output_Mac!L:L,""),
_xlpm.MyAuditVal,_xlfn.XLOOKUP($A31,My_Audit!$A:$A,My_Audit!K:K,""),
_xlfn.IFS(_xlpm.MyAuditVal&lt;&gt;"",UPPER(_xlpm.MyAuditVal),_xlpm.MacVal&lt;&gt;"",_xlpm.MacVal,_xlpm.CSVVal&lt;&gt;"",_xlpm.CSVVal
)),"")</f>
        <v/>
      </c>
      <c r="M31" s="2" t="str" cm="1">
        <f t="array" ref="M31">IFERROR(_xlfn.LET(
_xlpm.CSVVal,_xlfn.XLOOKUP($A31,CSV!$A:$A,CSV!Q:Q,""),
_xlpm.MacVal,_xlfn.XLOOKUP($A31,Output_Mac!$A:$A,Output_Mac!M:M,""),
_xlpm.MyAuditVal,_xlfn.XLOOKUP($A31,My_Audit!$A:$A,My_Audit!L:L,""),
_xlfn.IFS(_xlpm.MyAuditVal&lt;&gt;"",UPPER(_xlpm.MyAuditVal),_xlpm.MacVal&lt;&gt;"",_xlpm.MacVal,_xlpm.CSVVal&lt;&gt;"",_xlpm.CSVVal
)),"")</f>
        <v/>
      </c>
      <c r="O31" s="2" t="str">
        <f>_xlfn.LET(
    _xlpm.CSVVal, _xlfn.XLOOKUP($A31, CSV!$A:$A, CSV!AC:AC, ""),
    _xlpm.MacVal, _xlfn.XLOOKUP($A31, Output_Mac!$A:$A, Output_Mac!S:S, ""),
    _xlpm.MyAuditVal, _xlfn.XLOOKUP($A31, My_Audit!$A:$A, My_Audit!P:P, ""),
    _xlfn.TEXTJOIN(", ", TRUE, _xlpm.MyAuditVal, _xlpm.MacVal, _xlpm.CSVVal)
)</f>
        <v/>
      </c>
      <c r="P31" s="2" t="str" cm="1">
        <f t="array" ref="P31">IFERROR(_xlfn.LET(
_xlpm.CSVVal,_xlfn.XLOOKUP($A31,CSV!$A:$A,CSV!AD:AD,""),
_xlpm.MacVal,_xlfn.XLOOKUP($A31,Output_Mac!$A:$A,Output_Mac!T:T,""),
_xlpm.MyAuditVal,_xlfn.XLOOKUP($A31,My_Audit!$A:$A,My_Audit!Q:Q,""),
_xlfn.IFS(_xlpm.MyAuditVal&lt;&gt;"",UPPER(_xlpm.MyAuditVal),_xlpm.MacVal&lt;&gt;"",_xlpm.MacVal,_xlpm.CSVVal&lt;&gt;"",_xlpm.CSVVal
)),"No")</f>
        <v>No</v>
      </c>
      <c r="Q31" s="2" t="str" cm="1">
        <f t="array" ref="Q31">IFERROR(_xlfn.LET(
_xlpm.CSVVal,_xlfn.XLOOKUP($A31,CSV!$A:$A,CSV!AE:AE,""),
_xlpm.MacVal,_xlfn.XLOOKUP($A31,Output_Mac!$A:$A,Output_Mac!U:U,""),
_xlpm.MyAuditVal,_xlfn.XLOOKUP($A31,My_Audit!$A:$A,My_Audit!R:R,""),
_xlfn.IFS(_xlpm.MyAuditVal&lt;&gt;"",UPPER(_xlpm.MyAuditVal),_xlpm.MacVal&lt;&gt;"",_xlpm.MacVal,_xlpm.CSVVal&lt;&gt;"",_xlpm.CSVVal
)),"")</f>
        <v/>
      </c>
      <c r="X31" t="str">
        <f>_xlfn.LET(
    _xlpm.MacVal, _xlfn.XLOOKUP($A31, Output_Mac!$A:$A, Output_Mac!AB:AB, ""),
    _xlpm.MyAuditVal, _xlfn.XLOOKUP($A31, My_Audit!$A:$A, My_Audit!N:N, ""),
    _xlfn.TEXTJOIN(", ", TRUE, _xlpm.MyAuditVal, _xlpm.MacVal)
)</f>
        <v/>
      </c>
    </row>
    <row r="32" spans="1:24">
      <c r="A32" s="2" t="str">
        <f>_xlfn.TEXTJOIN("",TRUE,Input!$B$2,ROW(My_Audit!A31))</f>
        <v>X31</v>
      </c>
      <c r="B32" s="2" t="str">
        <f>_xlfn.TEXTJOIN("-",TRUE,"ITD",Input!$A$2,A32)</f>
        <v>ITD-SHR-X31</v>
      </c>
      <c r="C32" s="2" t="str" cm="1">
        <f t="array" ref="C32">IFERROR(_xlfn.LET(
_xlpm.CSVVal,_xlfn.XLOOKUP($A32,CSV!$A:$A,CSV!B:B,""),
_xlpm.MacVal,_xlfn.XLOOKUP($A32,Output_Mac!$A:$A,Output_Mac!B:B,""),
_xlpm.MyAuditVal,_xlfn.XLOOKUP($A32,My_Audit!$A:$A,My_Audit!B:B,""),
_xlfn.IFS(_xlpm.MyAuditVal&lt;&gt;"",UPPER(_xlpm.MyAuditVal),_xlpm.MacVal&lt;&gt;"",_xlpm.MacVal,_xlpm.CSVVal&lt;&gt;"",_xlpm.CSVVal
)),"")</f>
        <v/>
      </c>
      <c r="D32" s="2" t="str" cm="1">
        <f t="array" ref="D32">IFERROR(_xlfn.LET(
_xlpm.CSVVal,_xlfn.XLOOKUP($A32,CSV!$A:$A,CSV!D:D,""),
_xlpm.MacVal,_xlfn.XLOOKUP($A32,Output_Mac!$A:$A,Output_Mac!C:C,""),
_xlpm.MyAuditVal,_xlfn.XLOOKUP($A32,My_Audit!$A:$A,My_Audit!C:C,""),
_xlfn.IFS(_xlpm.MyAuditVal&lt;&gt;"",_xlpm.MyAuditVal,_xlpm.MacVal&lt;&gt;"",_xlpm.MacVal,_xlpm.CSVVal&lt;&gt;"",_xlpm.CSVVal
)),"")</f>
        <v/>
      </c>
      <c r="E32" s="2" t="str">
        <f>_xlfn.XLOOKUP(A32,My_Audit!A:A,My_Audit!D:D,"")&amp;""</f>
        <v/>
      </c>
      <c r="F32" s="2" t="str" cm="1">
        <f t="array" ref="F32">IFERROR(_xlfn.LET(
_xlpm.CSVVal,_xlfn.XLOOKUP($A32,CSV!$A:$A,CSV!F:F,""),
_xlpm.MacVal,_xlfn.XLOOKUP($A32,Output_Mac!$A:$A,Output_Mac!E:E,""),
_xlpm.MyAuditVal,_xlfn.XLOOKUP($A32,My_Audit!$A:$A,My_Audit!E:E,""),
_xlfn.IFS(_xlpm.MyAuditVal&lt;&gt;"",_xlpm.MyAuditVal,_xlpm.MacVal&lt;&gt;"",_xlpm.MacVal,_xlpm.CSVVal&lt;&gt;"",_xlpm.CSVVal
)),"")</f>
        <v/>
      </c>
      <c r="G32" s="2" t="str" cm="1">
        <f t="array" ref="G32">IFERROR(_xlfn.LET(
_xlpm.CSVVal,_xlfn.XLOOKUP($A32,CSV!$A:$A,CSV!G:G,""),
_xlpm.MacVal,_xlfn.XLOOKUP($A32,Output_Mac!$A:$A,Output_Mac!F:F,""),
_xlpm.MyAuditVal,_xlfn.XLOOKUP($A32,My_Audit!$A:$A,My_Audit!F:F,""),
_xlfn.IFS(_xlpm.MyAuditVal&lt;&gt;"",_xlpm.MyAuditVal,_xlpm.MacVal&lt;&gt;"",_xlpm.MacVal,_xlpm.CSVVal&lt;&gt;"",PROPER(_xlpm.CSVVal)
)),"")</f>
        <v/>
      </c>
      <c r="H32" s="2" t="str" cm="1">
        <f t="array" ref="H32">IFERROR(_xlfn.LET(
_xlpm.CSVVal,_xlfn.XLOOKUP($A32,CSV!$A:$A,CSV!H:H,""),
_xlpm.MacVal,_xlfn.XLOOKUP($A32,Output_Mac!$A:$A,Output_Mac!H:H,""),
_xlpm.MyAuditVal,_xlfn.XLOOKUP($A32,My_Audit!$A:$A,My_Audit!G:G,""),
_xlfn.IFS(_xlpm.MyAuditVal&lt;&gt;"",_xlpm.MyAuditVal,_xlpm.MacVal&lt;&gt;"",_xlpm.MacVal,_xlpm.CSVVal&lt;&gt;"",_xlpm.CSVVal
)),"")</f>
        <v/>
      </c>
      <c r="I32" s="2" t="str">
        <f>_xlfn.XLOOKUP(A32,Output_Mac!A:A,Output_Mac!I:I,"")</f>
        <v/>
      </c>
      <c r="J32" s="2" t="str" cm="1">
        <f t="array" ref="J32">IFERROR(_xlfn.LET(
_xlpm.CSVVal,_xlfn.XLOOKUP($A32,CSV!$A:$A,CSV!I:I,""),
_xlpm.MacVal,_xlfn.XLOOKUP($A32,Output_Mac!$A:$A,Output_Mac!J:J,""),
_xlpm.MyAuditVal,_xlfn.XLOOKUP($A32,My_Audit!$A:$A,My_Audit!I:I,""),
_xlfn.IFS(_xlpm.MyAuditVal&lt;&gt;"",UPPER(_xlpm.MyAuditVal),_xlpm.MacVal&lt;&gt;"",_xlpm.MacVal,_xlpm.CSVVal&lt;&gt;"",_xlpm.CSVVal
)),"")</f>
        <v/>
      </c>
      <c r="K32" s="2" t="str" cm="1">
        <f t="array" ref="K32">IFERROR(_xlfn.LET(
_xlpm.CSVVal,_xlfn.XLOOKUP($A32,CSV!$A:$A,CSV!K:K,""),
_xlpm.MacVal,_xlfn.XLOOKUP($A32,Output_Mac!$A:$A,Output_Mac!K:K,""),
_xlpm.MyAuditVal,_xlfn.XLOOKUP($A32,My_Audit!$A:$A,My_Audit!J:J,""),
_xlfn.IFS(_xlpm.MyAuditVal&lt;&gt;"",UPPER(_xlpm.MyAuditVal),_xlpm.MacVal&lt;&gt;"",_xlpm.MacVal,_xlpm.CSVVal&lt;&gt;"",_xlpm.CSVVal
)),"")</f>
        <v/>
      </c>
      <c r="L32" s="2" t="str" cm="1">
        <f t="array" ref="L32">IFERROR(_xlfn.LET(
_xlpm.CSVVal,_xlfn.XLOOKUP($A32,CSV!$A:$A,CSV!P:P,""),
_xlpm.MacVal,_xlfn.XLOOKUP($A32,Output_Mac!$A:$A,Output_Mac!L:L,""),
_xlpm.MyAuditVal,_xlfn.XLOOKUP($A32,My_Audit!$A:$A,My_Audit!K:K,""),
_xlfn.IFS(_xlpm.MyAuditVal&lt;&gt;"",UPPER(_xlpm.MyAuditVal),_xlpm.MacVal&lt;&gt;"",_xlpm.MacVal,_xlpm.CSVVal&lt;&gt;"",_xlpm.CSVVal
)),"")</f>
        <v/>
      </c>
      <c r="M32" s="2" t="str" cm="1">
        <f t="array" ref="M32">IFERROR(_xlfn.LET(
_xlpm.CSVVal,_xlfn.XLOOKUP($A32,CSV!$A:$A,CSV!Q:Q,""),
_xlpm.MacVal,_xlfn.XLOOKUP($A32,Output_Mac!$A:$A,Output_Mac!M:M,""),
_xlpm.MyAuditVal,_xlfn.XLOOKUP($A32,My_Audit!$A:$A,My_Audit!L:L,""),
_xlfn.IFS(_xlpm.MyAuditVal&lt;&gt;"",UPPER(_xlpm.MyAuditVal),_xlpm.MacVal&lt;&gt;"",_xlpm.MacVal,_xlpm.CSVVal&lt;&gt;"",_xlpm.CSVVal
)),"")</f>
        <v/>
      </c>
      <c r="O32" s="2" t="str">
        <f>_xlfn.LET(
    _xlpm.CSVVal, _xlfn.XLOOKUP($A32, CSV!$A:$A, CSV!AC:AC, ""),
    _xlpm.MacVal, _xlfn.XLOOKUP($A32, Output_Mac!$A:$A, Output_Mac!S:S, ""),
    _xlpm.MyAuditVal, _xlfn.XLOOKUP($A32, My_Audit!$A:$A, My_Audit!P:P, ""),
    _xlfn.TEXTJOIN(", ", TRUE, _xlpm.MyAuditVal, _xlpm.MacVal, _xlpm.CSVVal)
)</f>
        <v/>
      </c>
      <c r="P32" s="2" t="str" cm="1">
        <f t="array" ref="P32">IFERROR(_xlfn.LET(
_xlpm.CSVVal,_xlfn.XLOOKUP($A32,CSV!$A:$A,CSV!AD:AD,""),
_xlpm.MacVal,_xlfn.XLOOKUP($A32,Output_Mac!$A:$A,Output_Mac!T:T,""),
_xlpm.MyAuditVal,_xlfn.XLOOKUP($A32,My_Audit!$A:$A,My_Audit!Q:Q,""),
_xlfn.IFS(_xlpm.MyAuditVal&lt;&gt;"",UPPER(_xlpm.MyAuditVal),_xlpm.MacVal&lt;&gt;"",_xlpm.MacVal,_xlpm.CSVVal&lt;&gt;"",_xlpm.CSVVal
)),"No")</f>
        <v>No</v>
      </c>
      <c r="Q32" s="2" t="str" cm="1">
        <f t="array" ref="Q32">IFERROR(_xlfn.LET(
_xlpm.CSVVal,_xlfn.XLOOKUP($A32,CSV!$A:$A,CSV!AE:AE,""),
_xlpm.MacVal,_xlfn.XLOOKUP($A32,Output_Mac!$A:$A,Output_Mac!U:U,""),
_xlpm.MyAuditVal,_xlfn.XLOOKUP($A32,My_Audit!$A:$A,My_Audit!R:R,""),
_xlfn.IFS(_xlpm.MyAuditVal&lt;&gt;"",UPPER(_xlpm.MyAuditVal),_xlpm.MacVal&lt;&gt;"",_xlpm.MacVal,_xlpm.CSVVal&lt;&gt;"",_xlpm.CSVVal
)),"")</f>
        <v/>
      </c>
      <c r="X32" t="str">
        <f>_xlfn.LET(
    _xlpm.MacVal, _xlfn.XLOOKUP($A32, Output_Mac!$A:$A, Output_Mac!AB:AB, ""),
    _xlpm.MyAuditVal, _xlfn.XLOOKUP($A32, My_Audit!$A:$A, My_Audit!N:N, ""),
    _xlfn.TEXTJOIN(", ", TRUE, _xlpm.MyAuditVal, _xlpm.MacVal)
)</f>
        <v/>
      </c>
    </row>
    <row r="33" spans="1:24">
      <c r="A33" s="2" t="str">
        <f>_xlfn.TEXTJOIN("",TRUE,Input!$B$2,ROW(My_Audit!A32))</f>
        <v>X32</v>
      </c>
      <c r="B33" s="2" t="str">
        <f>_xlfn.TEXTJOIN("-",TRUE,"ITD",Input!$A$2,A33)</f>
        <v>ITD-SHR-X32</v>
      </c>
      <c r="C33" s="2" t="str" cm="1">
        <f t="array" ref="C33">IFERROR(_xlfn.LET(
_xlpm.CSVVal,_xlfn.XLOOKUP($A33,CSV!$A:$A,CSV!B:B,""),
_xlpm.MacVal,_xlfn.XLOOKUP($A33,Output_Mac!$A:$A,Output_Mac!B:B,""),
_xlpm.MyAuditVal,_xlfn.XLOOKUP($A33,My_Audit!$A:$A,My_Audit!B:B,""),
_xlfn.IFS(_xlpm.MyAuditVal&lt;&gt;"",UPPER(_xlpm.MyAuditVal),_xlpm.MacVal&lt;&gt;"",_xlpm.MacVal,_xlpm.CSVVal&lt;&gt;"",_xlpm.CSVVal
)),"")</f>
        <v/>
      </c>
      <c r="D33" s="2" t="str" cm="1">
        <f t="array" ref="D33">IFERROR(_xlfn.LET(
_xlpm.CSVVal,_xlfn.XLOOKUP($A33,CSV!$A:$A,CSV!D:D,""),
_xlpm.MacVal,_xlfn.XLOOKUP($A33,Output_Mac!$A:$A,Output_Mac!C:C,""),
_xlpm.MyAuditVal,_xlfn.XLOOKUP($A33,My_Audit!$A:$A,My_Audit!C:C,""),
_xlfn.IFS(_xlpm.MyAuditVal&lt;&gt;"",_xlpm.MyAuditVal,_xlpm.MacVal&lt;&gt;"",_xlpm.MacVal,_xlpm.CSVVal&lt;&gt;"",_xlpm.CSVVal
)),"")</f>
        <v/>
      </c>
      <c r="E33" s="2" t="str">
        <f>_xlfn.XLOOKUP(A33,My_Audit!A:A,My_Audit!D:D,"")&amp;""</f>
        <v/>
      </c>
      <c r="F33" s="2" t="str" cm="1">
        <f t="array" ref="F33">IFERROR(_xlfn.LET(
_xlpm.CSVVal,_xlfn.XLOOKUP($A33,CSV!$A:$A,CSV!F:F,""),
_xlpm.MacVal,_xlfn.XLOOKUP($A33,Output_Mac!$A:$A,Output_Mac!E:E,""),
_xlpm.MyAuditVal,_xlfn.XLOOKUP($A33,My_Audit!$A:$A,My_Audit!E:E,""),
_xlfn.IFS(_xlpm.MyAuditVal&lt;&gt;"",_xlpm.MyAuditVal,_xlpm.MacVal&lt;&gt;"",_xlpm.MacVal,_xlpm.CSVVal&lt;&gt;"",_xlpm.CSVVal
)),"")</f>
        <v/>
      </c>
      <c r="G33" s="2" t="str" cm="1">
        <f t="array" ref="G33">IFERROR(_xlfn.LET(
_xlpm.CSVVal,_xlfn.XLOOKUP($A33,CSV!$A:$A,CSV!G:G,""),
_xlpm.MacVal,_xlfn.XLOOKUP($A33,Output_Mac!$A:$A,Output_Mac!F:F,""),
_xlpm.MyAuditVal,_xlfn.XLOOKUP($A33,My_Audit!$A:$A,My_Audit!F:F,""),
_xlfn.IFS(_xlpm.MyAuditVal&lt;&gt;"",_xlpm.MyAuditVal,_xlpm.MacVal&lt;&gt;"",_xlpm.MacVal,_xlpm.CSVVal&lt;&gt;"",PROPER(_xlpm.CSVVal)
)),"")</f>
        <v/>
      </c>
      <c r="H33" s="2" t="str" cm="1">
        <f t="array" ref="H33">IFERROR(_xlfn.LET(
_xlpm.CSVVal,_xlfn.XLOOKUP($A33,CSV!$A:$A,CSV!H:H,""),
_xlpm.MacVal,_xlfn.XLOOKUP($A33,Output_Mac!$A:$A,Output_Mac!H:H,""),
_xlpm.MyAuditVal,_xlfn.XLOOKUP($A33,My_Audit!$A:$A,My_Audit!G:G,""),
_xlfn.IFS(_xlpm.MyAuditVal&lt;&gt;"",_xlpm.MyAuditVal,_xlpm.MacVal&lt;&gt;"",_xlpm.MacVal,_xlpm.CSVVal&lt;&gt;"",_xlpm.CSVVal
)),"")</f>
        <v/>
      </c>
      <c r="I33" s="2" t="str">
        <f>_xlfn.XLOOKUP(A33,Output_Mac!A:A,Output_Mac!I:I,"")</f>
        <v/>
      </c>
      <c r="J33" s="2" t="str" cm="1">
        <f t="array" ref="J33">IFERROR(_xlfn.LET(
_xlpm.CSVVal,_xlfn.XLOOKUP($A33,CSV!$A:$A,CSV!I:I,""),
_xlpm.MacVal,_xlfn.XLOOKUP($A33,Output_Mac!$A:$A,Output_Mac!J:J,""),
_xlpm.MyAuditVal,_xlfn.XLOOKUP($A33,My_Audit!$A:$A,My_Audit!I:I,""),
_xlfn.IFS(_xlpm.MyAuditVal&lt;&gt;"",UPPER(_xlpm.MyAuditVal),_xlpm.MacVal&lt;&gt;"",_xlpm.MacVal,_xlpm.CSVVal&lt;&gt;"",_xlpm.CSVVal
)),"")</f>
        <v/>
      </c>
      <c r="K33" s="2" t="str" cm="1">
        <f t="array" ref="K33">IFERROR(_xlfn.LET(
_xlpm.CSVVal,_xlfn.XLOOKUP($A33,CSV!$A:$A,CSV!K:K,""),
_xlpm.MacVal,_xlfn.XLOOKUP($A33,Output_Mac!$A:$A,Output_Mac!K:K,""),
_xlpm.MyAuditVal,_xlfn.XLOOKUP($A33,My_Audit!$A:$A,My_Audit!J:J,""),
_xlfn.IFS(_xlpm.MyAuditVal&lt;&gt;"",UPPER(_xlpm.MyAuditVal),_xlpm.MacVal&lt;&gt;"",_xlpm.MacVal,_xlpm.CSVVal&lt;&gt;"",_xlpm.CSVVal
)),"")</f>
        <v/>
      </c>
      <c r="L33" s="2" t="str" cm="1">
        <f t="array" ref="L33">IFERROR(_xlfn.LET(
_xlpm.CSVVal,_xlfn.XLOOKUP($A33,CSV!$A:$A,CSV!P:P,""),
_xlpm.MacVal,_xlfn.XLOOKUP($A33,Output_Mac!$A:$A,Output_Mac!L:L,""),
_xlpm.MyAuditVal,_xlfn.XLOOKUP($A33,My_Audit!$A:$A,My_Audit!K:K,""),
_xlfn.IFS(_xlpm.MyAuditVal&lt;&gt;"",UPPER(_xlpm.MyAuditVal),_xlpm.MacVal&lt;&gt;"",_xlpm.MacVal,_xlpm.CSVVal&lt;&gt;"",_xlpm.CSVVal
)),"")</f>
        <v/>
      </c>
      <c r="M33" s="2" t="str" cm="1">
        <f t="array" ref="M33">IFERROR(_xlfn.LET(
_xlpm.CSVVal,_xlfn.XLOOKUP($A33,CSV!$A:$A,CSV!Q:Q,""),
_xlpm.MacVal,_xlfn.XLOOKUP($A33,Output_Mac!$A:$A,Output_Mac!M:M,""),
_xlpm.MyAuditVal,_xlfn.XLOOKUP($A33,My_Audit!$A:$A,My_Audit!L:L,""),
_xlfn.IFS(_xlpm.MyAuditVal&lt;&gt;"",UPPER(_xlpm.MyAuditVal),_xlpm.MacVal&lt;&gt;"",_xlpm.MacVal,_xlpm.CSVVal&lt;&gt;"",_xlpm.CSVVal
)),"")</f>
        <v/>
      </c>
      <c r="O33" s="2" t="str">
        <f>_xlfn.LET(
    _xlpm.CSVVal, _xlfn.XLOOKUP($A33, CSV!$A:$A, CSV!AC:AC, ""),
    _xlpm.MacVal, _xlfn.XLOOKUP($A33, Output_Mac!$A:$A, Output_Mac!S:S, ""),
    _xlpm.MyAuditVal, _xlfn.XLOOKUP($A33, My_Audit!$A:$A, My_Audit!P:P, ""),
    _xlfn.TEXTJOIN(", ", TRUE, _xlpm.MyAuditVal, _xlpm.MacVal, _xlpm.CSVVal)
)</f>
        <v/>
      </c>
      <c r="P33" s="2" t="str" cm="1">
        <f t="array" ref="P33">IFERROR(_xlfn.LET(
_xlpm.CSVVal,_xlfn.XLOOKUP($A33,CSV!$A:$A,CSV!AD:AD,""),
_xlpm.MacVal,_xlfn.XLOOKUP($A33,Output_Mac!$A:$A,Output_Mac!T:T,""),
_xlpm.MyAuditVal,_xlfn.XLOOKUP($A33,My_Audit!$A:$A,My_Audit!Q:Q,""),
_xlfn.IFS(_xlpm.MyAuditVal&lt;&gt;"",UPPER(_xlpm.MyAuditVal),_xlpm.MacVal&lt;&gt;"",_xlpm.MacVal,_xlpm.CSVVal&lt;&gt;"",_xlpm.CSVVal
)),"No")</f>
        <v>No</v>
      </c>
      <c r="Q33" s="2" t="str" cm="1">
        <f t="array" ref="Q33">IFERROR(_xlfn.LET(
_xlpm.CSVVal,_xlfn.XLOOKUP($A33,CSV!$A:$A,CSV!AE:AE,""),
_xlpm.MacVal,_xlfn.XLOOKUP($A33,Output_Mac!$A:$A,Output_Mac!U:U,""),
_xlpm.MyAuditVal,_xlfn.XLOOKUP($A33,My_Audit!$A:$A,My_Audit!R:R,""),
_xlfn.IFS(_xlpm.MyAuditVal&lt;&gt;"",UPPER(_xlpm.MyAuditVal),_xlpm.MacVal&lt;&gt;"",_xlpm.MacVal,_xlpm.CSVVal&lt;&gt;"",_xlpm.CSVVal
)),"")</f>
        <v/>
      </c>
      <c r="X33" t="str">
        <f>_xlfn.LET(
    _xlpm.MacVal, _xlfn.XLOOKUP($A33, Output_Mac!$A:$A, Output_Mac!AB:AB, ""),
    _xlpm.MyAuditVal, _xlfn.XLOOKUP($A33, My_Audit!$A:$A, My_Audit!N:N, ""),
    _xlfn.TEXTJOIN(", ", TRUE, _xlpm.MyAuditVal, _xlpm.MacVal)
)</f>
        <v/>
      </c>
    </row>
    <row r="34" spans="1:24">
      <c r="A34" s="2" t="str">
        <f>_xlfn.TEXTJOIN("",TRUE,Input!$B$2,ROW(My_Audit!A33))</f>
        <v>X33</v>
      </c>
      <c r="B34" s="2" t="str">
        <f>_xlfn.TEXTJOIN("-",TRUE,"ITD",Input!$A$2,A34)</f>
        <v>ITD-SHR-X33</v>
      </c>
      <c r="C34" s="2" t="str" cm="1">
        <f t="array" ref="C34">IFERROR(_xlfn.LET(
_xlpm.CSVVal,_xlfn.XLOOKUP($A34,CSV!$A:$A,CSV!B:B,""),
_xlpm.MacVal,_xlfn.XLOOKUP($A34,Output_Mac!$A:$A,Output_Mac!B:B,""),
_xlpm.MyAuditVal,_xlfn.XLOOKUP($A34,My_Audit!$A:$A,My_Audit!B:B,""),
_xlfn.IFS(_xlpm.MyAuditVal&lt;&gt;"",UPPER(_xlpm.MyAuditVal),_xlpm.MacVal&lt;&gt;"",_xlpm.MacVal,_xlpm.CSVVal&lt;&gt;"",_xlpm.CSVVal
)),"")</f>
        <v/>
      </c>
      <c r="D34" s="2" t="str" cm="1">
        <f t="array" ref="D34">IFERROR(_xlfn.LET(
_xlpm.CSVVal,_xlfn.XLOOKUP($A34,CSV!$A:$A,CSV!D:D,""),
_xlpm.MacVal,_xlfn.XLOOKUP($A34,Output_Mac!$A:$A,Output_Mac!C:C,""),
_xlpm.MyAuditVal,_xlfn.XLOOKUP($A34,My_Audit!$A:$A,My_Audit!C:C,""),
_xlfn.IFS(_xlpm.MyAuditVal&lt;&gt;"",_xlpm.MyAuditVal,_xlpm.MacVal&lt;&gt;"",_xlpm.MacVal,_xlpm.CSVVal&lt;&gt;"",_xlpm.CSVVal
)),"")</f>
        <v/>
      </c>
      <c r="E34" s="2" t="str">
        <f>_xlfn.XLOOKUP(A34,My_Audit!A:A,My_Audit!D:D,"")&amp;""</f>
        <v/>
      </c>
      <c r="F34" s="2" t="str" cm="1">
        <f t="array" ref="F34">IFERROR(_xlfn.LET(
_xlpm.CSVVal,_xlfn.XLOOKUP($A34,CSV!$A:$A,CSV!F:F,""),
_xlpm.MacVal,_xlfn.XLOOKUP($A34,Output_Mac!$A:$A,Output_Mac!E:E,""),
_xlpm.MyAuditVal,_xlfn.XLOOKUP($A34,My_Audit!$A:$A,My_Audit!E:E,""),
_xlfn.IFS(_xlpm.MyAuditVal&lt;&gt;"",_xlpm.MyAuditVal,_xlpm.MacVal&lt;&gt;"",_xlpm.MacVal,_xlpm.CSVVal&lt;&gt;"",_xlpm.CSVVal
)),"")</f>
        <v/>
      </c>
      <c r="G34" s="2" t="str" cm="1">
        <f t="array" ref="G34">IFERROR(_xlfn.LET(
_xlpm.CSVVal,_xlfn.XLOOKUP($A34,CSV!$A:$A,CSV!G:G,""),
_xlpm.MacVal,_xlfn.XLOOKUP($A34,Output_Mac!$A:$A,Output_Mac!F:F,""),
_xlpm.MyAuditVal,_xlfn.XLOOKUP($A34,My_Audit!$A:$A,My_Audit!F:F,""),
_xlfn.IFS(_xlpm.MyAuditVal&lt;&gt;"",_xlpm.MyAuditVal,_xlpm.MacVal&lt;&gt;"",_xlpm.MacVal,_xlpm.CSVVal&lt;&gt;"",PROPER(_xlpm.CSVVal)
)),"")</f>
        <v/>
      </c>
      <c r="H34" s="2" t="str" cm="1">
        <f t="array" ref="H34">IFERROR(_xlfn.LET(
_xlpm.CSVVal,_xlfn.XLOOKUP($A34,CSV!$A:$A,CSV!H:H,""),
_xlpm.MacVal,_xlfn.XLOOKUP($A34,Output_Mac!$A:$A,Output_Mac!H:H,""),
_xlpm.MyAuditVal,_xlfn.XLOOKUP($A34,My_Audit!$A:$A,My_Audit!G:G,""),
_xlfn.IFS(_xlpm.MyAuditVal&lt;&gt;"",_xlpm.MyAuditVal,_xlpm.MacVal&lt;&gt;"",_xlpm.MacVal,_xlpm.CSVVal&lt;&gt;"",_xlpm.CSVVal
)),"")</f>
        <v/>
      </c>
      <c r="I34" s="2" t="str">
        <f>_xlfn.XLOOKUP(A34,Output_Mac!A:A,Output_Mac!I:I,"")</f>
        <v/>
      </c>
      <c r="J34" s="2" t="str" cm="1">
        <f t="array" ref="J34">IFERROR(_xlfn.LET(
_xlpm.CSVVal,_xlfn.XLOOKUP($A34,CSV!$A:$A,CSV!I:I,""),
_xlpm.MacVal,_xlfn.XLOOKUP($A34,Output_Mac!$A:$A,Output_Mac!J:J,""),
_xlpm.MyAuditVal,_xlfn.XLOOKUP($A34,My_Audit!$A:$A,My_Audit!I:I,""),
_xlfn.IFS(_xlpm.MyAuditVal&lt;&gt;"",UPPER(_xlpm.MyAuditVal),_xlpm.MacVal&lt;&gt;"",_xlpm.MacVal,_xlpm.CSVVal&lt;&gt;"",_xlpm.CSVVal
)),"")</f>
        <v/>
      </c>
      <c r="K34" s="2" t="str" cm="1">
        <f t="array" ref="K34">IFERROR(_xlfn.LET(
_xlpm.CSVVal,_xlfn.XLOOKUP($A34,CSV!$A:$A,CSV!K:K,""),
_xlpm.MacVal,_xlfn.XLOOKUP($A34,Output_Mac!$A:$A,Output_Mac!K:K,""),
_xlpm.MyAuditVal,_xlfn.XLOOKUP($A34,My_Audit!$A:$A,My_Audit!J:J,""),
_xlfn.IFS(_xlpm.MyAuditVal&lt;&gt;"",UPPER(_xlpm.MyAuditVal),_xlpm.MacVal&lt;&gt;"",_xlpm.MacVal,_xlpm.CSVVal&lt;&gt;"",_xlpm.CSVVal
)),"")</f>
        <v/>
      </c>
      <c r="L34" s="2" t="str" cm="1">
        <f t="array" ref="L34">IFERROR(_xlfn.LET(
_xlpm.CSVVal,_xlfn.XLOOKUP($A34,CSV!$A:$A,CSV!P:P,""),
_xlpm.MacVal,_xlfn.XLOOKUP($A34,Output_Mac!$A:$A,Output_Mac!L:L,""),
_xlpm.MyAuditVal,_xlfn.XLOOKUP($A34,My_Audit!$A:$A,My_Audit!K:K,""),
_xlfn.IFS(_xlpm.MyAuditVal&lt;&gt;"",UPPER(_xlpm.MyAuditVal),_xlpm.MacVal&lt;&gt;"",_xlpm.MacVal,_xlpm.CSVVal&lt;&gt;"",_xlpm.CSVVal
)),"")</f>
        <v/>
      </c>
      <c r="M34" s="2" t="str" cm="1">
        <f t="array" ref="M34">IFERROR(_xlfn.LET(
_xlpm.CSVVal,_xlfn.XLOOKUP($A34,CSV!$A:$A,CSV!Q:Q,""),
_xlpm.MacVal,_xlfn.XLOOKUP($A34,Output_Mac!$A:$A,Output_Mac!M:M,""),
_xlpm.MyAuditVal,_xlfn.XLOOKUP($A34,My_Audit!$A:$A,My_Audit!L:L,""),
_xlfn.IFS(_xlpm.MyAuditVal&lt;&gt;"",UPPER(_xlpm.MyAuditVal),_xlpm.MacVal&lt;&gt;"",_xlpm.MacVal,_xlpm.CSVVal&lt;&gt;"",_xlpm.CSVVal
)),"")</f>
        <v/>
      </c>
      <c r="O34" s="2" t="str">
        <f>_xlfn.LET(
    _xlpm.CSVVal, _xlfn.XLOOKUP($A34, CSV!$A:$A, CSV!AC:AC, ""),
    _xlpm.MacVal, _xlfn.XLOOKUP($A34, Output_Mac!$A:$A, Output_Mac!S:S, ""),
    _xlpm.MyAuditVal, _xlfn.XLOOKUP($A34, My_Audit!$A:$A, My_Audit!P:P, ""),
    _xlfn.TEXTJOIN(", ", TRUE, _xlpm.MyAuditVal, _xlpm.MacVal, _xlpm.CSVVal)
)</f>
        <v/>
      </c>
      <c r="P34" s="2" t="str" cm="1">
        <f t="array" ref="P34">IFERROR(_xlfn.LET(
_xlpm.CSVVal,_xlfn.XLOOKUP($A34,CSV!$A:$A,CSV!AD:AD,""),
_xlpm.MacVal,_xlfn.XLOOKUP($A34,Output_Mac!$A:$A,Output_Mac!T:T,""),
_xlpm.MyAuditVal,_xlfn.XLOOKUP($A34,My_Audit!$A:$A,My_Audit!Q:Q,""),
_xlfn.IFS(_xlpm.MyAuditVal&lt;&gt;"",UPPER(_xlpm.MyAuditVal),_xlpm.MacVal&lt;&gt;"",_xlpm.MacVal,_xlpm.CSVVal&lt;&gt;"",_xlpm.CSVVal
)),"No")</f>
        <v>No</v>
      </c>
      <c r="Q34" s="2" t="str" cm="1">
        <f t="array" ref="Q34">IFERROR(_xlfn.LET(
_xlpm.CSVVal,_xlfn.XLOOKUP($A34,CSV!$A:$A,CSV!AE:AE,""),
_xlpm.MacVal,_xlfn.XLOOKUP($A34,Output_Mac!$A:$A,Output_Mac!U:U,""),
_xlpm.MyAuditVal,_xlfn.XLOOKUP($A34,My_Audit!$A:$A,My_Audit!R:R,""),
_xlfn.IFS(_xlpm.MyAuditVal&lt;&gt;"",UPPER(_xlpm.MyAuditVal),_xlpm.MacVal&lt;&gt;"",_xlpm.MacVal,_xlpm.CSVVal&lt;&gt;"",_xlpm.CSVVal
)),"")</f>
        <v/>
      </c>
      <c r="X34" t="str">
        <f>_xlfn.LET(
    _xlpm.MacVal, _xlfn.XLOOKUP($A34, Output_Mac!$A:$A, Output_Mac!AB:AB, ""),
    _xlpm.MyAuditVal, _xlfn.XLOOKUP($A34, My_Audit!$A:$A, My_Audit!N:N, ""),
    _xlfn.TEXTJOIN(", ", TRUE, _xlpm.MyAuditVal, _xlpm.MacVal)
)</f>
        <v/>
      </c>
    </row>
    <row r="35" spans="1:24">
      <c r="A35" s="2" t="str">
        <f>_xlfn.TEXTJOIN("",TRUE,Input!$B$2,ROW(My_Audit!A34))</f>
        <v>X34</v>
      </c>
      <c r="B35" s="2" t="str">
        <f>_xlfn.TEXTJOIN("-",TRUE,"ITD",Input!$A$2,A35)</f>
        <v>ITD-SHR-X34</v>
      </c>
      <c r="C35" s="2" t="str" cm="1">
        <f t="array" ref="C35">IFERROR(_xlfn.LET(
_xlpm.CSVVal,_xlfn.XLOOKUP($A35,CSV!$A:$A,CSV!B:B,""),
_xlpm.MacVal,_xlfn.XLOOKUP($A35,Output_Mac!$A:$A,Output_Mac!B:B,""),
_xlpm.MyAuditVal,_xlfn.XLOOKUP($A35,My_Audit!$A:$A,My_Audit!B:B,""),
_xlfn.IFS(_xlpm.MyAuditVal&lt;&gt;"",UPPER(_xlpm.MyAuditVal),_xlpm.MacVal&lt;&gt;"",_xlpm.MacVal,_xlpm.CSVVal&lt;&gt;"",_xlpm.CSVVal
)),"")</f>
        <v/>
      </c>
      <c r="D35" s="2" t="str" cm="1">
        <f t="array" ref="D35">IFERROR(_xlfn.LET(
_xlpm.CSVVal,_xlfn.XLOOKUP($A35,CSV!$A:$A,CSV!D:D,""),
_xlpm.MacVal,_xlfn.XLOOKUP($A35,Output_Mac!$A:$A,Output_Mac!C:C,""),
_xlpm.MyAuditVal,_xlfn.XLOOKUP($A35,My_Audit!$A:$A,My_Audit!C:C,""),
_xlfn.IFS(_xlpm.MyAuditVal&lt;&gt;"",_xlpm.MyAuditVal,_xlpm.MacVal&lt;&gt;"",_xlpm.MacVal,_xlpm.CSVVal&lt;&gt;"",_xlpm.CSVVal
)),"")</f>
        <v/>
      </c>
      <c r="E35" s="2" t="str">
        <f>_xlfn.XLOOKUP(A35,My_Audit!A:A,My_Audit!D:D,"")&amp;""</f>
        <v/>
      </c>
      <c r="F35" s="2" t="str" cm="1">
        <f t="array" ref="F35">IFERROR(_xlfn.LET(
_xlpm.CSVVal,_xlfn.XLOOKUP($A35,CSV!$A:$A,CSV!F:F,""),
_xlpm.MacVal,_xlfn.XLOOKUP($A35,Output_Mac!$A:$A,Output_Mac!E:E,""),
_xlpm.MyAuditVal,_xlfn.XLOOKUP($A35,My_Audit!$A:$A,My_Audit!E:E,""),
_xlfn.IFS(_xlpm.MyAuditVal&lt;&gt;"",_xlpm.MyAuditVal,_xlpm.MacVal&lt;&gt;"",_xlpm.MacVal,_xlpm.CSVVal&lt;&gt;"",_xlpm.CSVVal
)),"")</f>
        <v/>
      </c>
      <c r="G35" s="2" t="str" cm="1">
        <f t="array" ref="G35">IFERROR(_xlfn.LET(
_xlpm.CSVVal,_xlfn.XLOOKUP($A35,CSV!$A:$A,CSV!G:G,""),
_xlpm.MacVal,_xlfn.XLOOKUP($A35,Output_Mac!$A:$A,Output_Mac!F:F,""),
_xlpm.MyAuditVal,_xlfn.XLOOKUP($A35,My_Audit!$A:$A,My_Audit!F:F,""),
_xlfn.IFS(_xlpm.MyAuditVal&lt;&gt;"",_xlpm.MyAuditVal,_xlpm.MacVal&lt;&gt;"",_xlpm.MacVal,_xlpm.CSVVal&lt;&gt;"",PROPER(_xlpm.CSVVal)
)),"")</f>
        <v/>
      </c>
      <c r="H35" s="2" t="str" cm="1">
        <f t="array" ref="H35">IFERROR(_xlfn.LET(
_xlpm.CSVVal,_xlfn.XLOOKUP($A35,CSV!$A:$A,CSV!H:H,""),
_xlpm.MacVal,_xlfn.XLOOKUP($A35,Output_Mac!$A:$A,Output_Mac!H:H,""),
_xlpm.MyAuditVal,_xlfn.XLOOKUP($A35,My_Audit!$A:$A,My_Audit!G:G,""),
_xlfn.IFS(_xlpm.MyAuditVal&lt;&gt;"",_xlpm.MyAuditVal,_xlpm.MacVal&lt;&gt;"",_xlpm.MacVal,_xlpm.CSVVal&lt;&gt;"",_xlpm.CSVVal
)),"")</f>
        <v/>
      </c>
      <c r="I35" s="2" t="str">
        <f>_xlfn.XLOOKUP(A35,Output_Mac!A:A,Output_Mac!I:I,"")</f>
        <v/>
      </c>
      <c r="J35" s="2" t="str" cm="1">
        <f t="array" ref="J35">IFERROR(_xlfn.LET(
_xlpm.CSVVal,_xlfn.XLOOKUP($A35,CSV!$A:$A,CSV!I:I,""),
_xlpm.MacVal,_xlfn.XLOOKUP($A35,Output_Mac!$A:$A,Output_Mac!J:J,""),
_xlpm.MyAuditVal,_xlfn.XLOOKUP($A35,My_Audit!$A:$A,My_Audit!I:I,""),
_xlfn.IFS(_xlpm.MyAuditVal&lt;&gt;"",UPPER(_xlpm.MyAuditVal),_xlpm.MacVal&lt;&gt;"",_xlpm.MacVal,_xlpm.CSVVal&lt;&gt;"",_xlpm.CSVVal
)),"")</f>
        <v/>
      </c>
      <c r="K35" s="2" t="str" cm="1">
        <f t="array" ref="K35">IFERROR(_xlfn.LET(
_xlpm.CSVVal,_xlfn.XLOOKUP($A35,CSV!$A:$A,CSV!K:K,""),
_xlpm.MacVal,_xlfn.XLOOKUP($A35,Output_Mac!$A:$A,Output_Mac!K:K,""),
_xlpm.MyAuditVal,_xlfn.XLOOKUP($A35,My_Audit!$A:$A,My_Audit!J:J,""),
_xlfn.IFS(_xlpm.MyAuditVal&lt;&gt;"",UPPER(_xlpm.MyAuditVal),_xlpm.MacVal&lt;&gt;"",_xlpm.MacVal,_xlpm.CSVVal&lt;&gt;"",_xlpm.CSVVal
)),"")</f>
        <v/>
      </c>
      <c r="L35" s="2" t="str" cm="1">
        <f t="array" ref="L35">IFERROR(_xlfn.LET(
_xlpm.CSVVal,_xlfn.XLOOKUP($A35,CSV!$A:$A,CSV!P:P,""),
_xlpm.MacVal,_xlfn.XLOOKUP($A35,Output_Mac!$A:$A,Output_Mac!L:L,""),
_xlpm.MyAuditVal,_xlfn.XLOOKUP($A35,My_Audit!$A:$A,My_Audit!K:K,""),
_xlfn.IFS(_xlpm.MyAuditVal&lt;&gt;"",UPPER(_xlpm.MyAuditVal),_xlpm.MacVal&lt;&gt;"",_xlpm.MacVal,_xlpm.CSVVal&lt;&gt;"",_xlpm.CSVVal
)),"")</f>
        <v/>
      </c>
      <c r="M35" s="2" t="str" cm="1">
        <f t="array" ref="M35">IFERROR(_xlfn.LET(
_xlpm.CSVVal,_xlfn.XLOOKUP($A35,CSV!$A:$A,CSV!Q:Q,""),
_xlpm.MacVal,_xlfn.XLOOKUP($A35,Output_Mac!$A:$A,Output_Mac!M:M,""),
_xlpm.MyAuditVal,_xlfn.XLOOKUP($A35,My_Audit!$A:$A,My_Audit!L:L,""),
_xlfn.IFS(_xlpm.MyAuditVal&lt;&gt;"",UPPER(_xlpm.MyAuditVal),_xlpm.MacVal&lt;&gt;"",_xlpm.MacVal,_xlpm.CSVVal&lt;&gt;"",_xlpm.CSVVal
)),"")</f>
        <v/>
      </c>
      <c r="O35" s="2" t="str">
        <f>_xlfn.LET(
    _xlpm.CSVVal, _xlfn.XLOOKUP($A35, CSV!$A:$A, CSV!AC:AC, ""),
    _xlpm.MacVal, _xlfn.XLOOKUP($A35, Output_Mac!$A:$A, Output_Mac!S:S, ""),
    _xlpm.MyAuditVal, _xlfn.XLOOKUP($A35, My_Audit!$A:$A, My_Audit!P:P, ""),
    _xlfn.TEXTJOIN(", ", TRUE, _xlpm.MyAuditVal, _xlpm.MacVal, _xlpm.CSVVal)
)</f>
        <v/>
      </c>
      <c r="P35" s="2" t="str" cm="1">
        <f t="array" ref="P35">IFERROR(_xlfn.LET(
_xlpm.CSVVal,_xlfn.XLOOKUP($A35,CSV!$A:$A,CSV!AD:AD,""),
_xlpm.MacVal,_xlfn.XLOOKUP($A35,Output_Mac!$A:$A,Output_Mac!T:T,""),
_xlpm.MyAuditVal,_xlfn.XLOOKUP($A35,My_Audit!$A:$A,My_Audit!Q:Q,""),
_xlfn.IFS(_xlpm.MyAuditVal&lt;&gt;"",UPPER(_xlpm.MyAuditVal),_xlpm.MacVal&lt;&gt;"",_xlpm.MacVal,_xlpm.CSVVal&lt;&gt;"",_xlpm.CSVVal
)),"No")</f>
        <v>No</v>
      </c>
      <c r="Q35" s="2" t="str" cm="1">
        <f t="array" ref="Q35">IFERROR(_xlfn.LET(
_xlpm.CSVVal,_xlfn.XLOOKUP($A35,CSV!$A:$A,CSV!AE:AE,""),
_xlpm.MacVal,_xlfn.XLOOKUP($A35,Output_Mac!$A:$A,Output_Mac!U:U,""),
_xlpm.MyAuditVal,_xlfn.XLOOKUP($A35,My_Audit!$A:$A,My_Audit!R:R,""),
_xlfn.IFS(_xlpm.MyAuditVal&lt;&gt;"",UPPER(_xlpm.MyAuditVal),_xlpm.MacVal&lt;&gt;"",_xlpm.MacVal,_xlpm.CSVVal&lt;&gt;"",_xlpm.CSVVal
)),"")</f>
        <v/>
      </c>
      <c r="X35" t="str">
        <f>_xlfn.LET(
    _xlpm.MacVal, _xlfn.XLOOKUP($A35, Output_Mac!$A:$A, Output_Mac!AB:AB, ""),
    _xlpm.MyAuditVal, _xlfn.XLOOKUP($A35, My_Audit!$A:$A, My_Audit!N:N, ""),
    _xlfn.TEXTJOIN(", ", TRUE, _xlpm.MyAuditVal, _xlpm.MacVal)
)</f>
        <v/>
      </c>
    </row>
    <row r="36" spans="1:24">
      <c r="A36" s="2" t="str">
        <f>_xlfn.TEXTJOIN("",TRUE,Input!$B$2,ROW(My_Audit!A35))</f>
        <v>X35</v>
      </c>
      <c r="B36" s="2" t="str">
        <f>_xlfn.TEXTJOIN("-",TRUE,"ITD",Input!$A$2,A36)</f>
        <v>ITD-SHR-X35</v>
      </c>
      <c r="C36" s="2" t="str" cm="1">
        <f t="array" ref="C36">IFERROR(_xlfn.LET(
_xlpm.CSVVal,_xlfn.XLOOKUP($A36,CSV!$A:$A,CSV!B:B,""),
_xlpm.MacVal,_xlfn.XLOOKUP($A36,Output_Mac!$A:$A,Output_Mac!B:B,""),
_xlpm.MyAuditVal,_xlfn.XLOOKUP($A36,My_Audit!$A:$A,My_Audit!B:B,""),
_xlfn.IFS(_xlpm.MyAuditVal&lt;&gt;"",UPPER(_xlpm.MyAuditVal),_xlpm.MacVal&lt;&gt;"",_xlpm.MacVal,_xlpm.CSVVal&lt;&gt;"",_xlpm.CSVVal
)),"")</f>
        <v/>
      </c>
      <c r="D36" s="2" t="str" cm="1">
        <f t="array" ref="D36">IFERROR(_xlfn.LET(
_xlpm.CSVVal,_xlfn.XLOOKUP($A36,CSV!$A:$A,CSV!D:D,""),
_xlpm.MacVal,_xlfn.XLOOKUP($A36,Output_Mac!$A:$A,Output_Mac!C:C,""),
_xlpm.MyAuditVal,_xlfn.XLOOKUP($A36,My_Audit!$A:$A,My_Audit!C:C,""),
_xlfn.IFS(_xlpm.MyAuditVal&lt;&gt;"",_xlpm.MyAuditVal,_xlpm.MacVal&lt;&gt;"",_xlpm.MacVal,_xlpm.CSVVal&lt;&gt;"",_xlpm.CSVVal
)),"")</f>
        <v/>
      </c>
      <c r="E36" s="2" t="str">
        <f>_xlfn.XLOOKUP(A36,My_Audit!A:A,My_Audit!D:D,"")&amp;""</f>
        <v/>
      </c>
      <c r="F36" s="2" t="str" cm="1">
        <f t="array" ref="F36">IFERROR(_xlfn.LET(
_xlpm.CSVVal,_xlfn.XLOOKUP($A36,CSV!$A:$A,CSV!F:F,""),
_xlpm.MacVal,_xlfn.XLOOKUP($A36,Output_Mac!$A:$A,Output_Mac!E:E,""),
_xlpm.MyAuditVal,_xlfn.XLOOKUP($A36,My_Audit!$A:$A,My_Audit!E:E,""),
_xlfn.IFS(_xlpm.MyAuditVal&lt;&gt;"",_xlpm.MyAuditVal,_xlpm.MacVal&lt;&gt;"",_xlpm.MacVal,_xlpm.CSVVal&lt;&gt;"",_xlpm.CSVVal
)),"")</f>
        <v/>
      </c>
      <c r="G36" s="2" t="str" cm="1">
        <f t="array" ref="G36">IFERROR(_xlfn.LET(
_xlpm.CSVVal,_xlfn.XLOOKUP($A36,CSV!$A:$A,CSV!G:G,""),
_xlpm.MacVal,_xlfn.XLOOKUP($A36,Output_Mac!$A:$A,Output_Mac!F:F,""),
_xlpm.MyAuditVal,_xlfn.XLOOKUP($A36,My_Audit!$A:$A,My_Audit!F:F,""),
_xlfn.IFS(_xlpm.MyAuditVal&lt;&gt;"",_xlpm.MyAuditVal,_xlpm.MacVal&lt;&gt;"",_xlpm.MacVal,_xlpm.CSVVal&lt;&gt;"",PROPER(_xlpm.CSVVal)
)),"")</f>
        <v/>
      </c>
      <c r="H36" s="2" t="str" cm="1">
        <f t="array" ref="H36">IFERROR(_xlfn.LET(
_xlpm.CSVVal,_xlfn.XLOOKUP($A36,CSV!$A:$A,CSV!H:H,""),
_xlpm.MacVal,_xlfn.XLOOKUP($A36,Output_Mac!$A:$A,Output_Mac!H:H,""),
_xlpm.MyAuditVal,_xlfn.XLOOKUP($A36,My_Audit!$A:$A,My_Audit!G:G,""),
_xlfn.IFS(_xlpm.MyAuditVal&lt;&gt;"",_xlpm.MyAuditVal,_xlpm.MacVal&lt;&gt;"",_xlpm.MacVal,_xlpm.CSVVal&lt;&gt;"",_xlpm.CSVVal
)),"")</f>
        <v/>
      </c>
      <c r="I36" s="2" t="str">
        <f>_xlfn.XLOOKUP(A36,Output_Mac!A:A,Output_Mac!I:I,"")</f>
        <v/>
      </c>
      <c r="J36" s="2" t="str" cm="1">
        <f t="array" ref="J36">IFERROR(_xlfn.LET(
_xlpm.CSVVal,_xlfn.XLOOKUP($A36,CSV!$A:$A,CSV!I:I,""),
_xlpm.MacVal,_xlfn.XLOOKUP($A36,Output_Mac!$A:$A,Output_Mac!J:J,""),
_xlpm.MyAuditVal,_xlfn.XLOOKUP($A36,My_Audit!$A:$A,My_Audit!I:I,""),
_xlfn.IFS(_xlpm.MyAuditVal&lt;&gt;"",UPPER(_xlpm.MyAuditVal),_xlpm.MacVal&lt;&gt;"",_xlpm.MacVal,_xlpm.CSVVal&lt;&gt;"",_xlpm.CSVVal
)),"")</f>
        <v/>
      </c>
      <c r="K36" s="2" t="str" cm="1">
        <f t="array" ref="K36">IFERROR(_xlfn.LET(
_xlpm.CSVVal,_xlfn.XLOOKUP($A36,CSV!$A:$A,CSV!K:K,""),
_xlpm.MacVal,_xlfn.XLOOKUP($A36,Output_Mac!$A:$A,Output_Mac!K:K,""),
_xlpm.MyAuditVal,_xlfn.XLOOKUP($A36,My_Audit!$A:$A,My_Audit!J:J,""),
_xlfn.IFS(_xlpm.MyAuditVal&lt;&gt;"",UPPER(_xlpm.MyAuditVal),_xlpm.MacVal&lt;&gt;"",_xlpm.MacVal,_xlpm.CSVVal&lt;&gt;"",_xlpm.CSVVal
)),"")</f>
        <v/>
      </c>
      <c r="L36" s="2" t="str" cm="1">
        <f t="array" ref="L36">IFERROR(_xlfn.LET(
_xlpm.CSVVal,_xlfn.XLOOKUP($A36,CSV!$A:$A,CSV!P:P,""),
_xlpm.MacVal,_xlfn.XLOOKUP($A36,Output_Mac!$A:$A,Output_Mac!L:L,""),
_xlpm.MyAuditVal,_xlfn.XLOOKUP($A36,My_Audit!$A:$A,My_Audit!K:K,""),
_xlfn.IFS(_xlpm.MyAuditVal&lt;&gt;"",UPPER(_xlpm.MyAuditVal),_xlpm.MacVal&lt;&gt;"",_xlpm.MacVal,_xlpm.CSVVal&lt;&gt;"",_xlpm.CSVVal
)),"")</f>
        <v/>
      </c>
      <c r="M36" s="2" t="str" cm="1">
        <f t="array" ref="M36">IFERROR(_xlfn.LET(
_xlpm.CSVVal,_xlfn.XLOOKUP($A36,CSV!$A:$A,CSV!Q:Q,""),
_xlpm.MacVal,_xlfn.XLOOKUP($A36,Output_Mac!$A:$A,Output_Mac!M:M,""),
_xlpm.MyAuditVal,_xlfn.XLOOKUP($A36,My_Audit!$A:$A,My_Audit!L:L,""),
_xlfn.IFS(_xlpm.MyAuditVal&lt;&gt;"",UPPER(_xlpm.MyAuditVal),_xlpm.MacVal&lt;&gt;"",_xlpm.MacVal,_xlpm.CSVVal&lt;&gt;"",_xlpm.CSVVal
)),"")</f>
        <v/>
      </c>
      <c r="O36" s="2" t="str">
        <f>_xlfn.LET(
    _xlpm.CSVVal, _xlfn.XLOOKUP($A36, CSV!$A:$A, CSV!AC:AC, ""),
    _xlpm.MacVal, _xlfn.XLOOKUP($A36, Output_Mac!$A:$A, Output_Mac!S:S, ""),
    _xlpm.MyAuditVal, _xlfn.XLOOKUP($A36, My_Audit!$A:$A, My_Audit!P:P, ""),
    _xlfn.TEXTJOIN(", ", TRUE, _xlpm.MyAuditVal, _xlpm.MacVal, _xlpm.CSVVal)
)</f>
        <v/>
      </c>
      <c r="P36" s="2" t="str" cm="1">
        <f t="array" ref="P36">IFERROR(_xlfn.LET(
_xlpm.CSVVal,_xlfn.XLOOKUP($A36,CSV!$A:$A,CSV!AD:AD,""),
_xlpm.MacVal,_xlfn.XLOOKUP($A36,Output_Mac!$A:$A,Output_Mac!T:T,""),
_xlpm.MyAuditVal,_xlfn.XLOOKUP($A36,My_Audit!$A:$A,My_Audit!Q:Q,""),
_xlfn.IFS(_xlpm.MyAuditVal&lt;&gt;"",UPPER(_xlpm.MyAuditVal),_xlpm.MacVal&lt;&gt;"",_xlpm.MacVal,_xlpm.CSVVal&lt;&gt;"",_xlpm.CSVVal
)),"No")</f>
        <v>No</v>
      </c>
      <c r="Q36" s="2" t="str" cm="1">
        <f t="array" ref="Q36">IFERROR(_xlfn.LET(
_xlpm.CSVVal,_xlfn.XLOOKUP($A36,CSV!$A:$A,CSV!AE:AE,""),
_xlpm.MacVal,_xlfn.XLOOKUP($A36,Output_Mac!$A:$A,Output_Mac!U:U,""),
_xlpm.MyAuditVal,_xlfn.XLOOKUP($A36,My_Audit!$A:$A,My_Audit!R:R,""),
_xlfn.IFS(_xlpm.MyAuditVal&lt;&gt;"",UPPER(_xlpm.MyAuditVal),_xlpm.MacVal&lt;&gt;"",_xlpm.MacVal,_xlpm.CSVVal&lt;&gt;"",_xlpm.CSVVal
)),"")</f>
        <v/>
      </c>
      <c r="X36" t="str">
        <f>_xlfn.LET(
    _xlpm.MacVal, _xlfn.XLOOKUP($A36, Output_Mac!$A:$A, Output_Mac!AB:AB, ""),
    _xlpm.MyAuditVal, _xlfn.XLOOKUP($A36, My_Audit!$A:$A, My_Audit!N:N, ""),
    _xlfn.TEXTJOIN(", ", TRUE, _xlpm.MyAuditVal, _xlpm.MacVal)
)</f>
        <v/>
      </c>
    </row>
    <row r="37" spans="1:24">
      <c r="A37" s="2" t="str">
        <f>_xlfn.TEXTJOIN("",TRUE,Input!$B$2,ROW(My_Audit!A36))</f>
        <v>X36</v>
      </c>
      <c r="B37" s="2" t="str">
        <f>_xlfn.TEXTJOIN("-",TRUE,"ITD",Input!$A$2,A37)</f>
        <v>ITD-SHR-X36</v>
      </c>
      <c r="C37" s="2" t="str" cm="1">
        <f t="array" ref="C37">IFERROR(_xlfn.LET(
_xlpm.CSVVal,_xlfn.XLOOKUP($A37,CSV!$A:$A,CSV!B:B,""),
_xlpm.MacVal,_xlfn.XLOOKUP($A37,Output_Mac!$A:$A,Output_Mac!B:B,""),
_xlpm.MyAuditVal,_xlfn.XLOOKUP($A37,My_Audit!$A:$A,My_Audit!B:B,""),
_xlfn.IFS(_xlpm.MyAuditVal&lt;&gt;"",UPPER(_xlpm.MyAuditVal),_xlpm.MacVal&lt;&gt;"",_xlpm.MacVal,_xlpm.CSVVal&lt;&gt;"",_xlpm.CSVVal
)),"")</f>
        <v/>
      </c>
      <c r="D37" s="2" t="str" cm="1">
        <f t="array" ref="D37">IFERROR(_xlfn.LET(
_xlpm.CSVVal,_xlfn.XLOOKUP($A37,CSV!$A:$A,CSV!D:D,""),
_xlpm.MacVal,_xlfn.XLOOKUP($A37,Output_Mac!$A:$A,Output_Mac!C:C,""),
_xlpm.MyAuditVal,_xlfn.XLOOKUP($A37,My_Audit!$A:$A,My_Audit!C:C,""),
_xlfn.IFS(_xlpm.MyAuditVal&lt;&gt;"",_xlpm.MyAuditVal,_xlpm.MacVal&lt;&gt;"",_xlpm.MacVal,_xlpm.CSVVal&lt;&gt;"",_xlpm.CSVVal
)),"")</f>
        <v/>
      </c>
      <c r="E37" s="2" t="str">
        <f>_xlfn.XLOOKUP(A37,My_Audit!A:A,My_Audit!D:D,"")&amp;""</f>
        <v/>
      </c>
      <c r="F37" s="2" t="str" cm="1">
        <f t="array" ref="F37">IFERROR(_xlfn.LET(
_xlpm.CSVVal,_xlfn.XLOOKUP($A37,CSV!$A:$A,CSV!F:F,""),
_xlpm.MacVal,_xlfn.XLOOKUP($A37,Output_Mac!$A:$A,Output_Mac!E:E,""),
_xlpm.MyAuditVal,_xlfn.XLOOKUP($A37,My_Audit!$A:$A,My_Audit!E:E,""),
_xlfn.IFS(_xlpm.MyAuditVal&lt;&gt;"",_xlpm.MyAuditVal,_xlpm.MacVal&lt;&gt;"",_xlpm.MacVal,_xlpm.CSVVal&lt;&gt;"",_xlpm.CSVVal
)),"")</f>
        <v/>
      </c>
      <c r="G37" s="2" t="str" cm="1">
        <f t="array" ref="G37">IFERROR(_xlfn.LET(
_xlpm.CSVVal,_xlfn.XLOOKUP($A37,CSV!$A:$A,CSV!G:G,""),
_xlpm.MacVal,_xlfn.XLOOKUP($A37,Output_Mac!$A:$A,Output_Mac!F:F,""),
_xlpm.MyAuditVal,_xlfn.XLOOKUP($A37,My_Audit!$A:$A,My_Audit!F:F,""),
_xlfn.IFS(_xlpm.MyAuditVal&lt;&gt;"",_xlpm.MyAuditVal,_xlpm.MacVal&lt;&gt;"",_xlpm.MacVal,_xlpm.CSVVal&lt;&gt;"",PROPER(_xlpm.CSVVal)
)),"")</f>
        <v/>
      </c>
      <c r="H37" s="2" t="str" cm="1">
        <f t="array" ref="H37">IFERROR(_xlfn.LET(
_xlpm.CSVVal,_xlfn.XLOOKUP($A37,CSV!$A:$A,CSV!H:H,""),
_xlpm.MacVal,_xlfn.XLOOKUP($A37,Output_Mac!$A:$A,Output_Mac!H:H,""),
_xlpm.MyAuditVal,_xlfn.XLOOKUP($A37,My_Audit!$A:$A,My_Audit!G:G,""),
_xlfn.IFS(_xlpm.MyAuditVal&lt;&gt;"",_xlpm.MyAuditVal,_xlpm.MacVal&lt;&gt;"",_xlpm.MacVal,_xlpm.CSVVal&lt;&gt;"",_xlpm.CSVVal
)),"")</f>
        <v/>
      </c>
      <c r="I37" s="2" t="str">
        <f>_xlfn.XLOOKUP(A37,Output_Mac!A:A,Output_Mac!I:I,"")</f>
        <v/>
      </c>
      <c r="J37" s="2" t="str" cm="1">
        <f t="array" ref="J37">IFERROR(_xlfn.LET(
_xlpm.CSVVal,_xlfn.XLOOKUP($A37,CSV!$A:$A,CSV!I:I,""),
_xlpm.MacVal,_xlfn.XLOOKUP($A37,Output_Mac!$A:$A,Output_Mac!J:J,""),
_xlpm.MyAuditVal,_xlfn.XLOOKUP($A37,My_Audit!$A:$A,My_Audit!I:I,""),
_xlfn.IFS(_xlpm.MyAuditVal&lt;&gt;"",UPPER(_xlpm.MyAuditVal),_xlpm.MacVal&lt;&gt;"",_xlpm.MacVal,_xlpm.CSVVal&lt;&gt;"",_xlpm.CSVVal
)),"")</f>
        <v/>
      </c>
      <c r="K37" s="2" t="str" cm="1">
        <f t="array" ref="K37">IFERROR(_xlfn.LET(
_xlpm.CSVVal,_xlfn.XLOOKUP($A37,CSV!$A:$A,CSV!K:K,""),
_xlpm.MacVal,_xlfn.XLOOKUP($A37,Output_Mac!$A:$A,Output_Mac!K:K,""),
_xlpm.MyAuditVal,_xlfn.XLOOKUP($A37,My_Audit!$A:$A,My_Audit!J:J,""),
_xlfn.IFS(_xlpm.MyAuditVal&lt;&gt;"",UPPER(_xlpm.MyAuditVal),_xlpm.MacVal&lt;&gt;"",_xlpm.MacVal,_xlpm.CSVVal&lt;&gt;"",_xlpm.CSVVal
)),"")</f>
        <v/>
      </c>
      <c r="L37" s="2" t="str" cm="1">
        <f t="array" ref="L37">IFERROR(_xlfn.LET(
_xlpm.CSVVal,_xlfn.XLOOKUP($A37,CSV!$A:$A,CSV!P:P,""),
_xlpm.MacVal,_xlfn.XLOOKUP($A37,Output_Mac!$A:$A,Output_Mac!L:L,""),
_xlpm.MyAuditVal,_xlfn.XLOOKUP($A37,My_Audit!$A:$A,My_Audit!K:K,""),
_xlfn.IFS(_xlpm.MyAuditVal&lt;&gt;"",UPPER(_xlpm.MyAuditVal),_xlpm.MacVal&lt;&gt;"",_xlpm.MacVal,_xlpm.CSVVal&lt;&gt;"",_xlpm.CSVVal
)),"")</f>
        <v/>
      </c>
      <c r="M37" s="2" t="str" cm="1">
        <f t="array" ref="M37">IFERROR(_xlfn.LET(
_xlpm.CSVVal,_xlfn.XLOOKUP($A37,CSV!$A:$A,CSV!Q:Q,""),
_xlpm.MacVal,_xlfn.XLOOKUP($A37,Output_Mac!$A:$A,Output_Mac!M:M,""),
_xlpm.MyAuditVal,_xlfn.XLOOKUP($A37,My_Audit!$A:$A,My_Audit!L:L,""),
_xlfn.IFS(_xlpm.MyAuditVal&lt;&gt;"",UPPER(_xlpm.MyAuditVal),_xlpm.MacVal&lt;&gt;"",_xlpm.MacVal,_xlpm.CSVVal&lt;&gt;"",_xlpm.CSVVal
)),"")</f>
        <v/>
      </c>
      <c r="O37" s="2" t="str">
        <f>_xlfn.LET(
    _xlpm.CSVVal, _xlfn.XLOOKUP($A37, CSV!$A:$A, CSV!AC:AC, ""),
    _xlpm.MacVal, _xlfn.XLOOKUP($A37, Output_Mac!$A:$A, Output_Mac!S:S, ""),
    _xlpm.MyAuditVal, _xlfn.XLOOKUP($A37, My_Audit!$A:$A, My_Audit!P:P, ""),
    _xlfn.TEXTJOIN(", ", TRUE, _xlpm.MyAuditVal, _xlpm.MacVal, _xlpm.CSVVal)
)</f>
        <v/>
      </c>
      <c r="P37" s="2" t="str" cm="1">
        <f t="array" ref="P37">IFERROR(_xlfn.LET(
_xlpm.CSVVal,_xlfn.XLOOKUP($A37,CSV!$A:$A,CSV!AD:AD,""),
_xlpm.MacVal,_xlfn.XLOOKUP($A37,Output_Mac!$A:$A,Output_Mac!T:T,""),
_xlpm.MyAuditVal,_xlfn.XLOOKUP($A37,My_Audit!$A:$A,My_Audit!Q:Q,""),
_xlfn.IFS(_xlpm.MyAuditVal&lt;&gt;"",UPPER(_xlpm.MyAuditVal),_xlpm.MacVal&lt;&gt;"",_xlpm.MacVal,_xlpm.CSVVal&lt;&gt;"",_xlpm.CSVVal
)),"No")</f>
        <v>No</v>
      </c>
      <c r="Q37" s="2" t="str" cm="1">
        <f t="array" ref="Q37">IFERROR(_xlfn.LET(
_xlpm.CSVVal,_xlfn.XLOOKUP($A37,CSV!$A:$A,CSV!AE:AE,""),
_xlpm.MacVal,_xlfn.XLOOKUP($A37,Output_Mac!$A:$A,Output_Mac!U:U,""),
_xlpm.MyAuditVal,_xlfn.XLOOKUP($A37,My_Audit!$A:$A,My_Audit!R:R,""),
_xlfn.IFS(_xlpm.MyAuditVal&lt;&gt;"",UPPER(_xlpm.MyAuditVal),_xlpm.MacVal&lt;&gt;"",_xlpm.MacVal,_xlpm.CSVVal&lt;&gt;"",_xlpm.CSVVal
)),"")</f>
        <v/>
      </c>
      <c r="X37" t="str">
        <f>_xlfn.LET(
    _xlpm.MacVal, _xlfn.XLOOKUP($A37, Output_Mac!$A:$A, Output_Mac!AB:AB, ""),
    _xlpm.MyAuditVal, _xlfn.XLOOKUP($A37, My_Audit!$A:$A, My_Audit!N:N, ""),
    _xlfn.TEXTJOIN(", ", TRUE, _xlpm.MyAuditVal, _xlpm.MacVal)
)</f>
        <v/>
      </c>
    </row>
    <row r="38" spans="1:24">
      <c r="A38" s="2" t="str">
        <f>_xlfn.TEXTJOIN("",TRUE,Input!$B$2,ROW(My_Audit!A37))</f>
        <v>X37</v>
      </c>
      <c r="B38" s="2" t="str">
        <f>_xlfn.TEXTJOIN("-",TRUE,"ITD",Input!$A$2,A38)</f>
        <v>ITD-SHR-X37</v>
      </c>
      <c r="C38" s="2" t="str" cm="1">
        <f t="array" ref="C38">IFERROR(_xlfn.LET(
_xlpm.CSVVal,_xlfn.XLOOKUP($A38,CSV!$A:$A,CSV!B:B,""),
_xlpm.MacVal,_xlfn.XLOOKUP($A38,Output_Mac!$A:$A,Output_Mac!B:B,""),
_xlpm.MyAuditVal,_xlfn.XLOOKUP($A38,My_Audit!$A:$A,My_Audit!B:B,""),
_xlfn.IFS(_xlpm.MyAuditVal&lt;&gt;"",UPPER(_xlpm.MyAuditVal),_xlpm.MacVal&lt;&gt;"",_xlpm.MacVal,_xlpm.CSVVal&lt;&gt;"",_xlpm.CSVVal
)),"")</f>
        <v/>
      </c>
      <c r="D38" s="2" t="str" cm="1">
        <f t="array" ref="D38">IFERROR(_xlfn.LET(
_xlpm.CSVVal,_xlfn.XLOOKUP($A38,CSV!$A:$A,CSV!D:D,""),
_xlpm.MacVal,_xlfn.XLOOKUP($A38,Output_Mac!$A:$A,Output_Mac!C:C,""),
_xlpm.MyAuditVal,_xlfn.XLOOKUP($A38,My_Audit!$A:$A,My_Audit!C:C,""),
_xlfn.IFS(_xlpm.MyAuditVal&lt;&gt;"",_xlpm.MyAuditVal,_xlpm.MacVal&lt;&gt;"",_xlpm.MacVal,_xlpm.CSVVal&lt;&gt;"",_xlpm.CSVVal
)),"")</f>
        <v/>
      </c>
      <c r="E38" s="2" t="str">
        <f>_xlfn.XLOOKUP(A38,My_Audit!A:A,My_Audit!D:D,"")&amp;""</f>
        <v/>
      </c>
      <c r="F38" s="2" t="str" cm="1">
        <f t="array" ref="F38">IFERROR(_xlfn.LET(
_xlpm.CSVVal,_xlfn.XLOOKUP($A38,CSV!$A:$A,CSV!F:F,""),
_xlpm.MacVal,_xlfn.XLOOKUP($A38,Output_Mac!$A:$A,Output_Mac!E:E,""),
_xlpm.MyAuditVal,_xlfn.XLOOKUP($A38,My_Audit!$A:$A,My_Audit!E:E,""),
_xlfn.IFS(_xlpm.MyAuditVal&lt;&gt;"",_xlpm.MyAuditVal,_xlpm.MacVal&lt;&gt;"",_xlpm.MacVal,_xlpm.CSVVal&lt;&gt;"",_xlpm.CSVVal
)),"")</f>
        <v/>
      </c>
      <c r="G38" s="2" t="str" cm="1">
        <f t="array" ref="G38">IFERROR(_xlfn.LET(
_xlpm.CSVVal,_xlfn.XLOOKUP($A38,CSV!$A:$A,CSV!G:G,""),
_xlpm.MacVal,_xlfn.XLOOKUP($A38,Output_Mac!$A:$A,Output_Mac!F:F,""),
_xlpm.MyAuditVal,_xlfn.XLOOKUP($A38,My_Audit!$A:$A,My_Audit!F:F,""),
_xlfn.IFS(_xlpm.MyAuditVal&lt;&gt;"",_xlpm.MyAuditVal,_xlpm.MacVal&lt;&gt;"",_xlpm.MacVal,_xlpm.CSVVal&lt;&gt;"",PROPER(_xlpm.CSVVal)
)),"")</f>
        <v/>
      </c>
      <c r="H38" s="2" t="str" cm="1">
        <f t="array" ref="H38">IFERROR(_xlfn.LET(
_xlpm.CSVVal,_xlfn.XLOOKUP($A38,CSV!$A:$A,CSV!H:H,""),
_xlpm.MacVal,_xlfn.XLOOKUP($A38,Output_Mac!$A:$A,Output_Mac!H:H,""),
_xlpm.MyAuditVal,_xlfn.XLOOKUP($A38,My_Audit!$A:$A,My_Audit!G:G,""),
_xlfn.IFS(_xlpm.MyAuditVal&lt;&gt;"",_xlpm.MyAuditVal,_xlpm.MacVal&lt;&gt;"",_xlpm.MacVal,_xlpm.CSVVal&lt;&gt;"",_xlpm.CSVVal
)),"")</f>
        <v/>
      </c>
      <c r="I38" s="2" t="str">
        <f>_xlfn.XLOOKUP(A38,Output_Mac!A:A,Output_Mac!I:I,"")</f>
        <v/>
      </c>
      <c r="J38" s="2" t="str" cm="1">
        <f t="array" ref="J38">IFERROR(_xlfn.LET(
_xlpm.CSVVal,_xlfn.XLOOKUP($A38,CSV!$A:$A,CSV!I:I,""),
_xlpm.MacVal,_xlfn.XLOOKUP($A38,Output_Mac!$A:$A,Output_Mac!J:J,""),
_xlpm.MyAuditVal,_xlfn.XLOOKUP($A38,My_Audit!$A:$A,My_Audit!I:I,""),
_xlfn.IFS(_xlpm.MyAuditVal&lt;&gt;"",UPPER(_xlpm.MyAuditVal),_xlpm.MacVal&lt;&gt;"",_xlpm.MacVal,_xlpm.CSVVal&lt;&gt;"",_xlpm.CSVVal
)),"")</f>
        <v/>
      </c>
      <c r="K38" s="2" t="str" cm="1">
        <f t="array" ref="K38">IFERROR(_xlfn.LET(
_xlpm.CSVVal,_xlfn.XLOOKUP($A38,CSV!$A:$A,CSV!K:K,""),
_xlpm.MacVal,_xlfn.XLOOKUP($A38,Output_Mac!$A:$A,Output_Mac!K:K,""),
_xlpm.MyAuditVal,_xlfn.XLOOKUP($A38,My_Audit!$A:$A,My_Audit!J:J,""),
_xlfn.IFS(_xlpm.MyAuditVal&lt;&gt;"",UPPER(_xlpm.MyAuditVal),_xlpm.MacVal&lt;&gt;"",_xlpm.MacVal,_xlpm.CSVVal&lt;&gt;"",_xlpm.CSVVal
)),"")</f>
        <v/>
      </c>
      <c r="L38" s="2" t="str" cm="1">
        <f t="array" ref="L38">IFERROR(_xlfn.LET(
_xlpm.CSVVal,_xlfn.XLOOKUP($A38,CSV!$A:$A,CSV!P:P,""),
_xlpm.MacVal,_xlfn.XLOOKUP($A38,Output_Mac!$A:$A,Output_Mac!L:L,""),
_xlpm.MyAuditVal,_xlfn.XLOOKUP($A38,My_Audit!$A:$A,My_Audit!K:K,""),
_xlfn.IFS(_xlpm.MyAuditVal&lt;&gt;"",UPPER(_xlpm.MyAuditVal),_xlpm.MacVal&lt;&gt;"",_xlpm.MacVal,_xlpm.CSVVal&lt;&gt;"",_xlpm.CSVVal
)),"")</f>
        <v/>
      </c>
      <c r="M38" s="2" t="str" cm="1">
        <f t="array" ref="M38">IFERROR(_xlfn.LET(
_xlpm.CSVVal,_xlfn.XLOOKUP($A38,CSV!$A:$A,CSV!Q:Q,""),
_xlpm.MacVal,_xlfn.XLOOKUP($A38,Output_Mac!$A:$A,Output_Mac!M:M,""),
_xlpm.MyAuditVal,_xlfn.XLOOKUP($A38,My_Audit!$A:$A,My_Audit!L:L,""),
_xlfn.IFS(_xlpm.MyAuditVal&lt;&gt;"",UPPER(_xlpm.MyAuditVal),_xlpm.MacVal&lt;&gt;"",_xlpm.MacVal,_xlpm.CSVVal&lt;&gt;"",_xlpm.CSVVal
)),"")</f>
        <v/>
      </c>
      <c r="O38" s="2" t="str">
        <f>_xlfn.LET(
    _xlpm.CSVVal, _xlfn.XLOOKUP($A38, CSV!$A:$A, CSV!AC:AC, ""),
    _xlpm.MacVal, _xlfn.XLOOKUP($A38, Output_Mac!$A:$A, Output_Mac!S:S, ""),
    _xlpm.MyAuditVal, _xlfn.XLOOKUP($A38, My_Audit!$A:$A, My_Audit!P:P, ""),
    _xlfn.TEXTJOIN(", ", TRUE, _xlpm.MyAuditVal, _xlpm.MacVal, _xlpm.CSVVal)
)</f>
        <v/>
      </c>
      <c r="P38" s="2" t="str" cm="1">
        <f t="array" ref="P38">IFERROR(_xlfn.LET(
_xlpm.CSVVal,_xlfn.XLOOKUP($A38,CSV!$A:$A,CSV!AD:AD,""),
_xlpm.MacVal,_xlfn.XLOOKUP($A38,Output_Mac!$A:$A,Output_Mac!T:T,""),
_xlpm.MyAuditVal,_xlfn.XLOOKUP($A38,My_Audit!$A:$A,My_Audit!Q:Q,""),
_xlfn.IFS(_xlpm.MyAuditVal&lt;&gt;"",UPPER(_xlpm.MyAuditVal),_xlpm.MacVal&lt;&gt;"",_xlpm.MacVal,_xlpm.CSVVal&lt;&gt;"",_xlpm.CSVVal
)),"No")</f>
        <v>No</v>
      </c>
      <c r="Q38" s="2" t="str" cm="1">
        <f t="array" ref="Q38">IFERROR(_xlfn.LET(
_xlpm.CSVVal,_xlfn.XLOOKUP($A38,CSV!$A:$A,CSV!AE:AE,""),
_xlpm.MacVal,_xlfn.XLOOKUP($A38,Output_Mac!$A:$A,Output_Mac!U:U,""),
_xlpm.MyAuditVal,_xlfn.XLOOKUP($A38,My_Audit!$A:$A,My_Audit!R:R,""),
_xlfn.IFS(_xlpm.MyAuditVal&lt;&gt;"",UPPER(_xlpm.MyAuditVal),_xlpm.MacVal&lt;&gt;"",_xlpm.MacVal,_xlpm.CSVVal&lt;&gt;"",_xlpm.CSVVal
)),"")</f>
        <v/>
      </c>
      <c r="X38" t="str">
        <f>_xlfn.LET(
    _xlpm.MacVal, _xlfn.XLOOKUP($A38, Output_Mac!$A:$A, Output_Mac!AB:AB, ""),
    _xlpm.MyAuditVal, _xlfn.XLOOKUP($A38, My_Audit!$A:$A, My_Audit!N:N, ""),
    _xlfn.TEXTJOIN(", ", TRUE, _xlpm.MyAuditVal, _xlpm.MacVal)
)</f>
        <v/>
      </c>
    </row>
    <row r="39" spans="1:24">
      <c r="A39" s="2" t="str">
        <f>_xlfn.TEXTJOIN("",TRUE,Input!$B$2,ROW(My_Audit!A38))</f>
        <v>X38</v>
      </c>
      <c r="B39" s="2" t="str">
        <f>_xlfn.TEXTJOIN("-",TRUE,"ITD",Input!$A$2,A39)</f>
        <v>ITD-SHR-X38</v>
      </c>
      <c r="C39" s="2" t="str" cm="1">
        <f t="array" ref="C39">IFERROR(_xlfn.LET(
_xlpm.CSVVal,_xlfn.XLOOKUP($A39,CSV!$A:$A,CSV!B:B,""),
_xlpm.MacVal,_xlfn.XLOOKUP($A39,Output_Mac!$A:$A,Output_Mac!B:B,""),
_xlpm.MyAuditVal,_xlfn.XLOOKUP($A39,My_Audit!$A:$A,My_Audit!B:B,""),
_xlfn.IFS(_xlpm.MyAuditVal&lt;&gt;"",UPPER(_xlpm.MyAuditVal),_xlpm.MacVal&lt;&gt;"",_xlpm.MacVal,_xlpm.CSVVal&lt;&gt;"",_xlpm.CSVVal
)),"")</f>
        <v/>
      </c>
      <c r="D39" s="2" t="str" cm="1">
        <f t="array" ref="D39">IFERROR(_xlfn.LET(
_xlpm.CSVVal,_xlfn.XLOOKUP($A39,CSV!$A:$A,CSV!D:D,""),
_xlpm.MacVal,_xlfn.XLOOKUP($A39,Output_Mac!$A:$A,Output_Mac!C:C,""),
_xlpm.MyAuditVal,_xlfn.XLOOKUP($A39,My_Audit!$A:$A,My_Audit!C:C,""),
_xlfn.IFS(_xlpm.MyAuditVal&lt;&gt;"",_xlpm.MyAuditVal,_xlpm.MacVal&lt;&gt;"",_xlpm.MacVal,_xlpm.CSVVal&lt;&gt;"",_xlpm.CSVVal
)),"")</f>
        <v/>
      </c>
      <c r="E39" s="2" t="str">
        <f>_xlfn.XLOOKUP(A39,My_Audit!A:A,My_Audit!D:D,"")&amp;""</f>
        <v/>
      </c>
      <c r="F39" s="2" t="str" cm="1">
        <f t="array" ref="F39">IFERROR(_xlfn.LET(
_xlpm.CSVVal,_xlfn.XLOOKUP($A39,CSV!$A:$A,CSV!F:F,""),
_xlpm.MacVal,_xlfn.XLOOKUP($A39,Output_Mac!$A:$A,Output_Mac!E:E,""),
_xlpm.MyAuditVal,_xlfn.XLOOKUP($A39,My_Audit!$A:$A,My_Audit!E:E,""),
_xlfn.IFS(_xlpm.MyAuditVal&lt;&gt;"",_xlpm.MyAuditVal,_xlpm.MacVal&lt;&gt;"",_xlpm.MacVal,_xlpm.CSVVal&lt;&gt;"",_xlpm.CSVVal
)),"")</f>
        <v/>
      </c>
      <c r="G39" s="2" t="str" cm="1">
        <f t="array" ref="G39">IFERROR(_xlfn.LET(
_xlpm.CSVVal,_xlfn.XLOOKUP($A39,CSV!$A:$A,CSV!G:G,""),
_xlpm.MacVal,_xlfn.XLOOKUP($A39,Output_Mac!$A:$A,Output_Mac!F:F,""),
_xlpm.MyAuditVal,_xlfn.XLOOKUP($A39,My_Audit!$A:$A,My_Audit!F:F,""),
_xlfn.IFS(_xlpm.MyAuditVal&lt;&gt;"",_xlpm.MyAuditVal,_xlpm.MacVal&lt;&gt;"",_xlpm.MacVal,_xlpm.CSVVal&lt;&gt;"",PROPER(_xlpm.CSVVal)
)),"")</f>
        <v/>
      </c>
      <c r="H39" s="2" t="str" cm="1">
        <f t="array" ref="H39">IFERROR(_xlfn.LET(
_xlpm.CSVVal,_xlfn.XLOOKUP($A39,CSV!$A:$A,CSV!H:H,""),
_xlpm.MacVal,_xlfn.XLOOKUP($A39,Output_Mac!$A:$A,Output_Mac!H:H,""),
_xlpm.MyAuditVal,_xlfn.XLOOKUP($A39,My_Audit!$A:$A,My_Audit!G:G,""),
_xlfn.IFS(_xlpm.MyAuditVal&lt;&gt;"",_xlpm.MyAuditVal,_xlpm.MacVal&lt;&gt;"",_xlpm.MacVal,_xlpm.CSVVal&lt;&gt;"",_xlpm.CSVVal
)),"")</f>
        <v/>
      </c>
      <c r="I39" s="2" t="str">
        <f>_xlfn.XLOOKUP(A39,Output_Mac!A:A,Output_Mac!I:I,"")</f>
        <v/>
      </c>
      <c r="J39" s="2" t="str" cm="1">
        <f t="array" ref="J39">IFERROR(_xlfn.LET(
_xlpm.CSVVal,_xlfn.XLOOKUP($A39,CSV!$A:$A,CSV!I:I,""),
_xlpm.MacVal,_xlfn.XLOOKUP($A39,Output_Mac!$A:$A,Output_Mac!J:J,""),
_xlpm.MyAuditVal,_xlfn.XLOOKUP($A39,My_Audit!$A:$A,My_Audit!I:I,""),
_xlfn.IFS(_xlpm.MyAuditVal&lt;&gt;"",UPPER(_xlpm.MyAuditVal),_xlpm.MacVal&lt;&gt;"",_xlpm.MacVal,_xlpm.CSVVal&lt;&gt;"",_xlpm.CSVVal
)),"")</f>
        <v/>
      </c>
      <c r="K39" s="2" t="str" cm="1">
        <f t="array" ref="K39">IFERROR(_xlfn.LET(
_xlpm.CSVVal,_xlfn.XLOOKUP($A39,CSV!$A:$A,CSV!K:K,""),
_xlpm.MacVal,_xlfn.XLOOKUP($A39,Output_Mac!$A:$A,Output_Mac!K:K,""),
_xlpm.MyAuditVal,_xlfn.XLOOKUP($A39,My_Audit!$A:$A,My_Audit!J:J,""),
_xlfn.IFS(_xlpm.MyAuditVal&lt;&gt;"",UPPER(_xlpm.MyAuditVal),_xlpm.MacVal&lt;&gt;"",_xlpm.MacVal,_xlpm.CSVVal&lt;&gt;"",_xlpm.CSVVal
)),"")</f>
        <v/>
      </c>
      <c r="L39" s="2" t="str" cm="1">
        <f t="array" ref="L39">IFERROR(_xlfn.LET(
_xlpm.CSVVal,_xlfn.XLOOKUP($A39,CSV!$A:$A,CSV!P:P,""),
_xlpm.MacVal,_xlfn.XLOOKUP($A39,Output_Mac!$A:$A,Output_Mac!L:L,""),
_xlpm.MyAuditVal,_xlfn.XLOOKUP($A39,My_Audit!$A:$A,My_Audit!K:K,""),
_xlfn.IFS(_xlpm.MyAuditVal&lt;&gt;"",UPPER(_xlpm.MyAuditVal),_xlpm.MacVal&lt;&gt;"",_xlpm.MacVal,_xlpm.CSVVal&lt;&gt;"",_xlpm.CSVVal
)),"")</f>
        <v/>
      </c>
      <c r="M39" s="2" t="str" cm="1">
        <f t="array" ref="M39">IFERROR(_xlfn.LET(
_xlpm.CSVVal,_xlfn.XLOOKUP($A39,CSV!$A:$A,CSV!Q:Q,""),
_xlpm.MacVal,_xlfn.XLOOKUP($A39,Output_Mac!$A:$A,Output_Mac!M:M,""),
_xlpm.MyAuditVal,_xlfn.XLOOKUP($A39,My_Audit!$A:$A,My_Audit!L:L,""),
_xlfn.IFS(_xlpm.MyAuditVal&lt;&gt;"",UPPER(_xlpm.MyAuditVal),_xlpm.MacVal&lt;&gt;"",_xlpm.MacVal,_xlpm.CSVVal&lt;&gt;"",_xlpm.CSVVal
)),"")</f>
        <v/>
      </c>
      <c r="O39" s="2" t="str">
        <f>_xlfn.LET(
    _xlpm.CSVVal, _xlfn.XLOOKUP($A39, CSV!$A:$A, CSV!AC:AC, ""),
    _xlpm.MacVal, _xlfn.XLOOKUP($A39, Output_Mac!$A:$A, Output_Mac!S:S, ""),
    _xlpm.MyAuditVal, _xlfn.XLOOKUP($A39, My_Audit!$A:$A, My_Audit!P:P, ""),
    _xlfn.TEXTJOIN(", ", TRUE, _xlpm.MyAuditVal, _xlpm.MacVal, _xlpm.CSVVal)
)</f>
        <v/>
      </c>
      <c r="P39" s="2" t="str" cm="1">
        <f t="array" ref="P39">IFERROR(_xlfn.LET(
_xlpm.CSVVal,_xlfn.XLOOKUP($A39,CSV!$A:$A,CSV!AD:AD,""),
_xlpm.MacVal,_xlfn.XLOOKUP($A39,Output_Mac!$A:$A,Output_Mac!T:T,""),
_xlpm.MyAuditVal,_xlfn.XLOOKUP($A39,My_Audit!$A:$A,My_Audit!Q:Q,""),
_xlfn.IFS(_xlpm.MyAuditVal&lt;&gt;"",UPPER(_xlpm.MyAuditVal),_xlpm.MacVal&lt;&gt;"",_xlpm.MacVal,_xlpm.CSVVal&lt;&gt;"",_xlpm.CSVVal
)),"No")</f>
        <v>No</v>
      </c>
      <c r="Q39" s="2" t="str" cm="1">
        <f t="array" ref="Q39">IFERROR(_xlfn.LET(
_xlpm.CSVVal,_xlfn.XLOOKUP($A39,CSV!$A:$A,CSV!AE:AE,""),
_xlpm.MacVal,_xlfn.XLOOKUP($A39,Output_Mac!$A:$A,Output_Mac!U:U,""),
_xlpm.MyAuditVal,_xlfn.XLOOKUP($A39,My_Audit!$A:$A,My_Audit!R:R,""),
_xlfn.IFS(_xlpm.MyAuditVal&lt;&gt;"",UPPER(_xlpm.MyAuditVal),_xlpm.MacVal&lt;&gt;"",_xlpm.MacVal,_xlpm.CSVVal&lt;&gt;"",_xlpm.CSVVal
)),"")</f>
        <v/>
      </c>
      <c r="X39" t="str">
        <f>_xlfn.LET(
    _xlpm.MacVal, _xlfn.XLOOKUP($A39, Output_Mac!$A:$A, Output_Mac!AB:AB, ""),
    _xlpm.MyAuditVal, _xlfn.XLOOKUP($A39, My_Audit!$A:$A, My_Audit!N:N, ""),
    _xlfn.TEXTJOIN(", ", TRUE, _xlpm.MyAuditVal, _xlpm.MacVal)
)</f>
        <v/>
      </c>
    </row>
    <row r="40" spans="1:24">
      <c r="A40" s="2" t="str">
        <f>_xlfn.TEXTJOIN("",TRUE,Input!$B$2,ROW(My_Audit!A39))</f>
        <v>X39</v>
      </c>
      <c r="B40" s="2" t="str">
        <f>_xlfn.TEXTJOIN("-",TRUE,"ITD",Input!$A$2,A40)</f>
        <v>ITD-SHR-X39</v>
      </c>
      <c r="C40" s="2" t="str" cm="1">
        <f t="array" ref="C40">IFERROR(_xlfn.LET(
_xlpm.CSVVal,_xlfn.XLOOKUP($A40,CSV!$A:$A,CSV!B:B,""),
_xlpm.MacVal,_xlfn.XLOOKUP($A40,Output_Mac!$A:$A,Output_Mac!B:B,""),
_xlpm.MyAuditVal,_xlfn.XLOOKUP($A40,My_Audit!$A:$A,My_Audit!B:B,""),
_xlfn.IFS(_xlpm.MyAuditVal&lt;&gt;"",UPPER(_xlpm.MyAuditVal),_xlpm.MacVal&lt;&gt;"",_xlpm.MacVal,_xlpm.CSVVal&lt;&gt;"",_xlpm.CSVVal
)),"")</f>
        <v/>
      </c>
      <c r="D40" s="2" t="str" cm="1">
        <f t="array" ref="D40">IFERROR(_xlfn.LET(
_xlpm.CSVVal,_xlfn.XLOOKUP($A40,CSV!$A:$A,CSV!D:D,""),
_xlpm.MacVal,_xlfn.XLOOKUP($A40,Output_Mac!$A:$A,Output_Mac!C:C,""),
_xlpm.MyAuditVal,_xlfn.XLOOKUP($A40,My_Audit!$A:$A,My_Audit!C:C,""),
_xlfn.IFS(_xlpm.MyAuditVal&lt;&gt;"",_xlpm.MyAuditVal,_xlpm.MacVal&lt;&gt;"",_xlpm.MacVal,_xlpm.CSVVal&lt;&gt;"",_xlpm.CSVVal
)),"")</f>
        <v/>
      </c>
      <c r="E40" s="2" t="str">
        <f>_xlfn.XLOOKUP(A40,My_Audit!A:A,My_Audit!D:D,"")&amp;""</f>
        <v/>
      </c>
      <c r="F40" s="2" t="str" cm="1">
        <f t="array" ref="F40">IFERROR(_xlfn.LET(
_xlpm.CSVVal,_xlfn.XLOOKUP($A40,CSV!$A:$A,CSV!F:F,""),
_xlpm.MacVal,_xlfn.XLOOKUP($A40,Output_Mac!$A:$A,Output_Mac!E:E,""),
_xlpm.MyAuditVal,_xlfn.XLOOKUP($A40,My_Audit!$A:$A,My_Audit!E:E,""),
_xlfn.IFS(_xlpm.MyAuditVal&lt;&gt;"",_xlpm.MyAuditVal,_xlpm.MacVal&lt;&gt;"",_xlpm.MacVal,_xlpm.CSVVal&lt;&gt;"",_xlpm.CSVVal
)),"")</f>
        <v/>
      </c>
      <c r="G40" s="2" t="str" cm="1">
        <f t="array" ref="G40">IFERROR(_xlfn.LET(
_xlpm.CSVVal,_xlfn.XLOOKUP($A40,CSV!$A:$A,CSV!G:G,""),
_xlpm.MacVal,_xlfn.XLOOKUP($A40,Output_Mac!$A:$A,Output_Mac!F:F,""),
_xlpm.MyAuditVal,_xlfn.XLOOKUP($A40,My_Audit!$A:$A,My_Audit!F:F,""),
_xlfn.IFS(_xlpm.MyAuditVal&lt;&gt;"",_xlpm.MyAuditVal,_xlpm.MacVal&lt;&gt;"",_xlpm.MacVal,_xlpm.CSVVal&lt;&gt;"",PROPER(_xlpm.CSVVal)
)),"")</f>
        <v/>
      </c>
      <c r="H40" s="2" t="str" cm="1">
        <f t="array" ref="H40">IFERROR(_xlfn.LET(
_xlpm.CSVVal,_xlfn.XLOOKUP($A40,CSV!$A:$A,CSV!H:H,""),
_xlpm.MacVal,_xlfn.XLOOKUP($A40,Output_Mac!$A:$A,Output_Mac!H:H,""),
_xlpm.MyAuditVal,_xlfn.XLOOKUP($A40,My_Audit!$A:$A,My_Audit!G:G,""),
_xlfn.IFS(_xlpm.MyAuditVal&lt;&gt;"",_xlpm.MyAuditVal,_xlpm.MacVal&lt;&gt;"",_xlpm.MacVal,_xlpm.CSVVal&lt;&gt;"",_xlpm.CSVVal
)),"")</f>
        <v/>
      </c>
      <c r="I40" s="2" t="str">
        <f>_xlfn.XLOOKUP(A40,Output_Mac!A:A,Output_Mac!I:I,"")</f>
        <v/>
      </c>
      <c r="J40" s="2" t="str" cm="1">
        <f t="array" ref="J40">IFERROR(_xlfn.LET(
_xlpm.CSVVal,_xlfn.XLOOKUP($A40,CSV!$A:$A,CSV!I:I,""),
_xlpm.MacVal,_xlfn.XLOOKUP($A40,Output_Mac!$A:$A,Output_Mac!J:J,""),
_xlpm.MyAuditVal,_xlfn.XLOOKUP($A40,My_Audit!$A:$A,My_Audit!I:I,""),
_xlfn.IFS(_xlpm.MyAuditVal&lt;&gt;"",UPPER(_xlpm.MyAuditVal),_xlpm.MacVal&lt;&gt;"",_xlpm.MacVal,_xlpm.CSVVal&lt;&gt;"",_xlpm.CSVVal
)),"")</f>
        <v/>
      </c>
      <c r="K40" s="2" t="str" cm="1">
        <f t="array" ref="K40">IFERROR(_xlfn.LET(
_xlpm.CSVVal,_xlfn.XLOOKUP($A40,CSV!$A:$A,CSV!K:K,""),
_xlpm.MacVal,_xlfn.XLOOKUP($A40,Output_Mac!$A:$A,Output_Mac!K:K,""),
_xlpm.MyAuditVal,_xlfn.XLOOKUP($A40,My_Audit!$A:$A,My_Audit!J:J,""),
_xlfn.IFS(_xlpm.MyAuditVal&lt;&gt;"",UPPER(_xlpm.MyAuditVal),_xlpm.MacVal&lt;&gt;"",_xlpm.MacVal,_xlpm.CSVVal&lt;&gt;"",_xlpm.CSVVal
)),"")</f>
        <v/>
      </c>
      <c r="L40" s="2" t="str" cm="1">
        <f t="array" ref="L40">IFERROR(_xlfn.LET(
_xlpm.CSVVal,_xlfn.XLOOKUP($A40,CSV!$A:$A,CSV!P:P,""),
_xlpm.MacVal,_xlfn.XLOOKUP($A40,Output_Mac!$A:$A,Output_Mac!L:L,""),
_xlpm.MyAuditVal,_xlfn.XLOOKUP($A40,My_Audit!$A:$A,My_Audit!K:K,""),
_xlfn.IFS(_xlpm.MyAuditVal&lt;&gt;"",UPPER(_xlpm.MyAuditVal),_xlpm.MacVal&lt;&gt;"",_xlpm.MacVal,_xlpm.CSVVal&lt;&gt;"",_xlpm.CSVVal
)),"")</f>
        <v/>
      </c>
      <c r="M40" s="2" t="str" cm="1">
        <f t="array" ref="M40">IFERROR(_xlfn.LET(
_xlpm.CSVVal,_xlfn.XLOOKUP($A40,CSV!$A:$A,CSV!Q:Q,""),
_xlpm.MacVal,_xlfn.XLOOKUP($A40,Output_Mac!$A:$A,Output_Mac!M:M,""),
_xlpm.MyAuditVal,_xlfn.XLOOKUP($A40,My_Audit!$A:$A,My_Audit!L:L,""),
_xlfn.IFS(_xlpm.MyAuditVal&lt;&gt;"",UPPER(_xlpm.MyAuditVal),_xlpm.MacVal&lt;&gt;"",_xlpm.MacVal,_xlpm.CSVVal&lt;&gt;"",_xlpm.CSVVal
)),"")</f>
        <v/>
      </c>
      <c r="O40" s="2" t="str">
        <f>_xlfn.LET(
    _xlpm.CSVVal, _xlfn.XLOOKUP($A40, CSV!$A:$A, CSV!AC:AC, ""),
    _xlpm.MacVal, _xlfn.XLOOKUP($A40, Output_Mac!$A:$A, Output_Mac!S:S, ""),
    _xlpm.MyAuditVal, _xlfn.XLOOKUP($A40, My_Audit!$A:$A, My_Audit!P:P, ""),
    _xlfn.TEXTJOIN(", ", TRUE, _xlpm.MyAuditVal, _xlpm.MacVal, _xlpm.CSVVal)
)</f>
        <v/>
      </c>
      <c r="P40" s="2" t="str" cm="1">
        <f t="array" ref="P40">IFERROR(_xlfn.LET(
_xlpm.CSVVal,_xlfn.XLOOKUP($A40,CSV!$A:$A,CSV!AD:AD,""),
_xlpm.MacVal,_xlfn.XLOOKUP($A40,Output_Mac!$A:$A,Output_Mac!T:T,""),
_xlpm.MyAuditVal,_xlfn.XLOOKUP($A40,My_Audit!$A:$A,My_Audit!Q:Q,""),
_xlfn.IFS(_xlpm.MyAuditVal&lt;&gt;"",UPPER(_xlpm.MyAuditVal),_xlpm.MacVal&lt;&gt;"",_xlpm.MacVal,_xlpm.CSVVal&lt;&gt;"",_xlpm.CSVVal
)),"No")</f>
        <v>No</v>
      </c>
      <c r="Q40" s="2" t="str" cm="1">
        <f t="array" ref="Q40">IFERROR(_xlfn.LET(
_xlpm.CSVVal,_xlfn.XLOOKUP($A40,CSV!$A:$A,CSV!AE:AE,""),
_xlpm.MacVal,_xlfn.XLOOKUP($A40,Output_Mac!$A:$A,Output_Mac!U:U,""),
_xlpm.MyAuditVal,_xlfn.XLOOKUP($A40,My_Audit!$A:$A,My_Audit!R:R,""),
_xlfn.IFS(_xlpm.MyAuditVal&lt;&gt;"",UPPER(_xlpm.MyAuditVal),_xlpm.MacVal&lt;&gt;"",_xlpm.MacVal,_xlpm.CSVVal&lt;&gt;"",_xlpm.CSVVal
)),"")</f>
        <v/>
      </c>
      <c r="X40" t="str">
        <f>_xlfn.LET(
    _xlpm.MacVal, _xlfn.XLOOKUP($A40, Output_Mac!$A:$A, Output_Mac!AB:AB, ""),
    _xlpm.MyAuditVal, _xlfn.XLOOKUP($A40, My_Audit!$A:$A, My_Audit!N:N, ""),
    _xlfn.TEXTJOIN(", ", TRUE, _xlpm.MyAuditVal, _xlpm.MacVal)
)</f>
        <v/>
      </c>
    </row>
    <row r="41" spans="1:24">
      <c r="A41" s="2" t="str">
        <f>_xlfn.TEXTJOIN("",TRUE,Input!$B$2,ROW(My_Audit!A40))</f>
        <v>X40</v>
      </c>
      <c r="B41" s="2" t="str">
        <f>_xlfn.TEXTJOIN("-",TRUE,"ITD",Input!$A$2,A41)</f>
        <v>ITD-SHR-X40</v>
      </c>
      <c r="C41" s="2" t="str" cm="1">
        <f t="array" ref="C41">IFERROR(_xlfn.LET(
_xlpm.CSVVal,_xlfn.XLOOKUP($A41,CSV!$A:$A,CSV!B:B,""),
_xlpm.MacVal,_xlfn.XLOOKUP($A41,Output_Mac!$A:$A,Output_Mac!B:B,""),
_xlpm.MyAuditVal,_xlfn.XLOOKUP($A41,My_Audit!$A:$A,My_Audit!B:B,""),
_xlfn.IFS(_xlpm.MyAuditVal&lt;&gt;"",UPPER(_xlpm.MyAuditVal),_xlpm.MacVal&lt;&gt;"",_xlpm.MacVal,_xlpm.CSVVal&lt;&gt;"",_xlpm.CSVVal
)),"")</f>
        <v/>
      </c>
      <c r="D41" s="2" t="str" cm="1">
        <f t="array" ref="D41">IFERROR(_xlfn.LET(
_xlpm.CSVVal,_xlfn.XLOOKUP($A41,CSV!$A:$A,CSV!D:D,""),
_xlpm.MacVal,_xlfn.XLOOKUP($A41,Output_Mac!$A:$A,Output_Mac!C:C,""),
_xlpm.MyAuditVal,_xlfn.XLOOKUP($A41,My_Audit!$A:$A,My_Audit!C:C,""),
_xlfn.IFS(_xlpm.MyAuditVal&lt;&gt;"",_xlpm.MyAuditVal,_xlpm.MacVal&lt;&gt;"",_xlpm.MacVal,_xlpm.CSVVal&lt;&gt;"",_xlpm.CSVVal
)),"")</f>
        <v/>
      </c>
      <c r="E41" s="2" t="str">
        <f>_xlfn.XLOOKUP(A41,My_Audit!A:A,My_Audit!D:D,"")&amp;""</f>
        <v/>
      </c>
      <c r="F41" s="2" t="str" cm="1">
        <f t="array" ref="F41">IFERROR(_xlfn.LET(
_xlpm.CSVVal,_xlfn.XLOOKUP($A41,CSV!$A:$A,CSV!F:F,""),
_xlpm.MacVal,_xlfn.XLOOKUP($A41,Output_Mac!$A:$A,Output_Mac!E:E,""),
_xlpm.MyAuditVal,_xlfn.XLOOKUP($A41,My_Audit!$A:$A,My_Audit!E:E,""),
_xlfn.IFS(_xlpm.MyAuditVal&lt;&gt;"",_xlpm.MyAuditVal,_xlpm.MacVal&lt;&gt;"",_xlpm.MacVal,_xlpm.CSVVal&lt;&gt;"",_xlpm.CSVVal
)),"")</f>
        <v/>
      </c>
      <c r="G41" s="2" t="str" cm="1">
        <f t="array" ref="G41">IFERROR(_xlfn.LET(
_xlpm.CSVVal,_xlfn.XLOOKUP($A41,CSV!$A:$A,CSV!G:G,""),
_xlpm.MacVal,_xlfn.XLOOKUP($A41,Output_Mac!$A:$A,Output_Mac!F:F,""),
_xlpm.MyAuditVal,_xlfn.XLOOKUP($A41,My_Audit!$A:$A,My_Audit!F:F,""),
_xlfn.IFS(_xlpm.MyAuditVal&lt;&gt;"",_xlpm.MyAuditVal,_xlpm.MacVal&lt;&gt;"",_xlpm.MacVal,_xlpm.CSVVal&lt;&gt;"",PROPER(_xlpm.CSVVal)
)),"")</f>
        <v/>
      </c>
      <c r="H41" s="2" t="str" cm="1">
        <f t="array" ref="H41">IFERROR(_xlfn.LET(
_xlpm.CSVVal,_xlfn.XLOOKUP($A41,CSV!$A:$A,CSV!H:H,""),
_xlpm.MacVal,_xlfn.XLOOKUP($A41,Output_Mac!$A:$A,Output_Mac!H:H,""),
_xlpm.MyAuditVal,_xlfn.XLOOKUP($A41,My_Audit!$A:$A,My_Audit!G:G,""),
_xlfn.IFS(_xlpm.MyAuditVal&lt;&gt;"",_xlpm.MyAuditVal,_xlpm.MacVal&lt;&gt;"",_xlpm.MacVal,_xlpm.CSVVal&lt;&gt;"",_xlpm.CSVVal
)),"")</f>
        <v/>
      </c>
      <c r="I41" s="2" t="str">
        <f>_xlfn.XLOOKUP(A41,Output_Mac!A:A,Output_Mac!I:I,"")</f>
        <v/>
      </c>
      <c r="J41" s="2" t="str" cm="1">
        <f t="array" ref="J41">IFERROR(_xlfn.LET(
_xlpm.CSVVal,_xlfn.XLOOKUP($A41,CSV!$A:$A,CSV!I:I,""),
_xlpm.MacVal,_xlfn.XLOOKUP($A41,Output_Mac!$A:$A,Output_Mac!J:J,""),
_xlpm.MyAuditVal,_xlfn.XLOOKUP($A41,My_Audit!$A:$A,My_Audit!I:I,""),
_xlfn.IFS(_xlpm.MyAuditVal&lt;&gt;"",UPPER(_xlpm.MyAuditVal),_xlpm.MacVal&lt;&gt;"",_xlpm.MacVal,_xlpm.CSVVal&lt;&gt;"",_xlpm.CSVVal
)),"")</f>
        <v/>
      </c>
      <c r="K41" s="2" t="str" cm="1">
        <f t="array" ref="K41">IFERROR(_xlfn.LET(
_xlpm.CSVVal,_xlfn.XLOOKUP($A41,CSV!$A:$A,CSV!K:K,""),
_xlpm.MacVal,_xlfn.XLOOKUP($A41,Output_Mac!$A:$A,Output_Mac!K:K,""),
_xlpm.MyAuditVal,_xlfn.XLOOKUP($A41,My_Audit!$A:$A,My_Audit!J:J,""),
_xlfn.IFS(_xlpm.MyAuditVal&lt;&gt;"",UPPER(_xlpm.MyAuditVal),_xlpm.MacVal&lt;&gt;"",_xlpm.MacVal,_xlpm.CSVVal&lt;&gt;"",_xlpm.CSVVal
)),"")</f>
        <v/>
      </c>
      <c r="L41" s="2" t="str" cm="1">
        <f t="array" ref="L41">IFERROR(_xlfn.LET(
_xlpm.CSVVal,_xlfn.XLOOKUP($A41,CSV!$A:$A,CSV!P:P,""),
_xlpm.MacVal,_xlfn.XLOOKUP($A41,Output_Mac!$A:$A,Output_Mac!L:L,""),
_xlpm.MyAuditVal,_xlfn.XLOOKUP($A41,My_Audit!$A:$A,My_Audit!K:K,""),
_xlfn.IFS(_xlpm.MyAuditVal&lt;&gt;"",UPPER(_xlpm.MyAuditVal),_xlpm.MacVal&lt;&gt;"",_xlpm.MacVal,_xlpm.CSVVal&lt;&gt;"",_xlpm.CSVVal
)),"")</f>
        <v/>
      </c>
      <c r="M41" s="2" t="str" cm="1">
        <f t="array" ref="M41">IFERROR(_xlfn.LET(
_xlpm.CSVVal,_xlfn.XLOOKUP($A41,CSV!$A:$A,CSV!Q:Q,""),
_xlpm.MacVal,_xlfn.XLOOKUP($A41,Output_Mac!$A:$A,Output_Mac!M:M,""),
_xlpm.MyAuditVal,_xlfn.XLOOKUP($A41,My_Audit!$A:$A,My_Audit!L:L,""),
_xlfn.IFS(_xlpm.MyAuditVal&lt;&gt;"",UPPER(_xlpm.MyAuditVal),_xlpm.MacVal&lt;&gt;"",_xlpm.MacVal,_xlpm.CSVVal&lt;&gt;"",_xlpm.CSVVal
)),"")</f>
        <v/>
      </c>
      <c r="O41" s="2" t="str">
        <f>_xlfn.LET(
    _xlpm.CSVVal, _xlfn.XLOOKUP($A41, CSV!$A:$A, CSV!AC:AC, ""),
    _xlpm.MacVal, _xlfn.XLOOKUP($A41, Output_Mac!$A:$A, Output_Mac!S:S, ""),
    _xlpm.MyAuditVal, _xlfn.XLOOKUP($A41, My_Audit!$A:$A, My_Audit!P:P, ""),
    _xlfn.TEXTJOIN(", ", TRUE, _xlpm.MyAuditVal, _xlpm.MacVal, _xlpm.CSVVal)
)</f>
        <v/>
      </c>
      <c r="P41" s="2" t="str" cm="1">
        <f t="array" ref="P41">IFERROR(_xlfn.LET(
_xlpm.CSVVal,_xlfn.XLOOKUP($A41,CSV!$A:$A,CSV!AD:AD,""),
_xlpm.MacVal,_xlfn.XLOOKUP($A41,Output_Mac!$A:$A,Output_Mac!T:T,""),
_xlpm.MyAuditVal,_xlfn.XLOOKUP($A41,My_Audit!$A:$A,My_Audit!Q:Q,""),
_xlfn.IFS(_xlpm.MyAuditVal&lt;&gt;"",UPPER(_xlpm.MyAuditVal),_xlpm.MacVal&lt;&gt;"",_xlpm.MacVal,_xlpm.CSVVal&lt;&gt;"",_xlpm.CSVVal
)),"No")</f>
        <v>No</v>
      </c>
      <c r="Q41" s="2" t="str" cm="1">
        <f t="array" ref="Q41">IFERROR(_xlfn.LET(
_xlpm.CSVVal,_xlfn.XLOOKUP($A41,CSV!$A:$A,CSV!AE:AE,""),
_xlpm.MacVal,_xlfn.XLOOKUP($A41,Output_Mac!$A:$A,Output_Mac!U:U,""),
_xlpm.MyAuditVal,_xlfn.XLOOKUP($A41,My_Audit!$A:$A,My_Audit!R:R,""),
_xlfn.IFS(_xlpm.MyAuditVal&lt;&gt;"",UPPER(_xlpm.MyAuditVal),_xlpm.MacVal&lt;&gt;"",_xlpm.MacVal,_xlpm.CSVVal&lt;&gt;"",_xlpm.CSVVal
)),"")</f>
        <v/>
      </c>
      <c r="X41" t="str">
        <f>_xlfn.LET(
    _xlpm.MacVal, _xlfn.XLOOKUP($A41, Output_Mac!$A:$A, Output_Mac!AB:AB, ""),
    _xlpm.MyAuditVal, _xlfn.XLOOKUP($A41, My_Audit!$A:$A, My_Audit!N:N, ""),
    _xlfn.TEXTJOIN(", ", TRUE, _xlpm.MyAuditVal, _xlpm.MacVal)
)</f>
        <v/>
      </c>
    </row>
    <row r="42" spans="1:24">
      <c r="A42" s="2" t="str">
        <f>_xlfn.TEXTJOIN("",TRUE,Input!$B$2,ROW(My_Audit!A41))</f>
        <v>X41</v>
      </c>
      <c r="B42" s="2" t="str">
        <f>_xlfn.TEXTJOIN("-",TRUE,"ITD",Input!$A$2,A42)</f>
        <v>ITD-SHR-X41</v>
      </c>
      <c r="C42" s="2" t="str" cm="1">
        <f t="array" ref="C42">IFERROR(_xlfn.LET(
_xlpm.CSVVal,_xlfn.XLOOKUP($A42,CSV!$A:$A,CSV!B:B,""),
_xlpm.MacVal,_xlfn.XLOOKUP($A42,Output_Mac!$A:$A,Output_Mac!B:B,""),
_xlpm.MyAuditVal,_xlfn.XLOOKUP($A42,My_Audit!$A:$A,My_Audit!B:B,""),
_xlfn.IFS(_xlpm.MyAuditVal&lt;&gt;"",UPPER(_xlpm.MyAuditVal),_xlpm.MacVal&lt;&gt;"",_xlpm.MacVal,_xlpm.CSVVal&lt;&gt;"",_xlpm.CSVVal
)),"")</f>
        <v/>
      </c>
      <c r="D42" s="2" t="str" cm="1">
        <f t="array" ref="D42">IFERROR(_xlfn.LET(
_xlpm.CSVVal,_xlfn.XLOOKUP($A42,CSV!$A:$A,CSV!D:D,""),
_xlpm.MacVal,_xlfn.XLOOKUP($A42,Output_Mac!$A:$A,Output_Mac!C:C,""),
_xlpm.MyAuditVal,_xlfn.XLOOKUP($A42,My_Audit!$A:$A,My_Audit!C:C,""),
_xlfn.IFS(_xlpm.MyAuditVal&lt;&gt;"",_xlpm.MyAuditVal,_xlpm.MacVal&lt;&gt;"",_xlpm.MacVal,_xlpm.CSVVal&lt;&gt;"",_xlpm.CSVVal
)),"")</f>
        <v/>
      </c>
      <c r="E42" s="2" t="str">
        <f>_xlfn.XLOOKUP(A42,My_Audit!A:A,My_Audit!D:D,"")&amp;""</f>
        <v/>
      </c>
      <c r="F42" s="2" t="str" cm="1">
        <f t="array" ref="F42">IFERROR(_xlfn.LET(
_xlpm.CSVVal,_xlfn.XLOOKUP($A42,CSV!$A:$A,CSV!F:F,""),
_xlpm.MacVal,_xlfn.XLOOKUP($A42,Output_Mac!$A:$A,Output_Mac!E:E,""),
_xlpm.MyAuditVal,_xlfn.XLOOKUP($A42,My_Audit!$A:$A,My_Audit!E:E,""),
_xlfn.IFS(_xlpm.MyAuditVal&lt;&gt;"",_xlpm.MyAuditVal,_xlpm.MacVal&lt;&gt;"",_xlpm.MacVal,_xlpm.CSVVal&lt;&gt;"",_xlpm.CSVVal
)),"")</f>
        <v/>
      </c>
      <c r="G42" s="2" t="str" cm="1">
        <f t="array" ref="G42">IFERROR(_xlfn.LET(
_xlpm.CSVVal,_xlfn.XLOOKUP($A42,CSV!$A:$A,CSV!G:G,""),
_xlpm.MacVal,_xlfn.XLOOKUP($A42,Output_Mac!$A:$A,Output_Mac!F:F,""),
_xlpm.MyAuditVal,_xlfn.XLOOKUP($A42,My_Audit!$A:$A,My_Audit!F:F,""),
_xlfn.IFS(_xlpm.MyAuditVal&lt;&gt;"",_xlpm.MyAuditVal,_xlpm.MacVal&lt;&gt;"",_xlpm.MacVal,_xlpm.CSVVal&lt;&gt;"",PROPER(_xlpm.CSVVal)
)),"")</f>
        <v/>
      </c>
      <c r="H42" s="2" t="str" cm="1">
        <f t="array" ref="H42">IFERROR(_xlfn.LET(
_xlpm.CSVVal,_xlfn.XLOOKUP($A42,CSV!$A:$A,CSV!H:H,""),
_xlpm.MacVal,_xlfn.XLOOKUP($A42,Output_Mac!$A:$A,Output_Mac!H:H,""),
_xlpm.MyAuditVal,_xlfn.XLOOKUP($A42,My_Audit!$A:$A,My_Audit!G:G,""),
_xlfn.IFS(_xlpm.MyAuditVal&lt;&gt;"",_xlpm.MyAuditVal,_xlpm.MacVal&lt;&gt;"",_xlpm.MacVal,_xlpm.CSVVal&lt;&gt;"",_xlpm.CSVVal
)),"")</f>
        <v/>
      </c>
      <c r="I42" s="2" t="str">
        <f>_xlfn.XLOOKUP(A42,Output_Mac!A:A,Output_Mac!I:I,"")</f>
        <v/>
      </c>
      <c r="J42" s="2" t="str" cm="1">
        <f t="array" ref="J42">IFERROR(_xlfn.LET(
_xlpm.CSVVal,_xlfn.XLOOKUP($A42,CSV!$A:$A,CSV!I:I,""),
_xlpm.MacVal,_xlfn.XLOOKUP($A42,Output_Mac!$A:$A,Output_Mac!J:J,""),
_xlpm.MyAuditVal,_xlfn.XLOOKUP($A42,My_Audit!$A:$A,My_Audit!I:I,""),
_xlfn.IFS(_xlpm.MyAuditVal&lt;&gt;"",UPPER(_xlpm.MyAuditVal),_xlpm.MacVal&lt;&gt;"",_xlpm.MacVal,_xlpm.CSVVal&lt;&gt;"",_xlpm.CSVVal
)),"")</f>
        <v/>
      </c>
      <c r="K42" s="2" t="str" cm="1">
        <f t="array" ref="K42">IFERROR(_xlfn.LET(
_xlpm.CSVVal,_xlfn.XLOOKUP($A42,CSV!$A:$A,CSV!K:K,""),
_xlpm.MacVal,_xlfn.XLOOKUP($A42,Output_Mac!$A:$A,Output_Mac!K:K,""),
_xlpm.MyAuditVal,_xlfn.XLOOKUP($A42,My_Audit!$A:$A,My_Audit!J:J,""),
_xlfn.IFS(_xlpm.MyAuditVal&lt;&gt;"",UPPER(_xlpm.MyAuditVal),_xlpm.MacVal&lt;&gt;"",_xlpm.MacVal,_xlpm.CSVVal&lt;&gt;"",_xlpm.CSVVal
)),"")</f>
        <v/>
      </c>
      <c r="L42" s="2" t="str" cm="1">
        <f t="array" ref="L42">IFERROR(_xlfn.LET(
_xlpm.CSVVal,_xlfn.XLOOKUP($A42,CSV!$A:$A,CSV!P:P,""),
_xlpm.MacVal,_xlfn.XLOOKUP($A42,Output_Mac!$A:$A,Output_Mac!L:L,""),
_xlpm.MyAuditVal,_xlfn.XLOOKUP($A42,My_Audit!$A:$A,My_Audit!K:K,""),
_xlfn.IFS(_xlpm.MyAuditVal&lt;&gt;"",UPPER(_xlpm.MyAuditVal),_xlpm.MacVal&lt;&gt;"",_xlpm.MacVal,_xlpm.CSVVal&lt;&gt;"",_xlpm.CSVVal
)),"")</f>
        <v/>
      </c>
      <c r="M42" s="2" t="str" cm="1">
        <f t="array" ref="M42">IFERROR(_xlfn.LET(
_xlpm.CSVVal,_xlfn.XLOOKUP($A42,CSV!$A:$A,CSV!Q:Q,""),
_xlpm.MacVal,_xlfn.XLOOKUP($A42,Output_Mac!$A:$A,Output_Mac!M:M,""),
_xlpm.MyAuditVal,_xlfn.XLOOKUP($A42,My_Audit!$A:$A,My_Audit!L:L,""),
_xlfn.IFS(_xlpm.MyAuditVal&lt;&gt;"",UPPER(_xlpm.MyAuditVal),_xlpm.MacVal&lt;&gt;"",_xlpm.MacVal,_xlpm.CSVVal&lt;&gt;"",_xlpm.CSVVal
)),"")</f>
        <v/>
      </c>
      <c r="O42" s="2" t="str">
        <f>_xlfn.LET(
    _xlpm.CSVVal, _xlfn.XLOOKUP($A42, CSV!$A:$A, CSV!AC:AC, ""),
    _xlpm.MacVal, _xlfn.XLOOKUP($A42, Output_Mac!$A:$A, Output_Mac!S:S, ""),
    _xlpm.MyAuditVal, _xlfn.XLOOKUP($A42, My_Audit!$A:$A, My_Audit!P:P, ""),
    _xlfn.TEXTJOIN(", ", TRUE, _xlpm.MyAuditVal, _xlpm.MacVal, _xlpm.CSVVal)
)</f>
        <v/>
      </c>
      <c r="P42" s="2" t="str" cm="1">
        <f t="array" ref="P42">IFERROR(_xlfn.LET(
_xlpm.CSVVal,_xlfn.XLOOKUP($A42,CSV!$A:$A,CSV!AD:AD,""),
_xlpm.MacVal,_xlfn.XLOOKUP($A42,Output_Mac!$A:$A,Output_Mac!T:T,""),
_xlpm.MyAuditVal,_xlfn.XLOOKUP($A42,My_Audit!$A:$A,My_Audit!Q:Q,""),
_xlfn.IFS(_xlpm.MyAuditVal&lt;&gt;"",UPPER(_xlpm.MyAuditVal),_xlpm.MacVal&lt;&gt;"",_xlpm.MacVal,_xlpm.CSVVal&lt;&gt;"",_xlpm.CSVVal
)),"No")</f>
        <v>No</v>
      </c>
      <c r="Q42" s="2" t="str" cm="1">
        <f t="array" ref="Q42">IFERROR(_xlfn.LET(
_xlpm.CSVVal,_xlfn.XLOOKUP($A42,CSV!$A:$A,CSV!AE:AE,""),
_xlpm.MacVal,_xlfn.XLOOKUP($A42,Output_Mac!$A:$A,Output_Mac!U:U,""),
_xlpm.MyAuditVal,_xlfn.XLOOKUP($A42,My_Audit!$A:$A,My_Audit!R:R,""),
_xlfn.IFS(_xlpm.MyAuditVal&lt;&gt;"",UPPER(_xlpm.MyAuditVal),_xlpm.MacVal&lt;&gt;"",_xlpm.MacVal,_xlpm.CSVVal&lt;&gt;"",_xlpm.CSVVal
)),"")</f>
        <v/>
      </c>
      <c r="X42" t="str">
        <f>_xlfn.LET(
    _xlpm.MacVal, _xlfn.XLOOKUP($A42, Output_Mac!$A:$A, Output_Mac!AB:AB, ""),
    _xlpm.MyAuditVal, _xlfn.XLOOKUP($A42, My_Audit!$A:$A, My_Audit!N:N, ""),
    _xlfn.TEXTJOIN(", ", TRUE, _xlpm.MyAuditVal, _xlpm.MacVal)
)</f>
        <v/>
      </c>
    </row>
    <row r="43" spans="1:24">
      <c r="A43" s="2" t="str">
        <f>_xlfn.TEXTJOIN("",TRUE,Input!$B$2,ROW(My_Audit!A42))</f>
        <v>X42</v>
      </c>
      <c r="B43" s="2" t="str">
        <f>_xlfn.TEXTJOIN("-",TRUE,"ITD",Input!$A$2,A43)</f>
        <v>ITD-SHR-X42</v>
      </c>
      <c r="C43" s="2" t="str" cm="1">
        <f t="array" ref="C43">IFERROR(_xlfn.LET(
_xlpm.CSVVal,_xlfn.XLOOKUP($A43,CSV!$A:$A,CSV!B:B,""),
_xlpm.MacVal,_xlfn.XLOOKUP($A43,Output_Mac!$A:$A,Output_Mac!B:B,""),
_xlpm.MyAuditVal,_xlfn.XLOOKUP($A43,My_Audit!$A:$A,My_Audit!B:B,""),
_xlfn.IFS(_xlpm.MyAuditVal&lt;&gt;"",UPPER(_xlpm.MyAuditVal),_xlpm.MacVal&lt;&gt;"",_xlpm.MacVal,_xlpm.CSVVal&lt;&gt;"",_xlpm.CSVVal
)),"")</f>
        <v/>
      </c>
      <c r="D43" s="2" t="str" cm="1">
        <f t="array" ref="D43">IFERROR(_xlfn.LET(
_xlpm.CSVVal,_xlfn.XLOOKUP($A43,CSV!$A:$A,CSV!D:D,""),
_xlpm.MacVal,_xlfn.XLOOKUP($A43,Output_Mac!$A:$A,Output_Mac!C:C,""),
_xlpm.MyAuditVal,_xlfn.XLOOKUP($A43,My_Audit!$A:$A,My_Audit!C:C,""),
_xlfn.IFS(_xlpm.MyAuditVal&lt;&gt;"",_xlpm.MyAuditVal,_xlpm.MacVal&lt;&gt;"",_xlpm.MacVal,_xlpm.CSVVal&lt;&gt;"",_xlpm.CSVVal
)),"")</f>
        <v/>
      </c>
      <c r="E43" s="2" t="str">
        <f>_xlfn.XLOOKUP(A43,My_Audit!A:A,My_Audit!D:D,"")&amp;""</f>
        <v/>
      </c>
      <c r="F43" s="2" t="str" cm="1">
        <f t="array" ref="F43">IFERROR(_xlfn.LET(
_xlpm.CSVVal,_xlfn.XLOOKUP($A43,CSV!$A:$A,CSV!F:F,""),
_xlpm.MacVal,_xlfn.XLOOKUP($A43,Output_Mac!$A:$A,Output_Mac!E:E,""),
_xlpm.MyAuditVal,_xlfn.XLOOKUP($A43,My_Audit!$A:$A,My_Audit!E:E,""),
_xlfn.IFS(_xlpm.MyAuditVal&lt;&gt;"",_xlpm.MyAuditVal,_xlpm.MacVal&lt;&gt;"",_xlpm.MacVal,_xlpm.CSVVal&lt;&gt;"",_xlpm.CSVVal
)),"")</f>
        <v/>
      </c>
      <c r="G43" s="2" t="str" cm="1">
        <f t="array" ref="G43">IFERROR(_xlfn.LET(
_xlpm.CSVVal,_xlfn.XLOOKUP($A43,CSV!$A:$A,CSV!G:G,""),
_xlpm.MacVal,_xlfn.XLOOKUP($A43,Output_Mac!$A:$A,Output_Mac!F:F,""),
_xlpm.MyAuditVal,_xlfn.XLOOKUP($A43,My_Audit!$A:$A,My_Audit!F:F,""),
_xlfn.IFS(_xlpm.MyAuditVal&lt;&gt;"",_xlpm.MyAuditVal,_xlpm.MacVal&lt;&gt;"",_xlpm.MacVal,_xlpm.CSVVal&lt;&gt;"",PROPER(_xlpm.CSVVal)
)),"")</f>
        <v/>
      </c>
      <c r="H43" s="2" t="str" cm="1">
        <f t="array" ref="H43">IFERROR(_xlfn.LET(
_xlpm.CSVVal,_xlfn.XLOOKUP($A43,CSV!$A:$A,CSV!H:H,""),
_xlpm.MacVal,_xlfn.XLOOKUP($A43,Output_Mac!$A:$A,Output_Mac!H:H,""),
_xlpm.MyAuditVal,_xlfn.XLOOKUP($A43,My_Audit!$A:$A,My_Audit!G:G,""),
_xlfn.IFS(_xlpm.MyAuditVal&lt;&gt;"",_xlpm.MyAuditVal,_xlpm.MacVal&lt;&gt;"",_xlpm.MacVal,_xlpm.CSVVal&lt;&gt;"",_xlpm.CSVVal
)),"")</f>
        <v/>
      </c>
      <c r="I43" s="2" t="str">
        <f>_xlfn.XLOOKUP(A43,Output_Mac!A:A,Output_Mac!I:I,"")</f>
        <v/>
      </c>
      <c r="J43" s="2" t="str" cm="1">
        <f t="array" ref="J43">IFERROR(_xlfn.LET(
_xlpm.CSVVal,_xlfn.XLOOKUP($A43,CSV!$A:$A,CSV!I:I,""),
_xlpm.MacVal,_xlfn.XLOOKUP($A43,Output_Mac!$A:$A,Output_Mac!J:J,""),
_xlpm.MyAuditVal,_xlfn.XLOOKUP($A43,My_Audit!$A:$A,My_Audit!I:I,""),
_xlfn.IFS(_xlpm.MyAuditVal&lt;&gt;"",UPPER(_xlpm.MyAuditVal),_xlpm.MacVal&lt;&gt;"",_xlpm.MacVal,_xlpm.CSVVal&lt;&gt;"",_xlpm.CSVVal
)),"")</f>
        <v/>
      </c>
      <c r="K43" s="2" t="str" cm="1">
        <f t="array" ref="K43">IFERROR(_xlfn.LET(
_xlpm.CSVVal,_xlfn.XLOOKUP($A43,CSV!$A:$A,CSV!K:K,""),
_xlpm.MacVal,_xlfn.XLOOKUP($A43,Output_Mac!$A:$A,Output_Mac!K:K,""),
_xlpm.MyAuditVal,_xlfn.XLOOKUP($A43,My_Audit!$A:$A,My_Audit!J:J,""),
_xlfn.IFS(_xlpm.MyAuditVal&lt;&gt;"",UPPER(_xlpm.MyAuditVal),_xlpm.MacVal&lt;&gt;"",_xlpm.MacVal,_xlpm.CSVVal&lt;&gt;"",_xlpm.CSVVal
)),"")</f>
        <v/>
      </c>
      <c r="L43" s="2" t="str" cm="1">
        <f t="array" ref="L43">IFERROR(_xlfn.LET(
_xlpm.CSVVal,_xlfn.XLOOKUP($A43,CSV!$A:$A,CSV!P:P,""),
_xlpm.MacVal,_xlfn.XLOOKUP($A43,Output_Mac!$A:$A,Output_Mac!L:L,""),
_xlpm.MyAuditVal,_xlfn.XLOOKUP($A43,My_Audit!$A:$A,My_Audit!K:K,""),
_xlfn.IFS(_xlpm.MyAuditVal&lt;&gt;"",UPPER(_xlpm.MyAuditVal),_xlpm.MacVal&lt;&gt;"",_xlpm.MacVal,_xlpm.CSVVal&lt;&gt;"",_xlpm.CSVVal
)),"")</f>
        <v/>
      </c>
      <c r="M43" s="2" t="str" cm="1">
        <f t="array" ref="M43">IFERROR(_xlfn.LET(
_xlpm.CSVVal,_xlfn.XLOOKUP($A43,CSV!$A:$A,CSV!Q:Q,""),
_xlpm.MacVal,_xlfn.XLOOKUP($A43,Output_Mac!$A:$A,Output_Mac!M:M,""),
_xlpm.MyAuditVal,_xlfn.XLOOKUP($A43,My_Audit!$A:$A,My_Audit!L:L,""),
_xlfn.IFS(_xlpm.MyAuditVal&lt;&gt;"",UPPER(_xlpm.MyAuditVal),_xlpm.MacVal&lt;&gt;"",_xlpm.MacVal,_xlpm.CSVVal&lt;&gt;"",_xlpm.CSVVal
)),"")</f>
        <v/>
      </c>
      <c r="O43" s="2" t="str">
        <f>_xlfn.LET(
    _xlpm.CSVVal, _xlfn.XLOOKUP($A43, CSV!$A:$A, CSV!AC:AC, ""),
    _xlpm.MacVal, _xlfn.XLOOKUP($A43, Output_Mac!$A:$A, Output_Mac!S:S, ""),
    _xlpm.MyAuditVal, _xlfn.XLOOKUP($A43, My_Audit!$A:$A, My_Audit!P:P, ""),
    _xlfn.TEXTJOIN(", ", TRUE, _xlpm.MyAuditVal, _xlpm.MacVal, _xlpm.CSVVal)
)</f>
        <v/>
      </c>
      <c r="P43" s="2" t="str" cm="1">
        <f t="array" ref="P43">IFERROR(_xlfn.LET(
_xlpm.CSVVal,_xlfn.XLOOKUP($A43,CSV!$A:$A,CSV!AD:AD,""),
_xlpm.MacVal,_xlfn.XLOOKUP($A43,Output_Mac!$A:$A,Output_Mac!T:T,""),
_xlpm.MyAuditVal,_xlfn.XLOOKUP($A43,My_Audit!$A:$A,My_Audit!Q:Q,""),
_xlfn.IFS(_xlpm.MyAuditVal&lt;&gt;"",UPPER(_xlpm.MyAuditVal),_xlpm.MacVal&lt;&gt;"",_xlpm.MacVal,_xlpm.CSVVal&lt;&gt;"",_xlpm.CSVVal
)),"No")</f>
        <v>No</v>
      </c>
      <c r="Q43" s="2" t="str" cm="1">
        <f t="array" ref="Q43">IFERROR(_xlfn.LET(
_xlpm.CSVVal,_xlfn.XLOOKUP($A43,CSV!$A:$A,CSV!AE:AE,""),
_xlpm.MacVal,_xlfn.XLOOKUP($A43,Output_Mac!$A:$A,Output_Mac!U:U,""),
_xlpm.MyAuditVal,_xlfn.XLOOKUP($A43,My_Audit!$A:$A,My_Audit!R:R,""),
_xlfn.IFS(_xlpm.MyAuditVal&lt;&gt;"",UPPER(_xlpm.MyAuditVal),_xlpm.MacVal&lt;&gt;"",_xlpm.MacVal,_xlpm.CSVVal&lt;&gt;"",_xlpm.CSVVal
)),"")</f>
        <v/>
      </c>
      <c r="X43" t="str">
        <f>_xlfn.LET(
    _xlpm.MacVal, _xlfn.XLOOKUP($A43, Output_Mac!$A:$A, Output_Mac!AB:AB, ""),
    _xlpm.MyAuditVal, _xlfn.XLOOKUP($A43, My_Audit!$A:$A, My_Audit!N:N, ""),
    _xlfn.TEXTJOIN(", ", TRUE, _xlpm.MyAuditVal, _xlpm.MacVal)
)</f>
        <v/>
      </c>
    </row>
    <row r="44" spans="1:24">
      <c r="A44" s="2" t="str">
        <f>_xlfn.TEXTJOIN("",TRUE,Input!$B$2,ROW(My_Audit!A43))</f>
        <v>X43</v>
      </c>
      <c r="B44" s="2" t="str">
        <f>_xlfn.TEXTJOIN("-",TRUE,"ITD",Input!$A$2,A44)</f>
        <v>ITD-SHR-X43</v>
      </c>
      <c r="C44" s="2" t="str" cm="1">
        <f t="array" ref="C44">IFERROR(_xlfn.LET(
_xlpm.CSVVal,_xlfn.XLOOKUP($A44,CSV!$A:$A,CSV!B:B,""),
_xlpm.MacVal,_xlfn.XLOOKUP($A44,Output_Mac!$A:$A,Output_Mac!B:B,""),
_xlpm.MyAuditVal,_xlfn.XLOOKUP($A44,My_Audit!$A:$A,My_Audit!B:B,""),
_xlfn.IFS(_xlpm.MyAuditVal&lt;&gt;"",UPPER(_xlpm.MyAuditVal),_xlpm.MacVal&lt;&gt;"",_xlpm.MacVal,_xlpm.CSVVal&lt;&gt;"",_xlpm.CSVVal
)),"")</f>
        <v/>
      </c>
      <c r="D44" s="2" t="str" cm="1">
        <f t="array" ref="D44">IFERROR(_xlfn.LET(
_xlpm.CSVVal,_xlfn.XLOOKUP($A44,CSV!$A:$A,CSV!D:D,""),
_xlpm.MacVal,_xlfn.XLOOKUP($A44,Output_Mac!$A:$A,Output_Mac!C:C,""),
_xlpm.MyAuditVal,_xlfn.XLOOKUP($A44,My_Audit!$A:$A,My_Audit!C:C,""),
_xlfn.IFS(_xlpm.MyAuditVal&lt;&gt;"",_xlpm.MyAuditVal,_xlpm.MacVal&lt;&gt;"",_xlpm.MacVal,_xlpm.CSVVal&lt;&gt;"",_xlpm.CSVVal
)),"")</f>
        <v/>
      </c>
      <c r="E44" s="2" t="str">
        <f>_xlfn.XLOOKUP(A44,My_Audit!A:A,My_Audit!D:D,"")&amp;""</f>
        <v/>
      </c>
      <c r="F44" s="2" t="str" cm="1">
        <f t="array" ref="F44">IFERROR(_xlfn.LET(
_xlpm.CSVVal,_xlfn.XLOOKUP($A44,CSV!$A:$A,CSV!F:F,""),
_xlpm.MacVal,_xlfn.XLOOKUP($A44,Output_Mac!$A:$A,Output_Mac!E:E,""),
_xlpm.MyAuditVal,_xlfn.XLOOKUP($A44,My_Audit!$A:$A,My_Audit!E:E,""),
_xlfn.IFS(_xlpm.MyAuditVal&lt;&gt;"",_xlpm.MyAuditVal,_xlpm.MacVal&lt;&gt;"",_xlpm.MacVal,_xlpm.CSVVal&lt;&gt;"",_xlpm.CSVVal
)),"")</f>
        <v/>
      </c>
      <c r="G44" s="2" t="str" cm="1">
        <f t="array" ref="G44">IFERROR(_xlfn.LET(
_xlpm.CSVVal,_xlfn.XLOOKUP($A44,CSV!$A:$A,CSV!G:G,""),
_xlpm.MacVal,_xlfn.XLOOKUP($A44,Output_Mac!$A:$A,Output_Mac!F:F,""),
_xlpm.MyAuditVal,_xlfn.XLOOKUP($A44,My_Audit!$A:$A,My_Audit!F:F,""),
_xlfn.IFS(_xlpm.MyAuditVal&lt;&gt;"",_xlpm.MyAuditVal,_xlpm.MacVal&lt;&gt;"",_xlpm.MacVal,_xlpm.CSVVal&lt;&gt;"",PROPER(_xlpm.CSVVal)
)),"")</f>
        <v/>
      </c>
      <c r="H44" s="2" t="str" cm="1">
        <f t="array" ref="H44">IFERROR(_xlfn.LET(
_xlpm.CSVVal,_xlfn.XLOOKUP($A44,CSV!$A:$A,CSV!H:H,""),
_xlpm.MacVal,_xlfn.XLOOKUP($A44,Output_Mac!$A:$A,Output_Mac!H:H,""),
_xlpm.MyAuditVal,_xlfn.XLOOKUP($A44,My_Audit!$A:$A,My_Audit!G:G,""),
_xlfn.IFS(_xlpm.MyAuditVal&lt;&gt;"",_xlpm.MyAuditVal,_xlpm.MacVal&lt;&gt;"",_xlpm.MacVal,_xlpm.CSVVal&lt;&gt;"",_xlpm.CSVVal
)),"")</f>
        <v/>
      </c>
      <c r="I44" s="2" t="str">
        <f>_xlfn.XLOOKUP(A44,Output_Mac!A:A,Output_Mac!I:I,"")</f>
        <v/>
      </c>
      <c r="J44" s="2" t="str" cm="1">
        <f t="array" ref="J44">IFERROR(_xlfn.LET(
_xlpm.CSVVal,_xlfn.XLOOKUP($A44,CSV!$A:$A,CSV!I:I,""),
_xlpm.MacVal,_xlfn.XLOOKUP($A44,Output_Mac!$A:$A,Output_Mac!J:J,""),
_xlpm.MyAuditVal,_xlfn.XLOOKUP($A44,My_Audit!$A:$A,My_Audit!I:I,""),
_xlfn.IFS(_xlpm.MyAuditVal&lt;&gt;"",UPPER(_xlpm.MyAuditVal),_xlpm.MacVal&lt;&gt;"",_xlpm.MacVal,_xlpm.CSVVal&lt;&gt;"",_xlpm.CSVVal
)),"")</f>
        <v/>
      </c>
      <c r="K44" s="2" t="str" cm="1">
        <f t="array" ref="K44">IFERROR(_xlfn.LET(
_xlpm.CSVVal,_xlfn.XLOOKUP($A44,CSV!$A:$A,CSV!K:K,""),
_xlpm.MacVal,_xlfn.XLOOKUP($A44,Output_Mac!$A:$A,Output_Mac!K:K,""),
_xlpm.MyAuditVal,_xlfn.XLOOKUP($A44,My_Audit!$A:$A,My_Audit!J:J,""),
_xlfn.IFS(_xlpm.MyAuditVal&lt;&gt;"",UPPER(_xlpm.MyAuditVal),_xlpm.MacVal&lt;&gt;"",_xlpm.MacVal,_xlpm.CSVVal&lt;&gt;"",_xlpm.CSVVal
)),"")</f>
        <v/>
      </c>
      <c r="L44" s="2" t="str" cm="1">
        <f t="array" ref="L44">IFERROR(_xlfn.LET(
_xlpm.CSVVal,_xlfn.XLOOKUP($A44,CSV!$A:$A,CSV!P:P,""),
_xlpm.MacVal,_xlfn.XLOOKUP($A44,Output_Mac!$A:$A,Output_Mac!L:L,""),
_xlpm.MyAuditVal,_xlfn.XLOOKUP($A44,My_Audit!$A:$A,My_Audit!K:K,""),
_xlfn.IFS(_xlpm.MyAuditVal&lt;&gt;"",UPPER(_xlpm.MyAuditVal),_xlpm.MacVal&lt;&gt;"",_xlpm.MacVal,_xlpm.CSVVal&lt;&gt;"",_xlpm.CSVVal
)),"")</f>
        <v/>
      </c>
      <c r="M44" s="2" t="str" cm="1">
        <f t="array" ref="M44">IFERROR(_xlfn.LET(
_xlpm.CSVVal,_xlfn.XLOOKUP($A44,CSV!$A:$A,CSV!Q:Q,""),
_xlpm.MacVal,_xlfn.XLOOKUP($A44,Output_Mac!$A:$A,Output_Mac!M:M,""),
_xlpm.MyAuditVal,_xlfn.XLOOKUP($A44,My_Audit!$A:$A,My_Audit!L:L,""),
_xlfn.IFS(_xlpm.MyAuditVal&lt;&gt;"",UPPER(_xlpm.MyAuditVal),_xlpm.MacVal&lt;&gt;"",_xlpm.MacVal,_xlpm.CSVVal&lt;&gt;"",_xlpm.CSVVal
)),"")</f>
        <v/>
      </c>
      <c r="O44" s="2" t="str">
        <f>_xlfn.LET(
    _xlpm.CSVVal, _xlfn.XLOOKUP($A44, CSV!$A:$A, CSV!AC:AC, ""),
    _xlpm.MacVal, _xlfn.XLOOKUP($A44, Output_Mac!$A:$A, Output_Mac!S:S, ""),
    _xlpm.MyAuditVal, _xlfn.XLOOKUP($A44, My_Audit!$A:$A, My_Audit!P:P, ""),
    _xlfn.TEXTJOIN(", ", TRUE, _xlpm.MyAuditVal, _xlpm.MacVal, _xlpm.CSVVal)
)</f>
        <v/>
      </c>
      <c r="P44" s="2" t="str" cm="1">
        <f t="array" ref="P44">IFERROR(_xlfn.LET(
_xlpm.CSVVal,_xlfn.XLOOKUP($A44,CSV!$A:$A,CSV!AD:AD,""),
_xlpm.MacVal,_xlfn.XLOOKUP($A44,Output_Mac!$A:$A,Output_Mac!T:T,""),
_xlpm.MyAuditVal,_xlfn.XLOOKUP($A44,My_Audit!$A:$A,My_Audit!Q:Q,""),
_xlfn.IFS(_xlpm.MyAuditVal&lt;&gt;"",UPPER(_xlpm.MyAuditVal),_xlpm.MacVal&lt;&gt;"",_xlpm.MacVal,_xlpm.CSVVal&lt;&gt;"",_xlpm.CSVVal
)),"No")</f>
        <v>No</v>
      </c>
      <c r="Q44" s="2" t="str" cm="1">
        <f t="array" ref="Q44">IFERROR(_xlfn.LET(
_xlpm.CSVVal,_xlfn.XLOOKUP($A44,CSV!$A:$A,CSV!AE:AE,""),
_xlpm.MacVal,_xlfn.XLOOKUP($A44,Output_Mac!$A:$A,Output_Mac!U:U,""),
_xlpm.MyAuditVal,_xlfn.XLOOKUP($A44,My_Audit!$A:$A,My_Audit!R:R,""),
_xlfn.IFS(_xlpm.MyAuditVal&lt;&gt;"",UPPER(_xlpm.MyAuditVal),_xlpm.MacVal&lt;&gt;"",_xlpm.MacVal,_xlpm.CSVVal&lt;&gt;"",_xlpm.CSVVal
)),"")</f>
        <v/>
      </c>
      <c r="X44" t="str">
        <f>_xlfn.LET(
    _xlpm.MacVal, _xlfn.XLOOKUP($A44, Output_Mac!$A:$A, Output_Mac!AB:AB, ""),
    _xlpm.MyAuditVal, _xlfn.XLOOKUP($A44, My_Audit!$A:$A, My_Audit!N:N, ""),
    _xlfn.TEXTJOIN(", ", TRUE, _xlpm.MyAuditVal, _xlpm.MacVal)
)</f>
        <v/>
      </c>
    </row>
    <row r="45" spans="1:24">
      <c r="A45" s="2" t="str">
        <f>_xlfn.TEXTJOIN("",TRUE,Input!$B$2,ROW(My_Audit!A44))</f>
        <v>X44</v>
      </c>
      <c r="B45" s="2" t="str">
        <f>_xlfn.TEXTJOIN("-",TRUE,"ITD",Input!$A$2,A45)</f>
        <v>ITD-SHR-X44</v>
      </c>
      <c r="C45" s="2" t="str" cm="1">
        <f t="array" ref="C45">IFERROR(_xlfn.LET(
_xlpm.CSVVal,_xlfn.XLOOKUP($A45,CSV!$A:$A,CSV!B:B,""),
_xlpm.MacVal,_xlfn.XLOOKUP($A45,Output_Mac!$A:$A,Output_Mac!B:B,""),
_xlpm.MyAuditVal,_xlfn.XLOOKUP($A45,My_Audit!$A:$A,My_Audit!B:B,""),
_xlfn.IFS(_xlpm.MyAuditVal&lt;&gt;"",UPPER(_xlpm.MyAuditVal),_xlpm.MacVal&lt;&gt;"",_xlpm.MacVal,_xlpm.CSVVal&lt;&gt;"",_xlpm.CSVVal
)),"")</f>
        <v/>
      </c>
      <c r="D45" s="2" t="str" cm="1">
        <f t="array" ref="D45">IFERROR(_xlfn.LET(
_xlpm.CSVVal,_xlfn.XLOOKUP($A45,CSV!$A:$A,CSV!D:D,""),
_xlpm.MacVal,_xlfn.XLOOKUP($A45,Output_Mac!$A:$A,Output_Mac!C:C,""),
_xlpm.MyAuditVal,_xlfn.XLOOKUP($A45,My_Audit!$A:$A,My_Audit!C:C,""),
_xlfn.IFS(_xlpm.MyAuditVal&lt;&gt;"",_xlpm.MyAuditVal,_xlpm.MacVal&lt;&gt;"",_xlpm.MacVal,_xlpm.CSVVal&lt;&gt;"",_xlpm.CSVVal
)),"")</f>
        <v/>
      </c>
      <c r="E45" s="2" t="str">
        <f>_xlfn.XLOOKUP(A45,My_Audit!A:A,My_Audit!D:D,"")&amp;""</f>
        <v/>
      </c>
      <c r="F45" s="2" t="str" cm="1">
        <f t="array" ref="F45">IFERROR(_xlfn.LET(
_xlpm.CSVVal,_xlfn.XLOOKUP($A45,CSV!$A:$A,CSV!F:F,""),
_xlpm.MacVal,_xlfn.XLOOKUP($A45,Output_Mac!$A:$A,Output_Mac!E:E,""),
_xlpm.MyAuditVal,_xlfn.XLOOKUP($A45,My_Audit!$A:$A,My_Audit!E:E,""),
_xlfn.IFS(_xlpm.MyAuditVal&lt;&gt;"",_xlpm.MyAuditVal,_xlpm.MacVal&lt;&gt;"",_xlpm.MacVal,_xlpm.CSVVal&lt;&gt;"",_xlpm.CSVVal
)),"")</f>
        <v/>
      </c>
      <c r="G45" s="2" t="str" cm="1">
        <f t="array" ref="G45">IFERROR(_xlfn.LET(
_xlpm.CSVVal,_xlfn.XLOOKUP($A45,CSV!$A:$A,CSV!G:G,""),
_xlpm.MacVal,_xlfn.XLOOKUP($A45,Output_Mac!$A:$A,Output_Mac!F:F,""),
_xlpm.MyAuditVal,_xlfn.XLOOKUP($A45,My_Audit!$A:$A,My_Audit!F:F,""),
_xlfn.IFS(_xlpm.MyAuditVal&lt;&gt;"",_xlpm.MyAuditVal,_xlpm.MacVal&lt;&gt;"",_xlpm.MacVal,_xlpm.CSVVal&lt;&gt;"",PROPER(_xlpm.CSVVal)
)),"")</f>
        <v/>
      </c>
      <c r="H45" s="2" t="str" cm="1">
        <f t="array" ref="H45">IFERROR(_xlfn.LET(
_xlpm.CSVVal,_xlfn.XLOOKUP($A45,CSV!$A:$A,CSV!H:H,""),
_xlpm.MacVal,_xlfn.XLOOKUP($A45,Output_Mac!$A:$A,Output_Mac!H:H,""),
_xlpm.MyAuditVal,_xlfn.XLOOKUP($A45,My_Audit!$A:$A,My_Audit!G:G,""),
_xlfn.IFS(_xlpm.MyAuditVal&lt;&gt;"",_xlpm.MyAuditVal,_xlpm.MacVal&lt;&gt;"",_xlpm.MacVal,_xlpm.CSVVal&lt;&gt;"",_xlpm.CSVVal
)),"")</f>
        <v/>
      </c>
      <c r="I45" s="2" t="str">
        <f>_xlfn.XLOOKUP(A45,Output_Mac!A:A,Output_Mac!I:I,"")</f>
        <v/>
      </c>
      <c r="J45" s="2" t="str" cm="1">
        <f t="array" ref="J45">IFERROR(_xlfn.LET(
_xlpm.CSVVal,_xlfn.XLOOKUP($A45,CSV!$A:$A,CSV!I:I,""),
_xlpm.MacVal,_xlfn.XLOOKUP($A45,Output_Mac!$A:$A,Output_Mac!J:J,""),
_xlpm.MyAuditVal,_xlfn.XLOOKUP($A45,My_Audit!$A:$A,My_Audit!I:I,""),
_xlfn.IFS(_xlpm.MyAuditVal&lt;&gt;"",UPPER(_xlpm.MyAuditVal),_xlpm.MacVal&lt;&gt;"",_xlpm.MacVal,_xlpm.CSVVal&lt;&gt;"",_xlpm.CSVVal
)),"")</f>
        <v/>
      </c>
      <c r="K45" s="2" t="str" cm="1">
        <f t="array" ref="K45">IFERROR(_xlfn.LET(
_xlpm.CSVVal,_xlfn.XLOOKUP($A45,CSV!$A:$A,CSV!K:K,""),
_xlpm.MacVal,_xlfn.XLOOKUP($A45,Output_Mac!$A:$A,Output_Mac!K:K,""),
_xlpm.MyAuditVal,_xlfn.XLOOKUP($A45,My_Audit!$A:$A,My_Audit!J:J,""),
_xlfn.IFS(_xlpm.MyAuditVal&lt;&gt;"",UPPER(_xlpm.MyAuditVal),_xlpm.MacVal&lt;&gt;"",_xlpm.MacVal,_xlpm.CSVVal&lt;&gt;"",_xlpm.CSVVal
)),"")</f>
        <v/>
      </c>
      <c r="L45" s="2" t="str" cm="1">
        <f t="array" ref="L45">IFERROR(_xlfn.LET(
_xlpm.CSVVal,_xlfn.XLOOKUP($A45,CSV!$A:$A,CSV!P:P,""),
_xlpm.MacVal,_xlfn.XLOOKUP($A45,Output_Mac!$A:$A,Output_Mac!L:L,""),
_xlpm.MyAuditVal,_xlfn.XLOOKUP($A45,My_Audit!$A:$A,My_Audit!K:K,""),
_xlfn.IFS(_xlpm.MyAuditVal&lt;&gt;"",UPPER(_xlpm.MyAuditVal),_xlpm.MacVal&lt;&gt;"",_xlpm.MacVal,_xlpm.CSVVal&lt;&gt;"",_xlpm.CSVVal
)),"")</f>
        <v/>
      </c>
      <c r="M45" s="2" t="str" cm="1">
        <f t="array" ref="M45">IFERROR(_xlfn.LET(
_xlpm.CSVVal,_xlfn.XLOOKUP($A45,CSV!$A:$A,CSV!Q:Q,""),
_xlpm.MacVal,_xlfn.XLOOKUP($A45,Output_Mac!$A:$A,Output_Mac!M:M,""),
_xlpm.MyAuditVal,_xlfn.XLOOKUP($A45,My_Audit!$A:$A,My_Audit!L:L,""),
_xlfn.IFS(_xlpm.MyAuditVal&lt;&gt;"",UPPER(_xlpm.MyAuditVal),_xlpm.MacVal&lt;&gt;"",_xlpm.MacVal,_xlpm.CSVVal&lt;&gt;"",_xlpm.CSVVal
)),"")</f>
        <v/>
      </c>
      <c r="O45" s="2" t="str">
        <f>_xlfn.LET(
    _xlpm.CSVVal, _xlfn.XLOOKUP($A45, CSV!$A:$A, CSV!AC:AC, ""),
    _xlpm.MacVal, _xlfn.XLOOKUP($A45, Output_Mac!$A:$A, Output_Mac!S:S, ""),
    _xlpm.MyAuditVal, _xlfn.XLOOKUP($A45, My_Audit!$A:$A, My_Audit!P:P, ""),
    _xlfn.TEXTJOIN(", ", TRUE, _xlpm.MyAuditVal, _xlpm.MacVal, _xlpm.CSVVal)
)</f>
        <v/>
      </c>
      <c r="P45" s="2" t="str" cm="1">
        <f t="array" ref="P45">IFERROR(_xlfn.LET(
_xlpm.CSVVal,_xlfn.XLOOKUP($A45,CSV!$A:$A,CSV!AD:AD,""),
_xlpm.MacVal,_xlfn.XLOOKUP($A45,Output_Mac!$A:$A,Output_Mac!T:T,""),
_xlpm.MyAuditVal,_xlfn.XLOOKUP($A45,My_Audit!$A:$A,My_Audit!Q:Q,""),
_xlfn.IFS(_xlpm.MyAuditVal&lt;&gt;"",UPPER(_xlpm.MyAuditVal),_xlpm.MacVal&lt;&gt;"",_xlpm.MacVal,_xlpm.CSVVal&lt;&gt;"",_xlpm.CSVVal
)),"No")</f>
        <v>No</v>
      </c>
      <c r="Q45" s="2" t="str" cm="1">
        <f t="array" ref="Q45">IFERROR(_xlfn.LET(
_xlpm.CSVVal,_xlfn.XLOOKUP($A45,CSV!$A:$A,CSV!AE:AE,""),
_xlpm.MacVal,_xlfn.XLOOKUP($A45,Output_Mac!$A:$A,Output_Mac!U:U,""),
_xlpm.MyAuditVal,_xlfn.XLOOKUP($A45,My_Audit!$A:$A,My_Audit!R:R,""),
_xlfn.IFS(_xlpm.MyAuditVal&lt;&gt;"",UPPER(_xlpm.MyAuditVal),_xlpm.MacVal&lt;&gt;"",_xlpm.MacVal,_xlpm.CSVVal&lt;&gt;"",_xlpm.CSVVal
)),"")</f>
        <v/>
      </c>
      <c r="X45" t="str">
        <f>_xlfn.LET(
    _xlpm.MacVal, _xlfn.XLOOKUP($A45, Output_Mac!$A:$A, Output_Mac!AB:AB, ""),
    _xlpm.MyAuditVal, _xlfn.XLOOKUP($A45, My_Audit!$A:$A, My_Audit!N:N, ""),
    _xlfn.TEXTJOIN(", ", TRUE, _xlpm.MyAuditVal, _xlpm.MacVal)
)</f>
        <v/>
      </c>
    </row>
    <row r="46" spans="1:24">
      <c r="A46" s="2" t="str">
        <f>_xlfn.TEXTJOIN("",TRUE,Input!$B$2,ROW(My_Audit!A45))</f>
        <v>X45</v>
      </c>
      <c r="B46" s="2" t="str">
        <f>_xlfn.TEXTJOIN("-",TRUE,"ITD",Input!$A$2,A46)</f>
        <v>ITD-SHR-X45</v>
      </c>
      <c r="C46" s="2" t="str" cm="1">
        <f t="array" ref="C46">IFERROR(_xlfn.LET(
_xlpm.CSVVal,_xlfn.XLOOKUP($A46,CSV!$A:$A,CSV!B:B,""),
_xlpm.MacVal,_xlfn.XLOOKUP($A46,Output_Mac!$A:$A,Output_Mac!B:B,""),
_xlpm.MyAuditVal,_xlfn.XLOOKUP($A46,My_Audit!$A:$A,My_Audit!B:B,""),
_xlfn.IFS(_xlpm.MyAuditVal&lt;&gt;"",UPPER(_xlpm.MyAuditVal),_xlpm.MacVal&lt;&gt;"",_xlpm.MacVal,_xlpm.CSVVal&lt;&gt;"",_xlpm.CSVVal
)),"")</f>
        <v/>
      </c>
      <c r="D46" s="2" t="str" cm="1">
        <f t="array" ref="D46">IFERROR(_xlfn.LET(
_xlpm.CSVVal,_xlfn.XLOOKUP($A46,CSV!$A:$A,CSV!D:D,""),
_xlpm.MacVal,_xlfn.XLOOKUP($A46,Output_Mac!$A:$A,Output_Mac!C:C,""),
_xlpm.MyAuditVal,_xlfn.XLOOKUP($A46,My_Audit!$A:$A,My_Audit!C:C,""),
_xlfn.IFS(_xlpm.MyAuditVal&lt;&gt;"",_xlpm.MyAuditVal,_xlpm.MacVal&lt;&gt;"",_xlpm.MacVal,_xlpm.CSVVal&lt;&gt;"",_xlpm.CSVVal
)),"")</f>
        <v/>
      </c>
      <c r="E46" s="2" t="str">
        <f>_xlfn.XLOOKUP(A46,My_Audit!A:A,My_Audit!D:D,"")&amp;""</f>
        <v/>
      </c>
      <c r="F46" s="2" t="str" cm="1">
        <f t="array" ref="F46">IFERROR(_xlfn.LET(
_xlpm.CSVVal,_xlfn.XLOOKUP($A46,CSV!$A:$A,CSV!F:F,""),
_xlpm.MacVal,_xlfn.XLOOKUP($A46,Output_Mac!$A:$A,Output_Mac!E:E,""),
_xlpm.MyAuditVal,_xlfn.XLOOKUP($A46,My_Audit!$A:$A,My_Audit!E:E,""),
_xlfn.IFS(_xlpm.MyAuditVal&lt;&gt;"",_xlpm.MyAuditVal,_xlpm.MacVal&lt;&gt;"",_xlpm.MacVal,_xlpm.CSVVal&lt;&gt;"",_xlpm.CSVVal
)),"")</f>
        <v/>
      </c>
      <c r="G46" s="2" t="str" cm="1">
        <f t="array" ref="G46">IFERROR(_xlfn.LET(
_xlpm.CSVVal,_xlfn.XLOOKUP($A46,CSV!$A:$A,CSV!G:G,""),
_xlpm.MacVal,_xlfn.XLOOKUP($A46,Output_Mac!$A:$A,Output_Mac!F:F,""),
_xlpm.MyAuditVal,_xlfn.XLOOKUP($A46,My_Audit!$A:$A,My_Audit!F:F,""),
_xlfn.IFS(_xlpm.MyAuditVal&lt;&gt;"",_xlpm.MyAuditVal,_xlpm.MacVal&lt;&gt;"",_xlpm.MacVal,_xlpm.CSVVal&lt;&gt;"",PROPER(_xlpm.CSVVal)
)),"")</f>
        <v/>
      </c>
      <c r="H46" s="2" t="str" cm="1">
        <f t="array" ref="H46">IFERROR(_xlfn.LET(
_xlpm.CSVVal,_xlfn.XLOOKUP($A46,CSV!$A:$A,CSV!H:H,""),
_xlpm.MacVal,_xlfn.XLOOKUP($A46,Output_Mac!$A:$A,Output_Mac!H:H,""),
_xlpm.MyAuditVal,_xlfn.XLOOKUP($A46,My_Audit!$A:$A,My_Audit!G:G,""),
_xlfn.IFS(_xlpm.MyAuditVal&lt;&gt;"",_xlpm.MyAuditVal,_xlpm.MacVal&lt;&gt;"",_xlpm.MacVal,_xlpm.CSVVal&lt;&gt;"",_xlpm.CSVVal
)),"")</f>
        <v/>
      </c>
      <c r="I46" s="2" t="str">
        <f>_xlfn.XLOOKUP(A46,Output_Mac!A:A,Output_Mac!I:I,"")</f>
        <v/>
      </c>
      <c r="J46" s="2" t="str" cm="1">
        <f t="array" ref="J46">IFERROR(_xlfn.LET(
_xlpm.CSVVal,_xlfn.XLOOKUP($A46,CSV!$A:$A,CSV!I:I,""),
_xlpm.MacVal,_xlfn.XLOOKUP($A46,Output_Mac!$A:$A,Output_Mac!J:J,""),
_xlpm.MyAuditVal,_xlfn.XLOOKUP($A46,My_Audit!$A:$A,My_Audit!I:I,""),
_xlfn.IFS(_xlpm.MyAuditVal&lt;&gt;"",UPPER(_xlpm.MyAuditVal),_xlpm.MacVal&lt;&gt;"",_xlpm.MacVal,_xlpm.CSVVal&lt;&gt;"",_xlpm.CSVVal
)),"")</f>
        <v/>
      </c>
      <c r="K46" s="2" t="str" cm="1">
        <f t="array" ref="K46">IFERROR(_xlfn.LET(
_xlpm.CSVVal,_xlfn.XLOOKUP($A46,CSV!$A:$A,CSV!K:K,""),
_xlpm.MacVal,_xlfn.XLOOKUP($A46,Output_Mac!$A:$A,Output_Mac!K:K,""),
_xlpm.MyAuditVal,_xlfn.XLOOKUP($A46,My_Audit!$A:$A,My_Audit!J:J,""),
_xlfn.IFS(_xlpm.MyAuditVal&lt;&gt;"",UPPER(_xlpm.MyAuditVal),_xlpm.MacVal&lt;&gt;"",_xlpm.MacVal,_xlpm.CSVVal&lt;&gt;"",_xlpm.CSVVal
)),"")</f>
        <v/>
      </c>
      <c r="L46" s="2" t="str" cm="1">
        <f t="array" ref="L46">IFERROR(_xlfn.LET(
_xlpm.CSVVal,_xlfn.XLOOKUP($A46,CSV!$A:$A,CSV!P:P,""),
_xlpm.MacVal,_xlfn.XLOOKUP($A46,Output_Mac!$A:$A,Output_Mac!L:L,""),
_xlpm.MyAuditVal,_xlfn.XLOOKUP($A46,My_Audit!$A:$A,My_Audit!K:K,""),
_xlfn.IFS(_xlpm.MyAuditVal&lt;&gt;"",UPPER(_xlpm.MyAuditVal),_xlpm.MacVal&lt;&gt;"",_xlpm.MacVal,_xlpm.CSVVal&lt;&gt;"",_xlpm.CSVVal
)),"")</f>
        <v/>
      </c>
      <c r="M46" s="2" t="str" cm="1">
        <f t="array" ref="M46">IFERROR(_xlfn.LET(
_xlpm.CSVVal,_xlfn.XLOOKUP($A46,CSV!$A:$A,CSV!Q:Q,""),
_xlpm.MacVal,_xlfn.XLOOKUP($A46,Output_Mac!$A:$A,Output_Mac!M:M,""),
_xlpm.MyAuditVal,_xlfn.XLOOKUP($A46,My_Audit!$A:$A,My_Audit!L:L,""),
_xlfn.IFS(_xlpm.MyAuditVal&lt;&gt;"",UPPER(_xlpm.MyAuditVal),_xlpm.MacVal&lt;&gt;"",_xlpm.MacVal,_xlpm.CSVVal&lt;&gt;"",_xlpm.CSVVal
)),"")</f>
        <v/>
      </c>
      <c r="O46" s="2" t="str">
        <f>_xlfn.LET(
    _xlpm.CSVVal, _xlfn.XLOOKUP($A46, CSV!$A:$A, CSV!AC:AC, ""),
    _xlpm.MacVal, _xlfn.XLOOKUP($A46, Output_Mac!$A:$A, Output_Mac!S:S, ""),
    _xlpm.MyAuditVal, _xlfn.XLOOKUP($A46, My_Audit!$A:$A, My_Audit!P:P, ""),
    _xlfn.TEXTJOIN(", ", TRUE, _xlpm.MyAuditVal, _xlpm.MacVal, _xlpm.CSVVal)
)</f>
        <v/>
      </c>
      <c r="P46" s="2" t="str" cm="1">
        <f t="array" ref="P46">IFERROR(_xlfn.LET(
_xlpm.CSVVal,_xlfn.XLOOKUP($A46,CSV!$A:$A,CSV!AD:AD,""),
_xlpm.MacVal,_xlfn.XLOOKUP($A46,Output_Mac!$A:$A,Output_Mac!T:T,""),
_xlpm.MyAuditVal,_xlfn.XLOOKUP($A46,My_Audit!$A:$A,My_Audit!Q:Q,""),
_xlfn.IFS(_xlpm.MyAuditVal&lt;&gt;"",UPPER(_xlpm.MyAuditVal),_xlpm.MacVal&lt;&gt;"",_xlpm.MacVal,_xlpm.CSVVal&lt;&gt;"",_xlpm.CSVVal
)),"No")</f>
        <v>No</v>
      </c>
      <c r="Q46" s="2" t="str" cm="1">
        <f t="array" ref="Q46">IFERROR(_xlfn.LET(
_xlpm.CSVVal,_xlfn.XLOOKUP($A46,CSV!$A:$A,CSV!AE:AE,""),
_xlpm.MacVal,_xlfn.XLOOKUP($A46,Output_Mac!$A:$A,Output_Mac!U:U,""),
_xlpm.MyAuditVal,_xlfn.XLOOKUP($A46,My_Audit!$A:$A,My_Audit!R:R,""),
_xlfn.IFS(_xlpm.MyAuditVal&lt;&gt;"",UPPER(_xlpm.MyAuditVal),_xlpm.MacVal&lt;&gt;"",_xlpm.MacVal,_xlpm.CSVVal&lt;&gt;"",_xlpm.CSVVal
)),"")</f>
        <v/>
      </c>
      <c r="X46" t="str">
        <f>_xlfn.LET(
    _xlpm.MacVal, _xlfn.XLOOKUP($A46, Output_Mac!$A:$A, Output_Mac!AB:AB, ""),
    _xlpm.MyAuditVal, _xlfn.XLOOKUP($A46, My_Audit!$A:$A, My_Audit!N:N, ""),
    _xlfn.TEXTJOIN(", ", TRUE, _xlpm.MyAuditVal, _xlpm.MacVal)
)</f>
        <v/>
      </c>
    </row>
    <row r="47" spans="1:24">
      <c r="A47" s="2" t="str">
        <f>_xlfn.TEXTJOIN("",TRUE,Input!$B$2,ROW(My_Audit!A46))</f>
        <v>X46</v>
      </c>
      <c r="B47" s="2" t="str">
        <f>_xlfn.TEXTJOIN("-",TRUE,"ITD",Input!$A$2,A47)</f>
        <v>ITD-SHR-X46</v>
      </c>
      <c r="C47" s="2" t="str" cm="1">
        <f t="array" ref="C47">IFERROR(_xlfn.LET(
_xlpm.CSVVal,_xlfn.XLOOKUP($A47,CSV!$A:$A,CSV!B:B,""),
_xlpm.MacVal,_xlfn.XLOOKUP($A47,Output_Mac!$A:$A,Output_Mac!B:B,""),
_xlpm.MyAuditVal,_xlfn.XLOOKUP($A47,My_Audit!$A:$A,My_Audit!B:B,""),
_xlfn.IFS(_xlpm.MyAuditVal&lt;&gt;"",UPPER(_xlpm.MyAuditVal),_xlpm.MacVal&lt;&gt;"",_xlpm.MacVal,_xlpm.CSVVal&lt;&gt;"",_xlpm.CSVVal
)),"")</f>
        <v/>
      </c>
      <c r="D47" s="2" t="str" cm="1">
        <f t="array" ref="D47">IFERROR(_xlfn.LET(
_xlpm.CSVVal,_xlfn.XLOOKUP($A47,CSV!$A:$A,CSV!D:D,""),
_xlpm.MacVal,_xlfn.XLOOKUP($A47,Output_Mac!$A:$A,Output_Mac!C:C,""),
_xlpm.MyAuditVal,_xlfn.XLOOKUP($A47,My_Audit!$A:$A,My_Audit!C:C,""),
_xlfn.IFS(_xlpm.MyAuditVal&lt;&gt;"",_xlpm.MyAuditVal,_xlpm.MacVal&lt;&gt;"",_xlpm.MacVal,_xlpm.CSVVal&lt;&gt;"",_xlpm.CSVVal
)),"")</f>
        <v/>
      </c>
      <c r="E47" s="2" t="str">
        <f>_xlfn.XLOOKUP(A47,My_Audit!A:A,My_Audit!D:D,"")&amp;""</f>
        <v/>
      </c>
      <c r="F47" s="2" t="str" cm="1">
        <f t="array" ref="F47">IFERROR(_xlfn.LET(
_xlpm.CSVVal,_xlfn.XLOOKUP($A47,CSV!$A:$A,CSV!F:F,""),
_xlpm.MacVal,_xlfn.XLOOKUP($A47,Output_Mac!$A:$A,Output_Mac!E:E,""),
_xlpm.MyAuditVal,_xlfn.XLOOKUP($A47,My_Audit!$A:$A,My_Audit!E:E,""),
_xlfn.IFS(_xlpm.MyAuditVal&lt;&gt;"",_xlpm.MyAuditVal,_xlpm.MacVal&lt;&gt;"",_xlpm.MacVal,_xlpm.CSVVal&lt;&gt;"",_xlpm.CSVVal
)),"")</f>
        <v/>
      </c>
      <c r="G47" s="2" t="str" cm="1">
        <f t="array" ref="G47">IFERROR(_xlfn.LET(
_xlpm.CSVVal,_xlfn.XLOOKUP($A47,CSV!$A:$A,CSV!G:G,""),
_xlpm.MacVal,_xlfn.XLOOKUP($A47,Output_Mac!$A:$A,Output_Mac!F:F,""),
_xlpm.MyAuditVal,_xlfn.XLOOKUP($A47,My_Audit!$A:$A,My_Audit!F:F,""),
_xlfn.IFS(_xlpm.MyAuditVal&lt;&gt;"",_xlpm.MyAuditVal,_xlpm.MacVal&lt;&gt;"",_xlpm.MacVal,_xlpm.CSVVal&lt;&gt;"",PROPER(_xlpm.CSVVal)
)),"")</f>
        <v/>
      </c>
      <c r="H47" s="2" t="str" cm="1">
        <f t="array" ref="H47">IFERROR(_xlfn.LET(
_xlpm.CSVVal,_xlfn.XLOOKUP($A47,CSV!$A:$A,CSV!H:H,""),
_xlpm.MacVal,_xlfn.XLOOKUP($A47,Output_Mac!$A:$A,Output_Mac!H:H,""),
_xlpm.MyAuditVal,_xlfn.XLOOKUP($A47,My_Audit!$A:$A,My_Audit!G:G,""),
_xlfn.IFS(_xlpm.MyAuditVal&lt;&gt;"",_xlpm.MyAuditVal,_xlpm.MacVal&lt;&gt;"",_xlpm.MacVal,_xlpm.CSVVal&lt;&gt;"",_xlpm.CSVVal
)),"")</f>
        <v/>
      </c>
      <c r="I47" s="2" t="str">
        <f>_xlfn.XLOOKUP(A47,Output_Mac!A:A,Output_Mac!I:I,"")</f>
        <v/>
      </c>
      <c r="J47" s="2" t="str" cm="1">
        <f t="array" ref="J47">IFERROR(_xlfn.LET(
_xlpm.CSVVal,_xlfn.XLOOKUP($A47,CSV!$A:$A,CSV!I:I,""),
_xlpm.MacVal,_xlfn.XLOOKUP($A47,Output_Mac!$A:$A,Output_Mac!J:J,""),
_xlpm.MyAuditVal,_xlfn.XLOOKUP($A47,My_Audit!$A:$A,My_Audit!I:I,""),
_xlfn.IFS(_xlpm.MyAuditVal&lt;&gt;"",UPPER(_xlpm.MyAuditVal),_xlpm.MacVal&lt;&gt;"",_xlpm.MacVal,_xlpm.CSVVal&lt;&gt;"",_xlpm.CSVVal
)),"")</f>
        <v/>
      </c>
      <c r="K47" s="2" t="str" cm="1">
        <f t="array" ref="K47">IFERROR(_xlfn.LET(
_xlpm.CSVVal,_xlfn.XLOOKUP($A47,CSV!$A:$A,CSV!K:K,""),
_xlpm.MacVal,_xlfn.XLOOKUP($A47,Output_Mac!$A:$A,Output_Mac!K:K,""),
_xlpm.MyAuditVal,_xlfn.XLOOKUP($A47,My_Audit!$A:$A,My_Audit!J:J,""),
_xlfn.IFS(_xlpm.MyAuditVal&lt;&gt;"",UPPER(_xlpm.MyAuditVal),_xlpm.MacVal&lt;&gt;"",_xlpm.MacVal,_xlpm.CSVVal&lt;&gt;"",_xlpm.CSVVal
)),"")</f>
        <v/>
      </c>
      <c r="L47" s="2" t="str" cm="1">
        <f t="array" ref="L47">IFERROR(_xlfn.LET(
_xlpm.CSVVal,_xlfn.XLOOKUP($A47,CSV!$A:$A,CSV!P:P,""),
_xlpm.MacVal,_xlfn.XLOOKUP($A47,Output_Mac!$A:$A,Output_Mac!L:L,""),
_xlpm.MyAuditVal,_xlfn.XLOOKUP($A47,My_Audit!$A:$A,My_Audit!K:K,""),
_xlfn.IFS(_xlpm.MyAuditVal&lt;&gt;"",UPPER(_xlpm.MyAuditVal),_xlpm.MacVal&lt;&gt;"",_xlpm.MacVal,_xlpm.CSVVal&lt;&gt;"",_xlpm.CSVVal
)),"")</f>
        <v/>
      </c>
      <c r="M47" s="2" t="str" cm="1">
        <f t="array" ref="M47">IFERROR(_xlfn.LET(
_xlpm.CSVVal,_xlfn.XLOOKUP($A47,CSV!$A:$A,CSV!Q:Q,""),
_xlpm.MacVal,_xlfn.XLOOKUP($A47,Output_Mac!$A:$A,Output_Mac!M:M,""),
_xlpm.MyAuditVal,_xlfn.XLOOKUP($A47,My_Audit!$A:$A,My_Audit!L:L,""),
_xlfn.IFS(_xlpm.MyAuditVal&lt;&gt;"",UPPER(_xlpm.MyAuditVal),_xlpm.MacVal&lt;&gt;"",_xlpm.MacVal,_xlpm.CSVVal&lt;&gt;"",_xlpm.CSVVal
)),"")</f>
        <v/>
      </c>
      <c r="O47" s="2" t="str">
        <f>_xlfn.LET(
    _xlpm.CSVVal, _xlfn.XLOOKUP($A47, CSV!$A:$A, CSV!AC:AC, ""),
    _xlpm.MacVal, _xlfn.XLOOKUP($A47, Output_Mac!$A:$A, Output_Mac!S:S, ""),
    _xlpm.MyAuditVal, _xlfn.XLOOKUP($A47, My_Audit!$A:$A, My_Audit!P:P, ""),
    _xlfn.TEXTJOIN(", ", TRUE, _xlpm.MyAuditVal, _xlpm.MacVal, _xlpm.CSVVal)
)</f>
        <v/>
      </c>
      <c r="P47" s="2" t="str" cm="1">
        <f t="array" ref="P47">IFERROR(_xlfn.LET(
_xlpm.CSVVal,_xlfn.XLOOKUP($A47,CSV!$A:$A,CSV!AD:AD,""),
_xlpm.MacVal,_xlfn.XLOOKUP($A47,Output_Mac!$A:$A,Output_Mac!T:T,""),
_xlpm.MyAuditVal,_xlfn.XLOOKUP($A47,My_Audit!$A:$A,My_Audit!Q:Q,""),
_xlfn.IFS(_xlpm.MyAuditVal&lt;&gt;"",UPPER(_xlpm.MyAuditVal),_xlpm.MacVal&lt;&gt;"",_xlpm.MacVal,_xlpm.CSVVal&lt;&gt;"",_xlpm.CSVVal
)),"No")</f>
        <v>No</v>
      </c>
      <c r="Q47" s="2" t="str" cm="1">
        <f t="array" ref="Q47">IFERROR(_xlfn.LET(
_xlpm.CSVVal,_xlfn.XLOOKUP($A47,CSV!$A:$A,CSV!AE:AE,""),
_xlpm.MacVal,_xlfn.XLOOKUP($A47,Output_Mac!$A:$A,Output_Mac!U:U,""),
_xlpm.MyAuditVal,_xlfn.XLOOKUP($A47,My_Audit!$A:$A,My_Audit!R:R,""),
_xlfn.IFS(_xlpm.MyAuditVal&lt;&gt;"",UPPER(_xlpm.MyAuditVal),_xlpm.MacVal&lt;&gt;"",_xlpm.MacVal,_xlpm.CSVVal&lt;&gt;"",_xlpm.CSVVal
)),"")</f>
        <v/>
      </c>
      <c r="X47" t="str">
        <f>_xlfn.LET(
    _xlpm.MacVal, _xlfn.XLOOKUP($A47, Output_Mac!$A:$A, Output_Mac!AB:AB, ""),
    _xlpm.MyAuditVal, _xlfn.XLOOKUP($A47, My_Audit!$A:$A, My_Audit!N:N, ""),
    _xlfn.TEXTJOIN(", ", TRUE, _xlpm.MyAuditVal, _xlpm.MacVal)
)</f>
        <v/>
      </c>
    </row>
    <row r="48" spans="1:24">
      <c r="A48" s="2" t="str">
        <f>_xlfn.TEXTJOIN("",TRUE,Input!$B$2,ROW(My_Audit!A47))</f>
        <v>X47</v>
      </c>
      <c r="B48" s="2" t="str">
        <f>_xlfn.TEXTJOIN("-",TRUE,"ITD",Input!$A$2,A48)</f>
        <v>ITD-SHR-X47</v>
      </c>
      <c r="C48" s="2" t="str" cm="1">
        <f t="array" ref="C48">IFERROR(_xlfn.LET(
_xlpm.CSVVal,_xlfn.XLOOKUP($A48,CSV!$A:$A,CSV!B:B,""),
_xlpm.MacVal,_xlfn.XLOOKUP($A48,Output_Mac!$A:$A,Output_Mac!B:B,""),
_xlpm.MyAuditVal,_xlfn.XLOOKUP($A48,My_Audit!$A:$A,My_Audit!B:B,""),
_xlfn.IFS(_xlpm.MyAuditVal&lt;&gt;"",UPPER(_xlpm.MyAuditVal),_xlpm.MacVal&lt;&gt;"",_xlpm.MacVal,_xlpm.CSVVal&lt;&gt;"",_xlpm.CSVVal
)),"")</f>
        <v/>
      </c>
      <c r="D48" s="2" t="str" cm="1">
        <f t="array" ref="D48">IFERROR(_xlfn.LET(
_xlpm.CSVVal,_xlfn.XLOOKUP($A48,CSV!$A:$A,CSV!D:D,""),
_xlpm.MacVal,_xlfn.XLOOKUP($A48,Output_Mac!$A:$A,Output_Mac!C:C,""),
_xlpm.MyAuditVal,_xlfn.XLOOKUP($A48,My_Audit!$A:$A,My_Audit!C:C,""),
_xlfn.IFS(_xlpm.MyAuditVal&lt;&gt;"",_xlpm.MyAuditVal,_xlpm.MacVal&lt;&gt;"",_xlpm.MacVal,_xlpm.CSVVal&lt;&gt;"",_xlpm.CSVVal
)),"")</f>
        <v/>
      </c>
      <c r="E48" s="2" t="str">
        <f>_xlfn.XLOOKUP(A48,My_Audit!A:A,My_Audit!D:D,"")&amp;""</f>
        <v/>
      </c>
      <c r="F48" s="2" t="str" cm="1">
        <f t="array" ref="F48">IFERROR(_xlfn.LET(
_xlpm.CSVVal,_xlfn.XLOOKUP($A48,CSV!$A:$A,CSV!F:F,""),
_xlpm.MacVal,_xlfn.XLOOKUP($A48,Output_Mac!$A:$A,Output_Mac!E:E,""),
_xlpm.MyAuditVal,_xlfn.XLOOKUP($A48,My_Audit!$A:$A,My_Audit!E:E,""),
_xlfn.IFS(_xlpm.MyAuditVal&lt;&gt;"",_xlpm.MyAuditVal,_xlpm.MacVal&lt;&gt;"",_xlpm.MacVal,_xlpm.CSVVal&lt;&gt;"",_xlpm.CSVVal
)),"")</f>
        <v/>
      </c>
      <c r="G48" s="2" t="str" cm="1">
        <f t="array" ref="G48">IFERROR(_xlfn.LET(
_xlpm.CSVVal,_xlfn.XLOOKUP($A48,CSV!$A:$A,CSV!G:G,""),
_xlpm.MacVal,_xlfn.XLOOKUP($A48,Output_Mac!$A:$A,Output_Mac!F:F,""),
_xlpm.MyAuditVal,_xlfn.XLOOKUP($A48,My_Audit!$A:$A,My_Audit!F:F,""),
_xlfn.IFS(_xlpm.MyAuditVal&lt;&gt;"",_xlpm.MyAuditVal,_xlpm.MacVal&lt;&gt;"",_xlpm.MacVal,_xlpm.CSVVal&lt;&gt;"",PROPER(_xlpm.CSVVal)
)),"")</f>
        <v/>
      </c>
      <c r="H48" s="2" t="str" cm="1">
        <f t="array" ref="H48">IFERROR(_xlfn.LET(
_xlpm.CSVVal,_xlfn.XLOOKUP($A48,CSV!$A:$A,CSV!H:H,""),
_xlpm.MacVal,_xlfn.XLOOKUP($A48,Output_Mac!$A:$A,Output_Mac!H:H,""),
_xlpm.MyAuditVal,_xlfn.XLOOKUP($A48,My_Audit!$A:$A,My_Audit!G:G,""),
_xlfn.IFS(_xlpm.MyAuditVal&lt;&gt;"",_xlpm.MyAuditVal,_xlpm.MacVal&lt;&gt;"",_xlpm.MacVal,_xlpm.CSVVal&lt;&gt;"",_xlpm.CSVVal
)),"")</f>
        <v/>
      </c>
      <c r="I48" s="2" t="str">
        <f>_xlfn.XLOOKUP(A48,Output_Mac!A:A,Output_Mac!I:I,"")</f>
        <v/>
      </c>
      <c r="J48" s="2" t="str" cm="1">
        <f t="array" ref="J48">IFERROR(_xlfn.LET(
_xlpm.CSVVal,_xlfn.XLOOKUP($A48,CSV!$A:$A,CSV!I:I,""),
_xlpm.MacVal,_xlfn.XLOOKUP($A48,Output_Mac!$A:$A,Output_Mac!J:J,""),
_xlpm.MyAuditVal,_xlfn.XLOOKUP($A48,My_Audit!$A:$A,My_Audit!I:I,""),
_xlfn.IFS(_xlpm.MyAuditVal&lt;&gt;"",UPPER(_xlpm.MyAuditVal),_xlpm.MacVal&lt;&gt;"",_xlpm.MacVal,_xlpm.CSVVal&lt;&gt;"",_xlpm.CSVVal
)),"")</f>
        <v/>
      </c>
      <c r="K48" s="2" t="str" cm="1">
        <f t="array" ref="K48">IFERROR(_xlfn.LET(
_xlpm.CSVVal,_xlfn.XLOOKUP($A48,CSV!$A:$A,CSV!K:K,""),
_xlpm.MacVal,_xlfn.XLOOKUP($A48,Output_Mac!$A:$A,Output_Mac!K:K,""),
_xlpm.MyAuditVal,_xlfn.XLOOKUP($A48,My_Audit!$A:$A,My_Audit!J:J,""),
_xlfn.IFS(_xlpm.MyAuditVal&lt;&gt;"",UPPER(_xlpm.MyAuditVal),_xlpm.MacVal&lt;&gt;"",_xlpm.MacVal,_xlpm.CSVVal&lt;&gt;"",_xlpm.CSVVal
)),"")</f>
        <v/>
      </c>
      <c r="L48" s="2" t="str" cm="1">
        <f t="array" ref="L48">IFERROR(_xlfn.LET(
_xlpm.CSVVal,_xlfn.XLOOKUP($A48,CSV!$A:$A,CSV!P:P,""),
_xlpm.MacVal,_xlfn.XLOOKUP($A48,Output_Mac!$A:$A,Output_Mac!L:L,""),
_xlpm.MyAuditVal,_xlfn.XLOOKUP($A48,My_Audit!$A:$A,My_Audit!K:K,""),
_xlfn.IFS(_xlpm.MyAuditVal&lt;&gt;"",UPPER(_xlpm.MyAuditVal),_xlpm.MacVal&lt;&gt;"",_xlpm.MacVal,_xlpm.CSVVal&lt;&gt;"",_xlpm.CSVVal
)),"")</f>
        <v/>
      </c>
      <c r="M48" s="2" t="str" cm="1">
        <f t="array" ref="M48">IFERROR(_xlfn.LET(
_xlpm.CSVVal,_xlfn.XLOOKUP($A48,CSV!$A:$A,CSV!Q:Q,""),
_xlpm.MacVal,_xlfn.XLOOKUP($A48,Output_Mac!$A:$A,Output_Mac!M:M,""),
_xlpm.MyAuditVal,_xlfn.XLOOKUP($A48,My_Audit!$A:$A,My_Audit!L:L,""),
_xlfn.IFS(_xlpm.MyAuditVal&lt;&gt;"",UPPER(_xlpm.MyAuditVal),_xlpm.MacVal&lt;&gt;"",_xlpm.MacVal,_xlpm.CSVVal&lt;&gt;"",_xlpm.CSVVal
)),"")</f>
        <v/>
      </c>
      <c r="O48" s="2" t="str">
        <f>_xlfn.LET(
    _xlpm.CSVVal, _xlfn.XLOOKUP($A48, CSV!$A:$A, CSV!AC:AC, ""),
    _xlpm.MacVal, _xlfn.XLOOKUP($A48, Output_Mac!$A:$A, Output_Mac!S:S, ""),
    _xlpm.MyAuditVal, _xlfn.XLOOKUP($A48, My_Audit!$A:$A, My_Audit!P:P, ""),
    _xlfn.TEXTJOIN(", ", TRUE, _xlpm.MyAuditVal, _xlpm.MacVal, _xlpm.CSVVal)
)</f>
        <v/>
      </c>
      <c r="P48" s="2" t="str" cm="1">
        <f t="array" ref="P48">IFERROR(_xlfn.LET(
_xlpm.CSVVal,_xlfn.XLOOKUP($A48,CSV!$A:$A,CSV!AD:AD,""),
_xlpm.MacVal,_xlfn.XLOOKUP($A48,Output_Mac!$A:$A,Output_Mac!T:T,""),
_xlpm.MyAuditVal,_xlfn.XLOOKUP($A48,My_Audit!$A:$A,My_Audit!Q:Q,""),
_xlfn.IFS(_xlpm.MyAuditVal&lt;&gt;"",UPPER(_xlpm.MyAuditVal),_xlpm.MacVal&lt;&gt;"",_xlpm.MacVal,_xlpm.CSVVal&lt;&gt;"",_xlpm.CSVVal
)),"No")</f>
        <v>No</v>
      </c>
      <c r="Q48" s="2" t="str" cm="1">
        <f t="array" ref="Q48">IFERROR(_xlfn.LET(
_xlpm.CSVVal,_xlfn.XLOOKUP($A48,CSV!$A:$A,CSV!AE:AE,""),
_xlpm.MacVal,_xlfn.XLOOKUP($A48,Output_Mac!$A:$A,Output_Mac!U:U,""),
_xlpm.MyAuditVal,_xlfn.XLOOKUP($A48,My_Audit!$A:$A,My_Audit!R:R,""),
_xlfn.IFS(_xlpm.MyAuditVal&lt;&gt;"",UPPER(_xlpm.MyAuditVal),_xlpm.MacVal&lt;&gt;"",_xlpm.MacVal,_xlpm.CSVVal&lt;&gt;"",_xlpm.CSVVal
)),"")</f>
        <v/>
      </c>
      <c r="X48" t="str">
        <f>_xlfn.LET(
    _xlpm.MacVal, _xlfn.XLOOKUP($A48, Output_Mac!$A:$A, Output_Mac!AB:AB, ""),
    _xlpm.MyAuditVal, _xlfn.XLOOKUP($A48, My_Audit!$A:$A, My_Audit!N:N, ""),
    _xlfn.TEXTJOIN(", ", TRUE, _xlpm.MyAuditVal, _xlpm.MacVal)
)</f>
        <v/>
      </c>
    </row>
    <row r="49" spans="1:24">
      <c r="A49" s="2" t="str">
        <f>_xlfn.TEXTJOIN("",TRUE,Input!$B$2,ROW(My_Audit!A48))</f>
        <v>X48</v>
      </c>
      <c r="B49" s="2" t="str">
        <f>_xlfn.TEXTJOIN("-",TRUE,"ITD",Input!$A$2,A49)</f>
        <v>ITD-SHR-X48</v>
      </c>
      <c r="C49" s="2" t="str" cm="1">
        <f t="array" ref="C49">IFERROR(_xlfn.LET(
_xlpm.CSVVal,_xlfn.XLOOKUP($A49,CSV!$A:$A,CSV!B:B,""),
_xlpm.MacVal,_xlfn.XLOOKUP($A49,Output_Mac!$A:$A,Output_Mac!B:B,""),
_xlpm.MyAuditVal,_xlfn.XLOOKUP($A49,My_Audit!$A:$A,My_Audit!B:B,""),
_xlfn.IFS(_xlpm.MyAuditVal&lt;&gt;"",UPPER(_xlpm.MyAuditVal),_xlpm.MacVal&lt;&gt;"",_xlpm.MacVal,_xlpm.CSVVal&lt;&gt;"",_xlpm.CSVVal
)),"")</f>
        <v/>
      </c>
      <c r="D49" s="2" t="str" cm="1">
        <f t="array" ref="D49">IFERROR(_xlfn.LET(
_xlpm.CSVVal,_xlfn.XLOOKUP($A49,CSV!$A:$A,CSV!D:D,""),
_xlpm.MacVal,_xlfn.XLOOKUP($A49,Output_Mac!$A:$A,Output_Mac!C:C,""),
_xlpm.MyAuditVal,_xlfn.XLOOKUP($A49,My_Audit!$A:$A,My_Audit!C:C,""),
_xlfn.IFS(_xlpm.MyAuditVal&lt;&gt;"",_xlpm.MyAuditVal,_xlpm.MacVal&lt;&gt;"",_xlpm.MacVal,_xlpm.CSVVal&lt;&gt;"",_xlpm.CSVVal
)),"")</f>
        <v/>
      </c>
      <c r="E49" s="2" t="str">
        <f>_xlfn.XLOOKUP(A49,My_Audit!A:A,My_Audit!D:D,"")&amp;""</f>
        <v/>
      </c>
      <c r="F49" s="2" t="str" cm="1">
        <f t="array" ref="F49">IFERROR(_xlfn.LET(
_xlpm.CSVVal,_xlfn.XLOOKUP($A49,CSV!$A:$A,CSV!F:F,""),
_xlpm.MacVal,_xlfn.XLOOKUP($A49,Output_Mac!$A:$A,Output_Mac!E:E,""),
_xlpm.MyAuditVal,_xlfn.XLOOKUP($A49,My_Audit!$A:$A,My_Audit!E:E,""),
_xlfn.IFS(_xlpm.MyAuditVal&lt;&gt;"",_xlpm.MyAuditVal,_xlpm.MacVal&lt;&gt;"",_xlpm.MacVal,_xlpm.CSVVal&lt;&gt;"",_xlpm.CSVVal
)),"")</f>
        <v/>
      </c>
      <c r="G49" s="2" t="str" cm="1">
        <f t="array" ref="G49">IFERROR(_xlfn.LET(
_xlpm.CSVVal,_xlfn.XLOOKUP($A49,CSV!$A:$A,CSV!G:G,""),
_xlpm.MacVal,_xlfn.XLOOKUP($A49,Output_Mac!$A:$A,Output_Mac!F:F,""),
_xlpm.MyAuditVal,_xlfn.XLOOKUP($A49,My_Audit!$A:$A,My_Audit!F:F,""),
_xlfn.IFS(_xlpm.MyAuditVal&lt;&gt;"",_xlpm.MyAuditVal,_xlpm.MacVal&lt;&gt;"",_xlpm.MacVal,_xlpm.CSVVal&lt;&gt;"",PROPER(_xlpm.CSVVal)
)),"")</f>
        <v/>
      </c>
      <c r="H49" s="2" t="str" cm="1">
        <f t="array" ref="H49">IFERROR(_xlfn.LET(
_xlpm.CSVVal,_xlfn.XLOOKUP($A49,CSV!$A:$A,CSV!H:H,""),
_xlpm.MacVal,_xlfn.XLOOKUP($A49,Output_Mac!$A:$A,Output_Mac!H:H,""),
_xlpm.MyAuditVal,_xlfn.XLOOKUP($A49,My_Audit!$A:$A,My_Audit!G:G,""),
_xlfn.IFS(_xlpm.MyAuditVal&lt;&gt;"",_xlpm.MyAuditVal,_xlpm.MacVal&lt;&gt;"",_xlpm.MacVal,_xlpm.CSVVal&lt;&gt;"",_xlpm.CSVVal
)),"")</f>
        <v/>
      </c>
      <c r="I49" s="2" t="str">
        <f>_xlfn.XLOOKUP(A49,Output_Mac!A:A,Output_Mac!I:I,"")</f>
        <v/>
      </c>
      <c r="J49" s="2" t="str" cm="1">
        <f t="array" ref="J49">IFERROR(_xlfn.LET(
_xlpm.CSVVal,_xlfn.XLOOKUP($A49,CSV!$A:$A,CSV!I:I,""),
_xlpm.MacVal,_xlfn.XLOOKUP($A49,Output_Mac!$A:$A,Output_Mac!J:J,""),
_xlpm.MyAuditVal,_xlfn.XLOOKUP($A49,My_Audit!$A:$A,My_Audit!I:I,""),
_xlfn.IFS(_xlpm.MyAuditVal&lt;&gt;"",UPPER(_xlpm.MyAuditVal),_xlpm.MacVal&lt;&gt;"",_xlpm.MacVal,_xlpm.CSVVal&lt;&gt;"",_xlpm.CSVVal
)),"")</f>
        <v/>
      </c>
      <c r="K49" s="2" t="str" cm="1">
        <f t="array" ref="K49">IFERROR(_xlfn.LET(
_xlpm.CSVVal,_xlfn.XLOOKUP($A49,CSV!$A:$A,CSV!K:K,""),
_xlpm.MacVal,_xlfn.XLOOKUP($A49,Output_Mac!$A:$A,Output_Mac!K:K,""),
_xlpm.MyAuditVal,_xlfn.XLOOKUP($A49,My_Audit!$A:$A,My_Audit!J:J,""),
_xlfn.IFS(_xlpm.MyAuditVal&lt;&gt;"",UPPER(_xlpm.MyAuditVal),_xlpm.MacVal&lt;&gt;"",_xlpm.MacVal,_xlpm.CSVVal&lt;&gt;"",_xlpm.CSVVal
)),"")</f>
        <v/>
      </c>
      <c r="L49" s="2" t="str" cm="1">
        <f t="array" ref="L49">IFERROR(_xlfn.LET(
_xlpm.CSVVal,_xlfn.XLOOKUP($A49,CSV!$A:$A,CSV!P:P,""),
_xlpm.MacVal,_xlfn.XLOOKUP($A49,Output_Mac!$A:$A,Output_Mac!L:L,""),
_xlpm.MyAuditVal,_xlfn.XLOOKUP($A49,My_Audit!$A:$A,My_Audit!K:K,""),
_xlfn.IFS(_xlpm.MyAuditVal&lt;&gt;"",UPPER(_xlpm.MyAuditVal),_xlpm.MacVal&lt;&gt;"",_xlpm.MacVal,_xlpm.CSVVal&lt;&gt;"",_xlpm.CSVVal
)),"")</f>
        <v/>
      </c>
      <c r="M49" s="2" t="str" cm="1">
        <f t="array" ref="M49">IFERROR(_xlfn.LET(
_xlpm.CSVVal,_xlfn.XLOOKUP($A49,CSV!$A:$A,CSV!Q:Q,""),
_xlpm.MacVal,_xlfn.XLOOKUP($A49,Output_Mac!$A:$A,Output_Mac!M:M,""),
_xlpm.MyAuditVal,_xlfn.XLOOKUP($A49,My_Audit!$A:$A,My_Audit!L:L,""),
_xlfn.IFS(_xlpm.MyAuditVal&lt;&gt;"",UPPER(_xlpm.MyAuditVal),_xlpm.MacVal&lt;&gt;"",_xlpm.MacVal,_xlpm.CSVVal&lt;&gt;"",_xlpm.CSVVal
)),"")</f>
        <v/>
      </c>
      <c r="O49" s="2" t="str">
        <f>_xlfn.LET(
    _xlpm.CSVVal, _xlfn.XLOOKUP($A49, CSV!$A:$A, CSV!AC:AC, ""),
    _xlpm.MacVal, _xlfn.XLOOKUP($A49, Output_Mac!$A:$A, Output_Mac!S:S, ""),
    _xlpm.MyAuditVal, _xlfn.XLOOKUP($A49, My_Audit!$A:$A, My_Audit!P:P, ""),
    _xlfn.TEXTJOIN(", ", TRUE, _xlpm.MyAuditVal, _xlpm.MacVal, _xlpm.CSVVal)
)</f>
        <v/>
      </c>
      <c r="P49" s="2" t="str" cm="1">
        <f t="array" ref="P49">IFERROR(_xlfn.LET(
_xlpm.CSVVal,_xlfn.XLOOKUP($A49,CSV!$A:$A,CSV!AD:AD,""),
_xlpm.MacVal,_xlfn.XLOOKUP($A49,Output_Mac!$A:$A,Output_Mac!T:T,""),
_xlpm.MyAuditVal,_xlfn.XLOOKUP($A49,My_Audit!$A:$A,My_Audit!Q:Q,""),
_xlfn.IFS(_xlpm.MyAuditVal&lt;&gt;"",UPPER(_xlpm.MyAuditVal),_xlpm.MacVal&lt;&gt;"",_xlpm.MacVal,_xlpm.CSVVal&lt;&gt;"",_xlpm.CSVVal
)),"No")</f>
        <v>No</v>
      </c>
      <c r="Q49" s="2" t="str" cm="1">
        <f t="array" ref="Q49">IFERROR(_xlfn.LET(
_xlpm.CSVVal,_xlfn.XLOOKUP($A49,CSV!$A:$A,CSV!AE:AE,""),
_xlpm.MacVal,_xlfn.XLOOKUP($A49,Output_Mac!$A:$A,Output_Mac!U:U,""),
_xlpm.MyAuditVal,_xlfn.XLOOKUP($A49,My_Audit!$A:$A,My_Audit!R:R,""),
_xlfn.IFS(_xlpm.MyAuditVal&lt;&gt;"",UPPER(_xlpm.MyAuditVal),_xlpm.MacVal&lt;&gt;"",_xlpm.MacVal,_xlpm.CSVVal&lt;&gt;"",_xlpm.CSVVal
)),"")</f>
        <v/>
      </c>
      <c r="X49" t="str">
        <f>_xlfn.LET(
    _xlpm.MacVal, _xlfn.XLOOKUP($A49, Output_Mac!$A:$A, Output_Mac!AB:AB, ""),
    _xlpm.MyAuditVal, _xlfn.XLOOKUP($A49, My_Audit!$A:$A, My_Audit!N:N, ""),
    _xlfn.TEXTJOIN(", ", TRUE, _xlpm.MyAuditVal, _xlpm.MacVal)
)</f>
        <v/>
      </c>
    </row>
    <row r="50" spans="1:24">
      <c r="A50" s="2" t="str">
        <f>_xlfn.TEXTJOIN("",TRUE,Input!$B$2,ROW(My_Audit!A49))</f>
        <v>X49</v>
      </c>
      <c r="B50" s="2" t="str">
        <f>_xlfn.TEXTJOIN("-",TRUE,"ITD",Input!$A$2,A50)</f>
        <v>ITD-SHR-X49</v>
      </c>
      <c r="C50" s="2" t="str" cm="1">
        <f t="array" ref="C50">IFERROR(_xlfn.LET(
_xlpm.CSVVal,_xlfn.XLOOKUP($A50,CSV!$A:$A,CSV!B:B,""),
_xlpm.MacVal,_xlfn.XLOOKUP($A50,Output_Mac!$A:$A,Output_Mac!B:B,""),
_xlpm.MyAuditVal,_xlfn.XLOOKUP($A50,My_Audit!$A:$A,My_Audit!B:B,""),
_xlfn.IFS(_xlpm.MyAuditVal&lt;&gt;"",UPPER(_xlpm.MyAuditVal),_xlpm.MacVal&lt;&gt;"",_xlpm.MacVal,_xlpm.CSVVal&lt;&gt;"",_xlpm.CSVVal
)),"")</f>
        <v/>
      </c>
      <c r="D50" s="2" t="str" cm="1">
        <f t="array" ref="D50">IFERROR(_xlfn.LET(
_xlpm.CSVVal,_xlfn.XLOOKUP($A50,CSV!$A:$A,CSV!D:D,""),
_xlpm.MacVal,_xlfn.XLOOKUP($A50,Output_Mac!$A:$A,Output_Mac!C:C,""),
_xlpm.MyAuditVal,_xlfn.XLOOKUP($A50,My_Audit!$A:$A,My_Audit!C:C,""),
_xlfn.IFS(_xlpm.MyAuditVal&lt;&gt;"",_xlpm.MyAuditVal,_xlpm.MacVal&lt;&gt;"",_xlpm.MacVal,_xlpm.CSVVal&lt;&gt;"",_xlpm.CSVVal
)),"")</f>
        <v/>
      </c>
      <c r="E50" s="2" t="str">
        <f>_xlfn.XLOOKUP(A50,My_Audit!A:A,My_Audit!D:D,"")&amp;""</f>
        <v/>
      </c>
      <c r="F50" s="2" t="str" cm="1">
        <f t="array" ref="F50">IFERROR(_xlfn.LET(
_xlpm.CSVVal,_xlfn.XLOOKUP($A50,CSV!$A:$A,CSV!F:F,""),
_xlpm.MacVal,_xlfn.XLOOKUP($A50,Output_Mac!$A:$A,Output_Mac!E:E,""),
_xlpm.MyAuditVal,_xlfn.XLOOKUP($A50,My_Audit!$A:$A,My_Audit!E:E,""),
_xlfn.IFS(_xlpm.MyAuditVal&lt;&gt;"",_xlpm.MyAuditVal,_xlpm.MacVal&lt;&gt;"",_xlpm.MacVal,_xlpm.CSVVal&lt;&gt;"",_xlpm.CSVVal
)),"")</f>
        <v/>
      </c>
      <c r="G50" s="2" t="str" cm="1">
        <f t="array" ref="G50">IFERROR(_xlfn.LET(
_xlpm.CSVVal,_xlfn.XLOOKUP($A50,CSV!$A:$A,CSV!G:G,""),
_xlpm.MacVal,_xlfn.XLOOKUP($A50,Output_Mac!$A:$A,Output_Mac!F:F,""),
_xlpm.MyAuditVal,_xlfn.XLOOKUP($A50,My_Audit!$A:$A,My_Audit!F:F,""),
_xlfn.IFS(_xlpm.MyAuditVal&lt;&gt;"",_xlpm.MyAuditVal,_xlpm.MacVal&lt;&gt;"",_xlpm.MacVal,_xlpm.CSVVal&lt;&gt;"",PROPER(_xlpm.CSVVal)
)),"")</f>
        <v/>
      </c>
      <c r="H50" s="2" t="str" cm="1">
        <f t="array" ref="H50">IFERROR(_xlfn.LET(
_xlpm.CSVVal,_xlfn.XLOOKUP($A50,CSV!$A:$A,CSV!H:H,""),
_xlpm.MacVal,_xlfn.XLOOKUP($A50,Output_Mac!$A:$A,Output_Mac!H:H,""),
_xlpm.MyAuditVal,_xlfn.XLOOKUP($A50,My_Audit!$A:$A,My_Audit!G:G,""),
_xlfn.IFS(_xlpm.MyAuditVal&lt;&gt;"",_xlpm.MyAuditVal,_xlpm.MacVal&lt;&gt;"",_xlpm.MacVal,_xlpm.CSVVal&lt;&gt;"",_xlpm.CSVVal
)),"")</f>
        <v/>
      </c>
      <c r="I50" s="2" t="str">
        <f>_xlfn.XLOOKUP(A50,Output_Mac!A:A,Output_Mac!I:I,"")</f>
        <v/>
      </c>
      <c r="J50" s="2" t="str" cm="1">
        <f t="array" ref="J50">IFERROR(_xlfn.LET(
_xlpm.CSVVal,_xlfn.XLOOKUP($A50,CSV!$A:$A,CSV!I:I,""),
_xlpm.MacVal,_xlfn.XLOOKUP($A50,Output_Mac!$A:$A,Output_Mac!J:J,""),
_xlpm.MyAuditVal,_xlfn.XLOOKUP($A50,My_Audit!$A:$A,My_Audit!I:I,""),
_xlfn.IFS(_xlpm.MyAuditVal&lt;&gt;"",UPPER(_xlpm.MyAuditVal),_xlpm.MacVal&lt;&gt;"",_xlpm.MacVal,_xlpm.CSVVal&lt;&gt;"",_xlpm.CSVVal
)),"")</f>
        <v/>
      </c>
      <c r="K50" s="2" t="str" cm="1">
        <f t="array" ref="K50">IFERROR(_xlfn.LET(
_xlpm.CSVVal,_xlfn.XLOOKUP($A50,CSV!$A:$A,CSV!K:K,""),
_xlpm.MacVal,_xlfn.XLOOKUP($A50,Output_Mac!$A:$A,Output_Mac!K:K,""),
_xlpm.MyAuditVal,_xlfn.XLOOKUP($A50,My_Audit!$A:$A,My_Audit!J:J,""),
_xlfn.IFS(_xlpm.MyAuditVal&lt;&gt;"",UPPER(_xlpm.MyAuditVal),_xlpm.MacVal&lt;&gt;"",_xlpm.MacVal,_xlpm.CSVVal&lt;&gt;"",_xlpm.CSVVal
)),"")</f>
        <v/>
      </c>
      <c r="L50" s="2" t="str" cm="1">
        <f t="array" ref="L50">IFERROR(_xlfn.LET(
_xlpm.CSVVal,_xlfn.XLOOKUP($A50,CSV!$A:$A,CSV!P:P,""),
_xlpm.MacVal,_xlfn.XLOOKUP($A50,Output_Mac!$A:$A,Output_Mac!L:L,""),
_xlpm.MyAuditVal,_xlfn.XLOOKUP($A50,My_Audit!$A:$A,My_Audit!K:K,""),
_xlfn.IFS(_xlpm.MyAuditVal&lt;&gt;"",UPPER(_xlpm.MyAuditVal),_xlpm.MacVal&lt;&gt;"",_xlpm.MacVal,_xlpm.CSVVal&lt;&gt;"",_xlpm.CSVVal
)),"")</f>
        <v/>
      </c>
      <c r="M50" s="2" t="str" cm="1">
        <f t="array" ref="M50">IFERROR(_xlfn.LET(
_xlpm.CSVVal,_xlfn.XLOOKUP($A50,CSV!$A:$A,CSV!Q:Q,""),
_xlpm.MacVal,_xlfn.XLOOKUP($A50,Output_Mac!$A:$A,Output_Mac!M:M,""),
_xlpm.MyAuditVal,_xlfn.XLOOKUP($A50,My_Audit!$A:$A,My_Audit!L:L,""),
_xlfn.IFS(_xlpm.MyAuditVal&lt;&gt;"",UPPER(_xlpm.MyAuditVal),_xlpm.MacVal&lt;&gt;"",_xlpm.MacVal,_xlpm.CSVVal&lt;&gt;"",_xlpm.CSVVal
)),"")</f>
        <v/>
      </c>
      <c r="O50" s="2" t="str">
        <f>_xlfn.LET(
    _xlpm.CSVVal, _xlfn.XLOOKUP($A50, CSV!$A:$A, CSV!AC:AC, ""),
    _xlpm.MacVal, _xlfn.XLOOKUP($A50, Output_Mac!$A:$A, Output_Mac!S:S, ""),
    _xlpm.MyAuditVal, _xlfn.XLOOKUP($A50, My_Audit!$A:$A, My_Audit!P:P, ""),
    _xlfn.TEXTJOIN(", ", TRUE, _xlpm.MyAuditVal, _xlpm.MacVal, _xlpm.CSVVal)
)</f>
        <v/>
      </c>
      <c r="P50" s="2" t="str" cm="1">
        <f t="array" ref="P50">IFERROR(_xlfn.LET(
_xlpm.CSVVal,_xlfn.XLOOKUP($A50,CSV!$A:$A,CSV!AD:AD,""),
_xlpm.MacVal,_xlfn.XLOOKUP($A50,Output_Mac!$A:$A,Output_Mac!T:T,""),
_xlpm.MyAuditVal,_xlfn.XLOOKUP($A50,My_Audit!$A:$A,My_Audit!Q:Q,""),
_xlfn.IFS(_xlpm.MyAuditVal&lt;&gt;"",UPPER(_xlpm.MyAuditVal),_xlpm.MacVal&lt;&gt;"",_xlpm.MacVal,_xlpm.CSVVal&lt;&gt;"",_xlpm.CSVVal
)),"No")</f>
        <v>No</v>
      </c>
      <c r="Q50" s="2" t="str" cm="1">
        <f t="array" ref="Q50">IFERROR(_xlfn.LET(
_xlpm.CSVVal,_xlfn.XLOOKUP($A50,CSV!$A:$A,CSV!AE:AE,""),
_xlpm.MacVal,_xlfn.XLOOKUP($A50,Output_Mac!$A:$A,Output_Mac!U:U,""),
_xlpm.MyAuditVal,_xlfn.XLOOKUP($A50,My_Audit!$A:$A,My_Audit!R:R,""),
_xlfn.IFS(_xlpm.MyAuditVal&lt;&gt;"",UPPER(_xlpm.MyAuditVal),_xlpm.MacVal&lt;&gt;"",_xlpm.MacVal,_xlpm.CSVVal&lt;&gt;"",_xlpm.CSVVal
)),"")</f>
        <v/>
      </c>
      <c r="X50" t="str">
        <f>_xlfn.LET(
    _xlpm.MacVal, _xlfn.XLOOKUP($A50, Output_Mac!$A:$A, Output_Mac!AB:AB, ""),
    _xlpm.MyAuditVal, _xlfn.XLOOKUP($A50, My_Audit!$A:$A, My_Audit!N:N, ""),
    _xlfn.TEXTJOIN(", ", TRUE, _xlpm.MyAuditVal, _xlpm.MacVal)
)</f>
        <v/>
      </c>
    </row>
    <row r="51" spans="1:24">
      <c r="A51" s="2" t="str">
        <f>_xlfn.TEXTJOIN("",TRUE,Input!$B$2,ROW(My_Audit!A50))</f>
        <v>X50</v>
      </c>
      <c r="B51" s="2" t="str">
        <f>_xlfn.TEXTJOIN("-",TRUE,"ITD",Input!$A$2,A51)</f>
        <v>ITD-SHR-X50</v>
      </c>
      <c r="C51" s="2" t="str" cm="1">
        <f t="array" ref="C51">IFERROR(_xlfn.LET(
_xlpm.CSVVal,_xlfn.XLOOKUP($A51,CSV!$A:$A,CSV!B:B,""),
_xlpm.MacVal,_xlfn.XLOOKUP($A51,Output_Mac!$A:$A,Output_Mac!B:B,""),
_xlpm.MyAuditVal,_xlfn.XLOOKUP($A51,My_Audit!$A:$A,My_Audit!B:B,""),
_xlfn.IFS(_xlpm.MyAuditVal&lt;&gt;"",UPPER(_xlpm.MyAuditVal),_xlpm.MacVal&lt;&gt;"",_xlpm.MacVal,_xlpm.CSVVal&lt;&gt;"",_xlpm.CSVVal
)),"")</f>
        <v/>
      </c>
      <c r="D51" s="2" t="str" cm="1">
        <f t="array" ref="D51">IFERROR(_xlfn.LET(
_xlpm.CSVVal,_xlfn.XLOOKUP($A51,CSV!$A:$A,CSV!D:D,""),
_xlpm.MacVal,_xlfn.XLOOKUP($A51,Output_Mac!$A:$A,Output_Mac!C:C,""),
_xlpm.MyAuditVal,_xlfn.XLOOKUP($A51,My_Audit!$A:$A,My_Audit!C:C,""),
_xlfn.IFS(_xlpm.MyAuditVal&lt;&gt;"",_xlpm.MyAuditVal,_xlpm.MacVal&lt;&gt;"",_xlpm.MacVal,_xlpm.CSVVal&lt;&gt;"",_xlpm.CSVVal
)),"")</f>
        <v/>
      </c>
      <c r="E51" s="2" t="str">
        <f>_xlfn.XLOOKUP(A51,My_Audit!A:A,My_Audit!D:D,"")&amp;""</f>
        <v/>
      </c>
      <c r="F51" s="2" t="str" cm="1">
        <f t="array" ref="F51">IFERROR(_xlfn.LET(
_xlpm.CSVVal,_xlfn.XLOOKUP($A51,CSV!$A:$A,CSV!F:F,""),
_xlpm.MacVal,_xlfn.XLOOKUP($A51,Output_Mac!$A:$A,Output_Mac!E:E,""),
_xlpm.MyAuditVal,_xlfn.XLOOKUP($A51,My_Audit!$A:$A,My_Audit!E:E,""),
_xlfn.IFS(_xlpm.MyAuditVal&lt;&gt;"",_xlpm.MyAuditVal,_xlpm.MacVal&lt;&gt;"",_xlpm.MacVal,_xlpm.CSVVal&lt;&gt;"",_xlpm.CSVVal
)),"")</f>
        <v/>
      </c>
      <c r="G51" s="2" t="str" cm="1">
        <f t="array" ref="G51">IFERROR(_xlfn.LET(
_xlpm.CSVVal,_xlfn.XLOOKUP($A51,CSV!$A:$A,CSV!G:G,""),
_xlpm.MacVal,_xlfn.XLOOKUP($A51,Output_Mac!$A:$A,Output_Mac!F:F,""),
_xlpm.MyAuditVal,_xlfn.XLOOKUP($A51,My_Audit!$A:$A,My_Audit!F:F,""),
_xlfn.IFS(_xlpm.MyAuditVal&lt;&gt;"",_xlpm.MyAuditVal,_xlpm.MacVal&lt;&gt;"",_xlpm.MacVal,_xlpm.CSVVal&lt;&gt;"",PROPER(_xlpm.CSVVal)
)),"")</f>
        <v/>
      </c>
      <c r="H51" s="2" t="str" cm="1">
        <f t="array" ref="H51">IFERROR(_xlfn.LET(
_xlpm.CSVVal,_xlfn.XLOOKUP($A51,CSV!$A:$A,CSV!H:H,""),
_xlpm.MacVal,_xlfn.XLOOKUP($A51,Output_Mac!$A:$A,Output_Mac!H:H,""),
_xlpm.MyAuditVal,_xlfn.XLOOKUP($A51,My_Audit!$A:$A,My_Audit!G:G,""),
_xlfn.IFS(_xlpm.MyAuditVal&lt;&gt;"",_xlpm.MyAuditVal,_xlpm.MacVal&lt;&gt;"",_xlpm.MacVal,_xlpm.CSVVal&lt;&gt;"",_xlpm.CSVVal
)),"")</f>
        <v/>
      </c>
      <c r="I51" s="2" t="str">
        <f>_xlfn.XLOOKUP(A51,Output_Mac!A:A,Output_Mac!I:I,"")</f>
        <v/>
      </c>
      <c r="J51" s="2" t="str" cm="1">
        <f t="array" ref="J51">IFERROR(_xlfn.LET(
_xlpm.CSVVal,_xlfn.XLOOKUP($A51,CSV!$A:$A,CSV!I:I,""),
_xlpm.MacVal,_xlfn.XLOOKUP($A51,Output_Mac!$A:$A,Output_Mac!J:J,""),
_xlpm.MyAuditVal,_xlfn.XLOOKUP($A51,My_Audit!$A:$A,My_Audit!I:I,""),
_xlfn.IFS(_xlpm.MyAuditVal&lt;&gt;"",UPPER(_xlpm.MyAuditVal),_xlpm.MacVal&lt;&gt;"",_xlpm.MacVal,_xlpm.CSVVal&lt;&gt;"",_xlpm.CSVVal
)),"")</f>
        <v/>
      </c>
      <c r="K51" s="2" t="str" cm="1">
        <f t="array" ref="K51">IFERROR(_xlfn.LET(
_xlpm.CSVVal,_xlfn.XLOOKUP($A51,CSV!$A:$A,CSV!K:K,""),
_xlpm.MacVal,_xlfn.XLOOKUP($A51,Output_Mac!$A:$A,Output_Mac!K:K,""),
_xlpm.MyAuditVal,_xlfn.XLOOKUP($A51,My_Audit!$A:$A,My_Audit!J:J,""),
_xlfn.IFS(_xlpm.MyAuditVal&lt;&gt;"",UPPER(_xlpm.MyAuditVal),_xlpm.MacVal&lt;&gt;"",_xlpm.MacVal,_xlpm.CSVVal&lt;&gt;"",_xlpm.CSVVal
)),"")</f>
        <v/>
      </c>
      <c r="L51" s="2" t="str" cm="1">
        <f t="array" ref="L51">IFERROR(_xlfn.LET(
_xlpm.CSVVal,_xlfn.XLOOKUP($A51,CSV!$A:$A,CSV!P:P,""),
_xlpm.MacVal,_xlfn.XLOOKUP($A51,Output_Mac!$A:$A,Output_Mac!L:L,""),
_xlpm.MyAuditVal,_xlfn.XLOOKUP($A51,My_Audit!$A:$A,My_Audit!K:K,""),
_xlfn.IFS(_xlpm.MyAuditVal&lt;&gt;"",UPPER(_xlpm.MyAuditVal),_xlpm.MacVal&lt;&gt;"",_xlpm.MacVal,_xlpm.CSVVal&lt;&gt;"",_xlpm.CSVVal
)),"")</f>
        <v/>
      </c>
      <c r="M51" s="2" t="str" cm="1">
        <f t="array" ref="M51">IFERROR(_xlfn.LET(
_xlpm.CSVVal,_xlfn.XLOOKUP($A51,CSV!$A:$A,CSV!Q:Q,""),
_xlpm.MacVal,_xlfn.XLOOKUP($A51,Output_Mac!$A:$A,Output_Mac!M:M,""),
_xlpm.MyAuditVal,_xlfn.XLOOKUP($A51,My_Audit!$A:$A,My_Audit!L:L,""),
_xlfn.IFS(_xlpm.MyAuditVal&lt;&gt;"",UPPER(_xlpm.MyAuditVal),_xlpm.MacVal&lt;&gt;"",_xlpm.MacVal,_xlpm.CSVVal&lt;&gt;"",_xlpm.CSVVal
)),"")</f>
        <v/>
      </c>
      <c r="O51" s="2" t="str">
        <f>_xlfn.LET(
    _xlpm.CSVVal, _xlfn.XLOOKUP($A51, CSV!$A:$A, CSV!AC:AC, ""),
    _xlpm.MacVal, _xlfn.XLOOKUP($A51, Output_Mac!$A:$A, Output_Mac!S:S, ""),
    _xlpm.MyAuditVal, _xlfn.XLOOKUP($A51, My_Audit!$A:$A, My_Audit!P:P, ""),
    _xlfn.TEXTJOIN(", ", TRUE, _xlpm.MyAuditVal, _xlpm.MacVal, _xlpm.CSVVal)
)</f>
        <v/>
      </c>
      <c r="P51" s="2" t="str" cm="1">
        <f t="array" ref="P51">IFERROR(_xlfn.LET(
_xlpm.CSVVal,_xlfn.XLOOKUP($A51,CSV!$A:$A,CSV!AD:AD,""),
_xlpm.MacVal,_xlfn.XLOOKUP($A51,Output_Mac!$A:$A,Output_Mac!T:T,""),
_xlpm.MyAuditVal,_xlfn.XLOOKUP($A51,My_Audit!$A:$A,My_Audit!Q:Q,""),
_xlfn.IFS(_xlpm.MyAuditVal&lt;&gt;"",UPPER(_xlpm.MyAuditVal),_xlpm.MacVal&lt;&gt;"",_xlpm.MacVal,_xlpm.CSVVal&lt;&gt;"",_xlpm.CSVVal
)),"No")</f>
        <v>No</v>
      </c>
      <c r="Q51" s="2" t="str" cm="1">
        <f t="array" ref="Q51">IFERROR(_xlfn.LET(
_xlpm.CSVVal,_xlfn.XLOOKUP($A51,CSV!$A:$A,CSV!AE:AE,""),
_xlpm.MacVal,_xlfn.XLOOKUP($A51,Output_Mac!$A:$A,Output_Mac!U:U,""),
_xlpm.MyAuditVal,_xlfn.XLOOKUP($A51,My_Audit!$A:$A,My_Audit!R:R,""),
_xlfn.IFS(_xlpm.MyAuditVal&lt;&gt;"",UPPER(_xlpm.MyAuditVal),_xlpm.MacVal&lt;&gt;"",_xlpm.MacVal,_xlpm.CSVVal&lt;&gt;"",_xlpm.CSVVal
)),"")</f>
        <v/>
      </c>
      <c r="X51" t="str">
        <f>_xlfn.LET(
    _xlpm.MacVal, _xlfn.XLOOKUP($A51, Output_Mac!$A:$A, Output_Mac!AB:AB, ""),
    _xlpm.MyAuditVal, _xlfn.XLOOKUP($A51, My_Audit!$A:$A, My_Audit!N:N, ""),
    _xlfn.TEXTJOIN(", ", TRUE, _xlpm.MyAuditVal, _xlpm.MacVal)
)</f>
        <v/>
      </c>
    </row>
    <row r="52" spans="1:24">
      <c r="A52" s="2" t="str">
        <f>_xlfn.TEXTJOIN("",TRUE,Input!$B$2,ROW(My_Audit!A51))</f>
        <v>X51</v>
      </c>
      <c r="B52" s="2" t="str">
        <f>_xlfn.TEXTJOIN("-",TRUE,"ITD",Input!$A$2,A52)</f>
        <v>ITD-SHR-X51</v>
      </c>
      <c r="C52" s="2" t="str" cm="1">
        <f t="array" ref="C52">IFERROR(_xlfn.LET(
_xlpm.CSVVal,_xlfn.XLOOKUP($A52,CSV!$A:$A,CSV!B:B,""),
_xlpm.MacVal,_xlfn.XLOOKUP($A52,Output_Mac!$A:$A,Output_Mac!B:B,""),
_xlpm.MyAuditVal,_xlfn.XLOOKUP($A52,My_Audit!$A:$A,My_Audit!B:B,""),
_xlfn.IFS(_xlpm.MyAuditVal&lt;&gt;"",UPPER(_xlpm.MyAuditVal),_xlpm.MacVal&lt;&gt;"",_xlpm.MacVal,_xlpm.CSVVal&lt;&gt;"",_xlpm.CSVVal
)),"")</f>
        <v/>
      </c>
      <c r="D52" s="2" t="str" cm="1">
        <f t="array" ref="D52">IFERROR(_xlfn.LET(
_xlpm.CSVVal,_xlfn.XLOOKUP($A52,CSV!$A:$A,CSV!D:D,""),
_xlpm.MacVal,_xlfn.XLOOKUP($A52,Output_Mac!$A:$A,Output_Mac!C:C,""),
_xlpm.MyAuditVal,_xlfn.XLOOKUP($A52,My_Audit!$A:$A,My_Audit!C:C,""),
_xlfn.IFS(_xlpm.MyAuditVal&lt;&gt;"",_xlpm.MyAuditVal,_xlpm.MacVal&lt;&gt;"",_xlpm.MacVal,_xlpm.CSVVal&lt;&gt;"",_xlpm.CSVVal
)),"")</f>
        <v/>
      </c>
      <c r="E52" s="2" t="str">
        <f>_xlfn.XLOOKUP(A52,My_Audit!A:A,My_Audit!D:D,"")&amp;""</f>
        <v/>
      </c>
      <c r="F52" s="2" t="str" cm="1">
        <f t="array" ref="F52">IFERROR(_xlfn.LET(
_xlpm.CSVVal,_xlfn.XLOOKUP($A52,CSV!$A:$A,CSV!F:F,""),
_xlpm.MacVal,_xlfn.XLOOKUP($A52,Output_Mac!$A:$A,Output_Mac!E:E,""),
_xlpm.MyAuditVal,_xlfn.XLOOKUP($A52,My_Audit!$A:$A,My_Audit!E:E,""),
_xlfn.IFS(_xlpm.MyAuditVal&lt;&gt;"",_xlpm.MyAuditVal,_xlpm.MacVal&lt;&gt;"",_xlpm.MacVal,_xlpm.CSVVal&lt;&gt;"",_xlpm.CSVVal
)),"")</f>
        <v/>
      </c>
      <c r="G52" s="2" t="str" cm="1">
        <f t="array" ref="G52">IFERROR(_xlfn.LET(
_xlpm.CSVVal,_xlfn.XLOOKUP($A52,CSV!$A:$A,CSV!G:G,""),
_xlpm.MacVal,_xlfn.XLOOKUP($A52,Output_Mac!$A:$A,Output_Mac!F:F,""),
_xlpm.MyAuditVal,_xlfn.XLOOKUP($A52,My_Audit!$A:$A,My_Audit!F:F,""),
_xlfn.IFS(_xlpm.MyAuditVal&lt;&gt;"",_xlpm.MyAuditVal,_xlpm.MacVal&lt;&gt;"",_xlpm.MacVal,_xlpm.CSVVal&lt;&gt;"",PROPER(_xlpm.CSVVal)
)),"")</f>
        <v/>
      </c>
      <c r="H52" s="2" t="str" cm="1">
        <f t="array" ref="H52">IFERROR(_xlfn.LET(
_xlpm.CSVVal,_xlfn.XLOOKUP($A52,CSV!$A:$A,CSV!H:H,""),
_xlpm.MacVal,_xlfn.XLOOKUP($A52,Output_Mac!$A:$A,Output_Mac!H:H,""),
_xlpm.MyAuditVal,_xlfn.XLOOKUP($A52,My_Audit!$A:$A,My_Audit!G:G,""),
_xlfn.IFS(_xlpm.MyAuditVal&lt;&gt;"",_xlpm.MyAuditVal,_xlpm.MacVal&lt;&gt;"",_xlpm.MacVal,_xlpm.CSVVal&lt;&gt;"",_xlpm.CSVVal
)),"")</f>
        <v/>
      </c>
      <c r="I52" s="2" t="str">
        <f>_xlfn.XLOOKUP(A52,Output_Mac!A:A,Output_Mac!I:I,"")</f>
        <v/>
      </c>
      <c r="J52" s="2" t="str" cm="1">
        <f t="array" ref="J52">IFERROR(_xlfn.LET(
_xlpm.CSVVal,_xlfn.XLOOKUP($A52,CSV!$A:$A,CSV!I:I,""),
_xlpm.MacVal,_xlfn.XLOOKUP($A52,Output_Mac!$A:$A,Output_Mac!J:J,""),
_xlpm.MyAuditVal,_xlfn.XLOOKUP($A52,My_Audit!$A:$A,My_Audit!I:I,""),
_xlfn.IFS(_xlpm.MyAuditVal&lt;&gt;"",UPPER(_xlpm.MyAuditVal),_xlpm.MacVal&lt;&gt;"",_xlpm.MacVal,_xlpm.CSVVal&lt;&gt;"",_xlpm.CSVVal
)),"")</f>
        <v/>
      </c>
      <c r="K52" s="2" t="str" cm="1">
        <f t="array" ref="K52">IFERROR(_xlfn.LET(
_xlpm.CSVVal,_xlfn.XLOOKUP($A52,CSV!$A:$A,CSV!K:K,""),
_xlpm.MacVal,_xlfn.XLOOKUP($A52,Output_Mac!$A:$A,Output_Mac!K:K,""),
_xlpm.MyAuditVal,_xlfn.XLOOKUP($A52,My_Audit!$A:$A,My_Audit!J:J,""),
_xlfn.IFS(_xlpm.MyAuditVal&lt;&gt;"",UPPER(_xlpm.MyAuditVal),_xlpm.MacVal&lt;&gt;"",_xlpm.MacVal,_xlpm.CSVVal&lt;&gt;"",_xlpm.CSVVal
)),"")</f>
        <v/>
      </c>
      <c r="L52" s="2" t="str" cm="1">
        <f t="array" ref="L52">IFERROR(_xlfn.LET(
_xlpm.CSVVal,_xlfn.XLOOKUP($A52,CSV!$A:$A,CSV!P:P,""),
_xlpm.MacVal,_xlfn.XLOOKUP($A52,Output_Mac!$A:$A,Output_Mac!L:L,""),
_xlpm.MyAuditVal,_xlfn.XLOOKUP($A52,My_Audit!$A:$A,My_Audit!K:K,""),
_xlfn.IFS(_xlpm.MyAuditVal&lt;&gt;"",UPPER(_xlpm.MyAuditVal),_xlpm.MacVal&lt;&gt;"",_xlpm.MacVal,_xlpm.CSVVal&lt;&gt;"",_xlpm.CSVVal
)),"")</f>
        <v/>
      </c>
      <c r="M52" s="2" t="str" cm="1">
        <f t="array" ref="M52">IFERROR(_xlfn.LET(
_xlpm.CSVVal,_xlfn.XLOOKUP($A52,CSV!$A:$A,CSV!Q:Q,""),
_xlpm.MacVal,_xlfn.XLOOKUP($A52,Output_Mac!$A:$A,Output_Mac!M:M,""),
_xlpm.MyAuditVal,_xlfn.XLOOKUP($A52,My_Audit!$A:$A,My_Audit!L:L,""),
_xlfn.IFS(_xlpm.MyAuditVal&lt;&gt;"",UPPER(_xlpm.MyAuditVal),_xlpm.MacVal&lt;&gt;"",_xlpm.MacVal,_xlpm.CSVVal&lt;&gt;"",_xlpm.CSVVal
)),"")</f>
        <v/>
      </c>
      <c r="O52" s="2" t="str">
        <f>_xlfn.LET(
    _xlpm.CSVVal, _xlfn.XLOOKUP($A52, CSV!$A:$A, CSV!AC:AC, ""),
    _xlpm.MacVal, _xlfn.XLOOKUP($A52, Output_Mac!$A:$A, Output_Mac!S:S, ""),
    _xlpm.MyAuditVal, _xlfn.XLOOKUP($A52, My_Audit!$A:$A, My_Audit!P:P, ""),
    _xlfn.TEXTJOIN(", ", TRUE, _xlpm.MyAuditVal, _xlpm.MacVal, _xlpm.CSVVal)
)</f>
        <v/>
      </c>
      <c r="P52" s="2" t="str" cm="1">
        <f t="array" ref="P52">IFERROR(_xlfn.LET(
_xlpm.CSVVal,_xlfn.XLOOKUP($A52,CSV!$A:$A,CSV!AD:AD,""),
_xlpm.MacVal,_xlfn.XLOOKUP($A52,Output_Mac!$A:$A,Output_Mac!T:T,""),
_xlpm.MyAuditVal,_xlfn.XLOOKUP($A52,My_Audit!$A:$A,My_Audit!Q:Q,""),
_xlfn.IFS(_xlpm.MyAuditVal&lt;&gt;"",UPPER(_xlpm.MyAuditVal),_xlpm.MacVal&lt;&gt;"",_xlpm.MacVal,_xlpm.CSVVal&lt;&gt;"",_xlpm.CSVVal
)),"No")</f>
        <v>No</v>
      </c>
      <c r="Q52" s="2" t="str" cm="1">
        <f t="array" ref="Q52">IFERROR(_xlfn.LET(
_xlpm.CSVVal,_xlfn.XLOOKUP($A52,CSV!$A:$A,CSV!AE:AE,""),
_xlpm.MacVal,_xlfn.XLOOKUP($A52,Output_Mac!$A:$A,Output_Mac!U:U,""),
_xlpm.MyAuditVal,_xlfn.XLOOKUP($A52,My_Audit!$A:$A,My_Audit!R:R,""),
_xlfn.IFS(_xlpm.MyAuditVal&lt;&gt;"",UPPER(_xlpm.MyAuditVal),_xlpm.MacVal&lt;&gt;"",_xlpm.MacVal,_xlpm.CSVVal&lt;&gt;"",_xlpm.CSVVal
)),"")</f>
        <v/>
      </c>
      <c r="X52" t="str">
        <f>_xlfn.LET(
    _xlpm.MacVal, _xlfn.XLOOKUP($A52, Output_Mac!$A:$A, Output_Mac!AB:AB, ""),
    _xlpm.MyAuditVal, _xlfn.XLOOKUP($A52, My_Audit!$A:$A, My_Audit!N:N, ""),
    _xlfn.TEXTJOIN(", ", TRUE, _xlpm.MyAuditVal, _xlpm.MacVal)
)</f>
        <v/>
      </c>
    </row>
    <row r="53" spans="1:24">
      <c r="A53" s="2" t="str">
        <f>_xlfn.TEXTJOIN("",TRUE,Input!$B$2,ROW(My_Audit!A52))</f>
        <v>X52</v>
      </c>
      <c r="B53" s="2" t="str">
        <f>_xlfn.TEXTJOIN("-",TRUE,"ITD",Input!$A$2,A53)</f>
        <v>ITD-SHR-X52</v>
      </c>
      <c r="C53" s="2" t="str" cm="1">
        <f t="array" ref="C53">IFERROR(_xlfn.LET(
_xlpm.CSVVal,_xlfn.XLOOKUP($A53,CSV!$A:$A,CSV!B:B,""),
_xlpm.MacVal,_xlfn.XLOOKUP($A53,Output_Mac!$A:$A,Output_Mac!B:B,""),
_xlpm.MyAuditVal,_xlfn.XLOOKUP($A53,My_Audit!$A:$A,My_Audit!B:B,""),
_xlfn.IFS(_xlpm.MyAuditVal&lt;&gt;"",UPPER(_xlpm.MyAuditVal),_xlpm.MacVal&lt;&gt;"",_xlpm.MacVal,_xlpm.CSVVal&lt;&gt;"",_xlpm.CSVVal
)),"")</f>
        <v/>
      </c>
      <c r="D53" s="2" t="str" cm="1">
        <f t="array" ref="D53">IFERROR(_xlfn.LET(
_xlpm.CSVVal,_xlfn.XLOOKUP($A53,CSV!$A:$A,CSV!D:D,""),
_xlpm.MacVal,_xlfn.XLOOKUP($A53,Output_Mac!$A:$A,Output_Mac!C:C,""),
_xlpm.MyAuditVal,_xlfn.XLOOKUP($A53,My_Audit!$A:$A,My_Audit!C:C,""),
_xlfn.IFS(_xlpm.MyAuditVal&lt;&gt;"",_xlpm.MyAuditVal,_xlpm.MacVal&lt;&gt;"",_xlpm.MacVal,_xlpm.CSVVal&lt;&gt;"",_xlpm.CSVVal
)),"")</f>
        <v/>
      </c>
      <c r="E53" s="2" t="str">
        <f>_xlfn.XLOOKUP(A53,My_Audit!A:A,My_Audit!D:D,"")&amp;""</f>
        <v/>
      </c>
      <c r="F53" s="2" t="str" cm="1">
        <f t="array" ref="F53">IFERROR(_xlfn.LET(
_xlpm.CSVVal,_xlfn.XLOOKUP($A53,CSV!$A:$A,CSV!F:F,""),
_xlpm.MacVal,_xlfn.XLOOKUP($A53,Output_Mac!$A:$A,Output_Mac!E:E,""),
_xlpm.MyAuditVal,_xlfn.XLOOKUP($A53,My_Audit!$A:$A,My_Audit!E:E,""),
_xlfn.IFS(_xlpm.MyAuditVal&lt;&gt;"",_xlpm.MyAuditVal,_xlpm.MacVal&lt;&gt;"",_xlpm.MacVal,_xlpm.CSVVal&lt;&gt;"",_xlpm.CSVVal
)),"")</f>
        <v/>
      </c>
      <c r="G53" s="2" t="str" cm="1">
        <f t="array" ref="G53">IFERROR(_xlfn.LET(
_xlpm.CSVVal,_xlfn.XLOOKUP($A53,CSV!$A:$A,CSV!G:G,""),
_xlpm.MacVal,_xlfn.XLOOKUP($A53,Output_Mac!$A:$A,Output_Mac!F:F,""),
_xlpm.MyAuditVal,_xlfn.XLOOKUP($A53,My_Audit!$A:$A,My_Audit!F:F,""),
_xlfn.IFS(_xlpm.MyAuditVal&lt;&gt;"",_xlpm.MyAuditVal,_xlpm.MacVal&lt;&gt;"",_xlpm.MacVal,_xlpm.CSVVal&lt;&gt;"",PROPER(_xlpm.CSVVal)
)),"")</f>
        <v/>
      </c>
      <c r="H53" s="2" t="str" cm="1">
        <f t="array" ref="H53">IFERROR(_xlfn.LET(
_xlpm.CSVVal,_xlfn.XLOOKUP($A53,CSV!$A:$A,CSV!H:H,""),
_xlpm.MacVal,_xlfn.XLOOKUP($A53,Output_Mac!$A:$A,Output_Mac!H:H,""),
_xlpm.MyAuditVal,_xlfn.XLOOKUP($A53,My_Audit!$A:$A,My_Audit!G:G,""),
_xlfn.IFS(_xlpm.MyAuditVal&lt;&gt;"",_xlpm.MyAuditVal,_xlpm.MacVal&lt;&gt;"",_xlpm.MacVal,_xlpm.CSVVal&lt;&gt;"",_xlpm.CSVVal
)),"")</f>
        <v/>
      </c>
      <c r="I53" s="2" t="str">
        <f>_xlfn.XLOOKUP(A53,Output_Mac!A:A,Output_Mac!I:I,"")</f>
        <v/>
      </c>
      <c r="J53" s="2" t="str" cm="1">
        <f t="array" ref="J53">IFERROR(_xlfn.LET(
_xlpm.CSVVal,_xlfn.XLOOKUP($A53,CSV!$A:$A,CSV!I:I,""),
_xlpm.MacVal,_xlfn.XLOOKUP($A53,Output_Mac!$A:$A,Output_Mac!J:J,""),
_xlpm.MyAuditVal,_xlfn.XLOOKUP($A53,My_Audit!$A:$A,My_Audit!I:I,""),
_xlfn.IFS(_xlpm.MyAuditVal&lt;&gt;"",UPPER(_xlpm.MyAuditVal),_xlpm.MacVal&lt;&gt;"",_xlpm.MacVal,_xlpm.CSVVal&lt;&gt;"",_xlpm.CSVVal
)),"")</f>
        <v/>
      </c>
      <c r="K53" s="2" t="str" cm="1">
        <f t="array" ref="K53">IFERROR(_xlfn.LET(
_xlpm.CSVVal,_xlfn.XLOOKUP($A53,CSV!$A:$A,CSV!K:K,""),
_xlpm.MacVal,_xlfn.XLOOKUP($A53,Output_Mac!$A:$A,Output_Mac!K:K,""),
_xlpm.MyAuditVal,_xlfn.XLOOKUP($A53,My_Audit!$A:$A,My_Audit!J:J,""),
_xlfn.IFS(_xlpm.MyAuditVal&lt;&gt;"",UPPER(_xlpm.MyAuditVal),_xlpm.MacVal&lt;&gt;"",_xlpm.MacVal,_xlpm.CSVVal&lt;&gt;"",_xlpm.CSVVal
)),"")</f>
        <v/>
      </c>
      <c r="L53" s="2" t="str" cm="1">
        <f t="array" ref="L53">IFERROR(_xlfn.LET(
_xlpm.CSVVal,_xlfn.XLOOKUP($A53,CSV!$A:$A,CSV!P:P,""),
_xlpm.MacVal,_xlfn.XLOOKUP($A53,Output_Mac!$A:$A,Output_Mac!L:L,""),
_xlpm.MyAuditVal,_xlfn.XLOOKUP($A53,My_Audit!$A:$A,My_Audit!K:K,""),
_xlfn.IFS(_xlpm.MyAuditVal&lt;&gt;"",UPPER(_xlpm.MyAuditVal),_xlpm.MacVal&lt;&gt;"",_xlpm.MacVal,_xlpm.CSVVal&lt;&gt;"",_xlpm.CSVVal
)),"")</f>
        <v/>
      </c>
      <c r="M53" s="2" t="str" cm="1">
        <f t="array" ref="M53">IFERROR(_xlfn.LET(
_xlpm.CSVVal,_xlfn.XLOOKUP($A53,CSV!$A:$A,CSV!Q:Q,""),
_xlpm.MacVal,_xlfn.XLOOKUP($A53,Output_Mac!$A:$A,Output_Mac!M:M,""),
_xlpm.MyAuditVal,_xlfn.XLOOKUP($A53,My_Audit!$A:$A,My_Audit!L:L,""),
_xlfn.IFS(_xlpm.MyAuditVal&lt;&gt;"",UPPER(_xlpm.MyAuditVal),_xlpm.MacVal&lt;&gt;"",_xlpm.MacVal,_xlpm.CSVVal&lt;&gt;"",_xlpm.CSVVal
)),"")</f>
        <v/>
      </c>
      <c r="O53" s="2" t="str">
        <f>_xlfn.LET(
    _xlpm.CSVVal, _xlfn.XLOOKUP($A53, CSV!$A:$A, CSV!AC:AC, ""),
    _xlpm.MacVal, _xlfn.XLOOKUP($A53, Output_Mac!$A:$A, Output_Mac!S:S, ""),
    _xlpm.MyAuditVal, _xlfn.XLOOKUP($A53, My_Audit!$A:$A, My_Audit!P:P, ""),
    _xlfn.TEXTJOIN(", ", TRUE, _xlpm.MyAuditVal, _xlpm.MacVal, _xlpm.CSVVal)
)</f>
        <v/>
      </c>
      <c r="P53" s="2" t="str" cm="1">
        <f t="array" ref="P53">IFERROR(_xlfn.LET(
_xlpm.CSVVal,_xlfn.XLOOKUP($A53,CSV!$A:$A,CSV!AD:AD,""),
_xlpm.MacVal,_xlfn.XLOOKUP($A53,Output_Mac!$A:$A,Output_Mac!T:T,""),
_xlpm.MyAuditVal,_xlfn.XLOOKUP($A53,My_Audit!$A:$A,My_Audit!Q:Q,""),
_xlfn.IFS(_xlpm.MyAuditVal&lt;&gt;"",UPPER(_xlpm.MyAuditVal),_xlpm.MacVal&lt;&gt;"",_xlpm.MacVal,_xlpm.CSVVal&lt;&gt;"",_xlpm.CSVVal
)),"No")</f>
        <v>No</v>
      </c>
      <c r="Q53" s="2" t="str" cm="1">
        <f t="array" ref="Q53">IFERROR(_xlfn.LET(
_xlpm.CSVVal,_xlfn.XLOOKUP($A53,CSV!$A:$A,CSV!AE:AE,""),
_xlpm.MacVal,_xlfn.XLOOKUP($A53,Output_Mac!$A:$A,Output_Mac!U:U,""),
_xlpm.MyAuditVal,_xlfn.XLOOKUP($A53,My_Audit!$A:$A,My_Audit!R:R,""),
_xlfn.IFS(_xlpm.MyAuditVal&lt;&gt;"",UPPER(_xlpm.MyAuditVal),_xlpm.MacVal&lt;&gt;"",_xlpm.MacVal,_xlpm.CSVVal&lt;&gt;"",_xlpm.CSVVal
)),"")</f>
        <v/>
      </c>
      <c r="X53" t="str">
        <f>_xlfn.LET(
    _xlpm.MacVal, _xlfn.XLOOKUP($A53, Output_Mac!$A:$A, Output_Mac!AB:AB, ""),
    _xlpm.MyAuditVal, _xlfn.XLOOKUP($A53, My_Audit!$A:$A, My_Audit!N:N, ""),
    _xlfn.TEXTJOIN(", ", TRUE, _xlpm.MyAuditVal, _xlpm.MacVal)
)</f>
        <v/>
      </c>
    </row>
    <row r="54" spans="1:24">
      <c r="A54" s="2" t="str">
        <f>_xlfn.TEXTJOIN("",TRUE,Input!$B$2,ROW(My_Audit!A53))</f>
        <v>X53</v>
      </c>
      <c r="B54" s="2" t="str">
        <f>_xlfn.TEXTJOIN("-",TRUE,"ITD",Input!$A$2,A54)</f>
        <v>ITD-SHR-X53</v>
      </c>
      <c r="C54" s="2" t="str" cm="1">
        <f t="array" ref="C54">IFERROR(_xlfn.LET(
_xlpm.CSVVal,_xlfn.XLOOKUP($A54,CSV!$A:$A,CSV!B:B,""),
_xlpm.MacVal,_xlfn.XLOOKUP($A54,Output_Mac!$A:$A,Output_Mac!B:B,""),
_xlpm.MyAuditVal,_xlfn.XLOOKUP($A54,My_Audit!$A:$A,My_Audit!B:B,""),
_xlfn.IFS(_xlpm.MyAuditVal&lt;&gt;"",UPPER(_xlpm.MyAuditVal),_xlpm.MacVal&lt;&gt;"",_xlpm.MacVal,_xlpm.CSVVal&lt;&gt;"",_xlpm.CSVVal
)),"")</f>
        <v/>
      </c>
      <c r="D54" s="2" t="str" cm="1">
        <f t="array" ref="D54">IFERROR(_xlfn.LET(
_xlpm.CSVVal,_xlfn.XLOOKUP($A54,CSV!$A:$A,CSV!D:D,""),
_xlpm.MacVal,_xlfn.XLOOKUP($A54,Output_Mac!$A:$A,Output_Mac!C:C,""),
_xlpm.MyAuditVal,_xlfn.XLOOKUP($A54,My_Audit!$A:$A,My_Audit!C:C,""),
_xlfn.IFS(_xlpm.MyAuditVal&lt;&gt;"",_xlpm.MyAuditVal,_xlpm.MacVal&lt;&gt;"",_xlpm.MacVal,_xlpm.CSVVal&lt;&gt;"",_xlpm.CSVVal
)),"")</f>
        <v/>
      </c>
      <c r="E54" s="2" t="str">
        <f>_xlfn.XLOOKUP(A54,My_Audit!A:A,My_Audit!D:D,"")&amp;""</f>
        <v/>
      </c>
      <c r="F54" s="2" t="str" cm="1">
        <f t="array" ref="F54">IFERROR(_xlfn.LET(
_xlpm.CSVVal,_xlfn.XLOOKUP($A54,CSV!$A:$A,CSV!F:F,""),
_xlpm.MacVal,_xlfn.XLOOKUP($A54,Output_Mac!$A:$A,Output_Mac!E:E,""),
_xlpm.MyAuditVal,_xlfn.XLOOKUP($A54,My_Audit!$A:$A,My_Audit!E:E,""),
_xlfn.IFS(_xlpm.MyAuditVal&lt;&gt;"",_xlpm.MyAuditVal,_xlpm.MacVal&lt;&gt;"",_xlpm.MacVal,_xlpm.CSVVal&lt;&gt;"",_xlpm.CSVVal
)),"")</f>
        <v/>
      </c>
      <c r="G54" s="2" t="str" cm="1">
        <f t="array" ref="G54">IFERROR(_xlfn.LET(
_xlpm.CSVVal,_xlfn.XLOOKUP($A54,CSV!$A:$A,CSV!G:G,""),
_xlpm.MacVal,_xlfn.XLOOKUP($A54,Output_Mac!$A:$A,Output_Mac!F:F,""),
_xlpm.MyAuditVal,_xlfn.XLOOKUP($A54,My_Audit!$A:$A,My_Audit!F:F,""),
_xlfn.IFS(_xlpm.MyAuditVal&lt;&gt;"",_xlpm.MyAuditVal,_xlpm.MacVal&lt;&gt;"",_xlpm.MacVal,_xlpm.CSVVal&lt;&gt;"",PROPER(_xlpm.CSVVal)
)),"")</f>
        <v/>
      </c>
      <c r="H54" s="2" t="str" cm="1">
        <f t="array" ref="H54">IFERROR(_xlfn.LET(
_xlpm.CSVVal,_xlfn.XLOOKUP($A54,CSV!$A:$A,CSV!H:H,""),
_xlpm.MacVal,_xlfn.XLOOKUP($A54,Output_Mac!$A:$A,Output_Mac!H:H,""),
_xlpm.MyAuditVal,_xlfn.XLOOKUP($A54,My_Audit!$A:$A,My_Audit!G:G,""),
_xlfn.IFS(_xlpm.MyAuditVal&lt;&gt;"",_xlpm.MyAuditVal,_xlpm.MacVal&lt;&gt;"",_xlpm.MacVal,_xlpm.CSVVal&lt;&gt;"",_xlpm.CSVVal
)),"")</f>
        <v/>
      </c>
      <c r="I54" s="2" t="str">
        <f>_xlfn.XLOOKUP(A54,Output_Mac!A:A,Output_Mac!I:I,"")</f>
        <v/>
      </c>
      <c r="J54" s="2" t="str" cm="1">
        <f t="array" ref="J54">IFERROR(_xlfn.LET(
_xlpm.CSVVal,_xlfn.XLOOKUP($A54,CSV!$A:$A,CSV!I:I,""),
_xlpm.MacVal,_xlfn.XLOOKUP($A54,Output_Mac!$A:$A,Output_Mac!J:J,""),
_xlpm.MyAuditVal,_xlfn.XLOOKUP($A54,My_Audit!$A:$A,My_Audit!I:I,""),
_xlfn.IFS(_xlpm.MyAuditVal&lt;&gt;"",UPPER(_xlpm.MyAuditVal),_xlpm.MacVal&lt;&gt;"",_xlpm.MacVal,_xlpm.CSVVal&lt;&gt;"",_xlpm.CSVVal
)),"")</f>
        <v/>
      </c>
      <c r="K54" s="2" t="str" cm="1">
        <f t="array" ref="K54">IFERROR(_xlfn.LET(
_xlpm.CSVVal,_xlfn.XLOOKUP($A54,CSV!$A:$A,CSV!K:K,""),
_xlpm.MacVal,_xlfn.XLOOKUP($A54,Output_Mac!$A:$A,Output_Mac!K:K,""),
_xlpm.MyAuditVal,_xlfn.XLOOKUP($A54,My_Audit!$A:$A,My_Audit!J:J,""),
_xlfn.IFS(_xlpm.MyAuditVal&lt;&gt;"",UPPER(_xlpm.MyAuditVal),_xlpm.MacVal&lt;&gt;"",_xlpm.MacVal,_xlpm.CSVVal&lt;&gt;"",_xlpm.CSVVal
)),"")</f>
        <v/>
      </c>
      <c r="L54" s="2" t="str" cm="1">
        <f t="array" ref="L54">IFERROR(_xlfn.LET(
_xlpm.CSVVal,_xlfn.XLOOKUP($A54,CSV!$A:$A,CSV!P:P,""),
_xlpm.MacVal,_xlfn.XLOOKUP($A54,Output_Mac!$A:$A,Output_Mac!L:L,""),
_xlpm.MyAuditVal,_xlfn.XLOOKUP($A54,My_Audit!$A:$A,My_Audit!K:K,""),
_xlfn.IFS(_xlpm.MyAuditVal&lt;&gt;"",UPPER(_xlpm.MyAuditVal),_xlpm.MacVal&lt;&gt;"",_xlpm.MacVal,_xlpm.CSVVal&lt;&gt;"",_xlpm.CSVVal
)),"")</f>
        <v/>
      </c>
      <c r="M54" s="2" t="str" cm="1">
        <f t="array" ref="M54">IFERROR(_xlfn.LET(
_xlpm.CSVVal,_xlfn.XLOOKUP($A54,CSV!$A:$A,CSV!Q:Q,""),
_xlpm.MacVal,_xlfn.XLOOKUP($A54,Output_Mac!$A:$A,Output_Mac!M:M,""),
_xlpm.MyAuditVal,_xlfn.XLOOKUP($A54,My_Audit!$A:$A,My_Audit!L:L,""),
_xlfn.IFS(_xlpm.MyAuditVal&lt;&gt;"",UPPER(_xlpm.MyAuditVal),_xlpm.MacVal&lt;&gt;"",_xlpm.MacVal,_xlpm.CSVVal&lt;&gt;"",_xlpm.CSVVal
)),"")</f>
        <v/>
      </c>
      <c r="O54" s="2" t="str">
        <f>_xlfn.LET(
    _xlpm.CSVVal, _xlfn.XLOOKUP($A54, CSV!$A:$A, CSV!AC:AC, ""),
    _xlpm.MacVal, _xlfn.XLOOKUP($A54, Output_Mac!$A:$A, Output_Mac!S:S, ""),
    _xlpm.MyAuditVal, _xlfn.XLOOKUP($A54, My_Audit!$A:$A, My_Audit!P:P, ""),
    _xlfn.TEXTJOIN(", ", TRUE, _xlpm.MyAuditVal, _xlpm.MacVal, _xlpm.CSVVal)
)</f>
        <v/>
      </c>
      <c r="P54" s="2" t="str" cm="1">
        <f t="array" ref="P54">IFERROR(_xlfn.LET(
_xlpm.CSVVal,_xlfn.XLOOKUP($A54,CSV!$A:$A,CSV!AD:AD,""),
_xlpm.MacVal,_xlfn.XLOOKUP($A54,Output_Mac!$A:$A,Output_Mac!T:T,""),
_xlpm.MyAuditVal,_xlfn.XLOOKUP($A54,My_Audit!$A:$A,My_Audit!Q:Q,""),
_xlfn.IFS(_xlpm.MyAuditVal&lt;&gt;"",UPPER(_xlpm.MyAuditVal),_xlpm.MacVal&lt;&gt;"",_xlpm.MacVal,_xlpm.CSVVal&lt;&gt;"",_xlpm.CSVVal
)),"No")</f>
        <v>No</v>
      </c>
      <c r="Q54" s="2" t="str" cm="1">
        <f t="array" ref="Q54">IFERROR(_xlfn.LET(
_xlpm.CSVVal,_xlfn.XLOOKUP($A54,CSV!$A:$A,CSV!AE:AE,""),
_xlpm.MacVal,_xlfn.XLOOKUP($A54,Output_Mac!$A:$A,Output_Mac!U:U,""),
_xlpm.MyAuditVal,_xlfn.XLOOKUP($A54,My_Audit!$A:$A,My_Audit!R:R,""),
_xlfn.IFS(_xlpm.MyAuditVal&lt;&gt;"",UPPER(_xlpm.MyAuditVal),_xlpm.MacVal&lt;&gt;"",_xlpm.MacVal,_xlpm.CSVVal&lt;&gt;"",_xlpm.CSVVal
)),"")</f>
        <v/>
      </c>
      <c r="X54" t="str">
        <f>_xlfn.LET(
    _xlpm.MacVal, _xlfn.XLOOKUP($A54, Output_Mac!$A:$A, Output_Mac!AB:AB, ""),
    _xlpm.MyAuditVal, _xlfn.XLOOKUP($A54, My_Audit!$A:$A, My_Audit!N:N, ""),
    _xlfn.TEXTJOIN(", ", TRUE, _xlpm.MyAuditVal, _xlpm.MacVal)
)</f>
        <v/>
      </c>
    </row>
    <row r="55" spans="1:24">
      <c r="A55" s="2" t="str">
        <f>_xlfn.TEXTJOIN("",TRUE,Input!$B$2,ROW(My_Audit!A54))</f>
        <v>X54</v>
      </c>
      <c r="B55" s="2" t="str">
        <f>_xlfn.TEXTJOIN("-",TRUE,"ITD",Input!$A$2,A55)</f>
        <v>ITD-SHR-X54</v>
      </c>
      <c r="C55" s="2" t="str" cm="1">
        <f t="array" ref="C55">IFERROR(_xlfn.LET(
_xlpm.CSVVal,_xlfn.XLOOKUP($A55,CSV!$A:$A,CSV!B:B,""),
_xlpm.MacVal,_xlfn.XLOOKUP($A55,Output_Mac!$A:$A,Output_Mac!B:B,""),
_xlpm.MyAuditVal,_xlfn.XLOOKUP($A55,My_Audit!$A:$A,My_Audit!B:B,""),
_xlfn.IFS(_xlpm.MyAuditVal&lt;&gt;"",UPPER(_xlpm.MyAuditVal),_xlpm.MacVal&lt;&gt;"",_xlpm.MacVal,_xlpm.CSVVal&lt;&gt;"",_xlpm.CSVVal
)),"")</f>
        <v/>
      </c>
      <c r="D55" s="2" t="str" cm="1">
        <f t="array" ref="D55">IFERROR(_xlfn.LET(
_xlpm.CSVVal,_xlfn.XLOOKUP($A55,CSV!$A:$A,CSV!D:D,""),
_xlpm.MacVal,_xlfn.XLOOKUP($A55,Output_Mac!$A:$A,Output_Mac!C:C,""),
_xlpm.MyAuditVal,_xlfn.XLOOKUP($A55,My_Audit!$A:$A,My_Audit!C:C,""),
_xlfn.IFS(_xlpm.MyAuditVal&lt;&gt;"",_xlpm.MyAuditVal,_xlpm.MacVal&lt;&gt;"",_xlpm.MacVal,_xlpm.CSVVal&lt;&gt;"",_xlpm.CSVVal
)),"")</f>
        <v/>
      </c>
      <c r="E55" s="2" t="str">
        <f>_xlfn.XLOOKUP(A55,My_Audit!A:A,My_Audit!D:D,"")&amp;""</f>
        <v/>
      </c>
      <c r="F55" s="2" t="str" cm="1">
        <f t="array" ref="F55">IFERROR(_xlfn.LET(
_xlpm.CSVVal,_xlfn.XLOOKUP($A55,CSV!$A:$A,CSV!F:F,""),
_xlpm.MacVal,_xlfn.XLOOKUP($A55,Output_Mac!$A:$A,Output_Mac!E:E,""),
_xlpm.MyAuditVal,_xlfn.XLOOKUP($A55,My_Audit!$A:$A,My_Audit!E:E,""),
_xlfn.IFS(_xlpm.MyAuditVal&lt;&gt;"",_xlpm.MyAuditVal,_xlpm.MacVal&lt;&gt;"",_xlpm.MacVal,_xlpm.CSVVal&lt;&gt;"",_xlpm.CSVVal
)),"")</f>
        <v/>
      </c>
      <c r="G55" s="2" t="str" cm="1">
        <f t="array" ref="G55">IFERROR(_xlfn.LET(
_xlpm.CSVVal,_xlfn.XLOOKUP($A55,CSV!$A:$A,CSV!G:G,""),
_xlpm.MacVal,_xlfn.XLOOKUP($A55,Output_Mac!$A:$A,Output_Mac!F:F,""),
_xlpm.MyAuditVal,_xlfn.XLOOKUP($A55,My_Audit!$A:$A,My_Audit!F:F,""),
_xlfn.IFS(_xlpm.MyAuditVal&lt;&gt;"",_xlpm.MyAuditVal,_xlpm.MacVal&lt;&gt;"",_xlpm.MacVal,_xlpm.CSVVal&lt;&gt;"",PROPER(_xlpm.CSVVal)
)),"")</f>
        <v/>
      </c>
      <c r="H55" s="2" t="str" cm="1">
        <f t="array" ref="H55">IFERROR(_xlfn.LET(
_xlpm.CSVVal,_xlfn.XLOOKUP($A55,CSV!$A:$A,CSV!H:H,""),
_xlpm.MacVal,_xlfn.XLOOKUP($A55,Output_Mac!$A:$A,Output_Mac!H:H,""),
_xlpm.MyAuditVal,_xlfn.XLOOKUP($A55,My_Audit!$A:$A,My_Audit!G:G,""),
_xlfn.IFS(_xlpm.MyAuditVal&lt;&gt;"",_xlpm.MyAuditVal,_xlpm.MacVal&lt;&gt;"",_xlpm.MacVal,_xlpm.CSVVal&lt;&gt;"",_xlpm.CSVVal
)),"")</f>
        <v/>
      </c>
      <c r="I55" s="2" t="str">
        <f>_xlfn.XLOOKUP(A55,Output_Mac!A:A,Output_Mac!I:I,"")</f>
        <v/>
      </c>
      <c r="J55" s="2" t="str" cm="1">
        <f t="array" ref="J55">IFERROR(_xlfn.LET(
_xlpm.CSVVal,_xlfn.XLOOKUP($A55,CSV!$A:$A,CSV!I:I,""),
_xlpm.MacVal,_xlfn.XLOOKUP($A55,Output_Mac!$A:$A,Output_Mac!J:J,""),
_xlpm.MyAuditVal,_xlfn.XLOOKUP($A55,My_Audit!$A:$A,My_Audit!I:I,""),
_xlfn.IFS(_xlpm.MyAuditVal&lt;&gt;"",UPPER(_xlpm.MyAuditVal),_xlpm.MacVal&lt;&gt;"",_xlpm.MacVal,_xlpm.CSVVal&lt;&gt;"",_xlpm.CSVVal
)),"")</f>
        <v/>
      </c>
      <c r="K55" s="2" t="str" cm="1">
        <f t="array" ref="K55">IFERROR(_xlfn.LET(
_xlpm.CSVVal,_xlfn.XLOOKUP($A55,CSV!$A:$A,CSV!K:K,""),
_xlpm.MacVal,_xlfn.XLOOKUP($A55,Output_Mac!$A:$A,Output_Mac!K:K,""),
_xlpm.MyAuditVal,_xlfn.XLOOKUP($A55,My_Audit!$A:$A,My_Audit!J:J,""),
_xlfn.IFS(_xlpm.MyAuditVal&lt;&gt;"",UPPER(_xlpm.MyAuditVal),_xlpm.MacVal&lt;&gt;"",_xlpm.MacVal,_xlpm.CSVVal&lt;&gt;"",_xlpm.CSVVal
)),"")</f>
        <v/>
      </c>
      <c r="L55" s="2" t="str" cm="1">
        <f t="array" ref="L55">IFERROR(_xlfn.LET(
_xlpm.CSVVal,_xlfn.XLOOKUP($A55,CSV!$A:$A,CSV!P:P,""),
_xlpm.MacVal,_xlfn.XLOOKUP($A55,Output_Mac!$A:$A,Output_Mac!L:L,""),
_xlpm.MyAuditVal,_xlfn.XLOOKUP($A55,My_Audit!$A:$A,My_Audit!K:K,""),
_xlfn.IFS(_xlpm.MyAuditVal&lt;&gt;"",UPPER(_xlpm.MyAuditVal),_xlpm.MacVal&lt;&gt;"",_xlpm.MacVal,_xlpm.CSVVal&lt;&gt;"",_xlpm.CSVVal
)),"")</f>
        <v/>
      </c>
      <c r="M55" s="2" t="str" cm="1">
        <f t="array" ref="M55">IFERROR(_xlfn.LET(
_xlpm.CSVVal,_xlfn.XLOOKUP($A55,CSV!$A:$A,CSV!Q:Q,""),
_xlpm.MacVal,_xlfn.XLOOKUP($A55,Output_Mac!$A:$A,Output_Mac!M:M,""),
_xlpm.MyAuditVal,_xlfn.XLOOKUP($A55,My_Audit!$A:$A,My_Audit!L:L,""),
_xlfn.IFS(_xlpm.MyAuditVal&lt;&gt;"",UPPER(_xlpm.MyAuditVal),_xlpm.MacVal&lt;&gt;"",_xlpm.MacVal,_xlpm.CSVVal&lt;&gt;"",_xlpm.CSVVal
)),"")</f>
        <v/>
      </c>
      <c r="O55" s="2" t="str">
        <f>_xlfn.LET(
    _xlpm.CSVVal, _xlfn.XLOOKUP($A55, CSV!$A:$A, CSV!AC:AC, ""),
    _xlpm.MacVal, _xlfn.XLOOKUP($A55, Output_Mac!$A:$A, Output_Mac!S:S, ""),
    _xlpm.MyAuditVal, _xlfn.XLOOKUP($A55, My_Audit!$A:$A, My_Audit!P:P, ""),
    _xlfn.TEXTJOIN(", ", TRUE, _xlpm.MyAuditVal, _xlpm.MacVal, _xlpm.CSVVal)
)</f>
        <v/>
      </c>
      <c r="P55" s="2" t="str" cm="1">
        <f t="array" ref="P55">IFERROR(_xlfn.LET(
_xlpm.CSVVal,_xlfn.XLOOKUP($A55,CSV!$A:$A,CSV!AD:AD,""),
_xlpm.MacVal,_xlfn.XLOOKUP($A55,Output_Mac!$A:$A,Output_Mac!T:T,""),
_xlpm.MyAuditVal,_xlfn.XLOOKUP($A55,My_Audit!$A:$A,My_Audit!Q:Q,""),
_xlfn.IFS(_xlpm.MyAuditVal&lt;&gt;"",UPPER(_xlpm.MyAuditVal),_xlpm.MacVal&lt;&gt;"",_xlpm.MacVal,_xlpm.CSVVal&lt;&gt;"",_xlpm.CSVVal
)),"No")</f>
        <v>No</v>
      </c>
      <c r="Q55" s="2" t="str" cm="1">
        <f t="array" ref="Q55">IFERROR(_xlfn.LET(
_xlpm.CSVVal,_xlfn.XLOOKUP($A55,CSV!$A:$A,CSV!AE:AE,""),
_xlpm.MacVal,_xlfn.XLOOKUP($A55,Output_Mac!$A:$A,Output_Mac!U:U,""),
_xlpm.MyAuditVal,_xlfn.XLOOKUP($A55,My_Audit!$A:$A,My_Audit!R:R,""),
_xlfn.IFS(_xlpm.MyAuditVal&lt;&gt;"",UPPER(_xlpm.MyAuditVal),_xlpm.MacVal&lt;&gt;"",_xlpm.MacVal,_xlpm.CSVVal&lt;&gt;"",_xlpm.CSVVal
)),"")</f>
        <v/>
      </c>
      <c r="X55" t="str">
        <f>_xlfn.LET(
    _xlpm.MacVal, _xlfn.XLOOKUP($A55, Output_Mac!$A:$A, Output_Mac!AB:AB, ""),
    _xlpm.MyAuditVal, _xlfn.XLOOKUP($A55, My_Audit!$A:$A, My_Audit!N:N, ""),
    _xlfn.TEXTJOIN(", ", TRUE, _xlpm.MyAuditVal, _xlpm.MacVal)
)</f>
        <v/>
      </c>
    </row>
    <row r="56" spans="1:24">
      <c r="A56" s="2" t="str">
        <f>_xlfn.TEXTJOIN("",TRUE,Input!$B$2,ROW(My_Audit!A55))</f>
        <v>X55</v>
      </c>
      <c r="B56" s="2" t="str">
        <f>_xlfn.TEXTJOIN("-",TRUE,"ITD",Input!$A$2,A56)</f>
        <v>ITD-SHR-X55</v>
      </c>
      <c r="C56" s="2" t="str" cm="1">
        <f t="array" ref="C56">IFERROR(_xlfn.LET(
_xlpm.CSVVal,_xlfn.XLOOKUP($A56,CSV!$A:$A,CSV!B:B,""),
_xlpm.MacVal,_xlfn.XLOOKUP($A56,Output_Mac!$A:$A,Output_Mac!B:B,""),
_xlpm.MyAuditVal,_xlfn.XLOOKUP($A56,My_Audit!$A:$A,My_Audit!B:B,""),
_xlfn.IFS(_xlpm.MyAuditVal&lt;&gt;"",UPPER(_xlpm.MyAuditVal),_xlpm.MacVal&lt;&gt;"",_xlpm.MacVal,_xlpm.CSVVal&lt;&gt;"",_xlpm.CSVVal
)),"")</f>
        <v/>
      </c>
      <c r="D56" s="2" t="str" cm="1">
        <f t="array" ref="D56">IFERROR(_xlfn.LET(
_xlpm.CSVVal,_xlfn.XLOOKUP($A56,CSV!$A:$A,CSV!D:D,""),
_xlpm.MacVal,_xlfn.XLOOKUP($A56,Output_Mac!$A:$A,Output_Mac!C:C,""),
_xlpm.MyAuditVal,_xlfn.XLOOKUP($A56,My_Audit!$A:$A,My_Audit!C:C,""),
_xlfn.IFS(_xlpm.MyAuditVal&lt;&gt;"",_xlpm.MyAuditVal,_xlpm.MacVal&lt;&gt;"",_xlpm.MacVal,_xlpm.CSVVal&lt;&gt;"",_xlpm.CSVVal
)),"")</f>
        <v/>
      </c>
      <c r="E56" s="2" t="str">
        <f>_xlfn.XLOOKUP(A56,My_Audit!A:A,My_Audit!D:D,"")&amp;""</f>
        <v/>
      </c>
      <c r="F56" s="2" t="str" cm="1">
        <f t="array" ref="F56">IFERROR(_xlfn.LET(
_xlpm.CSVVal,_xlfn.XLOOKUP($A56,CSV!$A:$A,CSV!F:F,""),
_xlpm.MacVal,_xlfn.XLOOKUP($A56,Output_Mac!$A:$A,Output_Mac!E:E,""),
_xlpm.MyAuditVal,_xlfn.XLOOKUP($A56,My_Audit!$A:$A,My_Audit!E:E,""),
_xlfn.IFS(_xlpm.MyAuditVal&lt;&gt;"",_xlpm.MyAuditVal,_xlpm.MacVal&lt;&gt;"",_xlpm.MacVal,_xlpm.CSVVal&lt;&gt;"",_xlpm.CSVVal
)),"")</f>
        <v/>
      </c>
      <c r="G56" s="2" t="str" cm="1">
        <f t="array" ref="G56">IFERROR(_xlfn.LET(
_xlpm.CSVVal,_xlfn.XLOOKUP($A56,CSV!$A:$A,CSV!G:G,""),
_xlpm.MacVal,_xlfn.XLOOKUP($A56,Output_Mac!$A:$A,Output_Mac!F:F,""),
_xlpm.MyAuditVal,_xlfn.XLOOKUP($A56,My_Audit!$A:$A,My_Audit!F:F,""),
_xlfn.IFS(_xlpm.MyAuditVal&lt;&gt;"",_xlpm.MyAuditVal,_xlpm.MacVal&lt;&gt;"",_xlpm.MacVal,_xlpm.CSVVal&lt;&gt;"",PROPER(_xlpm.CSVVal)
)),"")</f>
        <v/>
      </c>
      <c r="H56" s="2" t="str" cm="1">
        <f t="array" ref="H56">IFERROR(_xlfn.LET(
_xlpm.CSVVal,_xlfn.XLOOKUP($A56,CSV!$A:$A,CSV!H:H,""),
_xlpm.MacVal,_xlfn.XLOOKUP($A56,Output_Mac!$A:$A,Output_Mac!H:H,""),
_xlpm.MyAuditVal,_xlfn.XLOOKUP($A56,My_Audit!$A:$A,My_Audit!G:G,""),
_xlfn.IFS(_xlpm.MyAuditVal&lt;&gt;"",_xlpm.MyAuditVal,_xlpm.MacVal&lt;&gt;"",_xlpm.MacVal,_xlpm.CSVVal&lt;&gt;"",_xlpm.CSVVal
)),"")</f>
        <v/>
      </c>
      <c r="I56" s="2" t="str">
        <f>_xlfn.XLOOKUP(A56,Output_Mac!A:A,Output_Mac!I:I,"")</f>
        <v/>
      </c>
      <c r="J56" s="2" t="str" cm="1">
        <f t="array" ref="J56">IFERROR(_xlfn.LET(
_xlpm.CSVVal,_xlfn.XLOOKUP($A56,CSV!$A:$A,CSV!I:I,""),
_xlpm.MacVal,_xlfn.XLOOKUP($A56,Output_Mac!$A:$A,Output_Mac!J:J,""),
_xlpm.MyAuditVal,_xlfn.XLOOKUP($A56,My_Audit!$A:$A,My_Audit!I:I,""),
_xlfn.IFS(_xlpm.MyAuditVal&lt;&gt;"",UPPER(_xlpm.MyAuditVal),_xlpm.MacVal&lt;&gt;"",_xlpm.MacVal,_xlpm.CSVVal&lt;&gt;"",_xlpm.CSVVal
)),"")</f>
        <v/>
      </c>
      <c r="K56" s="2" t="str" cm="1">
        <f t="array" ref="K56">IFERROR(_xlfn.LET(
_xlpm.CSVVal,_xlfn.XLOOKUP($A56,CSV!$A:$A,CSV!K:K,""),
_xlpm.MacVal,_xlfn.XLOOKUP($A56,Output_Mac!$A:$A,Output_Mac!K:K,""),
_xlpm.MyAuditVal,_xlfn.XLOOKUP($A56,My_Audit!$A:$A,My_Audit!J:J,""),
_xlfn.IFS(_xlpm.MyAuditVal&lt;&gt;"",UPPER(_xlpm.MyAuditVal),_xlpm.MacVal&lt;&gt;"",_xlpm.MacVal,_xlpm.CSVVal&lt;&gt;"",_xlpm.CSVVal
)),"")</f>
        <v/>
      </c>
      <c r="L56" s="2" t="str" cm="1">
        <f t="array" ref="L56">IFERROR(_xlfn.LET(
_xlpm.CSVVal,_xlfn.XLOOKUP($A56,CSV!$A:$A,CSV!P:P,""),
_xlpm.MacVal,_xlfn.XLOOKUP($A56,Output_Mac!$A:$A,Output_Mac!L:L,""),
_xlpm.MyAuditVal,_xlfn.XLOOKUP($A56,My_Audit!$A:$A,My_Audit!K:K,""),
_xlfn.IFS(_xlpm.MyAuditVal&lt;&gt;"",UPPER(_xlpm.MyAuditVal),_xlpm.MacVal&lt;&gt;"",_xlpm.MacVal,_xlpm.CSVVal&lt;&gt;"",_xlpm.CSVVal
)),"")</f>
        <v/>
      </c>
      <c r="M56" s="2" t="str" cm="1">
        <f t="array" ref="M56">IFERROR(_xlfn.LET(
_xlpm.CSVVal,_xlfn.XLOOKUP($A56,CSV!$A:$A,CSV!Q:Q,""),
_xlpm.MacVal,_xlfn.XLOOKUP($A56,Output_Mac!$A:$A,Output_Mac!M:M,""),
_xlpm.MyAuditVal,_xlfn.XLOOKUP($A56,My_Audit!$A:$A,My_Audit!L:L,""),
_xlfn.IFS(_xlpm.MyAuditVal&lt;&gt;"",UPPER(_xlpm.MyAuditVal),_xlpm.MacVal&lt;&gt;"",_xlpm.MacVal,_xlpm.CSVVal&lt;&gt;"",_xlpm.CSVVal
)),"")</f>
        <v/>
      </c>
      <c r="O56" s="2" t="str">
        <f>_xlfn.LET(
    _xlpm.CSVVal, _xlfn.XLOOKUP($A56, CSV!$A:$A, CSV!AC:AC, ""),
    _xlpm.MacVal, _xlfn.XLOOKUP($A56, Output_Mac!$A:$A, Output_Mac!S:S, ""),
    _xlpm.MyAuditVal, _xlfn.XLOOKUP($A56, My_Audit!$A:$A, My_Audit!P:P, ""),
    _xlfn.TEXTJOIN(", ", TRUE, _xlpm.MyAuditVal, _xlpm.MacVal, _xlpm.CSVVal)
)</f>
        <v/>
      </c>
      <c r="P56" s="2" t="str" cm="1">
        <f t="array" ref="P56">IFERROR(_xlfn.LET(
_xlpm.CSVVal,_xlfn.XLOOKUP($A56,CSV!$A:$A,CSV!AD:AD,""),
_xlpm.MacVal,_xlfn.XLOOKUP($A56,Output_Mac!$A:$A,Output_Mac!T:T,""),
_xlpm.MyAuditVal,_xlfn.XLOOKUP($A56,My_Audit!$A:$A,My_Audit!Q:Q,""),
_xlfn.IFS(_xlpm.MyAuditVal&lt;&gt;"",UPPER(_xlpm.MyAuditVal),_xlpm.MacVal&lt;&gt;"",_xlpm.MacVal,_xlpm.CSVVal&lt;&gt;"",_xlpm.CSVVal
)),"No")</f>
        <v>No</v>
      </c>
      <c r="Q56" s="2" t="str" cm="1">
        <f t="array" ref="Q56">IFERROR(_xlfn.LET(
_xlpm.CSVVal,_xlfn.XLOOKUP($A56,CSV!$A:$A,CSV!AE:AE,""),
_xlpm.MacVal,_xlfn.XLOOKUP($A56,Output_Mac!$A:$A,Output_Mac!U:U,""),
_xlpm.MyAuditVal,_xlfn.XLOOKUP($A56,My_Audit!$A:$A,My_Audit!R:R,""),
_xlfn.IFS(_xlpm.MyAuditVal&lt;&gt;"",UPPER(_xlpm.MyAuditVal),_xlpm.MacVal&lt;&gt;"",_xlpm.MacVal,_xlpm.CSVVal&lt;&gt;"",_xlpm.CSVVal
)),"")</f>
        <v/>
      </c>
      <c r="X56" t="str">
        <f>_xlfn.LET(
    _xlpm.MacVal, _xlfn.XLOOKUP($A56, Output_Mac!$A:$A, Output_Mac!AB:AB, ""),
    _xlpm.MyAuditVal, _xlfn.XLOOKUP($A56, My_Audit!$A:$A, My_Audit!N:N, ""),
    _xlfn.TEXTJOIN(", ", TRUE, _xlpm.MyAuditVal, _xlpm.MacVal)
)</f>
        <v/>
      </c>
    </row>
    <row r="57" spans="1:24">
      <c r="A57" s="2" t="str">
        <f>_xlfn.TEXTJOIN("",TRUE,Input!$B$2,ROW(My_Audit!A56))</f>
        <v>X56</v>
      </c>
      <c r="B57" s="2" t="str">
        <f>_xlfn.TEXTJOIN("-",TRUE,"ITD",Input!$A$2,A57)</f>
        <v>ITD-SHR-X56</v>
      </c>
      <c r="C57" s="2" t="str" cm="1">
        <f t="array" ref="C57">IFERROR(_xlfn.LET(
_xlpm.CSVVal,_xlfn.XLOOKUP($A57,CSV!$A:$A,CSV!B:B,""),
_xlpm.MacVal,_xlfn.XLOOKUP($A57,Output_Mac!$A:$A,Output_Mac!B:B,""),
_xlpm.MyAuditVal,_xlfn.XLOOKUP($A57,My_Audit!$A:$A,My_Audit!B:B,""),
_xlfn.IFS(_xlpm.MyAuditVal&lt;&gt;"",UPPER(_xlpm.MyAuditVal),_xlpm.MacVal&lt;&gt;"",_xlpm.MacVal,_xlpm.CSVVal&lt;&gt;"",_xlpm.CSVVal
)),"")</f>
        <v/>
      </c>
      <c r="D57" s="2" t="str" cm="1">
        <f t="array" ref="D57">IFERROR(_xlfn.LET(
_xlpm.CSVVal,_xlfn.XLOOKUP($A57,CSV!$A:$A,CSV!D:D,""),
_xlpm.MacVal,_xlfn.XLOOKUP($A57,Output_Mac!$A:$A,Output_Mac!C:C,""),
_xlpm.MyAuditVal,_xlfn.XLOOKUP($A57,My_Audit!$A:$A,My_Audit!C:C,""),
_xlfn.IFS(_xlpm.MyAuditVal&lt;&gt;"",_xlpm.MyAuditVal,_xlpm.MacVal&lt;&gt;"",_xlpm.MacVal,_xlpm.CSVVal&lt;&gt;"",_xlpm.CSVVal
)),"")</f>
        <v/>
      </c>
      <c r="E57" s="2" t="str">
        <f>_xlfn.XLOOKUP(A57,My_Audit!A:A,My_Audit!D:D,"")&amp;""</f>
        <v/>
      </c>
      <c r="F57" s="2" t="str" cm="1">
        <f t="array" ref="F57">IFERROR(_xlfn.LET(
_xlpm.CSVVal,_xlfn.XLOOKUP($A57,CSV!$A:$A,CSV!F:F,""),
_xlpm.MacVal,_xlfn.XLOOKUP($A57,Output_Mac!$A:$A,Output_Mac!E:E,""),
_xlpm.MyAuditVal,_xlfn.XLOOKUP($A57,My_Audit!$A:$A,My_Audit!E:E,""),
_xlfn.IFS(_xlpm.MyAuditVal&lt;&gt;"",_xlpm.MyAuditVal,_xlpm.MacVal&lt;&gt;"",_xlpm.MacVal,_xlpm.CSVVal&lt;&gt;"",_xlpm.CSVVal
)),"")</f>
        <v/>
      </c>
      <c r="G57" s="2" t="str" cm="1">
        <f t="array" ref="G57">IFERROR(_xlfn.LET(
_xlpm.CSVVal,_xlfn.XLOOKUP($A57,CSV!$A:$A,CSV!G:G,""),
_xlpm.MacVal,_xlfn.XLOOKUP($A57,Output_Mac!$A:$A,Output_Mac!F:F,""),
_xlpm.MyAuditVal,_xlfn.XLOOKUP($A57,My_Audit!$A:$A,My_Audit!F:F,""),
_xlfn.IFS(_xlpm.MyAuditVal&lt;&gt;"",_xlpm.MyAuditVal,_xlpm.MacVal&lt;&gt;"",_xlpm.MacVal,_xlpm.CSVVal&lt;&gt;"",PROPER(_xlpm.CSVVal)
)),"")</f>
        <v/>
      </c>
      <c r="H57" s="2" t="str" cm="1">
        <f t="array" ref="H57">IFERROR(_xlfn.LET(
_xlpm.CSVVal,_xlfn.XLOOKUP($A57,CSV!$A:$A,CSV!H:H,""),
_xlpm.MacVal,_xlfn.XLOOKUP($A57,Output_Mac!$A:$A,Output_Mac!H:H,""),
_xlpm.MyAuditVal,_xlfn.XLOOKUP($A57,My_Audit!$A:$A,My_Audit!G:G,""),
_xlfn.IFS(_xlpm.MyAuditVal&lt;&gt;"",_xlpm.MyAuditVal,_xlpm.MacVal&lt;&gt;"",_xlpm.MacVal,_xlpm.CSVVal&lt;&gt;"",_xlpm.CSVVal
)),"")</f>
        <v/>
      </c>
      <c r="I57" s="2" t="str">
        <f>_xlfn.XLOOKUP(A57,Output_Mac!A:A,Output_Mac!I:I,"")</f>
        <v/>
      </c>
      <c r="J57" s="2" t="str" cm="1">
        <f t="array" ref="J57">IFERROR(_xlfn.LET(
_xlpm.CSVVal,_xlfn.XLOOKUP($A57,CSV!$A:$A,CSV!I:I,""),
_xlpm.MacVal,_xlfn.XLOOKUP($A57,Output_Mac!$A:$A,Output_Mac!J:J,""),
_xlpm.MyAuditVal,_xlfn.XLOOKUP($A57,My_Audit!$A:$A,My_Audit!I:I,""),
_xlfn.IFS(_xlpm.MyAuditVal&lt;&gt;"",UPPER(_xlpm.MyAuditVal),_xlpm.MacVal&lt;&gt;"",_xlpm.MacVal,_xlpm.CSVVal&lt;&gt;"",_xlpm.CSVVal
)),"")</f>
        <v/>
      </c>
      <c r="K57" s="2" t="str" cm="1">
        <f t="array" ref="K57">IFERROR(_xlfn.LET(
_xlpm.CSVVal,_xlfn.XLOOKUP($A57,CSV!$A:$A,CSV!K:K,""),
_xlpm.MacVal,_xlfn.XLOOKUP($A57,Output_Mac!$A:$A,Output_Mac!K:K,""),
_xlpm.MyAuditVal,_xlfn.XLOOKUP($A57,My_Audit!$A:$A,My_Audit!J:J,""),
_xlfn.IFS(_xlpm.MyAuditVal&lt;&gt;"",UPPER(_xlpm.MyAuditVal),_xlpm.MacVal&lt;&gt;"",_xlpm.MacVal,_xlpm.CSVVal&lt;&gt;"",_xlpm.CSVVal
)),"")</f>
        <v/>
      </c>
      <c r="L57" s="2" t="str" cm="1">
        <f t="array" ref="L57">IFERROR(_xlfn.LET(
_xlpm.CSVVal,_xlfn.XLOOKUP($A57,CSV!$A:$A,CSV!P:P,""),
_xlpm.MacVal,_xlfn.XLOOKUP($A57,Output_Mac!$A:$A,Output_Mac!L:L,""),
_xlpm.MyAuditVal,_xlfn.XLOOKUP($A57,My_Audit!$A:$A,My_Audit!K:K,""),
_xlfn.IFS(_xlpm.MyAuditVal&lt;&gt;"",UPPER(_xlpm.MyAuditVal),_xlpm.MacVal&lt;&gt;"",_xlpm.MacVal,_xlpm.CSVVal&lt;&gt;"",_xlpm.CSVVal
)),"")</f>
        <v/>
      </c>
      <c r="M57" s="2" t="str" cm="1">
        <f t="array" ref="M57">IFERROR(_xlfn.LET(
_xlpm.CSVVal,_xlfn.XLOOKUP($A57,CSV!$A:$A,CSV!Q:Q,""),
_xlpm.MacVal,_xlfn.XLOOKUP($A57,Output_Mac!$A:$A,Output_Mac!M:M,""),
_xlpm.MyAuditVal,_xlfn.XLOOKUP($A57,My_Audit!$A:$A,My_Audit!L:L,""),
_xlfn.IFS(_xlpm.MyAuditVal&lt;&gt;"",UPPER(_xlpm.MyAuditVal),_xlpm.MacVal&lt;&gt;"",_xlpm.MacVal,_xlpm.CSVVal&lt;&gt;"",_xlpm.CSVVal
)),"")</f>
        <v/>
      </c>
      <c r="O57" s="2" t="str">
        <f>_xlfn.LET(
    _xlpm.CSVVal, _xlfn.XLOOKUP($A57, CSV!$A:$A, CSV!AC:AC, ""),
    _xlpm.MacVal, _xlfn.XLOOKUP($A57, Output_Mac!$A:$A, Output_Mac!S:S, ""),
    _xlpm.MyAuditVal, _xlfn.XLOOKUP($A57, My_Audit!$A:$A, My_Audit!P:P, ""),
    _xlfn.TEXTJOIN(", ", TRUE, _xlpm.MyAuditVal, _xlpm.MacVal, _xlpm.CSVVal)
)</f>
        <v/>
      </c>
      <c r="P57" s="2" t="str" cm="1">
        <f t="array" ref="P57">IFERROR(_xlfn.LET(
_xlpm.CSVVal,_xlfn.XLOOKUP($A57,CSV!$A:$A,CSV!AD:AD,""),
_xlpm.MacVal,_xlfn.XLOOKUP($A57,Output_Mac!$A:$A,Output_Mac!T:T,""),
_xlpm.MyAuditVal,_xlfn.XLOOKUP($A57,My_Audit!$A:$A,My_Audit!Q:Q,""),
_xlfn.IFS(_xlpm.MyAuditVal&lt;&gt;"",UPPER(_xlpm.MyAuditVal),_xlpm.MacVal&lt;&gt;"",_xlpm.MacVal,_xlpm.CSVVal&lt;&gt;"",_xlpm.CSVVal
)),"No")</f>
        <v>No</v>
      </c>
      <c r="Q57" s="2" t="str" cm="1">
        <f t="array" ref="Q57">IFERROR(_xlfn.LET(
_xlpm.CSVVal,_xlfn.XLOOKUP($A57,CSV!$A:$A,CSV!AE:AE,""),
_xlpm.MacVal,_xlfn.XLOOKUP($A57,Output_Mac!$A:$A,Output_Mac!U:U,""),
_xlpm.MyAuditVal,_xlfn.XLOOKUP($A57,My_Audit!$A:$A,My_Audit!R:R,""),
_xlfn.IFS(_xlpm.MyAuditVal&lt;&gt;"",UPPER(_xlpm.MyAuditVal),_xlpm.MacVal&lt;&gt;"",_xlpm.MacVal,_xlpm.CSVVal&lt;&gt;"",_xlpm.CSVVal
)),"")</f>
        <v/>
      </c>
      <c r="X57" t="str">
        <f>_xlfn.LET(
    _xlpm.MacVal, _xlfn.XLOOKUP($A57, Output_Mac!$A:$A, Output_Mac!AB:AB, ""),
    _xlpm.MyAuditVal, _xlfn.XLOOKUP($A57, My_Audit!$A:$A, My_Audit!N:N, ""),
    _xlfn.TEXTJOIN(", ", TRUE, _xlpm.MyAuditVal, _xlpm.MacVal)
)</f>
        <v/>
      </c>
    </row>
    <row r="58" spans="1:24">
      <c r="A58" s="2" t="str">
        <f>_xlfn.TEXTJOIN("",TRUE,Input!$B$2,ROW(My_Audit!A57))</f>
        <v>X57</v>
      </c>
      <c r="B58" s="2" t="str">
        <f>_xlfn.TEXTJOIN("-",TRUE,"ITD",Input!$A$2,A58)</f>
        <v>ITD-SHR-X57</v>
      </c>
      <c r="C58" s="2" t="str" cm="1">
        <f t="array" ref="C58">IFERROR(_xlfn.LET(
_xlpm.CSVVal,_xlfn.XLOOKUP($A58,CSV!$A:$A,CSV!B:B,""),
_xlpm.MacVal,_xlfn.XLOOKUP($A58,Output_Mac!$A:$A,Output_Mac!B:B,""),
_xlpm.MyAuditVal,_xlfn.XLOOKUP($A58,My_Audit!$A:$A,My_Audit!B:B,""),
_xlfn.IFS(_xlpm.MyAuditVal&lt;&gt;"",UPPER(_xlpm.MyAuditVal),_xlpm.MacVal&lt;&gt;"",_xlpm.MacVal,_xlpm.CSVVal&lt;&gt;"",_xlpm.CSVVal
)),"")</f>
        <v/>
      </c>
      <c r="D58" s="2" t="str" cm="1">
        <f t="array" ref="D58">IFERROR(_xlfn.LET(
_xlpm.CSVVal,_xlfn.XLOOKUP($A58,CSV!$A:$A,CSV!D:D,""),
_xlpm.MacVal,_xlfn.XLOOKUP($A58,Output_Mac!$A:$A,Output_Mac!C:C,""),
_xlpm.MyAuditVal,_xlfn.XLOOKUP($A58,My_Audit!$A:$A,My_Audit!C:C,""),
_xlfn.IFS(_xlpm.MyAuditVal&lt;&gt;"",_xlpm.MyAuditVal,_xlpm.MacVal&lt;&gt;"",_xlpm.MacVal,_xlpm.CSVVal&lt;&gt;"",_xlpm.CSVVal
)),"")</f>
        <v/>
      </c>
      <c r="E58" s="2" t="str">
        <f>_xlfn.XLOOKUP(A58,My_Audit!A:A,My_Audit!D:D,"")&amp;""</f>
        <v/>
      </c>
      <c r="F58" s="2" t="str" cm="1">
        <f t="array" ref="F58">IFERROR(_xlfn.LET(
_xlpm.CSVVal,_xlfn.XLOOKUP($A58,CSV!$A:$A,CSV!F:F,""),
_xlpm.MacVal,_xlfn.XLOOKUP($A58,Output_Mac!$A:$A,Output_Mac!E:E,""),
_xlpm.MyAuditVal,_xlfn.XLOOKUP($A58,My_Audit!$A:$A,My_Audit!E:E,""),
_xlfn.IFS(_xlpm.MyAuditVal&lt;&gt;"",_xlpm.MyAuditVal,_xlpm.MacVal&lt;&gt;"",_xlpm.MacVal,_xlpm.CSVVal&lt;&gt;"",_xlpm.CSVVal
)),"")</f>
        <v/>
      </c>
      <c r="G58" s="2" t="str" cm="1">
        <f t="array" ref="G58">IFERROR(_xlfn.LET(
_xlpm.CSVVal,_xlfn.XLOOKUP($A58,CSV!$A:$A,CSV!G:G,""),
_xlpm.MacVal,_xlfn.XLOOKUP($A58,Output_Mac!$A:$A,Output_Mac!F:F,""),
_xlpm.MyAuditVal,_xlfn.XLOOKUP($A58,My_Audit!$A:$A,My_Audit!F:F,""),
_xlfn.IFS(_xlpm.MyAuditVal&lt;&gt;"",_xlpm.MyAuditVal,_xlpm.MacVal&lt;&gt;"",_xlpm.MacVal,_xlpm.CSVVal&lt;&gt;"",PROPER(_xlpm.CSVVal)
)),"")</f>
        <v/>
      </c>
      <c r="H58" s="2" t="str" cm="1">
        <f t="array" ref="H58">IFERROR(_xlfn.LET(
_xlpm.CSVVal,_xlfn.XLOOKUP($A58,CSV!$A:$A,CSV!H:H,""),
_xlpm.MacVal,_xlfn.XLOOKUP($A58,Output_Mac!$A:$A,Output_Mac!H:H,""),
_xlpm.MyAuditVal,_xlfn.XLOOKUP($A58,My_Audit!$A:$A,My_Audit!G:G,""),
_xlfn.IFS(_xlpm.MyAuditVal&lt;&gt;"",_xlpm.MyAuditVal,_xlpm.MacVal&lt;&gt;"",_xlpm.MacVal,_xlpm.CSVVal&lt;&gt;"",_xlpm.CSVVal
)),"")</f>
        <v/>
      </c>
      <c r="I58" s="2" t="str">
        <f>_xlfn.XLOOKUP(A58,Output_Mac!A:A,Output_Mac!I:I,"")</f>
        <v/>
      </c>
      <c r="J58" s="2" t="str" cm="1">
        <f t="array" ref="J58">IFERROR(_xlfn.LET(
_xlpm.CSVVal,_xlfn.XLOOKUP($A58,CSV!$A:$A,CSV!I:I,""),
_xlpm.MacVal,_xlfn.XLOOKUP($A58,Output_Mac!$A:$A,Output_Mac!J:J,""),
_xlpm.MyAuditVal,_xlfn.XLOOKUP($A58,My_Audit!$A:$A,My_Audit!I:I,""),
_xlfn.IFS(_xlpm.MyAuditVal&lt;&gt;"",UPPER(_xlpm.MyAuditVal),_xlpm.MacVal&lt;&gt;"",_xlpm.MacVal,_xlpm.CSVVal&lt;&gt;"",_xlpm.CSVVal
)),"")</f>
        <v/>
      </c>
      <c r="K58" s="2" t="str" cm="1">
        <f t="array" ref="K58">IFERROR(_xlfn.LET(
_xlpm.CSVVal,_xlfn.XLOOKUP($A58,CSV!$A:$A,CSV!K:K,""),
_xlpm.MacVal,_xlfn.XLOOKUP($A58,Output_Mac!$A:$A,Output_Mac!K:K,""),
_xlpm.MyAuditVal,_xlfn.XLOOKUP($A58,My_Audit!$A:$A,My_Audit!J:J,""),
_xlfn.IFS(_xlpm.MyAuditVal&lt;&gt;"",UPPER(_xlpm.MyAuditVal),_xlpm.MacVal&lt;&gt;"",_xlpm.MacVal,_xlpm.CSVVal&lt;&gt;"",_xlpm.CSVVal
)),"")</f>
        <v/>
      </c>
      <c r="L58" s="2" t="str" cm="1">
        <f t="array" ref="L58">IFERROR(_xlfn.LET(
_xlpm.CSVVal,_xlfn.XLOOKUP($A58,CSV!$A:$A,CSV!P:P,""),
_xlpm.MacVal,_xlfn.XLOOKUP($A58,Output_Mac!$A:$A,Output_Mac!L:L,""),
_xlpm.MyAuditVal,_xlfn.XLOOKUP($A58,My_Audit!$A:$A,My_Audit!K:K,""),
_xlfn.IFS(_xlpm.MyAuditVal&lt;&gt;"",UPPER(_xlpm.MyAuditVal),_xlpm.MacVal&lt;&gt;"",_xlpm.MacVal,_xlpm.CSVVal&lt;&gt;"",_xlpm.CSVVal
)),"")</f>
        <v/>
      </c>
      <c r="M58" s="2" t="str" cm="1">
        <f t="array" ref="M58">IFERROR(_xlfn.LET(
_xlpm.CSVVal,_xlfn.XLOOKUP($A58,CSV!$A:$A,CSV!Q:Q,""),
_xlpm.MacVal,_xlfn.XLOOKUP($A58,Output_Mac!$A:$A,Output_Mac!M:M,""),
_xlpm.MyAuditVal,_xlfn.XLOOKUP($A58,My_Audit!$A:$A,My_Audit!L:L,""),
_xlfn.IFS(_xlpm.MyAuditVal&lt;&gt;"",UPPER(_xlpm.MyAuditVal),_xlpm.MacVal&lt;&gt;"",_xlpm.MacVal,_xlpm.CSVVal&lt;&gt;"",_xlpm.CSVVal
)),"")</f>
        <v/>
      </c>
      <c r="O58" s="2" t="str">
        <f>_xlfn.LET(
    _xlpm.CSVVal, _xlfn.XLOOKUP($A58, CSV!$A:$A, CSV!AC:AC, ""),
    _xlpm.MacVal, _xlfn.XLOOKUP($A58, Output_Mac!$A:$A, Output_Mac!S:S, ""),
    _xlpm.MyAuditVal, _xlfn.XLOOKUP($A58, My_Audit!$A:$A, My_Audit!P:P, ""),
    _xlfn.TEXTJOIN(", ", TRUE, _xlpm.MyAuditVal, _xlpm.MacVal, _xlpm.CSVVal)
)</f>
        <v/>
      </c>
      <c r="P58" s="2" t="str" cm="1">
        <f t="array" ref="P58">IFERROR(_xlfn.LET(
_xlpm.CSVVal,_xlfn.XLOOKUP($A58,CSV!$A:$A,CSV!AD:AD,""),
_xlpm.MacVal,_xlfn.XLOOKUP($A58,Output_Mac!$A:$A,Output_Mac!T:T,""),
_xlpm.MyAuditVal,_xlfn.XLOOKUP($A58,My_Audit!$A:$A,My_Audit!Q:Q,""),
_xlfn.IFS(_xlpm.MyAuditVal&lt;&gt;"",UPPER(_xlpm.MyAuditVal),_xlpm.MacVal&lt;&gt;"",_xlpm.MacVal,_xlpm.CSVVal&lt;&gt;"",_xlpm.CSVVal
)),"No")</f>
        <v>No</v>
      </c>
      <c r="Q58" s="2" t="str" cm="1">
        <f t="array" ref="Q58">IFERROR(_xlfn.LET(
_xlpm.CSVVal,_xlfn.XLOOKUP($A58,CSV!$A:$A,CSV!AE:AE,""),
_xlpm.MacVal,_xlfn.XLOOKUP($A58,Output_Mac!$A:$A,Output_Mac!U:U,""),
_xlpm.MyAuditVal,_xlfn.XLOOKUP($A58,My_Audit!$A:$A,My_Audit!R:R,""),
_xlfn.IFS(_xlpm.MyAuditVal&lt;&gt;"",UPPER(_xlpm.MyAuditVal),_xlpm.MacVal&lt;&gt;"",_xlpm.MacVal,_xlpm.CSVVal&lt;&gt;"",_xlpm.CSVVal
)),"")</f>
        <v/>
      </c>
      <c r="X58" t="str">
        <f>_xlfn.LET(
    _xlpm.MacVal, _xlfn.XLOOKUP($A58, Output_Mac!$A:$A, Output_Mac!AB:AB, ""),
    _xlpm.MyAuditVal, _xlfn.XLOOKUP($A58, My_Audit!$A:$A, My_Audit!N:N, ""),
    _xlfn.TEXTJOIN(", ", TRUE, _xlpm.MyAuditVal, _xlpm.MacVal)
)</f>
        <v/>
      </c>
    </row>
    <row r="59" spans="1:24">
      <c r="A59" s="2" t="str">
        <f>_xlfn.TEXTJOIN("",TRUE,Input!$B$2,ROW(My_Audit!A58))</f>
        <v>X58</v>
      </c>
      <c r="B59" s="2" t="str">
        <f>_xlfn.TEXTJOIN("-",TRUE,"ITD",Input!$A$2,A59)</f>
        <v>ITD-SHR-X58</v>
      </c>
      <c r="C59" s="2" t="str" cm="1">
        <f t="array" ref="C59">IFERROR(_xlfn.LET(
_xlpm.CSVVal,_xlfn.XLOOKUP($A59,CSV!$A:$A,CSV!B:B,""),
_xlpm.MacVal,_xlfn.XLOOKUP($A59,Output_Mac!$A:$A,Output_Mac!B:B,""),
_xlpm.MyAuditVal,_xlfn.XLOOKUP($A59,My_Audit!$A:$A,My_Audit!B:B,""),
_xlfn.IFS(_xlpm.MyAuditVal&lt;&gt;"",UPPER(_xlpm.MyAuditVal),_xlpm.MacVal&lt;&gt;"",_xlpm.MacVal,_xlpm.CSVVal&lt;&gt;"",_xlpm.CSVVal
)),"")</f>
        <v/>
      </c>
      <c r="D59" s="2" t="str" cm="1">
        <f t="array" ref="D59">IFERROR(_xlfn.LET(
_xlpm.CSVVal,_xlfn.XLOOKUP($A59,CSV!$A:$A,CSV!D:D,""),
_xlpm.MacVal,_xlfn.XLOOKUP($A59,Output_Mac!$A:$A,Output_Mac!C:C,""),
_xlpm.MyAuditVal,_xlfn.XLOOKUP($A59,My_Audit!$A:$A,My_Audit!C:C,""),
_xlfn.IFS(_xlpm.MyAuditVal&lt;&gt;"",_xlpm.MyAuditVal,_xlpm.MacVal&lt;&gt;"",_xlpm.MacVal,_xlpm.CSVVal&lt;&gt;"",_xlpm.CSVVal
)),"")</f>
        <v/>
      </c>
      <c r="E59" s="2" t="str">
        <f>_xlfn.XLOOKUP(A59,My_Audit!A:A,My_Audit!D:D,"")&amp;""</f>
        <v/>
      </c>
      <c r="F59" s="2" t="str" cm="1">
        <f t="array" ref="F59">IFERROR(_xlfn.LET(
_xlpm.CSVVal,_xlfn.XLOOKUP($A59,CSV!$A:$A,CSV!F:F,""),
_xlpm.MacVal,_xlfn.XLOOKUP($A59,Output_Mac!$A:$A,Output_Mac!E:E,""),
_xlpm.MyAuditVal,_xlfn.XLOOKUP($A59,My_Audit!$A:$A,My_Audit!E:E,""),
_xlfn.IFS(_xlpm.MyAuditVal&lt;&gt;"",_xlpm.MyAuditVal,_xlpm.MacVal&lt;&gt;"",_xlpm.MacVal,_xlpm.CSVVal&lt;&gt;"",_xlpm.CSVVal
)),"")</f>
        <v/>
      </c>
      <c r="G59" s="2" t="str" cm="1">
        <f t="array" ref="G59">IFERROR(_xlfn.LET(
_xlpm.CSVVal,_xlfn.XLOOKUP($A59,CSV!$A:$A,CSV!G:G,""),
_xlpm.MacVal,_xlfn.XLOOKUP($A59,Output_Mac!$A:$A,Output_Mac!F:F,""),
_xlpm.MyAuditVal,_xlfn.XLOOKUP($A59,My_Audit!$A:$A,My_Audit!F:F,""),
_xlfn.IFS(_xlpm.MyAuditVal&lt;&gt;"",_xlpm.MyAuditVal,_xlpm.MacVal&lt;&gt;"",_xlpm.MacVal,_xlpm.CSVVal&lt;&gt;"",PROPER(_xlpm.CSVVal)
)),"")</f>
        <v/>
      </c>
      <c r="H59" s="2" t="str" cm="1">
        <f t="array" ref="H59">IFERROR(_xlfn.LET(
_xlpm.CSVVal,_xlfn.XLOOKUP($A59,CSV!$A:$A,CSV!H:H,""),
_xlpm.MacVal,_xlfn.XLOOKUP($A59,Output_Mac!$A:$A,Output_Mac!H:H,""),
_xlpm.MyAuditVal,_xlfn.XLOOKUP($A59,My_Audit!$A:$A,My_Audit!G:G,""),
_xlfn.IFS(_xlpm.MyAuditVal&lt;&gt;"",_xlpm.MyAuditVal,_xlpm.MacVal&lt;&gt;"",_xlpm.MacVal,_xlpm.CSVVal&lt;&gt;"",_xlpm.CSVVal
)),"")</f>
        <v/>
      </c>
      <c r="I59" s="2" t="str">
        <f>_xlfn.XLOOKUP(A59,Output_Mac!A:A,Output_Mac!I:I,"")</f>
        <v/>
      </c>
      <c r="J59" s="2" t="str" cm="1">
        <f t="array" ref="J59">IFERROR(_xlfn.LET(
_xlpm.CSVVal,_xlfn.XLOOKUP($A59,CSV!$A:$A,CSV!I:I,""),
_xlpm.MacVal,_xlfn.XLOOKUP($A59,Output_Mac!$A:$A,Output_Mac!J:J,""),
_xlpm.MyAuditVal,_xlfn.XLOOKUP($A59,My_Audit!$A:$A,My_Audit!I:I,""),
_xlfn.IFS(_xlpm.MyAuditVal&lt;&gt;"",UPPER(_xlpm.MyAuditVal),_xlpm.MacVal&lt;&gt;"",_xlpm.MacVal,_xlpm.CSVVal&lt;&gt;"",_xlpm.CSVVal
)),"")</f>
        <v/>
      </c>
      <c r="K59" s="2" t="str" cm="1">
        <f t="array" ref="K59">IFERROR(_xlfn.LET(
_xlpm.CSVVal,_xlfn.XLOOKUP($A59,CSV!$A:$A,CSV!K:K,""),
_xlpm.MacVal,_xlfn.XLOOKUP($A59,Output_Mac!$A:$A,Output_Mac!K:K,""),
_xlpm.MyAuditVal,_xlfn.XLOOKUP($A59,My_Audit!$A:$A,My_Audit!J:J,""),
_xlfn.IFS(_xlpm.MyAuditVal&lt;&gt;"",UPPER(_xlpm.MyAuditVal),_xlpm.MacVal&lt;&gt;"",_xlpm.MacVal,_xlpm.CSVVal&lt;&gt;"",_xlpm.CSVVal
)),"")</f>
        <v/>
      </c>
      <c r="L59" s="2" t="str" cm="1">
        <f t="array" ref="L59">IFERROR(_xlfn.LET(
_xlpm.CSVVal,_xlfn.XLOOKUP($A59,CSV!$A:$A,CSV!P:P,""),
_xlpm.MacVal,_xlfn.XLOOKUP($A59,Output_Mac!$A:$A,Output_Mac!L:L,""),
_xlpm.MyAuditVal,_xlfn.XLOOKUP($A59,My_Audit!$A:$A,My_Audit!K:K,""),
_xlfn.IFS(_xlpm.MyAuditVal&lt;&gt;"",UPPER(_xlpm.MyAuditVal),_xlpm.MacVal&lt;&gt;"",_xlpm.MacVal,_xlpm.CSVVal&lt;&gt;"",_xlpm.CSVVal
)),"")</f>
        <v/>
      </c>
      <c r="M59" s="2" t="str" cm="1">
        <f t="array" ref="M59">IFERROR(_xlfn.LET(
_xlpm.CSVVal,_xlfn.XLOOKUP($A59,CSV!$A:$A,CSV!Q:Q,""),
_xlpm.MacVal,_xlfn.XLOOKUP($A59,Output_Mac!$A:$A,Output_Mac!M:M,""),
_xlpm.MyAuditVal,_xlfn.XLOOKUP($A59,My_Audit!$A:$A,My_Audit!L:L,""),
_xlfn.IFS(_xlpm.MyAuditVal&lt;&gt;"",UPPER(_xlpm.MyAuditVal),_xlpm.MacVal&lt;&gt;"",_xlpm.MacVal,_xlpm.CSVVal&lt;&gt;"",_xlpm.CSVVal
)),"")</f>
        <v/>
      </c>
      <c r="O59" s="2" t="str">
        <f>_xlfn.LET(
    _xlpm.CSVVal, _xlfn.XLOOKUP($A59, CSV!$A:$A, CSV!AC:AC, ""),
    _xlpm.MacVal, _xlfn.XLOOKUP($A59, Output_Mac!$A:$A, Output_Mac!S:S, ""),
    _xlpm.MyAuditVal, _xlfn.XLOOKUP($A59, My_Audit!$A:$A, My_Audit!P:P, ""),
    _xlfn.TEXTJOIN(", ", TRUE, _xlpm.MyAuditVal, _xlpm.MacVal, _xlpm.CSVVal)
)</f>
        <v/>
      </c>
      <c r="P59" s="2" t="str" cm="1">
        <f t="array" ref="P59">IFERROR(_xlfn.LET(
_xlpm.CSVVal,_xlfn.XLOOKUP($A59,CSV!$A:$A,CSV!AD:AD,""),
_xlpm.MacVal,_xlfn.XLOOKUP($A59,Output_Mac!$A:$A,Output_Mac!T:T,""),
_xlpm.MyAuditVal,_xlfn.XLOOKUP($A59,My_Audit!$A:$A,My_Audit!Q:Q,""),
_xlfn.IFS(_xlpm.MyAuditVal&lt;&gt;"",UPPER(_xlpm.MyAuditVal),_xlpm.MacVal&lt;&gt;"",_xlpm.MacVal,_xlpm.CSVVal&lt;&gt;"",_xlpm.CSVVal
)),"No")</f>
        <v>No</v>
      </c>
      <c r="Q59" s="2" t="str" cm="1">
        <f t="array" ref="Q59">IFERROR(_xlfn.LET(
_xlpm.CSVVal,_xlfn.XLOOKUP($A59,CSV!$A:$A,CSV!AE:AE,""),
_xlpm.MacVal,_xlfn.XLOOKUP($A59,Output_Mac!$A:$A,Output_Mac!U:U,""),
_xlpm.MyAuditVal,_xlfn.XLOOKUP($A59,My_Audit!$A:$A,My_Audit!R:R,""),
_xlfn.IFS(_xlpm.MyAuditVal&lt;&gt;"",UPPER(_xlpm.MyAuditVal),_xlpm.MacVal&lt;&gt;"",_xlpm.MacVal,_xlpm.CSVVal&lt;&gt;"",_xlpm.CSVVal
)),"")</f>
        <v/>
      </c>
      <c r="X59" t="str">
        <f>_xlfn.LET(
    _xlpm.MacVal, _xlfn.XLOOKUP($A59, Output_Mac!$A:$A, Output_Mac!AB:AB, ""),
    _xlpm.MyAuditVal, _xlfn.XLOOKUP($A59, My_Audit!$A:$A, My_Audit!N:N, ""),
    _xlfn.TEXTJOIN(", ", TRUE, _xlpm.MyAuditVal, _xlpm.MacVal)
)</f>
        <v/>
      </c>
    </row>
    <row r="60" spans="1:24">
      <c r="A60" s="2" t="str">
        <f>_xlfn.TEXTJOIN("",TRUE,Input!$B$2,ROW(My_Audit!A59))</f>
        <v>X59</v>
      </c>
      <c r="B60" s="2" t="str">
        <f>_xlfn.TEXTJOIN("-",TRUE,"ITD",Input!$A$2,A60)</f>
        <v>ITD-SHR-X59</v>
      </c>
      <c r="C60" s="2" t="str" cm="1">
        <f t="array" ref="C60">IFERROR(_xlfn.LET(
_xlpm.CSVVal,_xlfn.XLOOKUP($A60,CSV!$A:$A,CSV!B:B,""),
_xlpm.MacVal,_xlfn.XLOOKUP($A60,Output_Mac!$A:$A,Output_Mac!B:B,""),
_xlpm.MyAuditVal,_xlfn.XLOOKUP($A60,My_Audit!$A:$A,My_Audit!B:B,""),
_xlfn.IFS(_xlpm.MyAuditVal&lt;&gt;"",UPPER(_xlpm.MyAuditVal),_xlpm.MacVal&lt;&gt;"",_xlpm.MacVal,_xlpm.CSVVal&lt;&gt;"",_xlpm.CSVVal
)),"")</f>
        <v/>
      </c>
      <c r="D60" s="2" t="str" cm="1">
        <f t="array" ref="D60">IFERROR(_xlfn.LET(
_xlpm.CSVVal,_xlfn.XLOOKUP($A60,CSV!$A:$A,CSV!D:D,""),
_xlpm.MacVal,_xlfn.XLOOKUP($A60,Output_Mac!$A:$A,Output_Mac!C:C,""),
_xlpm.MyAuditVal,_xlfn.XLOOKUP($A60,My_Audit!$A:$A,My_Audit!C:C,""),
_xlfn.IFS(_xlpm.MyAuditVal&lt;&gt;"",_xlpm.MyAuditVal,_xlpm.MacVal&lt;&gt;"",_xlpm.MacVal,_xlpm.CSVVal&lt;&gt;"",_xlpm.CSVVal
)),"")</f>
        <v/>
      </c>
      <c r="E60" s="2" t="str">
        <f>_xlfn.XLOOKUP(A60,My_Audit!A:A,My_Audit!D:D,"")&amp;""</f>
        <v/>
      </c>
      <c r="F60" s="2" t="str" cm="1">
        <f t="array" ref="F60">IFERROR(_xlfn.LET(
_xlpm.CSVVal,_xlfn.XLOOKUP($A60,CSV!$A:$A,CSV!F:F,""),
_xlpm.MacVal,_xlfn.XLOOKUP($A60,Output_Mac!$A:$A,Output_Mac!E:E,""),
_xlpm.MyAuditVal,_xlfn.XLOOKUP($A60,My_Audit!$A:$A,My_Audit!E:E,""),
_xlfn.IFS(_xlpm.MyAuditVal&lt;&gt;"",_xlpm.MyAuditVal,_xlpm.MacVal&lt;&gt;"",_xlpm.MacVal,_xlpm.CSVVal&lt;&gt;"",_xlpm.CSVVal
)),"")</f>
        <v/>
      </c>
      <c r="G60" s="2" t="str" cm="1">
        <f t="array" ref="G60">IFERROR(_xlfn.LET(
_xlpm.CSVVal,_xlfn.XLOOKUP($A60,CSV!$A:$A,CSV!G:G,""),
_xlpm.MacVal,_xlfn.XLOOKUP($A60,Output_Mac!$A:$A,Output_Mac!F:F,""),
_xlpm.MyAuditVal,_xlfn.XLOOKUP($A60,My_Audit!$A:$A,My_Audit!F:F,""),
_xlfn.IFS(_xlpm.MyAuditVal&lt;&gt;"",_xlpm.MyAuditVal,_xlpm.MacVal&lt;&gt;"",_xlpm.MacVal,_xlpm.CSVVal&lt;&gt;"",PROPER(_xlpm.CSVVal)
)),"")</f>
        <v/>
      </c>
      <c r="H60" s="2" t="str" cm="1">
        <f t="array" ref="H60">IFERROR(_xlfn.LET(
_xlpm.CSVVal,_xlfn.XLOOKUP($A60,CSV!$A:$A,CSV!H:H,""),
_xlpm.MacVal,_xlfn.XLOOKUP($A60,Output_Mac!$A:$A,Output_Mac!H:H,""),
_xlpm.MyAuditVal,_xlfn.XLOOKUP($A60,My_Audit!$A:$A,My_Audit!G:G,""),
_xlfn.IFS(_xlpm.MyAuditVal&lt;&gt;"",_xlpm.MyAuditVal,_xlpm.MacVal&lt;&gt;"",_xlpm.MacVal,_xlpm.CSVVal&lt;&gt;"",_xlpm.CSVVal
)),"")</f>
        <v/>
      </c>
      <c r="I60" s="2" t="str">
        <f>_xlfn.XLOOKUP(A60,Output_Mac!A:A,Output_Mac!I:I,"")</f>
        <v/>
      </c>
      <c r="J60" s="2" t="str" cm="1">
        <f t="array" ref="J60">IFERROR(_xlfn.LET(
_xlpm.CSVVal,_xlfn.XLOOKUP($A60,CSV!$A:$A,CSV!I:I,""),
_xlpm.MacVal,_xlfn.XLOOKUP($A60,Output_Mac!$A:$A,Output_Mac!J:J,""),
_xlpm.MyAuditVal,_xlfn.XLOOKUP($A60,My_Audit!$A:$A,My_Audit!I:I,""),
_xlfn.IFS(_xlpm.MyAuditVal&lt;&gt;"",UPPER(_xlpm.MyAuditVal),_xlpm.MacVal&lt;&gt;"",_xlpm.MacVal,_xlpm.CSVVal&lt;&gt;"",_xlpm.CSVVal
)),"")</f>
        <v/>
      </c>
      <c r="K60" s="2" t="str" cm="1">
        <f t="array" ref="K60">IFERROR(_xlfn.LET(
_xlpm.CSVVal,_xlfn.XLOOKUP($A60,CSV!$A:$A,CSV!K:K,""),
_xlpm.MacVal,_xlfn.XLOOKUP($A60,Output_Mac!$A:$A,Output_Mac!K:K,""),
_xlpm.MyAuditVal,_xlfn.XLOOKUP($A60,My_Audit!$A:$A,My_Audit!J:J,""),
_xlfn.IFS(_xlpm.MyAuditVal&lt;&gt;"",UPPER(_xlpm.MyAuditVal),_xlpm.MacVal&lt;&gt;"",_xlpm.MacVal,_xlpm.CSVVal&lt;&gt;"",_xlpm.CSVVal
)),"")</f>
        <v/>
      </c>
      <c r="L60" s="2" t="str" cm="1">
        <f t="array" ref="L60">IFERROR(_xlfn.LET(
_xlpm.CSVVal,_xlfn.XLOOKUP($A60,CSV!$A:$A,CSV!P:P,""),
_xlpm.MacVal,_xlfn.XLOOKUP($A60,Output_Mac!$A:$A,Output_Mac!L:L,""),
_xlpm.MyAuditVal,_xlfn.XLOOKUP($A60,My_Audit!$A:$A,My_Audit!K:K,""),
_xlfn.IFS(_xlpm.MyAuditVal&lt;&gt;"",UPPER(_xlpm.MyAuditVal),_xlpm.MacVal&lt;&gt;"",_xlpm.MacVal,_xlpm.CSVVal&lt;&gt;"",_xlpm.CSVVal
)),"")</f>
        <v/>
      </c>
      <c r="M60" s="2" t="str" cm="1">
        <f t="array" ref="M60">IFERROR(_xlfn.LET(
_xlpm.CSVVal,_xlfn.XLOOKUP($A60,CSV!$A:$A,CSV!Q:Q,""),
_xlpm.MacVal,_xlfn.XLOOKUP($A60,Output_Mac!$A:$A,Output_Mac!M:M,""),
_xlpm.MyAuditVal,_xlfn.XLOOKUP($A60,My_Audit!$A:$A,My_Audit!L:L,""),
_xlfn.IFS(_xlpm.MyAuditVal&lt;&gt;"",UPPER(_xlpm.MyAuditVal),_xlpm.MacVal&lt;&gt;"",_xlpm.MacVal,_xlpm.CSVVal&lt;&gt;"",_xlpm.CSVVal
)),"")</f>
        <v/>
      </c>
      <c r="O60" s="2" t="str">
        <f>_xlfn.LET(
    _xlpm.CSVVal, _xlfn.XLOOKUP($A60, CSV!$A:$A, CSV!AC:AC, ""),
    _xlpm.MacVal, _xlfn.XLOOKUP($A60, Output_Mac!$A:$A, Output_Mac!S:S, ""),
    _xlpm.MyAuditVal, _xlfn.XLOOKUP($A60, My_Audit!$A:$A, My_Audit!P:P, ""),
    _xlfn.TEXTJOIN(", ", TRUE, _xlpm.MyAuditVal, _xlpm.MacVal, _xlpm.CSVVal)
)</f>
        <v/>
      </c>
      <c r="P60" s="2" t="str" cm="1">
        <f t="array" ref="P60">IFERROR(_xlfn.LET(
_xlpm.CSVVal,_xlfn.XLOOKUP($A60,CSV!$A:$A,CSV!AD:AD,""),
_xlpm.MacVal,_xlfn.XLOOKUP($A60,Output_Mac!$A:$A,Output_Mac!T:T,""),
_xlpm.MyAuditVal,_xlfn.XLOOKUP($A60,My_Audit!$A:$A,My_Audit!Q:Q,""),
_xlfn.IFS(_xlpm.MyAuditVal&lt;&gt;"",UPPER(_xlpm.MyAuditVal),_xlpm.MacVal&lt;&gt;"",_xlpm.MacVal,_xlpm.CSVVal&lt;&gt;"",_xlpm.CSVVal
)),"No")</f>
        <v>No</v>
      </c>
      <c r="Q60" s="2" t="str" cm="1">
        <f t="array" ref="Q60">IFERROR(_xlfn.LET(
_xlpm.CSVVal,_xlfn.XLOOKUP($A60,CSV!$A:$A,CSV!AE:AE,""),
_xlpm.MacVal,_xlfn.XLOOKUP($A60,Output_Mac!$A:$A,Output_Mac!U:U,""),
_xlpm.MyAuditVal,_xlfn.XLOOKUP($A60,My_Audit!$A:$A,My_Audit!R:R,""),
_xlfn.IFS(_xlpm.MyAuditVal&lt;&gt;"",UPPER(_xlpm.MyAuditVal),_xlpm.MacVal&lt;&gt;"",_xlpm.MacVal,_xlpm.CSVVal&lt;&gt;"",_xlpm.CSVVal
)),"")</f>
        <v/>
      </c>
      <c r="X60" t="str">
        <f>_xlfn.LET(
    _xlpm.MacVal, _xlfn.XLOOKUP($A60, Output_Mac!$A:$A, Output_Mac!AB:AB, ""),
    _xlpm.MyAuditVal, _xlfn.XLOOKUP($A60, My_Audit!$A:$A, My_Audit!N:N, ""),
    _xlfn.TEXTJOIN(", ", TRUE, _xlpm.MyAuditVal, _xlpm.MacVal)
)</f>
        <v/>
      </c>
    </row>
    <row r="61" spans="1:24">
      <c r="A61" s="2" t="str">
        <f>_xlfn.TEXTJOIN("",TRUE,Input!$B$2,ROW(My_Audit!A60))</f>
        <v>X60</v>
      </c>
      <c r="B61" s="2" t="str">
        <f>_xlfn.TEXTJOIN("-",TRUE,"ITD",Input!$A$2,A61)</f>
        <v>ITD-SHR-X60</v>
      </c>
      <c r="C61" s="2" t="str" cm="1">
        <f t="array" ref="C61">IFERROR(_xlfn.LET(
_xlpm.CSVVal,_xlfn.XLOOKUP($A61,CSV!$A:$A,CSV!B:B,""),
_xlpm.MacVal,_xlfn.XLOOKUP($A61,Output_Mac!$A:$A,Output_Mac!B:B,""),
_xlpm.MyAuditVal,_xlfn.XLOOKUP($A61,My_Audit!$A:$A,My_Audit!B:B,""),
_xlfn.IFS(_xlpm.MyAuditVal&lt;&gt;"",UPPER(_xlpm.MyAuditVal),_xlpm.MacVal&lt;&gt;"",_xlpm.MacVal,_xlpm.CSVVal&lt;&gt;"",_xlpm.CSVVal
)),"")</f>
        <v/>
      </c>
      <c r="D61" s="2" t="str" cm="1">
        <f t="array" ref="D61">IFERROR(_xlfn.LET(
_xlpm.CSVVal,_xlfn.XLOOKUP($A61,CSV!$A:$A,CSV!D:D,""),
_xlpm.MacVal,_xlfn.XLOOKUP($A61,Output_Mac!$A:$A,Output_Mac!C:C,""),
_xlpm.MyAuditVal,_xlfn.XLOOKUP($A61,My_Audit!$A:$A,My_Audit!C:C,""),
_xlfn.IFS(_xlpm.MyAuditVal&lt;&gt;"",_xlpm.MyAuditVal,_xlpm.MacVal&lt;&gt;"",_xlpm.MacVal,_xlpm.CSVVal&lt;&gt;"",_xlpm.CSVVal
)),"")</f>
        <v/>
      </c>
      <c r="E61" s="2" t="str">
        <f>_xlfn.XLOOKUP(A61,My_Audit!A:A,My_Audit!D:D,"")&amp;""</f>
        <v/>
      </c>
      <c r="F61" s="2" t="str" cm="1">
        <f t="array" ref="F61">IFERROR(_xlfn.LET(
_xlpm.CSVVal,_xlfn.XLOOKUP($A61,CSV!$A:$A,CSV!F:F,""),
_xlpm.MacVal,_xlfn.XLOOKUP($A61,Output_Mac!$A:$A,Output_Mac!E:E,""),
_xlpm.MyAuditVal,_xlfn.XLOOKUP($A61,My_Audit!$A:$A,My_Audit!E:E,""),
_xlfn.IFS(_xlpm.MyAuditVal&lt;&gt;"",_xlpm.MyAuditVal,_xlpm.MacVal&lt;&gt;"",_xlpm.MacVal,_xlpm.CSVVal&lt;&gt;"",_xlpm.CSVVal
)),"")</f>
        <v/>
      </c>
      <c r="G61" s="2" t="str" cm="1">
        <f t="array" ref="G61">IFERROR(_xlfn.LET(
_xlpm.CSVVal,_xlfn.XLOOKUP($A61,CSV!$A:$A,CSV!G:G,""),
_xlpm.MacVal,_xlfn.XLOOKUP($A61,Output_Mac!$A:$A,Output_Mac!F:F,""),
_xlpm.MyAuditVal,_xlfn.XLOOKUP($A61,My_Audit!$A:$A,My_Audit!F:F,""),
_xlfn.IFS(_xlpm.MyAuditVal&lt;&gt;"",_xlpm.MyAuditVal,_xlpm.MacVal&lt;&gt;"",_xlpm.MacVal,_xlpm.CSVVal&lt;&gt;"",PROPER(_xlpm.CSVVal)
)),"")</f>
        <v/>
      </c>
      <c r="H61" s="2" t="str" cm="1">
        <f t="array" ref="H61">IFERROR(_xlfn.LET(
_xlpm.CSVVal,_xlfn.XLOOKUP($A61,CSV!$A:$A,CSV!H:H,""),
_xlpm.MacVal,_xlfn.XLOOKUP($A61,Output_Mac!$A:$A,Output_Mac!H:H,""),
_xlpm.MyAuditVal,_xlfn.XLOOKUP($A61,My_Audit!$A:$A,My_Audit!G:G,""),
_xlfn.IFS(_xlpm.MyAuditVal&lt;&gt;"",_xlpm.MyAuditVal,_xlpm.MacVal&lt;&gt;"",_xlpm.MacVal,_xlpm.CSVVal&lt;&gt;"",_xlpm.CSVVal
)),"")</f>
        <v/>
      </c>
      <c r="I61" s="2" t="str">
        <f>_xlfn.XLOOKUP(A61,Output_Mac!A:A,Output_Mac!I:I,"")</f>
        <v/>
      </c>
      <c r="J61" s="2" t="str" cm="1">
        <f t="array" ref="J61">IFERROR(_xlfn.LET(
_xlpm.CSVVal,_xlfn.XLOOKUP($A61,CSV!$A:$A,CSV!I:I,""),
_xlpm.MacVal,_xlfn.XLOOKUP($A61,Output_Mac!$A:$A,Output_Mac!J:J,""),
_xlpm.MyAuditVal,_xlfn.XLOOKUP($A61,My_Audit!$A:$A,My_Audit!I:I,""),
_xlfn.IFS(_xlpm.MyAuditVal&lt;&gt;"",UPPER(_xlpm.MyAuditVal),_xlpm.MacVal&lt;&gt;"",_xlpm.MacVal,_xlpm.CSVVal&lt;&gt;"",_xlpm.CSVVal
)),"")</f>
        <v/>
      </c>
      <c r="K61" s="2" t="str" cm="1">
        <f t="array" ref="K61">IFERROR(_xlfn.LET(
_xlpm.CSVVal,_xlfn.XLOOKUP($A61,CSV!$A:$A,CSV!K:K,""),
_xlpm.MacVal,_xlfn.XLOOKUP($A61,Output_Mac!$A:$A,Output_Mac!K:K,""),
_xlpm.MyAuditVal,_xlfn.XLOOKUP($A61,My_Audit!$A:$A,My_Audit!J:J,""),
_xlfn.IFS(_xlpm.MyAuditVal&lt;&gt;"",UPPER(_xlpm.MyAuditVal),_xlpm.MacVal&lt;&gt;"",_xlpm.MacVal,_xlpm.CSVVal&lt;&gt;"",_xlpm.CSVVal
)),"")</f>
        <v/>
      </c>
      <c r="L61" s="2" t="str" cm="1">
        <f t="array" ref="L61">IFERROR(_xlfn.LET(
_xlpm.CSVVal,_xlfn.XLOOKUP($A61,CSV!$A:$A,CSV!P:P,""),
_xlpm.MacVal,_xlfn.XLOOKUP($A61,Output_Mac!$A:$A,Output_Mac!L:L,""),
_xlpm.MyAuditVal,_xlfn.XLOOKUP($A61,My_Audit!$A:$A,My_Audit!K:K,""),
_xlfn.IFS(_xlpm.MyAuditVal&lt;&gt;"",UPPER(_xlpm.MyAuditVal),_xlpm.MacVal&lt;&gt;"",_xlpm.MacVal,_xlpm.CSVVal&lt;&gt;"",_xlpm.CSVVal
)),"")</f>
        <v/>
      </c>
      <c r="M61" s="2" t="str" cm="1">
        <f t="array" ref="M61">IFERROR(_xlfn.LET(
_xlpm.CSVVal,_xlfn.XLOOKUP($A61,CSV!$A:$A,CSV!Q:Q,""),
_xlpm.MacVal,_xlfn.XLOOKUP($A61,Output_Mac!$A:$A,Output_Mac!M:M,""),
_xlpm.MyAuditVal,_xlfn.XLOOKUP($A61,My_Audit!$A:$A,My_Audit!L:L,""),
_xlfn.IFS(_xlpm.MyAuditVal&lt;&gt;"",UPPER(_xlpm.MyAuditVal),_xlpm.MacVal&lt;&gt;"",_xlpm.MacVal,_xlpm.CSVVal&lt;&gt;"",_xlpm.CSVVal
)),"")</f>
        <v/>
      </c>
      <c r="O61" s="2" t="str">
        <f>_xlfn.LET(
    _xlpm.CSVVal, _xlfn.XLOOKUP($A61, CSV!$A:$A, CSV!AC:AC, ""),
    _xlpm.MacVal, _xlfn.XLOOKUP($A61, Output_Mac!$A:$A, Output_Mac!S:S, ""),
    _xlpm.MyAuditVal, _xlfn.XLOOKUP($A61, My_Audit!$A:$A, My_Audit!P:P, ""),
    _xlfn.TEXTJOIN(", ", TRUE, _xlpm.MyAuditVal, _xlpm.MacVal, _xlpm.CSVVal)
)</f>
        <v/>
      </c>
      <c r="P61" s="2" t="str" cm="1">
        <f t="array" ref="P61">IFERROR(_xlfn.LET(
_xlpm.CSVVal,_xlfn.XLOOKUP($A61,CSV!$A:$A,CSV!AD:AD,""),
_xlpm.MacVal,_xlfn.XLOOKUP($A61,Output_Mac!$A:$A,Output_Mac!T:T,""),
_xlpm.MyAuditVal,_xlfn.XLOOKUP($A61,My_Audit!$A:$A,My_Audit!Q:Q,""),
_xlfn.IFS(_xlpm.MyAuditVal&lt;&gt;"",UPPER(_xlpm.MyAuditVal),_xlpm.MacVal&lt;&gt;"",_xlpm.MacVal,_xlpm.CSVVal&lt;&gt;"",_xlpm.CSVVal
)),"No")</f>
        <v>No</v>
      </c>
      <c r="Q61" s="2" t="str" cm="1">
        <f t="array" ref="Q61">IFERROR(_xlfn.LET(
_xlpm.CSVVal,_xlfn.XLOOKUP($A61,CSV!$A:$A,CSV!AE:AE,""),
_xlpm.MacVal,_xlfn.XLOOKUP($A61,Output_Mac!$A:$A,Output_Mac!U:U,""),
_xlpm.MyAuditVal,_xlfn.XLOOKUP($A61,My_Audit!$A:$A,My_Audit!R:R,""),
_xlfn.IFS(_xlpm.MyAuditVal&lt;&gt;"",UPPER(_xlpm.MyAuditVal),_xlpm.MacVal&lt;&gt;"",_xlpm.MacVal,_xlpm.CSVVal&lt;&gt;"",_xlpm.CSVVal
)),"")</f>
        <v/>
      </c>
      <c r="X61" t="str">
        <f>_xlfn.LET(
    _xlpm.MacVal, _xlfn.XLOOKUP($A61, Output_Mac!$A:$A, Output_Mac!AB:AB, ""),
    _xlpm.MyAuditVal, _xlfn.XLOOKUP($A61, My_Audit!$A:$A, My_Audit!N:N, ""),
    _xlfn.TEXTJOIN(", ", TRUE, _xlpm.MyAuditVal, _xlpm.MacVal)
)</f>
        <v/>
      </c>
    </row>
    <row r="62" spans="1:24">
      <c r="A62" s="2" t="str">
        <f>_xlfn.TEXTJOIN("",TRUE,Input!$B$2,ROW(My_Audit!A61))</f>
        <v>X61</v>
      </c>
      <c r="B62" s="2" t="str">
        <f>_xlfn.TEXTJOIN("-",TRUE,"ITD",Input!$A$2,A62)</f>
        <v>ITD-SHR-X61</v>
      </c>
      <c r="C62" s="2" t="str" cm="1">
        <f t="array" ref="C62">IFERROR(_xlfn.LET(
_xlpm.CSVVal,_xlfn.XLOOKUP($A62,CSV!$A:$A,CSV!B:B,""),
_xlpm.MacVal,_xlfn.XLOOKUP($A62,Output_Mac!$A:$A,Output_Mac!B:B,""),
_xlpm.MyAuditVal,_xlfn.XLOOKUP($A62,My_Audit!$A:$A,My_Audit!B:B,""),
_xlfn.IFS(_xlpm.MyAuditVal&lt;&gt;"",UPPER(_xlpm.MyAuditVal),_xlpm.MacVal&lt;&gt;"",_xlpm.MacVal,_xlpm.CSVVal&lt;&gt;"",_xlpm.CSVVal
)),"")</f>
        <v/>
      </c>
      <c r="D62" s="2" t="str" cm="1">
        <f t="array" ref="D62">IFERROR(_xlfn.LET(
_xlpm.CSVVal,_xlfn.XLOOKUP($A62,CSV!$A:$A,CSV!D:D,""),
_xlpm.MacVal,_xlfn.XLOOKUP($A62,Output_Mac!$A:$A,Output_Mac!C:C,""),
_xlpm.MyAuditVal,_xlfn.XLOOKUP($A62,My_Audit!$A:$A,My_Audit!C:C,""),
_xlfn.IFS(_xlpm.MyAuditVal&lt;&gt;"",_xlpm.MyAuditVal,_xlpm.MacVal&lt;&gt;"",_xlpm.MacVal,_xlpm.CSVVal&lt;&gt;"",_xlpm.CSVVal
)),"")</f>
        <v/>
      </c>
      <c r="E62" s="2" t="str">
        <f>_xlfn.XLOOKUP(A62,My_Audit!A:A,My_Audit!D:D,"")&amp;""</f>
        <v/>
      </c>
      <c r="F62" s="2" t="str" cm="1">
        <f t="array" ref="F62">IFERROR(_xlfn.LET(
_xlpm.CSVVal,_xlfn.XLOOKUP($A62,CSV!$A:$A,CSV!F:F,""),
_xlpm.MacVal,_xlfn.XLOOKUP($A62,Output_Mac!$A:$A,Output_Mac!E:E,""),
_xlpm.MyAuditVal,_xlfn.XLOOKUP($A62,My_Audit!$A:$A,My_Audit!E:E,""),
_xlfn.IFS(_xlpm.MyAuditVal&lt;&gt;"",_xlpm.MyAuditVal,_xlpm.MacVal&lt;&gt;"",_xlpm.MacVal,_xlpm.CSVVal&lt;&gt;"",_xlpm.CSVVal
)),"")</f>
        <v/>
      </c>
      <c r="G62" s="2" t="str" cm="1">
        <f t="array" ref="G62">IFERROR(_xlfn.LET(
_xlpm.CSVVal,_xlfn.XLOOKUP($A62,CSV!$A:$A,CSV!G:G,""),
_xlpm.MacVal,_xlfn.XLOOKUP($A62,Output_Mac!$A:$A,Output_Mac!F:F,""),
_xlpm.MyAuditVal,_xlfn.XLOOKUP($A62,My_Audit!$A:$A,My_Audit!F:F,""),
_xlfn.IFS(_xlpm.MyAuditVal&lt;&gt;"",_xlpm.MyAuditVal,_xlpm.MacVal&lt;&gt;"",_xlpm.MacVal,_xlpm.CSVVal&lt;&gt;"",PROPER(_xlpm.CSVVal)
)),"")</f>
        <v/>
      </c>
      <c r="H62" s="2" t="str" cm="1">
        <f t="array" ref="H62">IFERROR(_xlfn.LET(
_xlpm.CSVVal,_xlfn.XLOOKUP($A62,CSV!$A:$A,CSV!H:H,""),
_xlpm.MacVal,_xlfn.XLOOKUP($A62,Output_Mac!$A:$A,Output_Mac!H:H,""),
_xlpm.MyAuditVal,_xlfn.XLOOKUP($A62,My_Audit!$A:$A,My_Audit!G:G,""),
_xlfn.IFS(_xlpm.MyAuditVal&lt;&gt;"",_xlpm.MyAuditVal,_xlpm.MacVal&lt;&gt;"",_xlpm.MacVal,_xlpm.CSVVal&lt;&gt;"",_xlpm.CSVVal
)),"")</f>
        <v/>
      </c>
      <c r="I62" s="2" t="str">
        <f>_xlfn.XLOOKUP(A62,Output_Mac!A:A,Output_Mac!I:I,"")</f>
        <v/>
      </c>
      <c r="J62" s="2" t="str" cm="1">
        <f t="array" ref="J62">IFERROR(_xlfn.LET(
_xlpm.CSVVal,_xlfn.XLOOKUP($A62,CSV!$A:$A,CSV!I:I,""),
_xlpm.MacVal,_xlfn.XLOOKUP($A62,Output_Mac!$A:$A,Output_Mac!J:J,""),
_xlpm.MyAuditVal,_xlfn.XLOOKUP($A62,My_Audit!$A:$A,My_Audit!I:I,""),
_xlfn.IFS(_xlpm.MyAuditVal&lt;&gt;"",UPPER(_xlpm.MyAuditVal),_xlpm.MacVal&lt;&gt;"",_xlpm.MacVal,_xlpm.CSVVal&lt;&gt;"",_xlpm.CSVVal
)),"")</f>
        <v/>
      </c>
      <c r="K62" s="2" t="str" cm="1">
        <f t="array" ref="K62">IFERROR(_xlfn.LET(
_xlpm.CSVVal,_xlfn.XLOOKUP($A62,CSV!$A:$A,CSV!K:K,""),
_xlpm.MacVal,_xlfn.XLOOKUP($A62,Output_Mac!$A:$A,Output_Mac!K:K,""),
_xlpm.MyAuditVal,_xlfn.XLOOKUP($A62,My_Audit!$A:$A,My_Audit!J:J,""),
_xlfn.IFS(_xlpm.MyAuditVal&lt;&gt;"",UPPER(_xlpm.MyAuditVal),_xlpm.MacVal&lt;&gt;"",_xlpm.MacVal,_xlpm.CSVVal&lt;&gt;"",_xlpm.CSVVal
)),"")</f>
        <v/>
      </c>
      <c r="L62" s="2" t="str" cm="1">
        <f t="array" ref="L62">IFERROR(_xlfn.LET(
_xlpm.CSVVal,_xlfn.XLOOKUP($A62,CSV!$A:$A,CSV!P:P,""),
_xlpm.MacVal,_xlfn.XLOOKUP($A62,Output_Mac!$A:$A,Output_Mac!L:L,""),
_xlpm.MyAuditVal,_xlfn.XLOOKUP($A62,My_Audit!$A:$A,My_Audit!K:K,""),
_xlfn.IFS(_xlpm.MyAuditVal&lt;&gt;"",UPPER(_xlpm.MyAuditVal),_xlpm.MacVal&lt;&gt;"",_xlpm.MacVal,_xlpm.CSVVal&lt;&gt;"",_xlpm.CSVVal
)),"")</f>
        <v/>
      </c>
      <c r="M62" s="2" t="str" cm="1">
        <f t="array" ref="M62">IFERROR(_xlfn.LET(
_xlpm.CSVVal,_xlfn.XLOOKUP($A62,CSV!$A:$A,CSV!Q:Q,""),
_xlpm.MacVal,_xlfn.XLOOKUP($A62,Output_Mac!$A:$A,Output_Mac!M:M,""),
_xlpm.MyAuditVal,_xlfn.XLOOKUP($A62,My_Audit!$A:$A,My_Audit!L:L,""),
_xlfn.IFS(_xlpm.MyAuditVal&lt;&gt;"",UPPER(_xlpm.MyAuditVal),_xlpm.MacVal&lt;&gt;"",_xlpm.MacVal,_xlpm.CSVVal&lt;&gt;"",_xlpm.CSVVal
)),"")</f>
        <v/>
      </c>
      <c r="O62" s="2" t="str">
        <f>_xlfn.LET(
    _xlpm.CSVVal, _xlfn.XLOOKUP($A62, CSV!$A:$A, CSV!AC:AC, ""),
    _xlpm.MacVal, _xlfn.XLOOKUP($A62, Output_Mac!$A:$A, Output_Mac!S:S, ""),
    _xlpm.MyAuditVal, _xlfn.XLOOKUP($A62, My_Audit!$A:$A, My_Audit!P:P, ""),
    _xlfn.TEXTJOIN(", ", TRUE, _xlpm.MyAuditVal, _xlpm.MacVal, _xlpm.CSVVal)
)</f>
        <v/>
      </c>
      <c r="P62" s="2" t="str" cm="1">
        <f t="array" ref="P62">IFERROR(_xlfn.LET(
_xlpm.CSVVal,_xlfn.XLOOKUP($A62,CSV!$A:$A,CSV!AD:AD,""),
_xlpm.MacVal,_xlfn.XLOOKUP($A62,Output_Mac!$A:$A,Output_Mac!T:T,""),
_xlpm.MyAuditVal,_xlfn.XLOOKUP($A62,My_Audit!$A:$A,My_Audit!Q:Q,""),
_xlfn.IFS(_xlpm.MyAuditVal&lt;&gt;"",UPPER(_xlpm.MyAuditVal),_xlpm.MacVal&lt;&gt;"",_xlpm.MacVal,_xlpm.CSVVal&lt;&gt;"",_xlpm.CSVVal
)),"No")</f>
        <v>No</v>
      </c>
      <c r="Q62" s="2" t="str" cm="1">
        <f t="array" ref="Q62">IFERROR(_xlfn.LET(
_xlpm.CSVVal,_xlfn.XLOOKUP($A62,CSV!$A:$A,CSV!AE:AE,""),
_xlpm.MacVal,_xlfn.XLOOKUP($A62,Output_Mac!$A:$A,Output_Mac!U:U,""),
_xlpm.MyAuditVal,_xlfn.XLOOKUP($A62,My_Audit!$A:$A,My_Audit!R:R,""),
_xlfn.IFS(_xlpm.MyAuditVal&lt;&gt;"",UPPER(_xlpm.MyAuditVal),_xlpm.MacVal&lt;&gt;"",_xlpm.MacVal,_xlpm.CSVVal&lt;&gt;"",_xlpm.CSVVal
)),"")</f>
        <v/>
      </c>
      <c r="X62" t="str">
        <f>_xlfn.LET(
    _xlpm.MacVal, _xlfn.XLOOKUP($A62, Output_Mac!$A:$A, Output_Mac!AB:AB, ""),
    _xlpm.MyAuditVal, _xlfn.XLOOKUP($A62, My_Audit!$A:$A, My_Audit!N:N, ""),
    _xlfn.TEXTJOIN(", ", TRUE, _xlpm.MyAuditVal, _xlpm.MacVal)
)</f>
        <v/>
      </c>
    </row>
    <row r="63" spans="1:24">
      <c r="A63" s="2" t="str">
        <f>_xlfn.TEXTJOIN("",TRUE,Input!$B$2,ROW(My_Audit!A62))</f>
        <v>X62</v>
      </c>
      <c r="B63" s="2" t="str">
        <f>_xlfn.TEXTJOIN("-",TRUE,"ITD",Input!$A$2,A63)</f>
        <v>ITD-SHR-X62</v>
      </c>
      <c r="C63" s="2" t="str" cm="1">
        <f t="array" ref="C63">IFERROR(_xlfn.LET(
_xlpm.CSVVal,_xlfn.XLOOKUP($A63,CSV!$A:$A,CSV!B:B,""),
_xlpm.MacVal,_xlfn.XLOOKUP($A63,Output_Mac!$A:$A,Output_Mac!B:B,""),
_xlpm.MyAuditVal,_xlfn.XLOOKUP($A63,My_Audit!$A:$A,My_Audit!B:B,""),
_xlfn.IFS(_xlpm.MyAuditVal&lt;&gt;"",UPPER(_xlpm.MyAuditVal),_xlpm.MacVal&lt;&gt;"",_xlpm.MacVal,_xlpm.CSVVal&lt;&gt;"",_xlpm.CSVVal
)),"")</f>
        <v/>
      </c>
      <c r="D63" s="2" t="str" cm="1">
        <f t="array" ref="D63">IFERROR(_xlfn.LET(
_xlpm.CSVVal,_xlfn.XLOOKUP($A63,CSV!$A:$A,CSV!D:D,""),
_xlpm.MacVal,_xlfn.XLOOKUP($A63,Output_Mac!$A:$A,Output_Mac!C:C,""),
_xlpm.MyAuditVal,_xlfn.XLOOKUP($A63,My_Audit!$A:$A,My_Audit!C:C,""),
_xlfn.IFS(_xlpm.MyAuditVal&lt;&gt;"",_xlpm.MyAuditVal,_xlpm.MacVal&lt;&gt;"",_xlpm.MacVal,_xlpm.CSVVal&lt;&gt;"",_xlpm.CSVVal
)),"")</f>
        <v/>
      </c>
      <c r="E63" s="2" t="str">
        <f>_xlfn.XLOOKUP(A63,My_Audit!A:A,My_Audit!D:D,"")&amp;""</f>
        <v/>
      </c>
      <c r="F63" s="2" t="str" cm="1">
        <f t="array" ref="F63">IFERROR(_xlfn.LET(
_xlpm.CSVVal,_xlfn.XLOOKUP($A63,CSV!$A:$A,CSV!F:F,""),
_xlpm.MacVal,_xlfn.XLOOKUP($A63,Output_Mac!$A:$A,Output_Mac!E:E,""),
_xlpm.MyAuditVal,_xlfn.XLOOKUP($A63,My_Audit!$A:$A,My_Audit!E:E,""),
_xlfn.IFS(_xlpm.MyAuditVal&lt;&gt;"",_xlpm.MyAuditVal,_xlpm.MacVal&lt;&gt;"",_xlpm.MacVal,_xlpm.CSVVal&lt;&gt;"",_xlpm.CSVVal
)),"")</f>
        <v/>
      </c>
      <c r="G63" s="2" t="str" cm="1">
        <f t="array" ref="G63">IFERROR(_xlfn.LET(
_xlpm.CSVVal,_xlfn.XLOOKUP($A63,CSV!$A:$A,CSV!G:G,""),
_xlpm.MacVal,_xlfn.XLOOKUP($A63,Output_Mac!$A:$A,Output_Mac!F:F,""),
_xlpm.MyAuditVal,_xlfn.XLOOKUP($A63,My_Audit!$A:$A,My_Audit!F:F,""),
_xlfn.IFS(_xlpm.MyAuditVal&lt;&gt;"",_xlpm.MyAuditVal,_xlpm.MacVal&lt;&gt;"",_xlpm.MacVal,_xlpm.CSVVal&lt;&gt;"",PROPER(_xlpm.CSVVal)
)),"")</f>
        <v/>
      </c>
      <c r="H63" s="2" t="str" cm="1">
        <f t="array" ref="H63">IFERROR(_xlfn.LET(
_xlpm.CSVVal,_xlfn.XLOOKUP($A63,CSV!$A:$A,CSV!H:H,""),
_xlpm.MacVal,_xlfn.XLOOKUP($A63,Output_Mac!$A:$A,Output_Mac!H:H,""),
_xlpm.MyAuditVal,_xlfn.XLOOKUP($A63,My_Audit!$A:$A,My_Audit!G:G,""),
_xlfn.IFS(_xlpm.MyAuditVal&lt;&gt;"",_xlpm.MyAuditVal,_xlpm.MacVal&lt;&gt;"",_xlpm.MacVal,_xlpm.CSVVal&lt;&gt;"",_xlpm.CSVVal
)),"")</f>
        <v/>
      </c>
      <c r="I63" s="2" t="str">
        <f>_xlfn.XLOOKUP(A63,Output_Mac!A:A,Output_Mac!I:I,"")</f>
        <v/>
      </c>
      <c r="J63" s="2" t="str" cm="1">
        <f t="array" ref="J63">IFERROR(_xlfn.LET(
_xlpm.CSVVal,_xlfn.XLOOKUP($A63,CSV!$A:$A,CSV!I:I,""),
_xlpm.MacVal,_xlfn.XLOOKUP($A63,Output_Mac!$A:$A,Output_Mac!J:J,""),
_xlpm.MyAuditVal,_xlfn.XLOOKUP($A63,My_Audit!$A:$A,My_Audit!I:I,""),
_xlfn.IFS(_xlpm.MyAuditVal&lt;&gt;"",UPPER(_xlpm.MyAuditVal),_xlpm.MacVal&lt;&gt;"",_xlpm.MacVal,_xlpm.CSVVal&lt;&gt;"",_xlpm.CSVVal
)),"")</f>
        <v/>
      </c>
      <c r="K63" s="2" t="str" cm="1">
        <f t="array" ref="K63">IFERROR(_xlfn.LET(
_xlpm.CSVVal,_xlfn.XLOOKUP($A63,CSV!$A:$A,CSV!K:K,""),
_xlpm.MacVal,_xlfn.XLOOKUP($A63,Output_Mac!$A:$A,Output_Mac!K:K,""),
_xlpm.MyAuditVal,_xlfn.XLOOKUP($A63,My_Audit!$A:$A,My_Audit!J:J,""),
_xlfn.IFS(_xlpm.MyAuditVal&lt;&gt;"",UPPER(_xlpm.MyAuditVal),_xlpm.MacVal&lt;&gt;"",_xlpm.MacVal,_xlpm.CSVVal&lt;&gt;"",_xlpm.CSVVal
)),"")</f>
        <v/>
      </c>
      <c r="L63" s="2" t="str" cm="1">
        <f t="array" ref="L63">IFERROR(_xlfn.LET(
_xlpm.CSVVal,_xlfn.XLOOKUP($A63,CSV!$A:$A,CSV!P:P,""),
_xlpm.MacVal,_xlfn.XLOOKUP($A63,Output_Mac!$A:$A,Output_Mac!L:L,""),
_xlpm.MyAuditVal,_xlfn.XLOOKUP($A63,My_Audit!$A:$A,My_Audit!K:K,""),
_xlfn.IFS(_xlpm.MyAuditVal&lt;&gt;"",UPPER(_xlpm.MyAuditVal),_xlpm.MacVal&lt;&gt;"",_xlpm.MacVal,_xlpm.CSVVal&lt;&gt;"",_xlpm.CSVVal
)),"")</f>
        <v/>
      </c>
      <c r="M63" s="2" t="str" cm="1">
        <f t="array" ref="M63">IFERROR(_xlfn.LET(
_xlpm.CSVVal,_xlfn.XLOOKUP($A63,CSV!$A:$A,CSV!Q:Q,""),
_xlpm.MacVal,_xlfn.XLOOKUP($A63,Output_Mac!$A:$A,Output_Mac!M:M,""),
_xlpm.MyAuditVal,_xlfn.XLOOKUP($A63,My_Audit!$A:$A,My_Audit!L:L,""),
_xlfn.IFS(_xlpm.MyAuditVal&lt;&gt;"",UPPER(_xlpm.MyAuditVal),_xlpm.MacVal&lt;&gt;"",_xlpm.MacVal,_xlpm.CSVVal&lt;&gt;"",_xlpm.CSVVal
)),"")</f>
        <v/>
      </c>
      <c r="O63" s="2" t="str">
        <f>_xlfn.LET(
    _xlpm.CSVVal, _xlfn.XLOOKUP($A63, CSV!$A:$A, CSV!AC:AC, ""),
    _xlpm.MacVal, _xlfn.XLOOKUP($A63, Output_Mac!$A:$A, Output_Mac!S:S, ""),
    _xlpm.MyAuditVal, _xlfn.XLOOKUP($A63, My_Audit!$A:$A, My_Audit!P:P, ""),
    _xlfn.TEXTJOIN(", ", TRUE, _xlpm.MyAuditVal, _xlpm.MacVal, _xlpm.CSVVal)
)</f>
        <v/>
      </c>
      <c r="P63" s="2" t="str" cm="1">
        <f t="array" ref="P63">IFERROR(_xlfn.LET(
_xlpm.CSVVal,_xlfn.XLOOKUP($A63,CSV!$A:$A,CSV!AD:AD,""),
_xlpm.MacVal,_xlfn.XLOOKUP($A63,Output_Mac!$A:$A,Output_Mac!T:T,""),
_xlpm.MyAuditVal,_xlfn.XLOOKUP($A63,My_Audit!$A:$A,My_Audit!Q:Q,""),
_xlfn.IFS(_xlpm.MyAuditVal&lt;&gt;"",UPPER(_xlpm.MyAuditVal),_xlpm.MacVal&lt;&gt;"",_xlpm.MacVal,_xlpm.CSVVal&lt;&gt;"",_xlpm.CSVVal
)),"No")</f>
        <v>No</v>
      </c>
      <c r="Q63" s="2" t="str" cm="1">
        <f t="array" ref="Q63">IFERROR(_xlfn.LET(
_xlpm.CSVVal,_xlfn.XLOOKUP($A63,CSV!$A:$A,CSV!AE:AE,""),
_xlpm.MacVal,_xlfn.XLOOKUP($A63,Output_Mac!$A:$A,Output_Mac!U:U,""),
_xlpm.MyAuditVal,_xlfn.XLOOKUP($A63,My_Audit!$A:$A,My_Audit!R:R,""),
_xlfn.IFS(_xlpm.MyAuditVal&lt;&gt;"",UPPER(_xlpm.MyAuditVal),_xlpm.MacVal&lt;&gt;"",_xlpm.MacVal,_xlpm.CSVVal&lt;&gt;"",_xlpm.CSVVal
)),"")</f>
        <v/>
      </c>
      <c r="X63" t="str">
        <f>_xlfn.LET(
    _xlpm.MacVal, _xlfn.XLOOKUP($A63, Output_Mac!$A:$A, Output_Mac!AB:AB, ""),
    _xlpm.MyAuditVal, _xlfn.XLOOKUP($A63, My_Audit!$A:$A, My_Audit!N:N, ""),
    _xlfn.TEXTJOIN(", ", TRUE, _xlpm.MyAuditVal, _xlpm.MacVal)
)</f>
        <v/>
      </c>
    </row>
    <row r="64" spans="1:24">
      <c r="A64" s="2" t="str">
        <f>_xlfn.TEXTJOIN("",TRUE,Input!$B$2,ROW(My_Audit!A63))</f>
        <v>X63</v>
      </c>
      <c r="B64" s="2" t="str">
        <f>_xlfn.TEXTJOIN("-",TRUE,"ITD",Input!$A$2,A64)</f>
        <v>ITD-SHR-X63</v>
      </c>
      <c r="C64" s="2" t="str" cm="1">
        <f t="array" ref="C64">IFERROR(_xlfn.LET(
_xlpm.CSVVal,_xlfn.XLOOKUP($A64,CSV!$A:$A,CSV!B:B,""),
_xlpm.MacVal,_xlfn.XLOOKUP($A64,Output_Mac!$A:$A,Output_Mac!B:B,""),
_xlpm.MyAuditVal,_xlfn.XLOOKUP($A64,My_Audit!$A:$A,My_Audit!B:B,""),
_xlfn.IFS(_xlpm.MyAuditVal&lt;&gt;"",UPPER(_xlpm.MyAuditVal),_xlpm.MacVal&lt;&gt;"",_xlpm.MacVal,_xlpm.CSVVal&lt;&gt;"",_xlpm.CSVVal
)),"")</f>
        <v/>
      </c>
      <c r="D64" s="2" t="str" cm="1">
        <f t="array" ref="D64">IFERROR(_xlfn.LET(
_xlpm.CSVVal,_xlfn.XLOOKUP($A64,CSV!$A:$A,CSV!D:D,""),
_xlpm.MacVal,_xlfn.XLOOKUP($A64,Output_Mac!$A:$A,Output_Mac!C:C,""),
_xlpm.MyAuditVal,_xlfn.XLOOKUP($A64,My_Audit!$A:$A,My_Audit!C:C,""),
_xlfn.IFS(_xlpm.MyAuditVal&lt;&gt;"",_xlpm.MyAuditVal,_xlpm.MacVal&lt;&gt;"",_xlpm.MacVal,_xlpm.CSVVal&lt;&gt;"",_xlpm.CSVVal
)),"")</f>
        <v/>
      </c>
      <c r="E64" s="2" t="str">
        <f>_xlfn.XLOOKUP(A64,My_Audit!A:A,My_Audit!D:D,"")&amp;""</f>
        <v/>
      </c>
      <c r="F64" s="2" t="str" cm="1">
        <f t="array" ref="F64">IFERROR(_xlfn.LET(
_xlpm.CSVVal,_xlfn.XLOOKUP($A64,CSV!$A:$A,CSV!F:F,""),
_xlpm.MacVal,_xlfn.XLOOKUP($A64,Output_Mac!$A:$A,Output_Mac!E:E,""),
_xlpm.MyAuditVal,_xlfn.XLOOKUP($A64,My_Audit!$A:$A,My_Audit!E:E,""),
_xlfn.IFS(_xlpm.MyAuditVal&lt;&gt;"",_xlpm.MyAuditVal,_xlpm.MacVal&lt;&gt;"",_xlpm.MacVal,_xlpm.CSVVal&lt;&gt;"",_xlpm.CSVVal
)),"")</f>
        <v/>
      </c>
      <c r="G64" s="2" t="str" cm="1">
        <f t="array" ref="G64">IFERROR(_xlfn.LET(
_xlpm.CSVVal,_xlfn.XLOOKUP($A64,CSV!$A:$A,CSV!G:G,""),
_xlpm.MacVal,_xlfn.XLOOKUP($A64,Output_Mac!$A:$A,Output_Mac!F:F,""),
_xlpm.MyAuditVal,_xlfn.XLOOKUP($A64,My_Audit!$A:$A,My_Audit!F:F,""),
_xlfn.IFS(_xlpm.MyAuditVal&lt;&gt;"",_xlpm.MyAuditVal,_xlpm.MacVal&lt;&gt;"",_xlpm.MacVal,_xlpm.CSVVal&lt;&gt;"",PROPER(_xlpm.CSVVal)
)),"")</f>
        <v/>
      </c>
      <c r="H64" s="2" t="str" cm="1">
        <f t="array" ref="H64">IFERROR(_xlfn.LET(
_xlpm.CSVVal,_xlfn.XLOOKUP($A64,CSV!$A:$A,CSV!H:H,""),
_xlpm.MacVal,_xlfn.XLOOKUP($A64,Output_Mac!$A:$A,Output_Mac!H:H,""),
_xlpm.MyAuditVal,_xlfn.XLOOKUP($A64,My_Audit!$A:$A,My_Audit!G:G,""),
_xlfn.IFS(_xlpm.MyAuditVal&lt;&gt;"",_xlpm.MyAuditVal,_xlpm.MacVal&lt;&gt;"",_xlpm.MacVal,_xlpm.CSVVal&lt;&gt;"",_xlpm.CSVVal
)),"")</f>
        <v/>
      </c>
      <c r="I64" s="2" t="str">
        <f>_xlfn.XLOOKUP(A64,Output_Mac!A:A,Output_Mac!I:I,"")</f>
        <v/>
      </c>
      <c r="J64" s="2" t="str" cm="1">
        <f t="array" ref="J64">IFERROR(_xlfn.LET(
_xlpm.CSVVal,_xlfn.XLOOKUP($A64,CSV!$A:$A,CSV!I:I,""),
_xlpm.MacVal,_xlfn.XLOOKUP($A64,Output_Mac!$A:$A,Output_Mac!J:J,""),
_xlpm.MyAuditVal,_xlfn.XLOOKUP($A64,My_Audit!$A:$A,My_Audit!I:I,""),
_xlfn.IFS(_xlpm.MyAuditVal&lt;&gt;"",UPPER(_xlpm.MyAuditVal),_xlpm.MacVal&lt;&gt;"",_xlpm.MacVal,_xlpm.CSVVal&lt;&gt;"",_xlpm.CSVVal
)),"")</f>
        <v/>
      </c>
      <c r="K64" s="2" t="str" cm="1">
        <f t="array" ref="K64">IFERROR(_xlfn.LET(
_xlpm.CSVVal,_xlfn.XLOOKUP($A64,CSV!$A:$A,CSV!K:K,""),
_xlpm.MacVal,_xlfn.XLOOKUP($A64,Output_Mac!$A:$A,Output_Mac!K:K,""),
_xlpm.MyAuditVal,_xlfn.XLOOKUP($A64,My_Audit!$A:$A,My_Audit!J:J,""),
_xlfn.IFS(_xlpm.MyAuditVal&lt;&gt;"",UPPER(_xlpm.MyAuditVal),_xlpm.MacVal&lt;&gt;"",_xlpm.MacVal,_xlpm.CSVVal&lt;&gt;"",_xlpm.CSVVal
)),"")</f>
        <v/>
      </c>
      <c r="L64" s="2" t="str" cm="1">
        <f t="array" ref="L64">IFERROR(_xlfn.LET(
_xlpm.CSVVal,_xlfn.XLOOKUP($A64,CSV!$A:$A,CSV!P:P,""),
_xlpm.MacVal,_xlfn.XLOOKUP($A64,Output_Mac!$A:$A,Output_Mac!L:L,""),
_xlpm.MyAuditVal,_xlfn.XLOOKUP($A64,My_Audit!$A:$A,My_Audit!K:K,""),
_xlfn.IFS(_xlpm.MyAuditVal&lt;&gt;"",UPPER(_xlpm.MyAuditVal),_xlpm.MacVal&lt;&gt;"",_xlpm.MacVal,_xlpm.CSVVal&lt;&gt;"",_xlpm.CSVVal
)),"")</f>
        <v/>
      </c>
      <c r="M64" s="2" t="str" cm="1">
        <f t="array" ref="M64">IFERROR(_xlfn.LET(
_xlpm.CSVVal,_xlfn.XLOOKUP($A64,CSV!$A:$A,CSV!Q:Q,""),
_xlpm.MacVal,_xlfn.XLOOKUP($A64,Output_Mac!$A:$A,Output_Mac!M:M,""),
_xlpm.MyAuditVal,_xlfn.XLOOKUP($A64,My_Audit!$A:$A,My_Audit!L:L,""),
_xlfn.IFS(_xlpm.MyAuditVal&lt;&gt;"",UPPER(_xlpm.MyAuditVal),_xlpm.MacVal&lt;&gt;"",_xlpm.MacVal,_xlpm.CSVVal&lt;&gt;"",_xlpm.CSVVal
)),"")</f>
        <v/>
      </c>
      <c r="O64" s="2" t="str">
        <f>_xlfn.LET(
    _xlpm.CSVVal, _xlfn.XLOOKUP($A64, CSV!$A:$A, CSV!AC:AC, ""),
    _xlpm.MacVal, _xlfn.XLOOKUP($A64, Output_Mac!$A:$A, Output_Mac!S:S, ""),
    _xlpm.MyAuditVal, _xlfn.XLOOKUP($A64, My_Audit!$A:$A, My_Audit!P:P, ""),
    _xlfn.TEXTJOIN(", ", TRUE, _xlpm.MyAuditVal, _xlpm.MacVal, _xlpm.CSVVal)
)</f>
        <v/>
      </c>
      <c r="P64" s="2" t="str" cm="1">
        <f t="array" ref="P64">IFERROR(_xlfn.LET(
_xlpm.CSVVal,_xlfn.XLOOKUP($A64,CSV!$A:$A,CSV!AD:AD,""),
_xlpm.MacVal,_xlfn.XLOOKUP($A64,Output_Mac!$A:$A,Output_Mac!T:T,""),
_xlpm.MyAuditVal,_xlfn.XLOOKUP($A64,My_Audit!$A:$A,My_Audit!Q:Q,""),
_xlfn.IFS(_xlpm.MyAuditVal&lt;&gt;"",UPPER(_xlpm.MyAuditVal),_xlpm.MacVal&lt;&gt;"",_xlpm.MacVal,_xlpm.CSVVal&lt;&gt;"",_xlpm.CSVVal
)),"No")</f>
        <v>No</v>
      </c>
      <c r="Q64" s="2" t="str" cm="1">
        <f t="array" ref="Q64">IFERROR(_xlfn.LET(
_xlpm.CSVVal,_xlfn.XLOOKUP($A64,CSV!$A:$A,CSV!AE:AE,""),
_xlpm.MacVal,_xlfn.XLOOKUP($A64,Output_Mac!$A:$A,Output_Mac!U:U,""),
_xlpm.MyAuditVal,_xlfn.XLOOKUP($A64,My_Audit!$A:$A,My_Audit!R:R,""),
_xlfn.IFS(_xlpm.MyAuditVal&lt;&gt;"",UPPER(_xlpm.MyAuditVal),_xlpm.MacVal&lt;&gt;"",_xlpm.MacVal,_xlpm.CSVVal&lt;&gt;"",_xlpm.CSVVal
)),"")</f>
        <v/>
      </c>
      <c r="X64" t="str">
        <f>_xlfn.LET(
    _xlpm.MacVal, _xlfn.XLOOKUP($A64, Output_Mac!$A:$A, Output_Mac!AB:AB, ""),
    _xlpm.MyAuditVal, _xlfn.XLOOKUP($A64, My_Audit!$A:$A, My_Audit!N:N, ""),
    _xlfn.TEXTJOIN(", ", TRUE, _xlpm.MyAuditVal, _xlpm.MacVal)
)</f>
        <v/>
      </c>
    </row>
    <row r="65" spans="1:24">
      <c r="A65" s="2" t="str">
        <f>_xlfn.TEXTJOIN("",TRUE,Input!$B$2,ROW(My_Audit!A64))</f>
        <v>X64</v>
      </c>
      <c r="B65" s="2" t="str">
        <f>_xlfn.TEXTJOIN("-",TRUE,"ITD",Input!$A$2,A65)</f>
        <v>ITD-SHR-X64</v>
      </c>
      <c r="C65" s="2" t="str" cm="1">
        <f t="array" ref="C65">IFERROR(_xlfn.LET(
_xlpm.CSVVal,_xlfn.XLOOKUP($A65,CSV!$A:$A,CSV!B:B,""),
_xlpm.MacVal,_xlfn.XLOOKUP($A65,Output_Mac!$A:$A,Output_Mac!B:B,""),
_xlpm.MyAuditVal,_xlfn.XLOOKUP($A65,My_Audit!$A:$A,My_Audit!B:B,""),
_xlfn.IFS(_xlpm.MyAuditVal&lt;&gt;"",UPPER(_xlpm.MyAuditVal),_xlpm.MacVal&lt;&gt;"",_xlpm.MacVal,_xlpm.CSVVal&lt;&gt;"",_xlpm.CSVVal
)),"")</f>
        <v/>
      </c>
      <c r="D65" s="2" t="str" cm="1">
        <f t="array" ref="D65">IFERROR(_xlfn.LET(
_xlpm.CSVVal,_xlfn.XLOOKUP($A65,CSV!$A:$A,CSV!D:D,""),
_xlpm.MacVal,_xlfn.XLOOKUP($A65,Output_Mac!$A:$A,Output_Mac!C:C,""),
_xlpm.MyAuditVal,_xlfn.XLOOKUP($A65,My_Audit!$A:$A,My_Audit!C:C,""),
_xlfn.IFS(_xlpm.MyAuditVal&lt;&gt;"",_xlpm.MyAuditVal,_xlpm.MacVal&lt;&gt;"",_xlpm.MacVal,_xlpm.CSVVal&lt;&gt;"",_xlpm.CSVVal
)),"")</f>
        <v/>
      </c>
      <c r="E65" s="2" t="str">
        <f>_xlfn.XLOOKUP(A65,My_Audit!A:A,My_Audit!D:D,"")&amp;""</f>
        <v/>
      </c>
      <c r="F65" s="2" t="str" cm="1">
        <f t="array" ref="F65">IFERROR(_xlfn.LET(
_xlpm.CSVVal,_xlfn.XLOOKUP($A65,CSV!$A:$A,CSV!F:F,""),
_xlpm.MacVal,_xlfn.XLOOKUP($A65,Output_Mac!$A:$A,Output_Mac!E:E,""),
_xlpm.MyAuditVal,_xlfn.XLOOKUP($A65,My_Audit!$A:$A,My_Audit!E:E,""),
_xlfn.IFS(_xlpm.MyAuditVal&lt;&gt;"",_xlpm.MyAuditVal,_xlpm.MacVal&lt;&gt;"",_xlpm.MacVal,_xlpm.CSVVal&lt;&gt;"",_xlpm.CSVVal
)),"")</f>
        <v/>
      </c>
      <c r="G65" s="2" t="str" cm="1">
        <f t="array" ref="G65">IFERROR(_xlfn.LET(
_xlpm.CSVVal,_xlfn.XLOOKUP($A65,CSV!$A:$A,CSV!G:G,""),
_xlpm.MacVal,_xlfn.XLOOKUP($A65,Output_Mac!$A:$A,Output_Mac!F:F,""),
_xlpm.MyAuditVal,_xlfn.XLOOKUP($A65,My_Audit!$A:$A,My_Audit!F:F,""),
_xlfn.IFS(_xlpm.MyAuditVal&lt;&gt;"",_xlpm.MyAuditVal,_xlpm.MacVal&lt;&gt;"",_xlpm.MacVal,_xlpm.CSVVal&lt;&gt;"",PROPER(_xlpm.CSVVal)
)),"")</f>
        <v/>
      </c>
      <c r="H65" s="2" t="str" cm="1">
        <f t="array" ref="H65">IFERROR(_xlfn.LET(
_xlpm.CSVVal,_xlfn.XLOOKUP($A65,CSV!$A:$A,CSV!H:H,""),
_xlpm.MacVal,_xlfn.XLOOKUP($A65,Output_Mac!$A:$A,Output_Mac!H:H,""),
_xlpm.MyAuditVal,_xlfn.XLOOKUP($A65,My_Audit!$A:$A,My_Audit!G:G,""),
_xlfn.IFS(_xlpm.MyAuditVal&lt;&gt;"",_xlpm.MyAuditVal,_xlpm.MacVal&lt;&gt;"",_xlpm.MacVal,_xlpm.CSVVal&lt;&gt;"",_xlpm.CSVVal
)),"")</f>
        <v/>
      </c>
      <c r="I65" s="2" t="str">
        <f>_xlfn.XLOOKUP(A65,Output_Mac!A:A,Output_Mac!I:I,"")</f>
        <v/>
      </c>
      <c r="J65" s="2" t="str" cm="1">
        <f t="array" ref="J65">IFERROR(_xlfn.LET(
_xlpm.CSVVal,_xlfn.XLOOKUP($A65,CSV!$A:$A,CSV!I:I,""),
_xlpm.MacVal,_xlfn.XLOOKUP($A65,Output_Mac!$A:$A,Output_Mac!J:J,""),
_xlpm.MyAuditVal,_xlfn.XLOOKUP($A65,My_Audit!$A:$A,My_Audit!I:I,""),
_xlfn.IFS(_xlpm.MyAuditVal&lt;&gt;"",UPPER(_xlpm.MyAuditVal),_xlpm.MacVal&lt;&gt;"",_xlpm.MacVal,_xlpm.CSVVal&lt;&gt;"",_xlpm.CSVVal
)),"")</f>
        <v/>
      </c>
      <c r="K65" s="2" t="str" cm="1">
        <f t="array" ref="K65">IFERROR(_xlfn.LET(
_xlpm.CSVVal,_xlfn.XLOOKUP($A65,CSV!$A:$A,CSV!K:K,""),
_xlpm.MacVal,_xlfn.XLOOKUP($A65,Output_Mac!$A:$A,Output_Mac!K:K,""),
_xlpm.MyAuditVal,_xlfn.XLOOKUP($A65,My_Audit!$A:$A,My_Audit!J:J,""),
_xlfn.IFS(_xlpm.MyAuditVal&lt;&gt;"",UPPER(_xlpm.MyAuditVal),_xlpm.MacVal&lt;&gt;"",_xlpm.MacVal,_xlpm.CSVVal&lt;&gt;"",_xlpm.CSVVal
)),"")</f>
        <v/>
      </c>
      <c r="L65" s="2" t="str" cm="1">
        <f t="array" ref="L65">IFERROR(_xlfn.LET(
_xlpm.CSVVal,_xlfn.XLOOKUP($A65,CSV!$A:$A,CSV!P:P,""),
_xlpm.MacVal,_xlfn.XLOOKUP($A65,Output_Mac!$A:$A,Output_Mac!L:L,""),
_xlpm.MyAuditVal,_xlfn.XLOOKUP($A65,My_Audit!$A:$A,My_Audit!K:K,""),
_xlfn.IFS(_xlpm.MyAuditVal&lt;&gt;"",UPPER(_xlpm.MyAuditVal),_xlpm.MacVal&lt;&gt;"",_xlpm.MacVal,_xlpm.CSVVal&lt;&gt;"",_xlpm.CSVVal
)),"")</f>
        <v/>
      </c>
      <c r="M65" s="2" t="str" cm="1">
        <f t="array" ref="M65">IFERROR(_xlfn.LET(
_xlpm.CSVVal,_xlfn.XLOOKUP($A65,CSV!$A:$A,CSV!Q:Q,""),
_xlpm.MacVal,_xlfn.XLOOKUP($A65,Output_Mac!$A:$A,Output_Mac!M:M,""),
_xlpm.MyAuditVal,_xlfn.XLOOKUP($A65,My_Audit!$A:$A,My_Audit!L:L,""),
_xlfn.IFS(_xlpm.MyAuditVal&lt;&gt;"",UPPER(_xlpm.MyAuditVal),_xlpm.MacVal&lt;&gt;"",_xlpm.MacVal,_xlpm.CSVVal&lt;&gt;"",_xlpm.CSVVal
)),"")</f>
        <v/>
      </c>
      <c r="O65" s="2" t="str">
        <f>_xlfn.LET(
    _xlpm.CSVVal, _xlfn.XLOOKUP($A65, CSV!$A:$A, CSV!AC:AC, ""),
    _xlpm.MacVal, _xlfn.XLOOKUP($A65, Output_Mac!$A:$A, Output_Mac!S:S, ""),
    _xlpm.MyAuditVal, _xlfn.XLOOKUP($A65, My_Audit!$A:$A, My_Audit!P:P, ""),
    _xlfn.TEXTJOIN(", ", TRUE, _xlpm.MyAuditVal, _xlpm.MacVal, _xlpm.CSVVal)
)</f>
        <v/>
      </c>
      <c r="P65" s="2" t="str" cm="1">
        <f t="array" ref="P65">IFERROR(_xlfn.LET(
_xlpm.CSVVal,_xlfn.XLOOKUP($A65,CSV!$A:$A,CSV!AD:AD,""),
_xlpm.MacVal,_xlfn.XLOOKUP($A65,Output_Mac!$A:$A,Output_Mac!T:T,""),
_xlpm.MyAuditVal,_xlfn.XLOOKUP($A65,My_Audit!$A:$A,My_Audit!Q:Q,""),
_xlfn.IFS(_xlpm.MyAuditVal&lt;&gt;"",UPPER(_xlpm.MyAuditVal),_xlpm.MacVal&lt;&gt;"",_xlpm.MacVal,_xlpm.CSVVal&lt;&gt;"",_xlpm.CSVVal
)),"No")</f>
        <v>No</v>
      </c>
      <c r="Q65" s="2" t="str" cm="1">
        <f t="array" ref="Q65">IFERROR(_xlfn.LET(
_xlpm.CSVVal,_xlfn.XLOOKUP($A65,CSV!$A:$A,CSV!AE:AE,""),
_xlpm.MacVal,_xlfn.XLOOKUP($A65,Output_Mac!$A:$A,Output_Mac!U:U,""),
_xlpm.MyAuditVal,_xlfn.XLOOKUP($A65,My_Audit!$A:$A,My_Audit!R:R,""),
_xlfn.IFS(_xlpm.MyAuditVal&lt;&gt;"",UPPER(_xlpm.MyAuditVal),_xlpm.MacVal&lt;&gt;"",_xlpm.MacVal,_xlpm.CSVVal&lt;&gt;"",_xlpm.CSVVal
)),"")</f>
        <v/>
      </c>
      <c r="X65" t="str">
        <f>_xlfn.LET(
    _xlpm.MacVal, _xlfn.XLOOKUP($A65, Output_Mac!$A:$A, Output_Mac!AB:AB, ""),
    _xlpm.MyAuditVal, _xlfn.XLOOKUP($A65, My_Audit!$A:$A, My_Audit!N:N, ""),
    _xlfn.TEXTJOIN(", ", TRUE, _xlpm.MyAuditVal, _xlpm.MacVal)
)</f>
        <v/>
      </c>
    </row>
    <row r="66" spans="1:24">
      <c r="A66" s="2" t="str">
        <f>_xlfn.TEXTJOIN("",TRUE,Input!$B$2,ROW(My_Audit!A65))</f>
        <v>X65</v>
      </c>
      <c r="B66" s="2" t="str">
        <f>_xlfn.TEXTJOIN("-",TRUE,"ITD",Input!$A$2,A66)</f>
        <v>ITD-SHR-X65</v>
      </c>
      <c r="C66" s="2" t="str" cm="1">
        <f t="array" ref="C66">IFERROR(_xlfn.LET(
_xlpm.CSVVal,_xlfn.XLOOKUP($A66,CSV!$A:$A,CSV!B:B,""),
_xlpm.MacVal,_xlfn.XLOOKUP($A66,Output_Mac!$A:$A,Output_Mac!B:B,""),
_xlpm.MyAuditVal,_xlfn.XLOOKUP($A66,My_Audit!$A:$A,My_Audit!B:B,""),
_xlfn.IFS(_xlpm.MyAuditVal&lt;&gt;"",UPPER(_xlpm.MyAuditVal),_xlpm.MacVal&lt;&gt;"",_xlpm.MacVal,_xlpm.CSVVal&lt;&gt;"",_xlpm.CSVVal
)),"")</f>
        <v/>
      </c>
      <c r="D66" s="2" t="str" cm="1">
        <f t="array" ref="D66">IFERROR(_xlfn.LET(
_xlpm.CSVVal,_xlfn.XLOOKUP($A66,CSV!$A:$A,CSV!D:D,""),
_xlpm.MacVal,_xlfn.XLOOKUP($A66,Output_Mac!$A:$A,Output_Mac!C:C,""),
_xlpm.MyAuditVal,_xlfn.XLOOKUP($A66,My_Audit!$A:$A,My_Audit!C:C,""),
_xlfn.IFS(_xlpm.MyAuditVal&lt;&gt;"",_xlpm.MyAuditVal,_xlpm.MacVal&lt;&gt;"",_xlpm.MacVal,_xlpm.CSVVal&lt;&gt;"",_xlpm.CSVVal
)),"")</f>
        <v/>
      </c>
      <c r="E66" s="2" t="str">
        <f>_xlfn.XLOOKUP(A66,My_Audit!A:A,My_Audit!D:D,"")&amp;""</f>
        <v/>
      </c>
      <c r="F66" s="2" t="str" cm="1">
        <f t="array" ref="F66">IFERROR(_xlfn.LET(
_xlpm.CSVVal,_xlfn.XLOOKUP($A66,CSV!$A:$A,CSV!F:F,""),
_xlpm.MacVal,_xlfn.XLOOKUP($A66,Output_Mac!$A:$A,Output_Mac!E:E,""),
_xlpm.MyAuditVal,_xlfn.XLOOKUP($A66,My_Audit!$A:$A,My_Audit!E:E,""),
_xlfn.IFS(_xlpm.MyAuditVal&lt;&gt;"",_xlpm.MyAuditVal,_xlpm.MacVal&lt;&gt;"",_xlpm.MacVal,_xlpm.CSVVal&lt;&gt;"",_xlpm.CSVVal
)),"")</f>
        <v/>
      </c>
      <c r="G66" s="2" t="str" cm="1">
        <f t="array" ref="G66">IFERROR(_xlfn.LET(
_xlpm.CSVVal,_xlfn.XLOOKUP($A66,CSV!$A:$A,CSV!G:G,""),
_xlpm.MacVal,_xlfn.XLOOKUP($A66,Output_Mac!$A:$A,Output_Mac!F:F,""),
_xlpm.MyAuditVal,_xlfn.XLOOKUP($A66,My_Audit!$A:$A,My_Audit!F:F,""),
_xlfn.IFS(_xlpm.MyAuditVal&lt;&gt;"",_xlpm.MyAuditVal,_xlpm.MacVal&lt;&gt;"",_xlpm.MacVal,_xlpm.CSVVal&lt;&gt;"",PROPER(_xlpm.CSVVal)
)),"")</f>
        <v/>
      </c>
      <c r="H66" s="2" t="str" cm="1">
        <f t="array" ref="H66">IFERROR(_xlfn.LET(
_xlpm.CSVVal,_xlfn.XLOOKUP($A66,CSV!$A:$A,CSV!H:H,""),
_xlpm.MacVal,_xlfn.XLOOKUP($A66,Output_Mac!$A:$A,Output_Mac!H:H,""),
_xlpm.MyAuditVal,_xlfn.XLOOKUP($A66,My_Audit!$A:$A,My_Audit!G:G,""),
_xlfn.IFS(_xlpm.MyAuditVal&lt;&gt;"",_xlpm.MyAuditVal,_xlpm.MacVal&lt;&gt;"",_xlpm.MacVal,_xlpm.CSVVal&lt;&gt;"",_xlpm.CSVVal
)),"")</f>
        <v/>
      </c>
      <c r="I66" s="2" t="str">
        <f>_xlfn.XLOOKUP(A66,Output_Mac!A:A,Output_Mac!I:I,"")</f>
        <v/>
      </c>
      <c r="J66" s="2" t="str" cm="1">
        <f t="array" ref="J66">IFERROR(_xlfn.LET(
_xlpm.CSVVal,_xlfn.XLOOKUP($A66,CSV!$A:$A,CSV!I:I,""),
_xlpm.MacVal,_xlfn.XLOOKUP($A66,Output_Mac!$A:$A,Output_Mac!J:J,""),
_xlpm.MyAuditVal,_xlfn.XLOOKUP($A66,My_Audit!$A:$A,My_Audit!I:I,""),
_xlfn.IFS(_xlpm.MyAuditVal&lt;&gt;"",UPPER(_xlpm.MyAuditVal),_xlpm.MacVal&lt;&gt;"",_xlpm.MacVal,_xlpm.CSVVal&lt;&gt;"",_xlpm.CSVVal
)),"")</f>
        <v/>
      </c>
      <c r="K66" s="2" t="str" cm="1">
        <f t="array" ref="K66">IFERROR(_xlfn.LET(
_xlpm.CSVVal,_xlfn.XLOOKUP($A66,CSV!$A:$A,CSV!K:K,""),
_xlpm.MacVal,_xlfn.XLOOKUP($A66,Output_Mac!$A:$A,Output_Mac!K:K,""),
_xlpm.MyAuditVal,_xlfn.XLOOKUP($A66,My_Audit!$A:$A,My_Audit!J:J,""),
_xlfn.IFS(_xlpm.MyAuditVal&lt;&gt;"",UPPER(_xlpm.MyAuditVal),_xlpm.MacVal&lt;&gt;"",_xlpm.MacVal,_xlpm.CSVVal&lt;&gt;"",_xlpm.CSVVal
)),"")</f>
        <v/>
      </c>
      <c r="L66" s="2" t="str" cm="1">
        <f t="array" ref="L66">IFERROR(_xlfn.LET(
_xlpm.CSVVal,_xlfn.XLOOKUP($A66,CSV!$A:$A,CSV!P:P,""),
_xlpm.MacVal,_xlfn.XLOOKUP($A66,Output_Mac!$A:$A,Output_Mac!L:L,""),
_xlpm.MyAuditVal,_xlfn.XLOOKUP($A66,My_Audit!$A:$A,My_Audit!K:K,""),
_xlfn.IFS(_xlpm.MyAuditVal&lt;&gt;"",UPPER(_xlpm.MyAuditVal),_xlpm.MacVal&lt;&gt;"",_xlpm.MacVal,_xlpm.CSVVal&lt;&gt;"",_xlpm.CSVVal
)),"")</f>
        <v/>
      </c>
      <c r="M66" s="2" t="str" cm="1">
        <f t="array" ref="M66">IFERROR(_xlfn.LET(
_xlpm.CSVVal,_xlfn.XLOOKUP($A66,CSV!$A:$A,CSV!Q:Q,""),
_xlpm.MacVal,_xlfn.XLOOKUP($A66,Output_Mac!$A:$A,Output_Mac!M:M,""),
_xlpm.MyAuditVal,_xlfn.XLOOKUP($A66,My_Audit!$A:$A,My_Audit!L:L,""),
_xlfn.IFS(_xlpm.MyAuditVal&lt;&gt;"",UPPER(_xlpm.MyAuditVal),_xlpm.MacVal&lt;&gt;"",_xlpm.MacVal,_xlpm.CSVVal&lt;&gt;"",_xlpm.CSVVal
)),"")</f>
        <v/>
      </c>
      <c r="O66" s="2" t="str">
        <f>_xlfn.LET(
    _xlpm.CSVVal, _xlfn.XLOOKUP($A66, CSV!$A:$A, CSV!AC:AC, ""),
    _xlpm.MacVal, _xlfn.XLOOKUP($A66, Output_Mac!$A:$A, Output_Mac!S:S, ""),
    _xlpm.MyAuditVal, _xlfn.XLOOKUP($A66, My_Audit!$A:$A, My_Audit!P:P, ""),
    _xlfn.TEXTJOIN(", ", TRUE, _xlpm.MyAuditVal, _xlpm.MacVal, _xlpm.CSVVal)
)</f>
        <v/>
      </c>
      <c r="P66" s="2" t="str" cm="1">
        <f t="array" ref="P66">IFERROR(_xlfn.LET(
_xlpm.CSVVal,_xlfn.XLOOKUP($A66,CSV!$A:$A,CSV!AD:AD,""),
_xlpm.MacVal,_xlfn.XLOOKUP($A66,Output_Mac!$A:$A,Output_Mac!T:T,""),
_xlpm.MyAuditVal,_xlfn.XLOOKUP($A66,My_Audit!$A:$A,My_Audit!Q:Q,""),
_xlfn.IFS(_xlpm.MyAuditVal&lt;&gt;"",UPPER(_xlpm.MyAuditVal),_xlpm.MacVal&lt;&gt;"",_xlpm.MacVal,_xlpm.CSVVal&lt;&gt;"",_xlpm.CSVVal
)),"No")</f>
        <v>No</v>
      </c>
      <c r="Q66" s="2" t="str" cm="1">
        <f t="array" ref="Q66">IFERROR(_xlfn.LET(
_xlpm.CSVVal,_xlfn.XLOOKUP($A66,CSV!$A:$A,CSV!AE:AE,""),
_xlpm.MacVal,_xlfn.XLOOKUP($A66,Output_Mac!$A:$A,Output_Mac!U:U,""),
_xlpm.MyAuditVal,_xlfn.XLOOKUP($A66,My_Audit!$A:$A,My_Audit!R:R,""),
_xlfn.IFS(_xlpm.MyAuditVal&lt;&gt;"",UPPER(_xlpm.MyAuditVal),_xlpm.MacVal&lt;&gt;"",_xlpm.MacVal,_xlpm.CSVVal&lt;&gt;"",_xlpm.CSVVal
)),"")</f>
        <v/>
      </c>
      <c r="X66" t="str">
        <f>_xlfn.LET(
    _xlpm.MacVal, _xlfn.XLOOKUP($A66, Output_Mac!$A:$A, Output_Mac!AB:AB, ""),
    _xlpm.MyAuditVal, _xlfn.XLOOKUP($A66, My_Audit!$A:$A, My_Audit!N:N, ""),
    _xlfn.TEXTJOIN(", ", TRUE, _xlpm.MyAuditVal, _xlpm.MacVal)
)</f>
        <v/>
      </c>
    </row>
    <row r="67" spans="1:24">
      <c r="A67" s="2" t="str">
        <f>_xlfn.TEXTJOIN("",TRUE,Input!$B$2,ROW(My_Audit!A66))</f>
        <v>X66</v>
      </c>
      <c r="B67" s="2" t="str">
        <f>_xlfn.TEXTJOIN("-",TRUE,"ITD",Input!$A$2,A67)</f>
        <v>ITD-SHR-X66</v>
      </c>
      <c r="C67" s="2" t="str" cm="1">
        <f t="array" ref="C67">IFERROR(_xlfn.LET(
_xlpm.CSVVal,_xlfn.XLOOKUP($A67,CSV!$A:$A,CSV!B:B,""),
_xlpm.MacVal,_xlfn.XLOOKUP($A67,Output_Mac!$A:$A,Output_Mac!B:B,""),
_xlpm.MyAuditVal,_xlfn.XLOOKUP($A67,My_Audit!$A:$A,My_Audit!B:B,""),
_xlfn.IFS(_xlpm.MyAuditVal&lt;&gt;"",UPPER(_xlpm.MyAuditVal),_xlpm.MacVal&lt;&gt;"",_xlpm.MacVal,_xlpm.CSVVal&lt;&gt;"",_xlpm.CSVVal
)),"")</f>
        <v/>
      </c>
      <c r="D67" s="2" t="str" cm="1">
        <f t="array" ref="D67">IFERROR(_xlfn.LET(
_xlpm.CSVVal,_xlfn.XLOOKUP($A67,CSV!$A:$A,CSV!D:D,""),
_xlpm.MacVal,_xlfn.XLOOKUP($A67,Output_Mac!$A:$A,Output_Mac!C:C,""),
_xlpm.MyAuditVal,_xlfn.XLOOKUP($A67,My_Audit!$A:$A,My_Audit!C:C,""),
_xlfn.IFS(_xlpm.MyAuditVal&lt;&gt;"",_xlpm.MyAuditVal,_xlpm.MacVal&lt;&gt;"",_xlpm.MacVal,_xlpm.CSVVal&lt;&gt;"",_xlpm.CSVVal
)),"")</f>
        <v/>
      </c>
      <c r="E67" s="2" t="str">
        <f>_xlfn.XLOOKUP(A67,My_Audit!A:A,My_Audit!D:D,"")&amp;""</f>
        <v/>
      </c>
      <c r="F67" s="2" t="str" cm="1">
        <f t="array" ref="F67">IFERROR(_xlfn.LET(
_xlpm.CSVVal,_xlfn.XLOOKUP($A67,CSV!$A:$A,CSV!F:F,""),
_xlpm.MacVal,_xlfn.XLOOKUP($A67,Output_Mac!$A:$A,Output_Mac!E:E,""),
_xlpm.MyAuditVal,_xlfn.XLOOKUP($A67,My_Audit!$A:$A,My_Audit!E:E,""),
_xlfn.IFS(_xlpm.MyAuditVal&lt;&gt;"",_xlpm.MyAuditVal,_xlpm.MacVal&lt;&gt;"",_xlpm.MacVal,_xlpm.CSVVal&lt;&gt;"",_xlpm.CSVVal
)),"")</f>
        <v/>
      </c>
      <c r="G67" s="2" t="str" cm="1">
        <f t="array" ref="G67">IFERROR(_xlfn.LET(
_xlpm.CSVVal,_xlfn.XLOOKUP($A67,CSV!$A:$A,CSV!G:G,""),
_xlpm.MacVal,_xlfn.XLOOKUP($A67,Output_Mac!$A:$A,Output_Mac!F:F,""),
_xlpm.MyAuditVal,_xlfn.XLOOKUP($A67,My_Audit!$A:$A,My_Audit!F:F,""),
_xlfn.IFS(_xlpm.MyAuditVal&lt;&gt;"",_xlpm.MyAuditVal,_xlpm.MacVal&lt;&gt;"",_xlpm.MacVal,_xlpm.CSVVal&lt;&gt;"",PROPER(_xlpm.CSVVal)
)),"")</f>
        <v/>
      </c>
      <c r="H67" s="2" t="str" cm="1">
        <f t="array" ref="H67">IFERROR(_xlfn.LET(
_xlpm.CSVVal,_xlfn.XLOOKUP($A67,CSV!$A:$A,CSV!H:H,""),
_xlpm.MacVal,_xlfn.XLOOKUP($A67,Output_Mac!$A:$A,Output_Mac!H:H,""),
_xlpm.MyAuditVal,_xlfn.XLOOKUP($A67,My_Audit!$A:$A,My_Audit!G:G,""),
_xlfn.IFS(_xlpm.MyAuditVal&lt;&gt;"",_xlpm.MyAuditVal,_xlpm.MacVal&lt;&gt;"",_xlpm.MacVal,_xlpm.CSVVal&lt;&gt;"",_xlpm.CSVVal
)),"")</f>
        <v/>
      </c>
      <c r="I67" s="2" t="str">
        <f>_xlfn.XLOOKUP(A67,Output_Mac!A:A,Output_Mac!I:I,"")</f>
        <v/>
      </c>
      <c r="J67" s="2" t="str" cm="1">
        <f t="array" ref="J67">IFERROR(_xlfn.LET(
_xlpm.CSVVal,_xlfn.XLOOKUP($A67,CSV!$A:$A,CSV!I:I,""),
_xlpm.MacVal,_xlfn.XLOOKUP($A67,Output_Mac!$A:$A,Output_Mac!J:J,""),
_xlpm.MyAuditVal,_xlfn.XLOOKUP($A67,My_Audit!$A:$A,My_Audit!I:I,""),
_xlfn.IFS(_xlpm.MyAuditVal&lt;&gt;"",UPPER(_xlpm.MyAuditVal),_xlpm.MacVal&lt;&gt;"",_xlpm.MacVal,_xlpm.CSVVal&lt;&gt;"",_xlpm.CSVVal
)),"")</f>
        <v/>
      </c>
      <c r="K67" s="2" t="str" cm="1">
        <f t="array" ref="K67">IFERROR(_xlfn.LET(
_xlpm.CSVVal,_xlfn.XLOOKUP($A67,CSV!$A:$A,CSV!K:K,""),
_xlpm.MacVal,_xlfn.XLOOKUP($A67,Output_Mac!$A:$A,Output_Mac!K:K,""),
_xlpm.MyAuditVal,_xlfn.XLOOKUP($A67,My_Audit!$A:$A,My_Audit!J:J,""),
_xlfn.IFS(_xlpm.MyAuditVal&lt;&gt;"",UPPER(_xlpm.MyAuditVal),_xlpm.MacVal&lt;&gt;"",_xlpm.MacVal,_xlpm.CSVVal&lt;&gt;"",_xlpm.CSVVal
)),"")</f>
        <v/>
      </c>
      <c r="L67" s="2" t="str" cm="1">
        <f t="array" ref="L67">IFERROR(_xlfn.LET(
_xlpm.CSVVal,_xlfn.XLOOKUP($A67,CSV!$A:$A,CSV!P:P,""),
_xlpm.MacVal,_xlfn.XLOOKUP($A67,Output_Mac!$A:$A,Output_Mac!L:L,""),
_xlpm.MyAuditVal,_xlfn.XLOOKUP($A67,My_Audit!$A:$A,My_Audit!K:K,""),
_xlfn.IFS(_xlpm.MyAuditVal&lt;&gt;"",UPPER(_xlpm.MyAuditVal),_xlpm.MacVal&lt;&gt;"",_xlpm.MacVal,_xlpm.CSVVal&lt;&gt;"",_xlpm.CSVVal
)),"")</f>
        <v/>
      </c>
      <c r="M67" s="2" t="str" cm="1">
        <f t="array" ref="M67">IFERROR(_xlfn.LET(
_xlpm.CSVVal,_xlfn.XLOOKUP($A67,CSV!$A:$A,CSV!Q:Q,""),
_xlpm.MacVal,_xlfn.XLOOKUP($A67,Output_Mac!$A:$A,Output_Mac!M:M,""),
_xlpm.MyAuditVal,_xlfn.XLOOKUP($A67,My_Audit!$A:$A,My_Audit!L:L,""),
_xlfn.IFS(_xlpm.MyAuditVal&lt;&gt;"",UPPER(_xlpm.MyAuditVal),_xlpm.MacVal&lt;&gt;"",_xlpm.MacVal,_xlpm.CSVVal&lt;&gt;"",_xlpm.CSVVal
)),"")</f>
        <v/>
      </c>
      <c r="O67" s="2" t="str">
        <f>_xlfn.LET(
    _xlpm.CSVVal, _xlfn.XLOOKUP($A67, CSV!$A:$A, CSV!AC:AC, ""),
    _xlpm.MacVal, _xlfn.XLOOKUP($A67, Output_Mac!$A:$A, Output_Mac!S:S, ""),
    _xlpm.MyAuditVal, _xlfn.XLOOKUP($A67, My_Audit!$A:$A, My_Audit!P:P, ""),
    _xlfn.TEXTJOIN(", ", TRUE, _xlpm.MyAuditVal, _xlpm.MacVal, _xlpm.CSVVal)
)</f>
        <v/>
      </c>
      <c r="P67" s="2" t="str" cm="1">
        <f t="array" ref="P67">IFERROR(_xlfn.LET(
_xlpm.CSVVal,_xlfn.XLOOKUP($A67,CSV!$A:$A,CSV!AD:AD,""),
_xlpm.MacVal,_xlfn.XLOOKUP($A67,Output_Mac!$A:$A,Output_Mac!T:T,""),
_xlpm.MyAuditVal,_xlfn.XLOOKUP($A67,My_Audit!$A:$A,My_Audit!Q:Q,""),
_xlfn.IFS(_xlpm.MyAuditVal&lt;&gt;"",UPPER(_xlpm.MyAuditVal),_xlpm.MacVal&lt;&gt;"",_xlpm.MacVal,_xlpm.CSVVal&lt;&gt;"",_xlpm.CSVVal
)),"No")</f>
        <v>No</v>
      </c>
      <c r="Q67" s="2" t="str" cm="1">
        <f t="array" ref="Q67">IFERROR(_xlfn.LET(
_xlpm.CSVVal,_xlfn.XLOOKUP($A67,CSV!$A:$A,CSV!AE:AE,""),
_xlpm.MacVal,_xlfn.XLOOKUP($A67,Output_Mac!$A:$A,Output_Mac!U:U,""),
_xlpm.MyAuditVal,_xlfn.XLOOKUP($A67,My_Audit!$A:$A,My_Audit!R:R,""),
_xlfn.IFS(_xlpm.MyAuditVal&lt;&gt;"",UPPER(_xlpm.MyAuditVal),_xlpm.MacVal&lt;&gt;"",_xlpm.MacVal,_xlpm.CSVVal&lt;&gt;"",_xlpm.CSVVal
)),"")</f>
        <v/>
      </c>
      <c r="X67" t="str">
        <f>_xlfn.LET(
    _xlpm.MacVal, _xlfn.XLOOKUP($A67, Output_Mac!$A:$A, Output_Mac!AB:AB, ""),
    _xlpm.MyAuditVal, _xlfn.XLOOKUP($A67, My_Audit!$A:$A, My_Audit!N:N, ""),
    _xlfn.TEXTJOIN(", ", TRUE, _xlpm.MyAuditVal, _xlpm.MacVal)
)</f>
        <v/>
      </c>
    </row>
    <row r="68" spans="1:24">
      <c r="A68" s="2" t="str">
        <f>_xlfn.TEXTJOIN("",TRUE,Input!$B$2,ROW(My_Audit!A67))</f>
        <v>X67</v>
      </c>
      <c r="B68" s="2" t="str">
        <f>_xlfn.TEXTJOIN("-",TRUE,"ITD",Input!$A$2,A68)</f>
        <v>ITD-SHR-X67</v>
      </c>
      <c r="C68" s="2" t="str" cm="1">
        <f t="array" ref="C68">IFERROR(_xlfn.LET(
_xlpm.CSVVal,_xlfn.XLOOKUP($A68,CSV!$A:$A,CSV!B:B,""),
_xlpm.MacVal,_xlfn.XLOOKUP($A68,Output_Mac!$A:$A,Output_Mac!B:B,""),
_xlpm.MyAuditVal,_xlfn.XLOOKUP($A68,My_Audit!$A:$A,My_Audit!B:B,""),
_xlfn.IFS(_xlpm.MyAuditVal&lt;&gt;"",UPPER(_xlpm.MyAuditVal),_xlpm.MacVal&lt;&gt;"",_xlpm.MacVal,_xlpm.CSVVal&lt;&gt;"",_xlpm.CSVVal
)),"")</f>
        <v/>
      </c>
      <c r="D68" s="2" t="str" cm="1">
        <f t="array" ref="D68">IFERROR(_xlfn.LET(
_xlpm.CSVVal,_xlfn.XLOOKUP($A68,CSV!$A:$A,CSV!D:D,""),
_xlpm.MacVal,_xlfn.XLOOKUP($A68,Output_Mac!$A:$A,Output_Mac!C:C,""),
_xlpm.MyAuditVal,_xlfn.XLOOKUP($A68,My_Audit!$A:$A,My_Audit!C:C,""),
_xlfn.IFS(_xlpm.MyAuditVal&lt;&gt;"",_xlpm.MyAuditVal,_xlpm.MacVal&lt;&gt;"",_xlpm.MacVal,_xlpm.CSVVal&lt;&gt;"",_xlpm.CSVVal
)),"")</f>
        <v/>
      </c>
      <c r="E68" s="2" t="str">
        <f>_xlfn.XLOOKUP(A68,My_Audit!A:A,My_Audit!D:D,"")&amp;""</f>
        <v/>
      </c>
      <c r="F68" s="2" t="str" cm="1">
        <f t="array" ref="F68">IFERROR(_xlfn.LET(
_xlpm.CSVVal,_xlfn.XLOOKUP($A68,CSV!$A:$A,CSV!F:F,""),
_xlpm.MacVal,_xlfn.XLOOKUP($A68,Output_Mac!$A:$A,Output_Mac!E:E,""),
_xlpm.MyAuditVal,_xlfn.XLOOKUP($A68,My_Audit!$A:$A,My_Audit!E:E,""),
_xlfn.IFS(_xlpm.MyAuditVal&lt;&gt;"",_xlpm.MyAuditVal,_xlpm.MacVal&lt;&gt;"",_xlpm.MacVal,_xlpm.CSVVal&lt;&gt;"",_xlpm.CSVVal
)),"")</f>
        <v/>
      </c>
      <c r="G68" s="2" t="str" cm="1">
        <f t="array" ref="G68">IFERROR(_xlfn.LET(
_xlpm.CSVVal,_xlfn.XLOOKUP($A68,CSV!$A:$A,CSV!G:G,""),
_xlpm.MacVal,_xlfn.XLOOKUP($A68,Output_Mac!$A:$A,Output_Mac!F:F,""),
_xlpm.MyAuditVal,_xlfn.XLOOKUP($A68,My_Audit!$A:$A,My_Audit!F:F,""),
_xlfn.IFS(_xlpm.MyAuditVal&lt;&gt;"",_xlpm.MyAuditVal,_xlpm.MacVal&lt;&gt;"",_xlpm.MacVal,_xlpm.CSVVal&lt;&gt;"",PROPER(_xlpm.CSVVal)
)),"")</f>
        <v/>
      </c>
      <c r="H68" s="2" t="str" cm="1">
        <f t="array" ref="H68">IFERROR(_xlfn.LET(
_xlpm.CSVVal,_xlfn.XLOOKUP($A68,CSV!$A:$A,CSV!H:H,""),
_xlpm.MacVal,_xlfn.XLOOKUP($A68,Output_Mac!$A:$A,Output_Mac!H:H,""),
_xlpm.MyAuditVal,_xlfn.XLOOKUP($A68,My_Audit!$A:$A,My_Audit!G:G,""),
_xlfn.IFS(_xlpm.MyAuditVal&lt;&gt;"",_xlpm.MyAuditVal,_xlpm.MacVal&lt;&gt;"",_xlpm.MacVal,_xlpm.CSVVal&lt;&gt;"",_xlpm.CSVVal
)),"")</f>
        <v/>
      </c>
      <c r="I68" s="2" t="str">
        <f>_xlfn.XLOOKUP(A68,Output_Mac!A:A,Output_Mac!I:I,"")</f>
        <v/>
      </c>
      <c r="J68" s="2" t="str" cm="1">
        <f t="array" ref="J68">IFERROR(_xlfn.LET(
_xlpm.CSVVal,_xlfn.XLOOKUP($A68,CSV!$A:$A,CSV!I:I,""),
_xlpm.MacVal,_xlfn.XLOOKUP($A68,Output_Mac!$A:$A,Output_Mac!J:J,""),
_xlpm.MyAuditVal,_xlfn.XLOOKUP($A68,My_Audit!$A:$A,My_Audit!I:I,""),
_xlfn.IFS(_xlpm.MyAuditVal&lt;&gt;"",UPPER(_xlpm.MyAuditVal),_xlpm.MacVal&lt;&gt;"",_xlpm.MacVal,_xlpm.CSVVal&lt;&gt;"",_xlpm.CSVVal
)),"")</f>
        <v/>
      </c>
      <c r="K68" s="2" t="str" cm="1">
        <f t="array" ref="K68">IFERROR(_xlfn.LET(
_xlpm.CSVVal,_xlfn.XLOOKUP($A68,CSV!$A:$A,CSV!K:K,""),
_xlpm.MacVal,_xlfn.XLOOKUP($A68,Output_Mac!$A:$A,Output_Mac!K:K,""),
_xlpm.MyAuditVal,_xlfn.XLOOKUP($A68,My_Audit!$A:$A,My_Audit!J:J,""),
_xlfn.IFS(_xlpm.MyAuditVal&lt;&gt;"",UPPER(_xlpm.MyAuditVal),_xlpm.MacVal&lt;&gt;"",_xlpm.MacVal,_xlpm.CSVVal&lt;&gt;"",_xlpm.CSVVal
)),"")</f>
        <v/>
      </c>
      <c r="L68" s="2" t="str" cm="1">
        <f t="array" ref="L68">IFERROR(_xlfn.LET(
_xlpm.CSVVal,_xlfn.XLOOKUP($A68,CSV!$A:$A,CSV!P:P,""),
_xlpm.MacVal,_xlfn.XLOOKUP($A68,Output_Mac!$A:$A,Output_Mac!L:L,""),
_xlpm.MyAuditVal,_xlfn.XLOOKUP($A68,My_Audit!$A:$A,My_Audit!K:K,""),
_xlfn.IFS(_xlpm.MyAuditVal&lt;&gt;"",UPPER(_xlpm.MyAuditVal),_xlpm.MacVal&lt;&gt;"",_xlpm.MacVal,_xlpm.CSVVal&lt;&gt;"",_xlpm.CSVVal
)),"")</f>
        <v/>
      </c>
      <c r="M68" s="2" t="str" cm="1">
        <f t="array" ref="M68">IFERROR(_xlfn.LET(
_xlpm.CSVVal,_xlfn.XLOOKUP($A68,CSV!$A:$A,CSV!Q:Q,""),
_xlpm.MacVal,_xlfn.XLOOKUP($A68,Output_Mac!$A:$A,Output_Mac!M:M,""),
_xlpm.MyAuditVal,_xlfn.XLOOKUP($A68,My_Audit!$A:$A,My_Audit!L:L,""),
_xlfn.IFS(_xlpm.MyAuditVal&lt;&gt;"",UPPER(_xlpm.MyAuditVal),_xlpm.MacVal&lt;&gt;"",_xlpm.MacVal,_xlpm.CSVVal&lt;&gt;"",_xlpm.CSVVal
)),"")</f>
        <v/>
      </c>
      <c r="O68" s="2" t="str">
        <f>_xlfn.LET(
    _xlpm.CSVVal, _xlfn.XLOOKUP($A68, CSV!$A:$A, CSV!AC:AC, ""),
    _xlpm.MacVal, _xlfn.XLOOKUP($A68, Output_Mac!$A:$A, Output_Mac!S:S, ""),
    _xlpm.MyAuditVal, _xlfn.XLOOKUP($A68, My_Audit!$A:$A, My_Audit!P:P, ""),
    _xlfn.TEXTJOIN(", ", TRUE, _xlpm.MyAuditVal, _xlpm.MacVal, _xlpm.CSVVal)
)</f>
        <v/>
      </c>
      <c r="P68" s="2" t="str" cm="1">
        <f t="array" ref="P68">IFERROR(_xlfn.LET(
_xlpm.CSVVal,_xlfn.XLOOKUP($A68,CSV!$A:$A,CSV!AD:AD,""),
_xlpm.MacVal,_xlfn.XLOOKUP($A68,Output_Mac!$A:$A,Output_Mac!T:T,""),
_xlpm.MyAuditVal,_xlfn.XLOOKUP($A68,My_Audit!$A:$A,My_Audit!Q:Q,""),
_xlfn.IFS(_xlpm.MyAuditVal&lt;&gt;"",UPPER(_xlpm.MyAuditVal),_xlpm.MacVal&lt;&gt;"",_xlpm.MacVal,_xlpm.CSVVal&lt;&gt;"",_xlpm.CSVVal
)),"No")</f>
        <v>No</v>
      </c>
      <c r="Q68" s="2" t="str" cm="1">
        <f t="array" ref="Q68">IFERROR(_xlfn.LET(
_xlpm.CSVVal,_xlfn.XLOOKUP($A68,CSV!$A:$A,CSV!AE:AE,""),
_xlpm.MacVal,_xlfn.XLOOKUP($A68,Output_Mac!$A:$A,Output_Mac!U:U,""),
_xlpm.MyAuditVal,_xlfn.XLOOKUP($A68,My_Audit!$A:$A,My_Audit!R:R,""),
_xlfn.IFS(_xlpm.MyAuditVal&lt;&gt;"",UPPER(_xlpm.MyAuditVal),_xlpm.MacVal&lt;&gt;"",_xlpm.MacVal,_xlpm.CSVVal&lt;&gt;"",_xlpm.CSVVal
)),"")</f>
        <v/>
      </c>
      <c r="X68" t="str">
        <f>_xlfn.LET(
    _xlpm.MacVal, _xlfn.XLOOKUP($A68, Output_Mac!$A:$A, Output_Mac!AB:AB, ""),
    _xlpm.MyAuditVal, _xlfn.XLOOKUP($A68, My_Audit!$A:$A, My_Audit!N:N, ""),
    _xlfn.TEXTJOIN(", ", TRUE, _xlpm.MyAuditVal, _xlpm.MacVal)
)</f>
        <v/>
      </c>
    </row>
    <row r="69" spans="1:24">
      <c r="A69" s="2" t="str">
        <f>_xlfn.TEXTJOIN("",TRUE,Input!$B$2,ROW(My_Audit!A68))</f>
        <v>X68</v>
      </c>
      <c r="B69" s="2" t="str">
        <f>_xlfn.TEXTJOIN("-",TRUE,"ITD",Input!$A$2,A69)</f>
        <v>ITD-SHR-X68</v>
      </c>
      <c r="C69" s="2" t="str" cm="1">
        <f t="array" ref="C69">IFERROR(_xlfn.LET(
_xlpm.CSVVal,_xlfn.XLOOKUP($A69,CSV!$A:$A,CSV!B:B,""),
_xlpm.MacVal,_xlfn.XLOOKUP($A69,Output_Mac!$A:$A,Output_Mac!B:B,""),
_xlpm.MyAuditVal,_xlfn.XLOOKUP($A69,My_Audit!$A:$A,My_Audit!B:B,""),
_xlfn.IFS(_xlpm.MyAuditVal&lt;&gt;"",UPPER(_xlpm.MyAuditVal),_xlpm.MacVal&lt;&gt;"",_xlpm.MacVal,_xlpm.CSVVal&lt;&gt;"",_xlpm.CSVVal
)),"")</f>
        <v/>
      </c>
      <c r="D69" s="2" t="str" cm="1">
        <f t="array" ref="D69">IFERROR(_xlfn.LET(
_xlpm.CSVVal,_xlfn.XLOOKUP($A69,CSV!$A:$A,CSV!D:D,""),
_xlpm.MacVal,_xlfn.XLOOKUP($A69,Output_Mac!$A:$A,Output_Mac!C:C,""),
_xlpm.MyAuditVal,_xlfn.XLOOKUP($A69,My_Audit!$A:$A,My_Audit!C:C,""),
_xlfn.IFS(_xlpm.MyAuditVal&lt;&gt;"",_xlpm.MyAuditVal,_xlpm.MacVal&lt;&gt;"",_xlpm.MacVal,_xlpm.CSVVal&lt;&gt;"",_xlpm.CSVVal
)),"")</f>
        <v/>
      </c>
      <c r="E69" s="2" t="str">
        <f>_xlfn.XLOOKUP(A69,My_Audit!A:A,My_Audit!D:D,"")&amp;""</f>
        <v/>
      </c>
      <c r="F69" s="2" t="str" cm="1">
        <f t="array" ref="F69">IFERROR(_xlfn.LET(
_xlpm.CSVVal,_xlfn.XLOOKUP($A69,CSV!$A:$A,CSV!F:F,""),
_xlpm.MacVal,_xlfn.XLOOKUP($A69,Output_Mac!$A:$A,Output_Mac!E:E,""),
_xlpm.MyAuditVal,_xlfn.XLOOKUP($A69,My_Audit!$A:$A,My_Audit!E:E,""),
_xlfn.IFS(_xlpm.MyAuditVal&lt;&gt;"",_xlpm.MyAuditVal,_xlpm.MacVal&lt;&gt;"",_xlpm.MacVal,_xlpm.CSVVal&lt;&gt;"",_xlpm.CSVVal
)),"")</f>
        <v/>
      </c>
      <c r="G69" s="2" t="str" cm="1">
        <f t="array" ref="G69">IFERROR(_xlfn.LET(
_xlpm.CSVVal,_xlfn.XLOOKUP($A69,CSV!$A:$A,CSV!G:G,""),
_xlpm.MacVal,_xlfn.XLOOKUP($A69,Output_Mac!$A:$A,Output_Mac!F:F,""),
_xlpm.MyAuditVal,_xlfn.XLOOKUP($A69,My_Audit!$A:$A,My_Audit!F:F,""),
_xlfn.IFS(_xlpm.MyAuditVal&lt;&gt;"",_xlpm.MyAuditVal,_xlpm.MacVal&lt;&gt;"",_xlpm.MacVal,_xlpm.CSVVal&lt;&gt;"",PROPER(_xlpm.CSVVal)
)),"")</f>
        <v/>
      </c>
      <c r="H69" s="2" t="str" cm="1">
        <f t="array" ref="H69">IFERROR(_xlfn.LET(
_xlpm.CSVVal,_xlfn.XLOOKUP($A69,CSV!$A:$A,CSV!H:H,""),
_xlpm.MacVal,_xlfn.XLOOKUP($A69,Output_Mac!$A:$A,Output_Mac!H:H,""),
_xlpm.MyAuditVal,_xlfn.XLOOKUP($A69,My_Audit!$A:$A,My_Audit!G:G,""),
_xlfn.IFS(_xlpm.MyAuditVal&lt;&gt;"",_xlpm.MyAuditVal,_xlpm.MacVal&lt;&gt;"",_xlpm.MacVal,_xlpm.CSVVal&lt;&gt;"",_xlpm.CSVVal
)),"")</f>
        <v/>
      </c>
      <c r="I69" s="2" t="str">
        <f>_xlfn.XLOOKUP(A69,Output_Mac!A:A,Output_Mac!I:I,"")</f>
        <v/>
      </c>
      <c r="J69" s="2" t="str" cm="1">
        <f t="array" ref="J69">IFERROR(_xlfn.LET(
_xlpm.CSVVal,_xlfn.XLOOKUP($A69,CSV!$A:$A,CSV!I:I,""),
_xlpm.MacVal,_xlfn.XLOOKUP($A69,Output_Mac!$A:$A,Output_Mac!J:J,""),
_xlpm.MyAuditVal,_xlfn.XLOOKUP($A69,My_Audit!$A:$A,My_Audit!I:I,""),
_xlfn.IFS(_xlpm.MyAuditVal&lt;&gt;"",UPPER(_xlpm.MyAuditVal),_xlpm.MacVal&lt;&gt;"",_xlpm.MacVal,_xlpm.CSVVal&lt;&gt;"",_xlpm.CSVVal
)),"")</f>
        <v/>
      </c>
      <c r="K69" s="2" t="str" cm="1">
        <f t="array" ref="K69">IFERROR(_xlfn.LET(
_xlpm.CSVVal,_xlfn.XLOOKUP($A69,CSV!$A:$A,CSV!K:K,""),
_xlpm.MacVal,_xlfn.XLOOKUP($A69,Output_Mac!$A:$A,Output_Mac!K:K,""),
_xlpm.MyAuditVal,_xlfn.XLOOKUP($A69,My_Audit!$A:$A,My_Audit!J:J,""),
_xlfn.IFS(_xlpm.MyAuditVal&lt;&gt;"",UPPER(_xlpm.MyAuditVal),_xlpm.MacVal&lt;&gt;"",_xlpm.MacVal,_xlpm.CSVVal&lt;&gt;"",_xlpm.CSVVal
)),"")</f>
        <v/>
      </c>
      <c r="L69" s="2" t="str" cm="1">
        <f t="array" ref="L69">IFERROR(_xlfn.LET(
_xlpm.CSVVal,_xlfn.XLOOKUP($A69,CSV!$A:$A,CSV!P:P,""),
_xlpm.MacVal,_xlfn.XLOOKUP($A69,Output_Mac!$A:$A,Output_Mac!L:L,""),
_xlpm.MyAuditVal,_xlfn.XLOOKUP($A69,My_Audit!$A:$A,My_Audit!K:K,""),
_xlfn.IFS(_xlpm.MyAuditVal&lt;&gt;"",UPPER(_xlpm.MyAuditVal),_xlpm.MacVal&lt;&gt;"",_xlpm.MacVal,_xlpm.CSVVal&lt;&gt;"",_xlpm.CSVVal
)),"")</f>
        <v/>
      </c>
      <c r="M69" s="2" t="str" cm="1">
        <f t="array" ref="M69">IFERROR(_xlfn.LET(
_xlpm.CSVVal,_xlfn.XLOOKUP($A69,CSV!$A:$A,CSV!Q:Q,""),
_xlpm.MacVal,_xlfn.XLOOKUP($A69,Output_Mac!$A:$A,Output_Mac!M:M,""),
_xlpm.MyAuditVal,_xlfn.XLOOKUP($A69,My_Audit!$A:$A,My_Audit!L:L,""),
_xlfn.IFS(_xlpm.MyAuditVal&lt;&gt;"",UPPER(_xlpm.MyAuditVal),_xlpm.MacVal&lt;&gt;"",_xlpm.MacVal,_xlpm.CSVVal&lt;&gt;"",_xlpm.CSVVal
)),"")</f>
        <v/>
      </c>
      <c r="O69" s="2" t="str">
        <f>_xlfn.LET(
    _xlpm.CSVVal, _xlfn.XLOOKUP($A69, CSV!$A:$A, CSV!AC:AC, ""),
    _xlpm.MacVal, _xlfn.XLOOKUP($A69, Output_Mac!$A:$A, Output_Mac!S:S, ""),
    _xlpm.MyAuditVal, _xlfn.XLOOKUP($A69, My_Audit!$A:$A, My_Audit!P:P, ""),
    _xlfn.TEXTJOIN(", ", TRUE, _xlpm.MyAuditVal, _xlpm.MacVal, _xlpm.CSVVal)
)</f>
        <v/>
      </c>
      <c r="P69" s="2" t="str" cm="1">
        <f t="array" ref="P69">IFERROR(_xlfn.LET(
_xlpm.CSVVal,_xlfn.XLOOKUP($A69,CSV!$A:$A,CSV!AD:AD,""),
_xlpm.MacVal,_xlfn.XLOOKUP($A69,Output_Mac!$A:$A,Output_Mac!T:T,""),
_xlpm.MyAuditVal,_xlfn.XLOOKUP($A69,My_Audit!$A:$A,My_Audit!Q:Q,""),
_xlfn.IFS(_xlpm.MyAuditVal&lt;&gt;"",UPPER(_xlpm.MyAuditVal),_xlpm.MacVal&lt;&gt;"",_xlpm.MacVal,_xlpm.CSVVal&lt;&gt;"",_xlpm.CSVVal
)),"No")</f>
        <v>No</v>
      </c>
      <c r="Q69" s="2" t="str" cm="1">
        <f t="array" ref="Q69">IFERROR(_xlfn.LET(
_xlpm.CSVVal,_xlfn.XLOOKUP($A69,CSV!$A:$A,CSV!AE:AE,""),
_xlpm.MacVal,_xlfn.XLOOKUP($A69,Output_Mac!$A:$A,Output_Mac!U:U,""),
_xlpm.MyAuditVal,_xlfn.XLOOKUP($A69,My_Audit!$A:$A,My_Audit!R:R,""),
_xlfn.IFS(_xlpm.MyAuditVal&lt;&gt;"",UPPER(_xlpm.MyAuditVal),_xlpm.MacVal&lt;&gt;"",_xlpm.MacVal,_xlpm.CSVVal&lt;&gt;"",_xlpm.CSVVal
)),"")</f>
        <v/>
      </c>
      <c r="X69" t="str">
        <f>_xlfn.LET(
    _xlpm.MacVal, _xlfn.XLOOKUP($A69, Output_Mac!$A:$A, Output_Mac!AB:AB, ""),
    _xlpm.MyAuditVal, _xlfn.XLOOKUP($A69, My_Audit!$A:$A, My_Audit!N:N, ""),
    _xlfn.TEXTJOIN(", ", TRUE, _xlpm.MyAuditVal, _xlpm.MacVal)
)</f>
        <v/>
      </c>
    </row>
    <row r="70" spans="1:24">
      <c r="A70" s="2" t="str">
        <f>_xlfn.TEXTJOIN("",TRUE,Input!$B$2,ROW(My_Audit!A69))</f>
        <v>X69</v>
      </c>
      <c r="B70" s="2" t="str">
        <f>_xlfn.TEXTJOIN("-",TRUE,"ITD",Input!$A$2,A70)</f>
        <v>ITD-SHR-X69</v>
      </c>
      <c r="C70" s="2" t="str" cm="1">
        <f t="array" ref="C70">IFERROR(_xlfn.LET(
_xlpm.CSVVal,_xlfn.XLOOKUP($A70,CSV!$A:$A,CSV!B:B,""),
_xlpm.MacVal,_xlfn.XLOOKUP($A70,Output_Mac!$A:$A,Output_Mac!B:B,""),
_xlpm.MyAuditVal,_xlfn.XLOOKUP($A70,My_Audit!$A:$A,My_Audit!B:B,""),
_xlfn.IFS(_xlpm.MyAuditVal&lt;&gt;"",UPPER(_xlpm.MyAuditVal),_xlpm.MacVal&lt;&gt;"",_xlpm.MacVal,_xlpm.CSVVal&lt;&gt;"",_xlpm.CSVVal
)),"")</f>
        <v/>
      </c>
      <c r="D70" s="2" t="str" cm="1">
        <f t="array" ref="D70">IFERROR(_xlfn.LET(
_xlpm.CSVVal,_xlfn.XLOOKUP($A70,CSV!$A:$A,CSV!D:D,""),
_xlpm.MacVal,_xlfn.XLOOKUP($A70,Output_Mac!$A:$A,Output_Mac!C:C,""),
_xlpm.MyAuditVal,_xlfn.XLOOKUP($A70,My_Audit!$A:$A,My_Audit!C:C,""),
_xlfn.IFS(_xlpm.MyAuditVal&lt;&gt;"",_xlpm.MyAuditVal,_xlpm.MacVal&lt;&gt;"",_xlpm.MacVal,_xlpm.CSVVal&lt;&gt;"",_xlpm.CSVVal
)),"")</f>
        <v/>
      </c>
      <c r="E70" s="2" t="str">
        <f>_xlfn.XLOOKUP(A70,My_Audit!A:A,My_Audit!D:D,"")&amp;""</f>
        <v/>
      </c>
      <c r="F70" s="2" t="str" cm="1">
        <f t="array" ref="F70">IFERROR(_xlfn.LET(
_xlpm.CSVVal,_xlfn.XLOOKUP($A70,CSV!$A:$A,CSV!F:F,""),
_xlpm.MacVal,_xlfn.XLOOKUP($A70,Output_Mac!$A:$A,Output_Mac!E:E,""),
_xlpm.MyAuditVal,_xlfn.XLOOKUP($A70,My_Audit!$A:$A,My_Audit!E:E,""),
_xlfn.IFS(_xlpm.MyAuditVal&lt;&gt;"",_xlpm.MyAuditVal,_xlpm.MacVal&lt;&gt;"",_xlpm.MacVal,_xlpm.CSVVal&lt;&gt;"",_xlpm.CSVVal
)),"")</f>
        <v/>
      </c>
      <c r="G70" s="2" t="str" cm="1">
        <f t="array" ref="G70">IFERROR(_xlfn.LET(
_xlpm.CSVVal,_xlfn.XLOOKUP($A70,CSV!$A:$A,CSV!G:G,""),
_xlpm.MacVal,_xlfn.XLOOKUP($A70,Output_Mac!$A:$A,Output_Mac!F:F,""),
_xlpm.MyAuditVal,_xlfn.XLOOKUP($A70,My_Audit!$A:$A,My_Audit!F:F,""),
_xlfn.IFS(_xlpm.MyAuditVal&lt;&gt;"",_xlpm.MyAuditVal,_xlpm.MacVal&lt;&gt;"",_xlpm.MacVal,_xlpm.CSVVal&lt;&gt;"",PROPER(_xlpm.CSVVal)
)),"")</f>
        <v/>
      </c>
      <c r="H70" s="2" t="str" cm="1">
        <f t="array" ref="H70">IFERROR(_xlfn.LET(
_xlpm.CSVVal,_xlfn.XLOOKUP($A70,CSV!$A:$A,CSV!H:H,""),
_xlpm.MacVal,_xlfn.XLOOKUP($A70,Output_Mac!$A:$A,Output_Mac!H:H,""),
_xlpm.MyAuditVal,_xlfn.XLOOKUP($A70,My_Audit!$A:$A,My_Audit!G:G,""),
_xlfn.IFS(_xlpm.MyAuditVal&lt;&gt;"",_xlpm.MyAuditVal,_xlpm.MacVal&lt;&gt;"",_xlpm.MacVal,_xlpm.CSVVal&lt;&gt;"",_xlpm.CSVVal
)),"")</f>
        <v/>
      </c>
      <c r="I70" s="2" t="str">
        <f>_xlfn.XLOOKUP(A70,Output_Mac!A:A,Output_Mac!I:I,"")</f>
        <v/>
      </c>
      <c r="J70" s="2" t="str" cm="1">
        <f t="array" ref="J70">IFERROR(_xlfn.LET(
_xlpm.CSVVal,_xlfn.XLOOKUP($A70,CSV!$A:$A,CSV!I:I,""),
_xlpm.MacVal,_xlfn.XLOOKUP($A70,Output_Mac!$A:$A,Output_Mac!J:J,""),
_xlpm.MyAuditVal,_xlfn.XLOOKUP($A70,My_Audit!$A:$A,My_Audit!I:I,""),
_xlfn.IFS(_xlpm.MyAuditVal&lt;&gt;"",UPPER(_xlpm.MyAuditVal),_xlpm.MacVal&lt;&gt;"",_xlpm.MacVal,_xlpm.CSVVal&lt;&gt;"",_xlpm.CSVVal
)),"")</f>
        <v/>
      </c>
      <c r="K70" s="2" t="str" cm="1">
        <f t="array" ref="K70">IFERROR(_xlfn.LET(
_xlpm.CSVVal,_xlfn.XLOOKUP($A70,CSV!$A:$A,CSV!K:K,""),
_xlpm.MacVal,_xlfn.XLOOKUP($A70,Output_Mac!$A:$A,Output_Mac!K:K,""),
_xlpm.MyAuditVal,_xlfn.XLOOKUP($A70,My_Audit!$A:$A,My_Audit!J:J,""),
_xlfn.IFS(_xlpm.MyAuditVal&lt;&gt;"",UPPER(_xlpm.MyAuditVal),_xlpm.MacVal&lt;&gt;"",_xlpm.MacVal,_xlpm.CSVVal&lt;&gt;"",_xlpm.CSVVal
)),"")</f>
        <v/>
      </c>
      <c r="L70" s="2" t="str" cm="1">
        <f t="array" ref="L70">IFERROR(_xlfn.LET(
_xlpm.CSVVal,_xlfn.XLOOKUP($A70,CSV!$A:$A,CSV!P:P,""),
_xlpm.MacVal,_xlfn.XLOOKUP($A70,Output_Mac!$A:$A,Output_Mac!L:L,""),
_xlpm.MyAuditVal,_xlfn.XLOOKUP($A70,My_Audit!$A:$A,My_Audit!K:K,""),
_xlfn.IFS(_xlpm.MyAuditVal&lt;&gt;"",UPPER(_xlpm.MyAuditVal),_xlpm.MacVal&lt;&gt;"",_xlpm.MacVal,_xlpm.CSVVal&lt;&gt;"",_xlpm.CSVVal
)),"")</f>
        <v/>
      </c>
      <c r="M70" s="2" t="str" cm="1">
        <f t="array" ref="M70">IFERROR(_xlfn.LET(
_xlpm.CSVVal,_xlfn.XLOOKUP($A70,CSV!$A:$A,CSV!Q:Q,""),
_xlpm.MacVal,_xlfn.XLOOKUP($A70,Output_Mac!$A:$A,Output_Mac!M:M,""),
_xlpm.MyAuditVal,_xlfn.XLOOKUP($A70,My_Audit!$A:$A,My_Audit!L:L,""),
_xlfn.IFS(_xlpm.MyAuditVal&lt;&gt;"",UPPER(_xlpm.MyAuditVal),_xlpm.MacVal&lt;&gt;"",_xlpm.MacVal,_xlpm.CSVVal&lt;&gt;"",_xlpm.CSVVal
)),"")</f>
        <v/>
      </c>
      <c r="O70" s="2" t="str">
        <f>_xlfn.LET(
    _xlpm.CSVVal, _xlfn.XLOOKUP($A70, CSV!$A:$A, CSV!AC:AC, ""),
    _xlpm.MacVal, _xlfn.XLOOKUP($A70, Output_Mac!$A:$A, Output_Mac!S:S, ""),
    _xlpm.MyAuditVal, _xlfn.XLOOKUP($A70, My_Audit!$A:$A, My_Audit!P:P, ""),
    _xlfn.TEXTJOIN(", ", TRUE, _xlpm.MyAuditVal, _xlpm.MacVal, _xlpm.CSVVal)
)</f>
        <v/>
      </c>
      <c r="P70" s="2" t="str" cm="1">
        <f t="array" ref="P70">IFERROR(_xlfn.LET(
_xlpm.CSVVal,_xlfn.XLOOKUP($A70,CSV!$A:$A,CSV!AD:AD,""),
_xlpm.MacVal,_xlfn.XLOOKUP($A70,Output_Mac!$A:$A,Output_Mac!T:T,""),
_xlpm.MyAuditVal,_xlfn.XLOOKUP($A70,My_Audit!$A:$A,My_Audit!Q:Q,""),
_xlfn.IFS(_xlpm.MyAuditVal&lt;&gt;"",UPPER(_xlpm.MyAuditVal),_xlpm.MacVal&lt;&gt;"",_xlpm.MacVal,_xlpm.CSVVal&lt;&gt;"",_xlpm.CSVVal
)),"No")</f>
        <v>No</v>
      </c>
      <c r="Q70" s="2" t="str" cm="1">
        <f t="array" ref="Q70">IFERROR(_xlfn.LET(
_xlpm.CSVVal,_xlfn.XLOOKUP($A70,CSV!$A:$A,CSV!AE:AE,""),
_xlpm.MacVal,_xlfn.XLOOKUP($A70,Output_Mac!$A:$A,Output_Mac!U:U,""),
_xlpm.MyAuditVal,_xlfn.XLOOKUP($A70,My_Audit!$A:$A,My_Audit!R:R,""),
_xlfn.IFS(_xlpm.MyAuditVal&lt;&gt;"",UPPER(_xlpm.MyAuditVal),_xlpm.MacVal&lt;&gt;"",_xlpm.MacVal,_xlpm.CSVVal&lt;&gt;"",_xlpm.CSVVal
)),"")</f>
        <v/>
      </c>
      <c r="X70" t="str">
        <f>_xlfn.LET(
    _xlpm.MacVal, _xlfn.XLOOKUP($A70, Output_Mac!$A:$A, Output_Mac!AB:AB, ""),
    _xlpm.MyAuditVal, _xlfn.XLOOKUP($A70, My_Audit!$A:$A, My_Audit!N:N, ""),
    _xlfn.TEXTJOIN(", ", TRUE, _xlpm.MyAuditVal, _xlpm.MacVal)
)</f>
        <v/>
      </c>
    </row>
    <row r="71" spans="1:24">
      <c r="A71" s="2" t="str">
        <f>_xlfn.TEXTJOIN("",TRUE,Input!$B$2,ROW(My_Audit!A70))</f>
        <v>X70</v>
      </c>
      <c r="B71" s="2" t="str">
        <f>_xlfn.TEXTJOIN("-",TRUE,"ITD",Input!$A$2,A71)</f>
        <v>ITD-SHR-X70</v>
      </c>
      <c r="C71" s="2" t="str" cm="1">
        <f t="array" ref="C71">IFERROR(_xlfn.LET(
_xlpm.CSVVal,_xlfn.XLOOKUP($A71,CSV!$A:$A,CSV!B:B,""),
_xlpm.MacVal,_xlfn.XLOOKUP($A71,Output_Mac!$A:$A,Output_Mac!B:B,""),
_xlpm.MyAuditVal,_xlfn.XLOOKUP($A71,My_Audit!$A:$A,My_Audit!B:B,""),
_xlfn.IFS(_xlpm.MyAuditVal&lt;&gt;"",UPPER(_xlpm.MyAuditVal),_xlpm.MacVal&lt;&gt;"",_xlpm.MacVal,_xlpm.CSVVal&lt;&gt;"",_xlpm.CSVVal
)),"")</f>
        <v/>
      </c>
      <c r="D71" s="2" t="str" cm="1">
        <f t="array" ref="D71">IFERROR(_xlfn.LET(
_xlpm.CSVVal,_xlfn.XLOOKUP($A71,CSV!$A:$A,CSV!D:D,""),
_xlpm.MacVal,_xlfn.XLOOKUP($A71,Output_Mac!$A:$A,Output_Mac!C:C,""),
_xlpm.MyAuditVal,_xlfn.XLOOKUP($A71,My_Audit!$A:$A,My_Audit!C:C,""),
_xlfn.IFS(_xlpm.MyAuditVal&lt;&gt;"",_xlpm.MyAuditVal,_xlpm.MacVal&lt;&gt;"",_xlpm.MacVal,_xlpm.CSVVal&lt;&gt;"",_xlpm.CSVVal
)),"")</f>
        <v/>
      </c>
      <c r="E71" s="2" t="str">
        <f>_xlfn.XLOOKUP(A71,My_Audit!A:A,My_Audit!D:D,"")&amp;""</f>
        <v/>
      </c>
      <c r="F71" s="2" t="str" cm="1">
        <f t="array" ref="F71">IFERROR(_xlfn.LET(
_xlpm.CSVVal,_xlfn.XLOOKUP($A71,CSV!$A:$A,CSV!F:F,""),
_xlpm.MacVal,_xlfn.XLOOKUP($A71,Output_Mac!$A:$A,Output_Mac!E:E,""),
_xlpm.MyAuditVal,_xlfn.XLOOKUP($A71,My_Audit!$A:$A,My_Audit!E:E,""),
_xlfn.IFS(_xlpm.MyAuditVal&lt;&gt;"",_xlpm.MyAuditVal,_xlpm.MacVal&lt;&gt;"",_xlpm.MacVal,_xlpm.CSVVal&lt;&gt;"",_xlpm.CSVVal
)),"")</f>
        <v/>
      </c>
      <c r="G71" s="2" t="str" cm="1">
        <f t="array" ref="G71">IFERROR(_xlfn.LET(
_xlpm.CSVVal,_xlfn.XLOOKUP($A71,CSV!$A:$A,CSV!G:G,""),
_xlpm.MacVal,_xlfn.XLOOKUP($A71,Output_Mac!$A:$A,Output_Mac!F:F,""),
_xlpm.MyAuditVal,_xlfn.XLOOKUP($A71,My_Audit!$A:$A,My_Audit!F:F,""),
_xlfn.IFS(_xlpm.MyAuditVal&lt;&gt;"",_xlpm.MyAuditVal,_xlpm.MacVal&lt;&gt;"",_xlpm.MacVal,_xlpm.CSVVal&lt;&gt;"",PROPER(_xlpm.CSVVal)
)),"")</f>
        <v/>
      </c>
      <c r="H71" s="2" t="str" cm="1">
        <f t="array" ref="H71">IFERROR(_xlfn.LET(
_xlpm.CSVVal,_xlfn.XLOOKUP($A71,CSV!$A:$A,CSV!H:H,""),
_xlpm.MacVal,_xlfn.XLOOKUP($A71,Output_Mac!$A:$A,Output_Mac!H:H,""),
_xlpm.MyAuditVal,_xlfn.XLOOKUP($A71,My_Audit!$A:$A,My_Audit!G:G,""),
_xlfn.IFS(_xlpm.MyAuditVal&lt;&gt;"",_xlpm.MyAuditVal,_xlpm.MacVal&lt;&gt;"",_xlpm.MacVal,_xlpm.CSVVal&lt;&gt;"",_xlpm.CSVVal
)),"")</f>
        <v/>
      </c>
      <c r="I71" s="2" t="str">
        <f>_xlfn.XLOOKUP(A71,Output_Mac!A:A,Output_Mac!I:I,"")</f>
        <v/>
      </c>
      <c r="J71" s="2" t="str" cm="1">
        <f t="array" ref="J71">IFERROR(_xlfn.LET(
_xlpm.CSVVal,_xlfn.XLOOKUP($A71,CSV!$A:$A,CSV!I:I,""),
_xlpm.MacVal,_xlfn.XLOOKUP($A71,Output_Mac!$A:$A,Output_Mac!J:J,""),
_xlpm.MyAuditVal,_xlfn.XLOOKUP($A71,My_Audit!$A:$A,My_Audit!I:I,""),
_xlfn.IFS(_xlpm.MyAuditVal&lt;&gt;"",UPPER(_xlpm.MyAuditVal),_xlpm.MacVal&lt;&gt;"",_xlpm.MacVal,_xlpm.CSVVal&lt;&gt;"",_xlpm.CSVVal
)),"")</f>
        <v/>
      </c>
      <c r="K71" s="2" t="str" cm="1">
        <f t="array" ref="K71">IFERROR(_xlfn.LET(
_xlpm.CSVVal,_xlfn.XLOOKUP($A71,CSV!$A:$A,CSV!K:K,""),
_xlpm.MacVal,_xlfn.XLOOKUP($A71,Output_Mac!$A:$A,Output_Mac!K:K,""),
_xlpm.MyAuditVal,_xlfn.XLOOKUP($A71,My_Audit!$A:$A,My_Audit!J:J,""),
_xlfn.IFS(_xlpm.MyAuditVal&lt;&gt;"",UPPER(_xlpm.MyAuditVal),_xlpm.MacVal&lt;&gt;"",_xlpm.MacVal,_xlpm.CSVVal&lt;&gt;"",_xlpm.CSVVal
)),"")</f>
        <v/>
      </c>
      <c r="L71" s="2" t="str" cm="1">
        <f t="array" ref="L71">IFERROR(_xlfn.LET(
_xlpm.CSVVal,_xlfn.XLOOKUP($A71,CSV!$A:$A,CSV!P:P,""),
_xlpm.MacVal,_xlfn.XLOOKUP($A71,Output_Mac!$A:$A,Output_Mac!L:L,""),
_xlpm.MyAuditVal,_xlfn.XLOOKUP($A71,My_Audit!$A:$A,My_Audit!K:K,""),
_xlfn.IFS(_xlpm.MyAuditVal&lt;&gt;"",UPPER(_xlpm.MyAuditVal),_xlpm.MacVal&lt;&gt;"",_xlpm.MacVal,_xlpm.CSVVal&lt;&gt;"",_xlpm.CSVVal
)),"")</f>
        <v/>
      </c>
      <c r="M71" s="2" t="str" cm="1">
        <f t="array" ref="M71">IFERROR(_xlfn.LET(
_xlpm.CSVVal,_xlfn.XLOOKUP($A71,CSV!$A:$A,CSV!Q:Q,""),
_xlpm.MacVal,_xlfn.XLOOKUP($A71,Output_Mac!$A:$A,Output_Mac!M:M,""),
_xlpm.MyAuditVal,_xlfn.XLOOKUP($A71,My_Audit!$A:$A,My_Audit!L:L,""),
_xlfn.IFS(_xlpm.MyAuditVal&lt;&gt;"",UPPER(_xlpm.MyAuditVal),_xlpm.MacVal&lt;&gt;"",_xlpm.MacVal,_xlpm.CSVVal&lt;&gt;"",_xlpm.CSVVal
)),"")</f>
        <v/>
      </c>
      <c r="O71" s="2" t="str">
        <f>_xlfn.LET(
    _xlpm.CSVVal, _xlfn.XLOOKUP($A71, CSV!$A:$A, CSV!AC:AC, ""),
    _xlpm.MacVal, _xlfn.XLOOKUP($A71, Output_Mac!$A:$A, Output_Mac!S:S, ""),
    _xlpm.MyAuditVal, _xlfn.XLOOKUP($A71, My_Audit!$A:$A, My_Audit!P:P, ""),
    _xlfn.TEXTJOIN(", ", TRUE, _xlpm.MyAuditVal, _xlpm.MacVal, _xlpm.CSVVal)
)</f>
        <v/>
      </c>
      <c r="P71" s="2" t="str" cm="1">
        <f t="array" ref="P71">IFERROR(_xlfn.LET(
_xlpm.CSVVal,_xlfn.XLOOKUP($A71,CSV!$A:$A,CSV!AD:AD,""),
_xlpm.MacVal,_xlfn.XLOOKUP($A71,Output_Mac!$A:$A,Output_Mac!T:T,""),
_xlpm.MyAuditVal,_xlfn.XLOOKUP($A71,My_Audit!$A:$A,My_Audit!Q:Q,""),
_xlfn.IFS(_xlpm.MyAuditVal&lt;&gt;"",UPPER(_xlpm.MyAuditVal),_xlpm.MacVal&lt;&gt;"",_xlpm.MacVal,_xlpm.CSVVal&lt;&gt;"",_xlpm.CSVVal
)),"No")</f>
        <v>No</v>
      </c>
      <c r="Q71" s="2" t="str" cm="1">
        <f t="array" ref="Q71">IFERROR(_xlfn.LET(
_xlpm.CSVVal,_xlfn.XLOOKUP($A71,CSV!$A:$A,CSV!AE:AE,""),
_xlpm.MacVal,_xlfn.XLOOKUP($A71,Output_Mac!$A:$A,Output_Mac!U:U,""),
_xlpm.MyAuditVal,_xlfn.XLOOKUP($A71,My_Audit!$A:$A,My_Audit!R:R,""),
_xlfn.IFS(_xlpm.MyAuditVal&lt;&gt;"",UPPER(_xlpm.MyAuditVal),_xlpm.MacVal&lt;&gt;"",_xlpm.MacVal,_xlpm.CSVVal&lt;&gt;"",_xlpm.CSVVal
)),"")</f>
        <v/>
      </c>
      <c r="X71" t="str">
        <f>_xlfn.LET(
    _xlpm.MacVal, _xlfn.XLOOKUP($A71, Output_Mac!$A:$A, Output_Mac!AB:AB, ""),
    _xlpm.MyAuditVal, _xlfn.XLOOKUP($A71, My_Audit!$A:$A, My_Audit!N:N, ""),
    _xlfn.TEXTJOIN(", ", TRUE, _xlpm.MyAuditVal, _xlpm.MacVal)
)</f>
        <v/>
      </c>
    </row>
    <row r="72" spans="1:24">
      <c r="A72" s="2" t="str">
        <f>_xlfn.TEXTJOIN("",TRUE,Input!$B$2,ROW(My_Audit!A71))</f>
        <v>X71</v>
      </c>
      <c r="B72" s="2" t="str">
        <f>_xlfn.TEXTJOIN("-",TRUE,"ITD",Input!$A$2,A72)</f>
        <v>ITD-SHR-X71</v>
      </c>
      <c r="C72" s="2" t="str" cm="1">
        <f t="array" ref="C72">IFERROR(_xlfn.LET(
_xlpm.CSVVal,_xlfn.XLOOKUP($A72,CSV!$A:$A,CSV!B:B,""),
_xlpm.MacVal,_xlfn.XLOOKUP($A72,Output_Mac!$A:$A,Output_Mac!B:B,""),
_xlpm.MyAuditVal,_xlfn.XLOOKUP($A72,My_Audit!$A:$A,My_Audit!B:B,""),
_xlfn.IFS(_xlpm.MyAuditVal&lt;&gt;"",UPPER(_xlpm.MyAuditVal),_xlpm.MacVal&lt;&gt;"",_xlpm.MacVal,_xlpm.CSVVal&lt;&gt;"",_xlpm.CSVVal
)),"")</f>
        <v/>
      </c>
      <c r="D72" s="2" t="str" cm="1">
        <f t="array" ref="D72">IFERROR(_xlfn.LET(
_xlpm.CSVVal,_xlfn.XLOOKUP($A72,CSV!$A:$A,CSV!D:D,""),
_xlpm.MacVal,_xlfn.XLOOKUP($A72,Output_Mac!$A:$A,Output_Mac!C:C,""),
_xlpm.MyAuditVal,_xlfn.XLOOKUP($A72,My_Audit!$A:$A,My_Audit!C:C,""),
_xlfn.IFS(_xlpm.MyAuditVal&lt;&gt;"",_xlpm.MyAuditVal,_xlpm.MacVal&lt;&gt;"",_xlpm.MacVal,_xlpm.CSVVal&lt;&gt;"",_xlpm.CSVVal
)),"")</f>
        <v/>
      </c>
      <c r="E72" s="2" t="str">
        <f>_xlfn.XLOOKUP(A72,My_Audit!A:A,My_Audit!D:D,"")&amp;""</f>
        <v/>
      </c>
      <c r="F72" s="2" t="str" cm="1">
        <f t="array" ref="F72">IFERROR(_xlfn.LET(
_xlpm.CSVVal,_xlfn.XLOOKUP($A72,CSV!$A:$A,CSV!F:F,""),
_xlpm.MacVal,_xlfn.XLOOKUP($A72,Output_Mac!$A:$A,Output_Mac!E:E,""),
_xlpm.MyAuditVal,_xlfn.XLOOKUP($A72,My_Audit!$A:$A,My_Audit!E:E,""),
_xlfn.IFS(_xlpm.MyAuditVal&lt;&gt;"",_xlpm.MyAuditVal,_xlpm.MacVal&lt;&gt;"",_xlpm.MacVal,_xlpm.CSVVal&lt;&gt;"",_xlpm.CSVVal
)),"")</f>
        <v/>
      </c>
      <c r="G72" s="2" t="str" cm="1">
        <f t="array" ref="G72">IFERROR(_xlfn.LET(
_xlpm.CSVVal,_xlfn.XLOOKUP($A72,CSV!$A:$A,CSV!G:G,""),
_xlpm.MacVal,_xlfn.XLOOKUP($A72,Output_Mac!$A:$A,Output_Mac!F:F,""),
_xlpm.MyAuditVal,_xlfn.XLOOKUP($A72,My_Audit!$A:$A,My_Audit!F:F,""),
_xlfn.IFS(_xlpm.MyAuditVal&lt;&gt;"",_xlpm.MyAuditVal,_xlpm.MacVal&lt;&gt;"",_xlpm.MacVal,_xlpm.CSVVal&lt;&gt;"",PROPER(_xlpm.CSVVal)
)),"")</f>
        <v/>
      </c>
      <c r="H72" s="2" t="str" cm="1">
        <f t="array" ref="H72">IFERROR(_xlfn.LET(
_xlpm.CSVVal,_xlfn.XLOOKUP($A72,CSV!$A:$A,CSV!H:H,""),
_xlpm.MacVal,_xlfn.XLOOKUP($A72,Output_Mac!$A:$A,Output_Mac!H:H,""),
_xlpm.MyAuditVal,_xlfn.XLOOKUP($A72,My_Audit!$A:$A,My_Audit!G:G,""),
_xlfn.IFS(_xlpm.MyAuditVal&lt;&gt;"",_xlpm.MyAuditVal,_xlpm.MacVal&lt;&gt;"",_xlpm.MacVal,_xlpm.CSVVal&lt;&gt;"",_xlpm.CSVVal
)),"")</f>
        <v/>
      </c>
      <c r="I72" s="2" t="str">
        <f>_xlfn.XLOOKUP(A72,Output_Mac!A:A,Output_Mac!I:I,"")</f>
        <v/>
      </c>
      <c r="J72" s="2" t="str" cm="1">
        <f t="array" ref="J72">IFERROR(_xlfn.LET(
_xlpm.CSVVal,_xlfn.XLOOKUP($A72,CSV!$A:$A,CSV!I:I,""),
_xlpm.MacVal,_xlfn.XLOOKUP($A72,Output_Mac!$A:$A,Output_Mac!J:J,""),
_xlpm.MyAuditVal,_xlfn.XLOOKUP($A72,My_Audit!$A:$A,My_Audit!I:I,""),
_xlfn.IFS(_xlpm.MyAuditVal&lt;&gt;"",UPPER(_xlpm.MyAuditVal),_xlpm.MacVal&lt;&gt;"",_xlpm.MacVal,_xlpm.CSVVal&lt;&gt;"",_xlpm.CSVVal
)),"")</f>
        <v/>
      </c>
      <c r="K72" s="2" t="str" cm="1">
        <f t="array" ref="K72">IFERROR(_xlfn.LET(
_xlpm.CSVVal,_xlfn.XLOOKUP($A72,CSV!$A:$A,CSV!K:K,""),
_xlpm.MacVal,_xlfn.XLOOKUP($A72,Output_Mac!$A:$A,Output_Mac!K:K,""),
_xlpm.MyAuditVal,_xlfn.XLOOKUP($A72,My_Audit!$A:$A,My_Audit!J:J,""),
_xlfn.IFS(_xlpm.MyAuditVal&lt;&gt;"",UPPER(_xlpm.MyAuditVal),_xlpm.MacVal&lt;&gt;"",_xlpm.MacVal,_xlpm.CSVVal&lt;&gt;"",_xlpm.CSVVal
)),"")</f>
        <v/>
      </c>
      <c r="L72" s="2" t="str" cm="1">
        <f t="array" ref="L72">IFERROR(_xlfn.LET(
_xlpm.CSVVal,_xlfn.XLOOKUP($A72,CSV!$A:$A,CSV!P:P,""),
_xlpm.MacVal,_xlfn.XLOOKUP($A72,Output_Mac!$A:$A,Output_Mac!L:L,""),
_xlpm.MyAuditVal,_xlfn.XLOOKUP($A72,My_Audit!$A:$A,My_Audit!K:K,""),
_xlfn.IFS(_xlpm.MyAuditVal&lt;&gt;"",UPPER(_xlpm.MyAuditVal),_xlpm.MacVal&lt;&gt;"",_xlpm.MacVal,_xlpm.CSVVal&lt;&gt;"",_xlpm.CSVVal
)),"")</f>
        <v/>
      </c>
      <c r="M72" s="2" t="str" cm="1">
        <f t="array" ref="M72">IFERROR(_xlfn.LET(
_xlpm.CSVVal,_xlfn.XLOOKUP($A72,CSV!$A:$A,CSV!Q:Q,""),
_xlpm.MacVal,_xlfn.XLOOKUP($A72,Output_Mac!$A:$A,Output_Mac!M:M,""),
_xlpm.MyAuditVal,_xlfn.XLOOKUP($A72,My_Audit!$A:$A,My_Audit!L:L,""),
_xlfn.IFS(_xlpm.MyAuditVal&lt;&gt;"",UPPER(_xlpm.MyAuditVal),_xlpm.MacVal&lt;&gt;"",_xlpm.MacVal,_xlpm.CSVVal&lt;&gt;"",_xlpm.CSVVal
)),"")</f>
        <v/>
      </c>
      <c r="O72" s="2" t="str">
        <f>_xlfn.LET(
    _xlpm.CSVVal, _xlfn.XLOOKUP($A72, CSV!$A:$A, CSV!AC:AC, ""),
    _xlpm.MacVal, _xlfn.XLOOKUP($A72, Output_Mac!$A:$A, Output_Mac!S:S, ""),
    _xlpm.MyAuditVal, _xlfn.XLOOKUP($A72, My_Audit!$A:$A, My_Audit!P:P, ""),
    _xlfn.TEXTJOIN(", ", TRUE, _xlpm.MyAuditVal, _xlpm.MacVal, _xlpm.CSVVal)
)</f>
        <v/>
      </c>
      <c r="P72" s="2" t="str" cm="1">
        <f t="array" ref="P72">IFERROR(_xlfn.LET(
_xlpm.CSVVal,_xlfn.XLOOKUP($A72,CSV!$A:$A,CSV!AD:AD,""),
_xlpm.MacVal,_xlfn.XLOOKUP($A72,Output_Mac!$A:$A,Output_Mac!T:T,""),
_xlpm.MyAuditVal,_xlfn.XLOOKUP($A72,My_Audit!$A:$A,My_Audit!Q:Q,""),
_xlfn.IFS(_xlpm.MyAuditVal&lt;&gt;"",UPPER(_xlpm.MyAuditVal),_xlpm.MacVal&lt;&gt;"",_xlpm.MacVal,_xlpm.CSVVal&lt;&gt;"",_xlpm.CSVVal
)),"No")</f>
        <v>No</v>
      </c>
      <c r="Q72" s="2" t="str" cm="1">
        <f t="array" ref="Q72">IFERROR(_xlfn.LET(
_xlpm.CSVVal,_xlfn.XLOOKUP($A72,CSV!$A:$A,CSV!AE:AE,""),
_xlpm.MacVal,_xlfn.XLOOKUP($A72,Output_Mac!$A:$A,Output_Mac!U:U,""),
_xlpm.MyAuditVal,_xlfn.XLOOKUP($A72,My_Audit!$A:$A,My_Audit!R:R,""),
_xlfn.IFS(_xlpm.MyAuditVal&lt;&gt;"",UPPER(_xlpm.MyAuditVal),_xlpm.MacVal&lt;&gt;"",_xlpm.MacVal,_xlpm.CSVVal&lt;&gt;"",_xlpm.CSVVal
)),"")</f>
        <v/>
      </c>
      <c r="X72" t="str">
        <f>_xlfn.LET(
    _xlpm.MacVal, _xlfn.XLOOKUP($A72, Output_Mac!$A:$A, Output_Mac!AB:AB, ""),
    _xlpm.MyAuditVal, _xlfn.XLOOKUP($A72, My_Audit!$A:$A, My_Audit!N:N, ""),
    _xlfn.TEXTJOIN(", ", TRUE, _xlpm.MyAuditVal, _xlpm.MacVal)
)</f>
        <v/>
      </c>
    </row>
    <row r="73" spans="1:24">
      <c r="A73" s="2" t="str">
        <f>_xlfn.TEXTJOIN("",TRUE,Input!$B$2,ROW(My_Audit!A72))</f>
        <v>X72</v>
      </c>
      <c r="B73" s="2" t="str">
        <f>_xlfn.TEXTJOIN("-",TRUE,"ITD",Input!$A$2,A73)</f>
        <v>ITD-SHR-X72</v>
      </c>
      <c r="C73" s="2" t="str" cm="1">
        <f t="array" ref="C73">IFERROR(_xlfn.LET(
_xlpm.CSVVal,_xlfn.XLOOKUP($A73,CSV!$A:$A,CSV!B:B,""),
_xlpm.MacVal,_xlfn.XLOOKUP($A73,Output_Mac!$A:$A,Output_Mac!B:B,""),
_xlpm.MyAuditVal,_xlfn.XLOOKUP($A73,My_Audit!$A:$A,My_Audit!B:B,""),
_xlfn.IFS(_xlpm.MyAuditVal&lt;&gt;"",UPPER(_xlpm.MyAuditVal),_xlpm.MacVal&lt;&gt;"",_xlpm.MacVal,_xlpm.CSVVal&lt;&gt;"",_xlpm.CSVVal
)),"")</f>
        <v/>
      </c>
      <c r="D73" s="2" t="str" cm="1">
        <f t="array" ref="D73">IFERROR(_xlfn.LET(
_xlpm.CSVVal,_xlfn.XLOOKUP($A73,CSV!$A:$A,CSV!D:D,""),
_xlpm.MacVal,_xlfn.XLOOKUP($A73,Output_Mac!$A:$A,Output_Mac!C:C,""),
_xlpm.MyAuditVal,_xlfn.XLOOKUP($A73,My_Audit!$A:$A,My_Audit!C:C,""),
_xlfn.IFS(_xlpm.MyAuditVal&lt;&gt;"",_xlpm.MyAuditVal,_xlpm.MacVal&lt;&gt;"",_xlpm.MacVal,_xlpm.CSVVal&lt;&gt;"",_xlpm.CSVVal
)),"")</f>
        <v/>
      </c>
      <c r="E73" s="2" t="str">
        <f>_xlfn.XLOOKUP(A73,My_Audit!A:A,My_Audit!D:D,"")&amp;""</f>
        <v/>
      </c>
      <c r="F73" s="2" t="str" cm="1">
        <f t="array" ref="F73">IFERROR(_xlfn.LET(
_xlpm.CSVVal,_xlfn.XLOOKUP($A73,CSV!$A:$A,CSV!F:F,""),
_xlpm.MacVal,_xlfn.XLOOKUP($A73,Output_Mac!$A:$A,Output_Mac!E:E,""),
_xlpm.MyAuditVal,_xlfn.XLOOKUP($A73,My_Audit!$A:$A,My_Audit!E:E,""),
_xlfn.IFS(_xlpm.MyAuditVal&lt;&gt;"",_xlpm.MyAuditVal,_xlpm.MacVal&lt;&gt;"",_xlpm.MacVal,_xlpm.CSVVal&lt;&gt;"",_xlpm.CSVVal
)),"")</f>
        <v/>
      </c>
      <c r="G73" s="2" t="str" cm="1">
        <f t="array" ref="G73">IFERROR(_xlfn.LET(
_xlpm.CSVVal,_xlfn.XLOOKUP($A73,CSV!$A:$A,CSV!G:G,""),
_xlpm.MacVal,_xlfn.XLOOKUP($A73,Output_Mac!$A:$A,Output_Mac!F:F,""),
_xlpm.MyAuditVal,_xlfn.XLOOKUP($A73,My_Audit!$A:$A,My_Audit!F:F,""),
_xlfn.IFS(_xlpm.MyAuditVal&lt;&gt;"",_xlpm.MyAuditVal,_xlpm.MacVal&lt;&gt;"",_xlpm.MacVal,_xlpm.CSVVal&lt;&gt;"",PROPER(_xlpm.CSVVal)
)),"")</f>
        <v/>
      </c>
      <c r="H73" s="2" t="str" cm="1">
        <f t="array" ref="H73">IFERROR(_xlfn.LET(
_xlpm.CSVVal,_xlfn.XLOOKUP($A73,CSV!$A:$A,CSV!H:H,""),
_xlpm.MacVal,_xlfn.XLOOKUP($A73,Output_Mac!$A:$A,Output_Mac!H:H,""),
_xlpm.MyAuditVal,_xlfn.XLOOKUP($A73,My_Audit!$A:$A,My_Audit!G:G,""),
_xlfn.IFS(_xlpm.MyAuditVal&lt;&gt;"",_xlpm.MyAuditVal,_xlpm.MacVal&lt;&gt;"",_xlpm.MacVal,_xlpm.CSVVal&lt;&gt;"",_xlpm.CSVVal
)),"")</f>
        <v/>
      </c>
      <c r="I73" s="2" t="str">
        <f>_xlfn.XLOOKUP(A73,Output_Mac!A:A,Output_Mac!I:I,"")</f>
        <v/>
      </c>
      <c r="J73" s="2" t="str" cm="1">
        <f t="array" ref="J73">IFERROR(_xlfn.LET(
_xlpm.CSVVal,_xlfn.XLOOKUP($A73,CSV!$A:$A,CSV!I:I,""),
_xlpm.MacVal,_xlfn.XLOOKUP($A73,Output_Mac!$A:$A,Output_Mac!J:J,""),
_xlpm.MyAuditVal,_xlfn.XLOOKUP($A73,My_Audit!$A:$A,My_Audit!I:I,""),
_xlfn.IFS(_xlpm.MyAuditVal&lt;&gt;"",UPPER(_xlpm.MyAuditVal),_xlpm.MacVal&lt;&gt;"",_xlpm.MacVal,_xlpm.CSVVal&lt;&gt;"",_xlpm.CSVVal
)),"")</f>
        <v/>
      </c>
      <c r="K73" s="2" t="str" cm="1">
        <f t="array" ref="K73">IFERROR(_xlfn.LET(
_xlpm.CSVVal,_xlfn.XLOOKUP($A73,CSV!$A:$A,CSV!K:K,""),
_xlpm.MacVal,_xlfn.XLOOKUP($A73,Output_Mac!$A:$A,Output_Mac!K:K,""),
_xlpm.MyAuditVal,_xlfn.XLOOKUP($A73,My_Audit!$A:$A,My_Audit!J:J,""),
_xlfn.IFS(_xlpm.MyAuditVal&lt;&gt;"",UPPER(_xlpm.MyAuditVal),_xlpm.MacVal&lt;&gt;"",_xlpm.MacVal,_xlpm.CSVVal&lt;&gt;"",_xlpm.CSVVal
)),"")</f>
        <v/>
      </c>
      <c r="L73" s="2" t="str" cm="1">
        <f t="array" ref="L73">IFERROR(_xlfn.LET(
_xlpm.CSVVal,_xlfn.XLOOKUP($A73,CSV!$A:$A,CSV!P:P,""),
_xlpm.MacVal,_xlfn.XLOOKUP($A73,Output_Mac!$A:$A,Output_Mac!L:L,""),
_xlpm.MyAuditVal,_xlfn.XLOOKUP($A73,My_Audit!$A:$A,My_Audit!K:K,""),
_xlfn.IFS(_xlpm.MyAuditVal&lt;&gt;"",UPPER(_xlpm.MyAuditVal),_xlpm.MacVal&lt;&gt;"",_xlpm.MacVal,_xlpm.CSVVal&lt;&gt;"",_xlpm.CSVVal
)),"")</f>
        <v/>
      </c>
      <c r="M73" s="2" t="str" cm="1">
        <f t="array" ref="M73">IFERROR(_xlfn.LET(
_xlpm.CSVVal,_xlfn.XLOOKUP($A73,CSV!$A:$A,CSV!Q:Q,""),
_xlpm.MacVal,_xlfn.XLOOKUP($A73,Output_Mac!$A:$A,Output_Mac!M:M,""),
_xlpm.MyAuditVal,_xlfn.XLOOKUP($A73,My_Audit!$A:$A,My_Audit!L:L,""),
_xlfn.IFS(_xlpm.MyAuditVal&lt;&gt;"",UPPER(_xlpm.MyAuditVal),_xlpm.MacVal&lt;&gt;"",_xlpm.MacVal,_xlpm.CSVVal&lt;&gt;"",_xlpm.CSVVal
)),"")</f>
        <v/>
      </c>
      <c r="O73" s="2" t="str">
        <f>_xlfn.LET(
    _xlpm.CSVVal, _xlfn.XLOOKUP($A73, CSV!$A:$A, CSV!AC:AC, ""),
    _xlpm.MacVal, _xlfn.XLOOKUP($A73, Output_Mac!$A:$A, Output_Mac!S:S, ""),
    _xlpm.MyAuditVal, _xlfn.XLOOKUP($A73, My_Audit!$A:$A, My_Audit!P:P, ""),
    _xlfn.TEXTJOIN(", ", TRUE, _xlpm.MyAuditVal, _xlpm.MacVal, _xlpm.CSVVal)
)</f>
        <v/>
      </c>
      <c r="P73" s="2" t="str" cm="1">
        <f t="array" ref="P73">IFERROR(_xlfn.LET(
_xlpm.CSVVal,_xlfn.XLOOKUP($A73,CSV!$A:$A,CSV!AD:AD,""),
_xlpm.MacVal,_xlfn.XLOOKUP($A73,Output_Mac!$A:$A,Output_Mac!T:T,""),
_xlpm.MyAuditVal,_xlfn.XLOOKUP($A73,My_Audit!$A:$A,My_Audit!Q:Q,""),
_xlfn.IFS(_xlpm.MyAuditVal&lt;&gt;"",UPPER(_xlpm.MyAuditVal),_xlpm.MacVal&lt;&gt;"",_xlpm.MacVal,_xlpm.CSVVal&lt;&gt;"",_xlpm.CSVVal
)),"No")</f>
        <v>No</v>
      </c>
      <c r="Q73" s="2" t="str" cm="1">
        <f t="array" ref="Q73">IFERROR(_xlfn.LET(
_xlpm.CSVVal,_xlfn.XLOOKUP($A73,CSV!$A:$A,CSV!AE:AE,""),
_xlpm.MacVal,_xlfn.XLOOKUP($A73,Output_Mac!$A:$A,Output_Mac!U:U,""),
_xlpm.MyAuditVal,_xlfn.XLOOKUP($A73,My_Audit!$A:$A,My_Audit!R:R,""),
_xlfn.IFS(_xlpm.MyAuditVal&lt;&gt;"",UPPER(_xlpm.MyAuditVal),_xlpm.MacVal&lt;&gt;"",_xlpm.MacVal,_xlpm.CSVVal&lt;&gt;"",_xlpm.CSVVal
)),"")</f>
        <v/>
      </c>
      <c r="X73" t="str">
        <f>_xlfn.LET(
    _xlpm.MacVal, _xlfn.XLOOKUP($A73, Output_Mac!$A:$A, Output_Mac!AB:AB, ""),
    _xlpm.MyAuditVal, _xlfn.XLOOKUP($A73, My_Audit!$A:$A, My_Audit!N:N, ""),
    _xlfn.TEXTJOIN(", ", TRUE, _xlpm.MyAuditVal, _xlpm.MacVal)
)</f>
        <v/>
      </c>
    </row>
    <row r="74" spans="1:24">
      <c r="A74" s="2" t="str">
        <f>_xlfn.TEXTJOIN("",TRUE,Input!$B$2,ROW(My_Audit!A73))</f>
        <v>X73</v>
      </c>
      <c r="B74" s="2" t="str">
        <f>_xlfn.TEXTJOIN("-",TRUE,"ITD",Input!$A$2,A74)</f>
        <v>ITD-SHR-X73</v>
      </c>
      <c r="C74" s="2" t="str" cm="1">
        <f t="array" ref="C74">IFERROR(_xlfn.LET(
_xlpm.CSVVal,_xlfn.XLOOKUP($A74,CSV!$A:$A,CSV!B:B,""),
_xlpm.MacVal,_xlfn.XLOOKUP($A74,Output_Mac!$A:$A,Output_Mac!B:B,""),
_xlpm.MyAuditVal,_xlfn.XLOOKUP($A74,My_Audit!$A:$A,My_Audit!B:B,""),
_xlfn.IFS(_xlpm.MyAuditVal&lt;&gt;"",UPPER(_xlpm.MyAuditVal),_xlpm.MacVal&lt;&gt;"",_xlpm.MacVal,_xlpm.CSVVal&lt;&gt;"",_xlpm.CSVVal
)),"")</f>
        <v/>
      </c>
      <c r="D74" s="2" t="str" cm="1">
        <f t="array" ref="D74">IFERROR(_xlfn.LET(
_xlpm.CSVVal,_xlfn.XLOOKUP($A74,CSV!$A:$A,CSV!D:D,""),
_xlpm.MacVal,_xlfn.XLOOKUP($A74,Output_Mac!$A:$A,Output_Mac!C:C,""),
_xlpm.MyAuditVal,_xlfn.XLOOKUP($A74,My_Audit!$A:$A,My_Audit!C:C,""),
_xlfn.IFS(_xlpm.MyAuditVal&lt;&gt;"",_xlpm.MyAuditVal,_xlpm.MacVal&lt;&gt;"",_xlpm.MacVal,_xlpm.CSVVal&lt;&gt;"",_xlpm.CSVVal
)),"")</f>
        <v/>
      </c>
      <c r="E74" s="2" t="str">
        <f>_xlfn.XLOOKUP(A74,My_Audit!A:A,My_Audit!D:D,"")&amp;""</f>
        <v/>
      </c>
      <c r="F74" s="2" t="str" cm="1">
        <f t="array" ref="F74">IFERROR(_xlfn.LET(
_xlpm.CSVVal,_xlfn.XLOOKUP($A74,CSV!$A:$A,CSV!F:F,""),
_xlpm.MacVal,_xlfn.XLOOKUP($A74,Output_Mac!$A:$A,Output_Mac!E:E,""),
_xlpm.MyAuditVal,_xlfn.XLOOKUP($A74,My_Audit!$A:$A,My_Audit!E:E,""),
_xlfn.IFS(_xlpm.MyAuditVal&lt;&gt;"",_xlpm.MyAuditVal,_xlpm.MacVal&lt;&gt;"",_xlpm.MacVal,_xlpm.CSVVal&lt;&gt;"",_xlpm.CSVVal
)),"")</f>
        <v/>
      </c>
      <c r="G74" s="2" t="str" cm="1">
        <f t="array" ref="G74">IFERROR(_xlfn.LET(
_xlpm.CSVVal,_xlfn.XLOOKUP($A74,CSV!$A:$A,CSV!G:G,""),
_xlpm.MacVal,_xlfn.XLOOKUP($A74,Output_Mac!$A:$A,Output_Mac!F:F,""),
_xlpm.MyAuditVal,_xlfn.XLOOKUP($A74,My_Audit!$A:$A,My_Audit!F:F,""),
_xlfn.IFS(_xlpm.MyAuditVal&lt;&gt;"",_xlpm.MyAuditVal,_xlpm.MacVal&lt;&gt;"",_xlpm.MacVal,_xlpm.CSVVal&lt;&gt;"",PROPER(_xlpm.CSVVal)
)),"")</f>
        <v/>
      </c>
      <c r="H74" s="2" t="str" cm="1">
        <f t="array" ref="H74">IFERROR(_xlfn.LET(
_xlpm.CSVVal,_xlfn.XLOOKUP($A74,CSV!$A:$A,CSV!H:H,""),
_xlpm.MacVal,_xlfn.XLOOKUP($A74,Output_Mac!$A:$A,Output_Mac!H:H,""),
_xlpm.MyAuditVal,_xlfn.XLOOKUP($A74,My_Audit!$A:$A,My_Audit!G:G,""),
_xlfn.IFS(_xlpm.MyAuditVal&lt;&gt;"",_xlpm.MyAuditVal,_xlpm.MacVal&lt;&gt;"",_xlpm.MacVal,_xlpm.CSVVal&lt;&gt;"",_xlpm.CSVVal
)),"")</f>
        <v/>
      </c>
      <c r="I74" s="2" t="str">
        <f>_xlfn.XLOOKUP(A74,Output_Mac!A:A,Output_Mac!I:I,"")</f>
        <v/>
      </c>
      <c r="J74" s="2" t="str" cm="1">
        <f t="array" ref="J74">IFERROR(_xlfn.LET(
_xlpm.CSVVal,_xlfn.XLOOKUP($A74,CSV!$A:$A,CSV!I:I,""),
_xlpm.MacVal,_xlfn.XLOOKUP($A74,Output_Mac!$A:$A,Output_Mac!J:J,""),
_xlpm.MyAuditVal,_xlfn.XLOOKUP($A74,My_Audit!$A:$A,My_Audit!I:I,""),
_xlfn.IFS(_xlpm.MyAuditVal&lt;&gt;"",UPPER(_xlpm.MyAuditVal),_xlpm.MacVal&lt;&gt;"",_xlpm.MacVal,_xlpm.CSVVal&lt;&gt;"",_xlpm.CSVVal
)),"")</f>
        <v/>
      </c>
      <c r="K74" s="2" t="str" cm="1">
        <f t="array" ref="K74">IFERROR(_xlfn.LET(
_xlpm.CSVVal,_xlfn.XLOOKUP($A74,CSV!$A:$A,CSV!K:K,""),
_xlpm.MacVal,_xlfn.XLOOKUP($A74,Output_Mac!$A:$A,Output_Mac!K:K,""),
_xlpm.MyAuditVal,_xlfn.XLOOKUP($A74,My_Audit!$A:$A,My_Audit!J:J,""),
_xlfn.IFS(_xlpm.MyAuditVal&lt;&gt;"",UPPER(_xlpm.MyAuditVal),_xlpm.MacVal&lt;&gt;"",_xlpm.MacVal,_xlpm.CSVVal&lt;&gt;"",_xlpm.CSVVal
)),"")</f>
        <v/>
      </c>
      <c r="L74" s="2" t="str" cm="1">
        <f t="array" ref="L74">IFERROR(_xlfn.LET(
_xlpm.CSVVal,_xlfn.XLOOKUP($A74,CSV!$A:$A,CSV!P:P,""),
_xlpm.MacVal,_xlfn.XLOOKUP($A74,Output_Mac!$A:$A,Output_Mac!L:L,""),
_xlpm.MyAuditVal,_xlfn.XLOOKUP($A74,My_Audit!$A:$A,My_Audit!K:K,""),
_xlfn.IFS(_xlpm.MyAuditVal&lt;&gt;"",UPPER(_xlpm.MyAuditVal),_xlpm.MacVal&lt;&gt;"",_xlpm.MacVal,_xlpm.CSVVal&lt;&gt;"",_xlpm.CSVVal
)),"")</f>
        <v/>
      </c>
      <c r="M74" s="2" t="str" cm="1">
        <f t="array" ref="M74">IFERROR(_xlfn.LET(
_xlpm.CSVVal,_xlfn.XLOOKUP($A74,CSV!$A:$A,CSV!Q:Q,""),
_xlpm.MacVal,_xlfn.XLOOKUP($A74,Output_Mac!$A:$A,Output_Mac!M:M,""),
_xlpm.MyAuditVal,_xlfn.XLOOKUP($A74,My_Audit!$A:$A,My_Audit!L:L,""),
_xlfn.IFS(_xlpm.MyAuditVal&lt;&gt;"",UPPER(_xlpm.MyAuditVal),_xlpm.MacVal&lt;&gt;"",_xlpm.MacVal,_xlpm.CSVVal&lt;&gt;"",_xlpm.CSVVal
)),"")</f>
        <v/>
      </c>
      <c r="O74" s="2" t="str">
        <f>_xlfn.LET(
    _xlpm.CSVVal, _xlfn.XLOOKUP($A74, CSV!$A:$A, CSV!AC:AC, ""),
    _xlpm.MacVal, _xlfn.XLOOKUP($A74, Output_Mac!$A:$A, Output_Mac!S:S, ""),
    _xlpm.MyAuditVal, _xlfn.XLOOKUP($A74, My_Audit!$A:$A, My_Audit!P:P, ""),
    _xlfn.TEXTJOIN(", ", TRUE, _xlpm.MyAuditVal, _xlpm.MacVal, _xlpm.CSVVal)
)</f>
        <v/>
      </c>
      <c r="P74" s="2" t="str" cm="1">
        <f t="array" ref="P74">IFERROR(_xlfn.LET(
_xlpm.CSVVal,_xlfn.XLOOKUP($A74,CSV!$A:$A,CSV!AD:AD,""),
_xlpm.MacVal,_xlfn.XLOOKUP($A74,Output_Mac!$A:$A,Output_Mac!T:T,""),
_xlpm.MyAuditVal,_xlfn.XLOOKUP($A74,My_Audit!$A:$A,My_Audit!Q:Q,""),
_xlfn.IFS(_xlpm.MyAuditVal&lt;&gt;"",UPPER(_xlpm.MyAuditVal),_xlpm.MacVal&lt;&gt;"",_xlpm.MacVal,_xlpm.CSVVal&lt;&gt;"",_xlpm.CSVVal
)),"No")</f>
        <v>No</v>
      </c>
      <c r="Q74" s="2" t="str" cm="1">
        <f t="array" ref="Q74">IFERROR(_xlfn.LET(
_xlpm.CSVVal,_xlfn.XLOOKUP($A74,CSV!$A:$A,CSV!AE:AE,""),
_xlpm.MacVal,_xlfn.XLOOKUP($A74,Output_Mac!$A:$A,Output_Mac!U:U,""),
_xlpm.MyAuditVal,_xlfn.XLOOKUP($A74,My_Audit!$A:$A,My_Audit!R:R,""),
_xlfn.IFS(_xlpm.MyAuditVal&lt;&gt;"",UPPER(_xlpm.MyAuditVal),_xlpm.MacVal&lt;&gt;"",_xlpm.MacVal,_xlpm.CSVVal&lt;&gt;"",_xlpm.CSVVal
)),"")</f>
        <v/>
      </c>
      <c r="X74" t="str">
        <f>_xlfn.LET(
    _xlpm.MacVal, _xlfn.XLOOKUP($A74, Output_Mac!$A:$A, Output_Mac!AB:AB, ""),
    _xlpm.MyAuditVal, _xlfn.XLOOKUP($A74, My_Audit!$A:$A, My_Audit!N:N, ""),
    _xlfn.TEXTJOIN(", ", TRUE, _xlpm.MyAuditVal, _xlpm.MacVal)
)</f>
        <v/>
      </c>
    </row>
    <row r="75" spans="1:24">
      <c r="A75" s="2" t="str">
        <f>_xlfn.TEXTJOIN("",TRUE,Input!$B$2,ROW(My_Audit!A74))</f>
        <v>X74</v>
      </c>
      <c r="B75" s="2" t="str">
        <f>_xlfn.TEXTJOIN("-",TRUE,"ITD",Input!$A$2,A75)</f>
        <v>ITD-SHR-X74</v>
      </c>
      <c r="C75" s="2" t="str" cm="1">
        <f t="array" ref="C75">IFERROR(_xlfn.LET(
_xlpm.CSVVal,_xlfn.XLOOKUP($A75,CSV!$A:$A,CSV!B:B,""),
_xlpm.MacVal,_xlfn.XLOOKUP($A75,Output_Mac!$A:$A,Output_Mac!B:B,""),
_xlpm.MyAuditVal,_xlfn.XLOOKUP($A75,My_Audit!$A:$A,My_Audit!B:B,""),
_xlfn.IFS(_xlpm.MyAuditVal&lt;&gt;"",UPPER(_xlpm.MyAuditVal),_xlpm.MacVal&lt;&gt;"",_xlpm.MacVal,_xlpm.CSVVal&lt;&gt;"",_xlpm.CSVVal
)),"")</f>
        <v/>
      </c>
      <c r="D75" s="2" t="str" cm="1">
        <f t="array" ref="D75">IFERROR(_xlfn.LET(
_xlpm.CSVVal,_xlfn.XLOOKUP($A75,CSV!$A:$A,CSV!D:D,""),
_xlpm.MacVal,_xlfn.XLOOKUP($A75,Output_Mac!$A:$A,Output_Mac!C:C,""),
_xlpm.MyAuditVal,_xlfn.XLOOKUP($A75,My_Audit!$A:$A,My_Audit!C:C,""),
_xlfn.IFS(_xlpm.MyAuditVal&lt;&gt;"",_xlpm.MyAuditVal,_xlpm.MacVal&lt;&gt;"",_xlpm.MacVal,_xlpm.CSVVal&lt;&gt;"",_xlpm.CSVVal
)),"")</f>
        <v/>
      </c>
      <c r="E75" s="2" t="str">
        <f>_xlfn.XLOOKUP(A75,My_Audit!A:A,My_Audit!D:D,"")&amp;""</f>
        <v/>
      </c>
      <c r="F75" s="2" t="str" cm="1">
        <f t="array" ref="F75">IFERROR(_xlfn.LET(
_xlpm.CSVVal,_xlfn.XLOOKUP($A75,CSV!$A:$A,CSV!F:F,""),
_xlpm.MacVal,_xlfn.XLOOKUP($A75,Output_Mac!$A:$A,Output_Mac!E:E,""),
_xlpm.MyAuditVal,_xlfn.XLOOKUP($A75,My_Audit!$A:$A,My_Audit!E:E,""),
_xlfn.IFS(_xlpm.MyAuditVal&lt;&gt;"",_xlpm.MyAuditVal,_xlpm.MacVal&lt;&gt;"",_xlpm.MacVal,_xlpm.CSVVal&lt;&gt;"",_xlpm.CSVVal
)),"")</f>
        <v/>
      </c>
      <c r="G75" s="2" t="str" cm="1">
        <f t="array" ref="G75">IFERROR(_xlfn.LET(
_xlpm.CSVVal,_xlfn.XLOOKUP($A75,CSV!$A:$A,CSV!G:G,""),
_xlpm.MacVal,_xlfn.XLOOKUP($A75,Output_Mac!$A:$A,Output_Mac!F:F,""),
_xlpm.MyAuditVal,_xlfn.XLOOKUP($A75,My_Audit!$A:$A,My_Audit!F:F,""),
_xlfn.IFS(_xlpm.MyAuditVal&lt;&gt;"",_xlpm.MyAuditVal,_xlpm.MacVal&lt;&gt;"",_xlpm.MacVal,_xlpm.CSVVal&lt;&gt;"",PROPER(_xlpm.CSVVal)
)),"")</f>
        <v/>
      </c>
      <c r="H75" s="2" t="str" cm="1">
        <f t="array" ref="H75">IFERROR(_xlfn.LET(
_xlpm.CSVVal,_xlfn.XLOOKUP($A75,CSV!$A:$A,CSV!H:H,""),
_xlpm.MacVal,_xlfn.XLOOKUP($A75,Output_Mac!$A:$A,Output_Mac!H:H,""),
_xlpm.MyAuditVal,_xlfn.XLOOKUP($A75,My_Audit!$A:$A,My_Audit!G:G,""),
_xlfn.IFS(_xlpm.MyAuditVal&lt;&gt;"",_xlpm.MyAuditVal,_xlpm.MacVal&lt;&gt;"",_xlpm.MacVal,_xlpm.CSVVal&lt;&gt;"",_xlpm.CSVVal
)),"")</f>
        <v/>
      </c>
      <c r="I75" s="2" t="str">
        <f>_xlfn.XLOOKUP(A75,Output_Mac!A:A,Output_Mac!I:I,"")</f>
        <v/>
      </c>
      <c r="J75" s="2" t="str" cm="1">
        <f t="array" ref="J75">IFERROR(_xlfn.LET(
_xlpm.CSVVal,_xlfn.XLOOKUP($A75,CSV!$A:$A,CSV!I:I,""),
_xlpm.MacVal,_xlfn.XLOOKUP($A75,Output_Mac!$A:$A,Output_Mac!J:J,""),
_xlpm.MyAuditVal,_xlfn.XLOOKUP($A75,My_Audit!$A:$A,My_Audit!I:I,""),
_xlfn.IFS(_xlpm.MyAuditVal&lt;&gt;"",UPPER(_xlpm.MyAuditVal),_xlpm.MacVal&lt;&gt;"",_xlpm.MacVal,_xlpm.CSVVal&lt;&gt;"",_xlpm.CSVVal
)),"")</f>
        <v/>
      </c>
      <c r="K75" s="2" t="str" cm="1">
        <f t="array" ref="K75">IFERROR(_xlfn.LET(
_xlpm.CSVVal,_xlfn.XLOOKUP($A75,CSV!$A:$A,CSV!K:K,""),
_xlpm.MacVal,_xlfn.XLOOKUP($A75,Output_Mac!$A:$A,Output_Mac!K:K,""),
_xlpm.MyAuditVal,_xlfn.XLOOKUP($A75,My_Audit!$A:$A,My_Audit!J:J,""),
_xlfn.IFS(_xlpm.MyAuditVal&lt;&gt;"",UPPER(_xlpm.MyAuditVal),_xlpm.MacVal&lt;&gt;"",_xlpm.MacVal,_xlpm.CSVVal&lt;&gt;"",_xlpm.CSVVal
)),"")</f>
        <v/>
      </c>
      <c r="L75" s="2" t="str" cm="1">
        <f t="array" ref="L75">IFERROR(_xlfn.LET(
_xlpm.CSVVal,_xlfn.XLOOKUP($A75,CSV!$A:$A,CSV!P:P,""),
_xlpm.MacVal,_xlfn.XLOOKUP($A75,Output_Mac!$A:$A,Output_Mac!L:L,""),
_xlpm.MyAuditVal,_xlfn.XLOOKUP($A75,My_Audit!$A:$A,My_Audit!K:K,""),
_xlfn.IFS(_xlpm.MyAuditVal&lt;&gt;"",UPPER(_xlpm.MyAuditVal),_xlpm.MacVal&lt;&gt;"",_xlpm.MacVal,_xlpm.CSVVal&lt;&gt;"",_xlpm.CSVVal
)),"")</f>
        <v/>
      </c>
      <c r="M75" s="2" t="str" cm="1">
        <f t="array" ref="M75">IFERROR(_xlfn.LET(
_xlpm.CSVVal,_xlfn.XLOOKUP($A75,CSV!$A:$A,CSV!Q:Q,""),
_xlpm.MacVal,_xlfn.XLOOKUP($A75,Output_Mac!$A:$A,Output_Mac!M:M,""),
_xlpm.MyAuditVal,_xlfn.XLOOKUP($A75,My_Audit!$A:$A,My_Audit!L:L,""),
_xlfn.IFS(_xlpm.MyAuditVal&lt;&gt;"",UPPER(_xlpm.MyAuditVal),_xlpm.MacVal&lt;&gt;"",_xlpm.MacVal,_xlpm.CSVVal&lt;&gt;"",_xlpm.CSVVal
)),"")</f>
        <v/>
      </c>
      <c r="O75" s="2" t="str">
        <f>_xlfn.LET(
    _xlpm.CSVVal, _xlfn.XLOOKUP($A75, CSV!$A:$A, CSV!AC:AC, ""),
    _xlpm.MacVal, _xlfn.XLOOKUP($A75, Output_Mac!$A:$A, Output_Mac!S:S, ""),
    _xlpm.MyAuditVal, _xlfn.XLOOKUP($A75, My_Audit!$A:$A, My_Audit!P:P, ""),
    _xlfn.TEXTJOIN(", ", TRUE, _xlpm.MyAuditVal, _xlpm.MacVal, _xlpm.CSVVal)
)</f>
        <v/>
      </c>
      <c r="P75" s="2" t="str" cm="1">
        <f t="array" ref="P75">IFERROR(_xlfn.LET(
_xlpm.CSVVal,_xlfn.XLOOKUP($A75,CSV!$A:$A,CSV!AD:AD,""),
_xlpm.MacVal,_xlfn.XLOOKUP($A75,Output_Mac!$A:$A,Output_Mac!T:T,""),
_xlpm.MyAuditVal,_xlfn.XLOOKUP($A75,My_Audit!$A:$A,My_Audit!Q:Q,""),
_xlfn.IFS(_xlpm.MyAuditVal&lt;&gt;"",UPPER(_xlpm.MyAuditVal),_xlpm.MacVal&lt;&gt;"",_xlpm.MacVal,_xlpm.CSVVal&lt;&gt;"",_xlpm.CSVVal
)),"No")</f>
        <v>No</v>
      </c>
      <c r="Q75" s="2" t="str" cm="1">
        <f t="array" ref="Q75">IFERROR(_xlfn.LET(
_xlpm.CSVVal,_xlfn.XLOOKUP($A75,CSV!$A:$A,CSV!AE:AE,""),
_xlpm.MacVal,_xlfn.XLOOKUP($A75,Output_Mac!$A:$A,Output_Mac!U:U,""),
_xlpm.MyAuditVal,_xlfn.XLOOKUP($A75,My_Audit!$A:$A,My_Audit!R:R,""),
_xlfn.IFS(_xlpm.MyAuditVal&lt;&gt;"",UPPER(_xlpm.MyAuditVal),_xlpm.MacVal&lt;&gt;"",_xlpm.MacVal,_xlpm.CSVVal&lt;&gt;"",_xlpm.CSVVal
)),"")</f>
        <v/>
      </c>
      <c r="X75" t="str">
        <f>_xlfn.LET(
    _xlpm.MacVal, _xlfn.XLOOKUP($A75, Output_Mac!$A:$A, Output_Mac!AB:AB, ""),
    _xlpm.MyAuditVal, _xlfn.XLOOKUP($A75, My_Audit!$A:$A, My_Audit!N:N, ""),
    _xlfn.TEXTJOIN(", ", TRUE, _xlpm.MyAuditVal, _xlpm.MacVal)
)</f>
        <v/>
      </c>
    </row>
    <row r="76" spans="1:24">
      <c r="A76" s="2" t="str">
        <f>_xlfn.TEXTJOIN("",TRUE,Input!$B$2,ROW(My_Audit!A75))</f>
        <v>X75</v>
      </c>
      <c r="B76" s="2" t="str">
        <f>_xlfn.TEXTJOIN("-",TRUE,"ITD",Input!$A$2,A76)</f>
        <v>ITD-SHR-X75</v>
      </c>
      <c r="C76" s="2" t="str" cm="1">
        <f t="array" ref="C76">IFERROR(_xlfn.LET(
_xlpm.CSVVal,_xlfn.XLOOKUP($A76,CSV!$A:$A,CSV!B:B,""),
_xlpm.MacVal,_xlfn.XLOOKUP($A76,Output_Mac!$A:$A,Output_Mac!B:B,""),
_xlpm.MyAuditVal,_xlfn.XLOOKUP($A76,My_Audit!$A:$A,My_Audit!B:B,""),
_xlfn.IFS(_xlpm.MyAuditVal&lt;&gt;"",UPPER(_xlpm.MyAuditVal),_xlpm.MacVal&lt;&gt;"",_xlpm.MacVal,_xlpm.CSVVal&lt;&gt;"",_xlpm.CSVVal
)),"")</f>
        <v/>
      </c>
      <c r="D76" s="2" t="str" cm="1">
        <f t="array" ref="D76">IFERROR(_xlfn.LET(
_xlpm.CSVVal,_xlfn.XLOOKUP($A76,CSV!$A:$A,CSV!D:D,""),
_xlpm.MacVal,_xlfn.XLOOKUP($A76,Output_Mac!$A:$A,Output_Mac!C:C,""),
_xlpm.MyAuditVal,_xlfn.XLOOKUP($A76,My_Audit!$A:$A,My_Audit!C:C,""),
_xlfn.IFS(_xlpm.MyAuditVal&lt;&gt;"",_xlpm.MyAuditVal,_xlpm.MacVal&lt;&gt;"",_xlpm.MacVal,_xlpm.CSVVal&lt;&gt;"",_xlpm.CSVVal
)),"")</f>
        <v/>
      </c>
      <c r="E76" s="2" t="str">
        <f>_xlfn.XLOOKUP(A76,My_Audit!A:A,My_Audit!D:D,"")&amp;""</f>
        <v/>
      </c>
      <c r="F76" s="2" t="str" cm="1">
        <f t="array" ref="F76">IFERROR(_xlfn.LET(
_xlpm.CSVVal,_xlfn.XLOOKUP($A76,CSV!$A:$A,CSV!F:F,""),
_xlpm.MacVal,_xlfn.XLOOKUP($A76,Output_Mac!$A:$A,Output_Mac!E:E,""),
_xlpm.MyAuditVal,_xlfn.XLOOKUP($A76,My_Audit!$A:$A,My_Audit!E:E,""),
_xlfn.IFS(_xlpm.MyAuditVal&lt;&gt;"",_xlpm.MyAuditVal,_xlpm.MacVal&lt;&gt;"",_xlpm.MacVal,_xlpm.CSVVal&lt;&gt;"",_xlpm.CSVVal
)),"")</f>
        <v/>
      </c>
      <c r="G76" s="2" t="str" cm="1">
        <f t="array" ref="G76">IFERROR(_xlfn.LET(
_xlpm.CSVVal,_xlfn.XLOOKUP($A76,CSV!$A:$A,CSV!G:G,""),
_xlpm.MacVal,_xlfn.XLOOKUP($A76,Output_Mac!$A:$A,Output_Mac!F:F,""),
_xlpm.MyAuditVal,_xlfn.XLOOKUP($A76,My_Audit!$A:$A,My_Audit!F:F,""),
_xlfn.IFS(_xlpm.MyAuditVal&lt;&gt;"",_xlpm.MyAuditVal,_xlpm.MacVal&lt;&gt;"",_xlpm.MacVal,_xlpm.CSVVal&lt;&gt;"",PROPER(_xlpm.CSVVal)
)),"")</f>
        <v/>
      </c>
      <c r="H76" s="2" t="str" cm="1">
        <f t="array" ref="H76">IFERROR(_xlfn.LET(
_xlpm.CSVVal,_xlfn.XLOOKUP($A76,CSV!$A:$A,CSV!H:H,""),
_xlpm.MacVal,_xlfn.XLOOKUP($A76,Output_Mac!$A:$A,Output_Mac!H:H,""),
_xlpm.MyAuditVal,_xlfn.XLOOKUP($A76,My_Audit!$A:$A,My_Audit!G:G,""),
_xlfn.IFS(_xlpm.MyAuditVal&lt;&gt;"",_xlpm.MyAuditVal,_xlpm.MacVal&lt;&gt;"",_xlpm.MacVal,_xlpm.CSVVal&lt;&gt;"",_xlpm.CSVVal
)),"")</f>
        <v/>
      </c>
      <c r="I76" s="2" t="str">
        <f>_xlfn.XLOOKUP(A76,Output_Mac!A:A,Output_Mac!I:I,"")</f>
        <v/>
      </c>
      <c r="J76" s="2" t="str" cm="1">
        <f t="array" ref="J76">IFERROR(_xlfn.LET(
_xlpm.CSVVal,_xlfn.XLOOKUP($A76,CSV!$A:$A,CSV!I:I,""),
_xlpm.MacVal,_xlfn.XLOOKUP($A76,Output_Mac!$A:$A,Output_Mac!J:J,""),
_xlpm.MyAuditVal,_xlfn.XLOOKUP($A76,My_Audit!$A:$A,My_Audit!I:I,""),
_xlfn.IFS(_xlpm.MyAuditVal&lt;&gt;"",UPPER(_xlpm.MyAuditVal),_xlpm.MacVal&lt;&gt;"",_xlpm.MacVal,_xlpm.CSVVal&lt;&gt;"",_xlpm.CSVVal
)),"")</f>
        <v/>
      </c>
      <c r="K76" s="2" t="str" cm="1">
        <f t="array" ref="K76">IFERROR(_xlfn.LET(
_xlpm.CSVVal,_xlfn.XLOOKUP($A76,CSV!$A:$A,CSV!K:K,""),
_xlpm.MacVal,_xlfn.XLOOKUP($A76,Output_Mac!$A:$A,Output_Mac!K:K,""),
_xlpm.MyAuditVal,_xlfn.XLOOKUP($A76,My_Audit!$A:$A,My_Audit!J:J,""),
_xlfn.IFS(_xlpm.MyAuditVal&lt;&gt;"",UPPER(_xlpm.MyAuditVal),_xlpm.MacVal&lt;&gt;"",_xlpm.MacVal,_xlpm.CSVVal&lt;&gt;"",_xlpm.CSVVal
)),"")</f>
        <v/>
      </c>
      <c r="L76" s="2" t="str" cm="1">
        <f t="array" ref="L76">IFERROR(_xlfn.LET(
_xlpm.CSVVal,_xlfn.XLOOKUP($A76,CSV!$A:$A,CSV!P:P,""),
_xlpm.MacVal,_xlfn.XLOOKUP($A76,Output_Mac!$A:$A,Output_Mac!L:L,""),
_xlpm.MyAuditVal,_xlfn.XLOOKUP($A76,My_Audit!$A:$A,My_Audit!K:K,""),
_xlfn.IFS(_xlpm.MyAuditVal&lt;&gt;"",UPPER(_xlpm.MyAuditVal),_xlpm.MacVal&lt;&gt;"",_xlpm.MacVal,_xlpm.CSVVal&lt;&gt;"",_xlpm.CSVVal
)),"")</f>
        <v/>
      </c>
      <c r="M76" s="2" t="str" cm="1">
        <f t="array" ref="M76">IFERROR(_xlfn.LET(
_xlpm.CSVVal,_xlfn.XLOOKUP($A76,CSV!$A:$A,CSV!Q:Q,""),
_xlpm.MacVal,_xlfn.XLOOKUP($A76,Output_Mac!$A:$A,Output_Mac!M:M,""),
_xlpm.MyAuditVal,_xlfn.XLOOKUP($A76,My_Audit!$A:$A,My_Audit!L:L,""),
_xlfn.IFS(_xlpm.MyAuditVal&lt;&gt;"",UPPER(_xlpm.MyAuditVal),_xlpm.MacVal&lt;&gt;"",_xlpm.MacVal,_xlpm.CSVVal&lt;&gt;"",_xlpm.CSVVal
)),"")</f>
        <v/>
      </c>
      <c r="O76" s="2" t="str">
        <f>_xlfn.LET(
    _xlpm.CSVVal, _xlfn.XLOOKUP($A76, CSV!$A:$A, CSV!AC:AC, ""),
    _xlpm.MacVal, _xlfn.XLOOKUP($A76, Output_Mac!$A:$A, Output_Mac!S:S, ""),
    _xlpm.MyAuditVal, _xlfn.XLOOKUP($A76, My_Audit!$A:$A, My_Audit!P:P, ""),
    _xlfn.TEXTJOIN(", ", TRUE, _xlpm.MyAuditVal, _xlpm.MacVal, _xlpm.CSVVal)
)</f>
        <v/>
      </c>
      <c r="P76" s="2" t="str" cm="1">
        <f t="array" ref="P76">IFERROR(_xlfn.LET(
_xlpm.CSVVal,_xlfn.XLOOKUP($A76,CSV!$A:$A,CSV!AD:AD,""),
_xlpm.MacVal,_xlfn.XLOOKUP($A76,Output_Mac!$A:$A,Output_Mac!T:T,""),
_xlpm.MyAuditVal,_xlfn.XLOOKUP($A76,My_Audit!$A:$A,My_Audit!Q:Q,""),
_xlfn.IFS(_xlpm.MyAuditVal&lt;&gt;"",UPPER(_xlpm.MyAuditVal),_xlpm.MacVal&lt;&gt;"",_xlpm.MacVal,_xlpm.CSVVal&lt;&gt;"",_xlpm.CSVVal
)),"No")</f>
        <v>No</v>
      </c>
      <c r="Q76" s="2" t="str" cm="1">
        <f t="array" ref="Q76">IFERROR(_xlfn.LET(
_xlpm.CSVVal,_xlfn.XLOOKUP($A76,CSV!$A:$A,CSV!AE:AE,""),
_xlpm.MacVal,_xlfn.XLOOKUP($A76,Output_Mac!$A:$A,Output_Mac!U:U,""),
_xlpm.MyAuditVal,_xlfn.XLOOKUP($A76,My_Audit!$A:$A,My_Audit!R:R,""),
_xlfn.IFS(_xlpm.MyAuditVal&lt;&gt;"",UPPER(_xlpm.MyAuditVal),_xlpm.MacVal&lt;&gt;"",_xlpm.MacVal,_xlpm.CSVVal&lt;&gt;"",_xlpm.CSVVal
)),"")</f>
        <v/>
      </c>
      <c r="X76" t="str">
        <f>_xlfn.LET(
    _xlpm.MacVal, _xlfn.XLOOKUP($A76, Output_Mac!$A:$A, Output_Mac!AB:AB, ""),
    _xlpm.MyAuditVal, _xlfn.XLOOKUP($A76, My_Audit!$A:$A, My_Audit!N:N, ""),
    _xlfn.TEXTJOIN(", ", TRUE, _xlpm.MyAuditVal, _xlpm.MacVal)
)</f>
        <v/>
      </c>
    </row>
    <row r="77" spans="1:24">
      <c r="A77" s="2" t="str">
        <f>_xlfn.TEXTJOIN("",TRUE,Input!$B$2,ROW(My_Audit!A76))</f>
        <v>X76</v>
      </c>
      <c r="B77" s="2" t="str">
        <f>_xlfn.TEXTJOIN("-",TRUE,"ITD",Input!$A$2,A77)</f>
        <v>ITD-SHR-X76</v>
      </c>
      <c r="C77" s="2" t="str" cm="1">
        <f t="array" ref="C77">IFERROR(_xlfn.LET(
_xlpm.CSVVal,_xlfn.XLOOKUP($A77,CSV!$A:$A,CSV!B:B,""),
_xlpm.MacVal,_xlfn.XLOOKUP($A77,Output_Mac!$A:$A,Output_Mac!B:B,""),
_xlpm.MyAuditVal,_xlfn.XLOOKUP($A77,My_Audit!$A:$A,My_Audit!B:B,""),
_xlfn.IFS(_xlpm.MyAuditVal&lt;&gt;"",UPPER(_xlpm.MyAuditVal),_xlpm.MacVal&lt;&gt;"",_xlpm.MacVal,_xlpm.CSVVal&lt;&gt;"",_xlpm.CSVVal
)),"")</f>
        <v/>
      </c>
      <c r="D77" s="2" t="str" cm="1">
        <f t="array" ref="D77">IFERROR(_xlfn.LET(
_xlpm.CSVVal,_xlfn.XLOOKUP($A77,CSV!$A:$A,CSV!D:D,""),
_xlpm.MacVal,_xlfn.XLOOKUP($A77,Output_Mac!$A:$A,Output_Mac!C:C,""),
_xlpm.MyAuditVal,_xlfn.XLOOKUP($A77,My_Audit!$A:$A,My_Audit!C:C,""),
_xlfn.IFS(_xlpm.MyAuditVal&lt;&gt;"",_xlpm.MyAuditVal,_xlpm.MacVal&lt;&gt;"",_xlpm.MacVal,_xlpm.CSVVal&lt;&gt;"",_xlpm.CSVVal
)),"")</f>
        <v/>
      </c>
      <c r="E77" s="2" t="str">
        <f>_xlfn.XLOOKUP(A77,My_Audit!A:A,My_Audit!D:D,"")&amp;""</f>
        <v/>
      </c>
      <c r="F77" s="2" t="str" cm="1">
        <f t="array" ref="F77">IFERROR(_xlfn.LET(
_xlpm.CSVVal,_xlfn.XLOOKUP($A77,CSV!$A:$A,CSV!F:F,""),
_xlpm.MacVal,_xlfn.XLOOKUP($A77,Output_Mac!$A:$A,Output_Mac!E:E,""),
_xlpm.MyAuditVal,_xlfn.XLOOKUP($A77,My_Audit!$A:$A,My_Audit!E:E,""),
_xlfn.IFS(_xlpm.MyAuditVal&lt;&gt;"",_xlpm.MyAuditVal,_xlpm.MacVal&lt;&gt;"",_xlpm.MacVal,_xlpm.CSVVal&lt;&gt;"",_xlpm.CSVVal
)),"")</f>
        <v/>
      </c>
      <c r="G77" s="2" t="str" cm="1">
        <f t="array" ref="G77">IFERROR(_xlfn.LET(
_xlpm.CSVVal,_xlfn.XLOOKUP($A77,CSV!$A:$A,CSV!G:G,""),
_xlpm.MacVal,_xlfn.XLOOKUP($A77,Output_Mac!$A:$A,Output_Mac!F:F,""),
_xlpm.MyAuditVal,_xlfn.XLOOKUP($A77,My_Audit!$A:$A,My_Audit!F:F,""),
_xlfn.IFS(_xlpm.MyAuditVal&lt;&gt;"",_xlpm.MyAuditVal,_xlpm.MacVal&lt;&gt;"",_xlpm.MacVal,_xlpm.CSVVal&lt;&gt;"",PROPER(_xlpm.CSVVal)
)),"")</f>
        <v/>
      </c>
      <c r="H77" s="2" t="str" cm="1">
        <f t="array" ref="H77">IFERROR(_xlfn.LET(
_xlpm.CSVVal,_xlfn.XLOOKUP($A77,CSV!$A:$A,CSV!H:H,""),
_xlpm.MacVal,_xlfn.XLOOKUP($A77,Output_Mac!$A:$A,Output_Mac!H:H,""),
_xlpm.MyAuditVal,_xlfn.XLOOKUP($A77,My_Audit!$A:$A,My_Audit!G:G,""),
_xlfn.IFS(_xlpm.MyAuditVal&lt;&gt;"",_xlpm.MyAuditVal,_xlpm.MacVal&lt;&gt;"",_xlpm.MacVal,_xlpm.CSVVal&lt;&gt;"",_xlpm.CSVVal
)),"")</f>
        <v/>
      </c>
      <c r="I77" s="2" t="str">
        <f>_xlfn.XLOOKUP(A77,Output_Mac!A:A,Output_Mac!I:I,"")</f>
        <v/>
      </c>
      <c r="J77" s="2" t="str" cm="1">
        <f t="array" ref="J77">IFERROR(_xlfn.LET(
_xlpm.CSVVal,_xlfn.XLOOKUP($A77,CSV!$A:$A,CSV!I:I,""),
_xlpm.MacVal,_xlfn.XLOOKUP($A77,Output_Mac!$A:$A,Output_Mac!J:J,""),
_xlpm.MyAuditVal,_xlfn.XLOOKUP($A77,My_Audit!$A:$A,My_Audit!I:I,""),
_xlfn.IFS(_xlpm.MyAuditVal&lt;&gt;"",UPPER(_xlpm.MyAuditVal),_xlpm.MacVal&lt;&gt;"",_xlpm.MacVal,_xlpm.CSVVal&lt;&gt;"",_xlpm.CSVVal
)),"")</f>
        <v/>
      </c>
      <c r="K77" s="2" t="str" cm="1">
        <f t="array" ref="K77">IFERROR(_xlfn.LET(
_xlpm.CSVVal,_xlfn.XLOOKUP($A77,CSV!$A:$A,CSV!K:K,""),
_xlpm.MacVal,_xlfn.XLOOKUP($A77,Output_Mac!$A:$A,Output_Mac!K:K,""),
_xlpm.MyAuditVal,_xlfn.XLOOKUP($A77,My_Audit!$A:$A,My_Audit!J:J,""),
_xlfn.IFS(_xlpm.MyAuditVal&lt;&gt;"",UPPER(_xlpm.MyAuditVal),_xlpm.MacVal&lt;&gt;"",_xlpm.MacVal,_xlpm.CSVVal&lt;&gt;"",_xlpm.CSVVal
)),"")</f>
        <v/>
      </c>
      <c r="L77" s="2" t="str" cm="1">
        <f t="array" ref="L77">IFERROR(_xlfn.LET(
_xlpm.CSVVal,_xlfn.XLOOKUP($A77,CSV!$A:$A,CSV!P:P,""),
_xlpm.MacVal,_xlfn.XLOOKUP($A77,Output_Mac!$A:$A,Output_Mac!L:L,""),
_xlpm.MyAuditVal,_xlfn.XLOOKUP($A77,My_Audit!$A:$A,My_Audit!K:K,""),
_xlfn.IFS(_xlpm.MyAuditVal&lt;&gt;"",UPPER(_xlpm.MyAuditVal),_xlpm.MacVal&lt;&gt;"",_xlpm.MacVal,_xlpm.CSVVal&lt;&gt;"",_xlpm.CSVVal
)),"")</f>
        <v/>
      </c>
      <c r="M77" s="2" t="str" cm="1">
        <f t="array" ref="M77">IFERROR(_xlfn.LET(
_xlpm.CSVVal,_xlfn.XLOOKUP($A77,CSV!$A:$A,CSV!Q:Q,""),
_xlpm.MacVal,_xlfn.XLOOKUP($A77,Output_Mac!$A:$A,Output_Mac!M:M,""),
_xlpm.MyAuditVal,_xlfn.XLOOKUP($A77,My_Audit!$A:$A,My_Audit!L:L,""),
_xlfn.IFS(_xlpm.MyAuditVal&lt;&gt;"",UPPER(_xlpm.MyAuditVal),_xlpm.MacVal&lt;&gt;"",_xlpm.MacVal,_xlpm.CSVVal&lt;&gt;"",_xlpm.CSVVal
)),"")</f>
        <v/>
      </c>
      <c r="O77" s="2" t="str">
        <f>_xlfn.LET(
    _xlpm.CSVVal, _xlfn.XLOOKUP($A77, CSV!$A:$A, CSV!AC:AC, ""),
    _xlpm.MacVal, _xlfn.XLOOKUP($A77, Output_Mac!$A:$A, Output_Mac!S:S, ""),
    _xlpm.MyAuditVal, _xlfn.XLOOKUP($A77, My_Audit!$A:$A, My_Audit!P:P, ""),
    _xlfn.TEXTJOIN(", ", TRUE, _xlpm.MyAuditVal, _xlpm.MacVal, _xlpm.CSVVal)
)</f>
        <v/>
      </c>
      <c r="P77" s="2" t="str" cm="1">
        <f t="array" ref="P77">IFERROR(_xlfn.LET(
_xlpm.CSVVal,_xlfn.XLOOKUP($A77,CSV!$A:$A,CSV!AD:AD,""),
_xlpm.MacVal,_xlfn.XLOOKUP($A77,Output_Mac!$A:$A,Output_Mac!T:T,""),
_xlpm.MyAuditVal,_xlfn.XLOOKUP($A77,My_Audit!$A:$A,My_Audit!Q:Q,""),
_xlfn.IFS(_xlpm.MyAuditVal&lt;&gt;"",UPPER(_xlpm.MyAuditVal),_xlpm.MacVal&lt;&gt;"",_xlpm.MacVal,_xlpm.CSVVal&lt;&gt;"",_xlpm.CSVVal
)),"No")</f>
        <v>No</v>
      </c>
      <c r="Q77" s="2" t="str" cm="1">
        <f t="array" ref="Q77">IFERROR(_xlfn.LET(
_xlpm.CSVVal,_xlfn.XLOOKUP($A77,CSV!$A:$A,CSV!AE:AE,""),
_xlpm.MacVal,_xlfn.XLOOKUP($A77,Output_Mac!$A:$A,Output_Mac!U:U,""),
_xlpm.MyAuditVal,_xlfn.XLOOKUP($A77,My_Audit!$A:$A,My_Audit!R:R,""),
_xlfn.IFS(_xlpm.MyAuditVal&lt;&gt;"",UPPER(_xlpm.MyAuditVal),_xlpm.MacVal&lt;&gt;"",_xlpm.MacVal,_xlpm.CSVVal&lt;&gt;"",_xlpm.CSVVal
)),"")</f>
        <v/>
      </c>
      <c r="X77" t="str">
        <f>_xlfn.LET(
    _xlpm.MacVal, _xlfn.XLOOKUP($A77, Output_Mac!$A:$A, Output_Mac!AB:AB, ""),
    _xlpm.MyAuditVal, _xlfn.XLOOKUP($A77, My_Audit!$A:$A, My_Audit!N:N, ""),
    _xlfn.TEXTJOIN(", ", TRUE, _xlpm.MyAuditVal, _xlpm.MacVal)
)</f>
        <v/>
      </c>
    </row>
    <row r="78" spans="1:24">
      <c r="A78" s="2" t="str">
        <f>_xlfn.TEXTJOIN("",TRUE,Input!$B$2,ROW(My_Audit!A77))</f>
        <v>X77</v>
      </c>
      <c r="B78" s="2" t="str">
        <f>_xlfn.TEXTJOIN("-",TRUE,"ITD",Input!$A$2,A78)</f>
        <v>ITD-SHR-X77</v>
      </c>
      <c r="C78" s="2" t="str" cm="1">
        <f t="array" ref="C78">IFERROR(_xlfn.LET(
_xlpm.CSVVal,_xlfn.XLOOKUP($A78,CSV!$A:$A,CSV!B:B,""),
_xlpm.MacVal,_xlfn.XLOOKUP($A78,Output_Mac!$A:$A,Output_Mac!B:B,""),
_xlpm.MyAuditVal,_xlfn.XLOOKUP($A78,My_Audit!$A:$A,My_Audit!B:B,""),
_xlfn.IFS(_xlpm.MyAuditVal&lt;&gt;"",UPPER(_xlpm.MyAuditVal),_xlpm.MacVal&lt;&gt;"",_xlpm.MacVal,_xlpm.CSVVal&lt;&gt;"",_xlpm.CSVVal
)),"")</f>
        <v/>
      </c>
      <c r="D78" s="2" t="str" cm="1">
        <f t="array" ref="D78">IFERROR(_xlfn.LET(
_xlpm.CSVVal,_xlfn.XLOOKUP($A78,CSV!$A:$A,CSV!D:D,""),
_xlpm.MacVal,_xlfn.XLOOKUP($A78,Output_Mac!$A:$A,Output_Mac!C:C,""),
_xlpm.MyAuditVal,_xlfn.XLOOKUP($A78,My_Audit!$A:$A,My_Audit!C:C,""),
_xlfn.IFS(_xlpm.MyAuditVal&lt;&gt;"",_xlpm.MyAuditVal,_xlpm.MacVal&lt;&gt;"",_xlpm.MacVal,_xlpm.CSVVal&lt;&gt;"",_xlpm.CSVVal
)),"")</f>
        <v/>
      </c>
      <c r="E78" s="2" t="str">
        <f>_xlfn.XLOOKUP(A78,My_Audit!A:A,My_Audit!D:D,"")&amp;""</f>
        <v/>
      </c>
      <c r="F78" s="2" t="str" cm="1">
        <f t="array" ref="F78">IFERROR(_xlfn.LET(
_xlpm.CSVVal,_xlfn.XLOOKUP($A78,CSV!$A:$A,CSV!F:F,""),
_xlpm.MacVal,_xlfn.XLOOKUP($A78,Output_Mac!$A:$A,Output_Mac!E:E,""),
_xlpm.MyAuditVal,_xlfn.XLOOKUP($A78,My_Audit!$A:$A,My_Audit!E:E,""),
_xlfn.IFS(_xlpm.MyAuditVal&lt;&gt;"",_xlpm.MyAuditVal,_xlpm.MacVal&lt;&gt;"",_xlpm.MacVal,_xlpm.CSVVal&lt;&gt;"",_xlpm.CSVVal
)),"")</f>
        <v/>
      </c>
      <c r="G78" s="2" t="str" cm="1">
        <f t="array" ref="G78">IFERROR(_xlfn.LET(
_xlpm.CSVVal,_xlfn.XLOOKUP($A78,CSV!$A:$A,CSV!G:G,""),
_xlpm.MacVal,_xlfn.XLOOKUP($A78,Output_Mac!$A:$A,Output_Mac!F:F,""),
_xlpm.MyAuditVal,_xlfn.XLOOKUP($A78,My_Audit!$A:$A,My_Audit!F:F,""),
_xlfn.IFS(_xlpm.MyAuditVal&lt;&gt;"",_xlpm.MyAuditVal,_xlpm.MacVal&lt;&gt;"",_xlpm.MacVal,_xlpm.CSVVal&lt;&gt;"",PROPER(_xlpm.CSVVal)
)),"")</f>
        <v/>
      </c>
      <c r="H78" s="2" t="str" cm="1">
        <f t="array" ref="H78">IFERROR(_xlfn.LET(
_xlpm.CSVVal,_xlfn.XLOOKUP($A78,CSV!$A:$A,CSV!H:H,""),
_xlpm.MacVal,_xlfn.XLOOKUP($A78,Output_Mac!$A:$A,Output_Mac!H:H,""),
_xlpm.MyAuditVal,_xlfn.XLOOKUP($A78,My_Audit!$A:$A,My_Audit!G:G,""),
_xlfn.IFS(_xlpm.MyAuditVal&lt;&gt;"",_xlpm.MyAuditVal,_xlpm.MacVal&lt;&gt;"",_xlpm.MacVal,_xlpm.CSVVal&lt;&gt;"",_xlpm.CSVVal
)),"")</f>
        <v/>
      </c>
      <c r="I78" s="2" t="str">
        <f>_xlfn.XLOOKUP(A78,Output_Mac!A:A,Output_Mac!I:I,"")</f>
        <v/>
      </c>
      <c r="J78" s="2" t="str" cm="1">
        <f t="array" ref="J78">IFERROR(_xlfn.LET(
_xlpm.CSVVal,_xlfn.XLOOKUP($A78,CSV!$A:$A,CSV!I:I,""),
_xlpm.MacVal,_xlfn.XLOOKUP($A78,Output_Mac!$A:$A,Output_Mac!J:J,""),
_xlpm.MyAuditVal,_xlfn.XLOOKUP($A78,My_Audit!$A:$A,My_Audit!I:I,""),
_xlfn.IFS(_xlpm.MyAuditVal&lt;&gt;"",UPPER(_xlpm.MyAuditVal),_xlpm.MacVal&lt;&gt;"",_xlpm.MacVal,_xlpm.CSVVal&lt;&gt;"",_xlpm.CSVVal
)),"")</f>
        <v/>
      </c>
      <c r="K78" s="2" t="str" cm="1">
        <f t="array" ref="K78">IFERROR(_xlfn.LET(
_xlpm.CSVVal,_xlfn.XLOOKUP($A78,CSV!$A:$A,CSV!K:K,""),
_xlpm.MacVal,_xlfn.XLOOKUP($A78,Output_Mac!$A:$A,Output_Mac!K:K,""),
_xlpm.MyAuditVal,_xlfn.XLOOKUP($A78,My_Audit!$A:$A,My_Audit!J:J,""),
_xlfn.IFS(_xlpm.MyAuditVal&lt;&gt;"",UPPER(_xlpm.MyAuditVal),_xlpm.MacVal&lt;&gt;"",_xlpm.MacVal,_xlpm.CSVVal&lt;&gt;"",_xlpm.CSVVal
)),"")</f>
        <v/>
      </c>
      <c r="L78" s="2" t="str" cm="1">
        <f t="array" ref="L78">IFERROR(_xlfn.LET(
_xlpm.CSVVal,_xlfn.XLOOKUP($A78,CSV!$A:$A,CSV!P:P,""),
_xlpm.MacVal,_xlfn.XLOOKUP($A78,Output_Mac!$A:$A,Output_Mac!L:L,""),
_xlpm.MyAuditVal,_xlfn.XLOOKUP($A78,My_Audit!$A:$A,My_Audit!K:K,""),
_xlfn.IFS(_xlpm.MyAuditVal&lt;&gt;"",UPPER(_xlpm.MyAuditVal),_xlpm.MacVal&lt;&gt;"",_xlpm.MacVal,_xlpm.CSVVal&lt;&gt;"",_xlpm.CSVVal
)),"")</f>
        <v/>
      </c>
      <c r="M78" s="2" t="str" cm="1">
        <f t="array" ref="M78">IFERROR(_xlfn.LET(
_xlpm.CSVVal,_xlfn.XLOOKUP($A78,CSV!$A:$A,CSV!Q:Q,""),
_xlpm.MacVal,_xlfn.XLOOKUP($A78,Output_Mac!$A:$A,Output_Mac!M:M,""),
_xlpm.MyAuditVal,_xlfn.XLOOKUP($A78,My_Audit!$A:$A,My_Audit!L:L,""),
_xlfn.IFS(_xlpm.MyAuditVal&lt;&gt;"",UPPER(_xlpm.MyAuditVal),_xlpm.MacVal&lt;&gt;"",_xlpm.MacVal,_xlpm.CSVVal&lt;&gt;"",_xlpm.CSVVal
)),"")</f>
        <v/>
      </c>
      <c r="O78" s="2" t="str">
        <f>_xlfn.LET(
    _xlpm.CSVVal, _xlfn.XLOOKUP($A78, CSV!$A:$A, CSV!AC:AC, ""),
    _xlpm.MacVal, _xlfn.XLOOKUP($A78, Output_Mac!$A:$A, Output_Mac!S:S, ""),
    _xlpm.MyAuditVal, _xlfn.XLOOKUP($A78, My_Audit!$A:$A, My_Audit!P:P, ""),
    _xlfn.TEXTJOIN(", ", TRUE, _xlpm.MyAuditVal, _xlpm.MacVal, _xlpm.CSVVal)
)</f>
        <v/>
      </c>
      <c r="P78" s="2" t="str" cm="1">
        <f t="array" ref="P78">IFERROR(_xlfn.LET(
_xlpm.CSVVal,_xlfn.XLOOKUP($A78,CSV!$A:$A,CSV!AD:AD,""),
_xlpm.MacVal,_xlfn.XLOOKUP($A78,Output_Mac!$A:$A,Output_Mac!T:T,""),
_xlpm.MyAuditVal,_xlfn.XLOOKUP($A78,My_Audit!$A:$A,My_Audit!Q:Q,""),
_xlfn.IFS(_xlpm.MyAuditVal&lt;&gt;"",UPPER(_xlpm.MyAuditVal),_xlpm.MacVal&lt;&gt;"",_xlpm.MacVal,_xlpm.CSVVal&lt;&gt;"",_xlpm.CSVVal
)),"No")</f>
        <v>No</v>
      </c>
      <c r="Q78" s="2" t="str" cm="1">
        <f t="array" ref="Q78">IFERROR(_xlfn.LET(
_xlpm.CSVVal,_xlfn.XLOOKUP($A78,CSV!$A:$A,CSV!AE:AE,""),
_xlpm.MacVal,_xlfn.XLOOKUP($A78,Output_Mac!$A:$A,Output_Mac!U:U,""),
_xlpm.MyAuditVal,_xlfn.XLOOKUP($A78,My_Audit!$A:$A,My_Audit!R:R,""),
_xlfn.IFS(_xlpm.MyAuditVal&lt;&gt;"",UPPER(_xlpm.MyAuditVal),_xlpm.MacVal&lt;&gt;"",_xlpm.MacVal,_xlpm.CSVVal&lt;&gt;"",_xlpm.CSVVal
)),"")</f>
        <v/>
      </c>
      <c r="X78" t="str">
        <f>_xlfn.LET(
    _xlpm.MacVal, _xlfn.XLOOKUP($A78, Output_Mac!$A:$A, Output_Mac!AB:AB, ""),
    _xlpm.MyAuditVal, _xlfn.XLOOKUP($A78, My_Audit!$A:$A, My_Audit!N:N, ""),
    _xlfn.TEXTJOIN(", ", TRUE, _xlpm.MyAuditVal, _xlpm.MacVal)
)</f>
        <v/>
      </c>
    </row>
    <row r="79" spans="1:24">
      <c r="A79" s="2" t="str">
        <f>_xlfn.TEXTJOIN("",TRUE,Input!$B$2,ROW(My_Audit!A78))</f>
        <v>X78</v>
      </c>
      <c r="B79" s="2" t="str">
        <f>_xlfn.TEXTJOIN("-",TRUE,"ITD",Input!$A$2,A79)</f>
        <v>ITD-SHR-X78</v>
      </c>
      <c r="C79" s="2" t="str" cm="1">
        <f t="array" ref="C79">IFERROR(_xlfn.LET(
_xlpm.CSVVal,_xlfn.XLOOKUP($A79,CSV!$A:$A,CSV!B:B,""),
_xlpm.MacVal,_xlfn.XLOOKUP($A79,Output_Mac!$A:$A,Output_Mac!B:B,""),
_xlpm.MyAuditVal,_xlfn.XLOOKUP($A79,My_Audit!$A:$A,My_Audit!B:B,""),
_xlfn.IFS(_xlpm.MyAuditVal&lt;&gt;"",UPPER(_xlpm.MyAuditVal),_xlpm.MacVal&lt;&gt;"",_xlpm.MacVal,_xlpm.CSVVal&lt;&gt;"",_xlpm.CSVVal
)),"")</f>
        <v/>
      </c>
      <c r="D79" s="2" t="str" cm="1">
        <f t="array" ref="D79">IFERROR(_xlfn.LET(
_xlpm.CSVVal,_xlfn.XLOOKUP($A79,CSV!$A:$A,CSV!D:D,""),
_xlpm.MacVal,_xlfn.XLOOKUP($A79,Output_Mac!$A:$A,Output_Mac!C:C,""),
_xlpm.MyAuditVal,_xlfn.XLOOKUP($A79,My_Audit!$A:$A,My_Audit!C:C,""),
_xlfn.IFS(_xlpm.MyAuditVal&lt;&gt;"",_xlpm.MyAuditVal,_xlpm.MacVal&lt;&gt;"",_xlpm.MacVal,_xlpm.CSVVal&lt;&gt;"",_xlpm.CSVVal
)),"")</f>
        <v/>
      </c>
      <c r="E79" s="2" t="str">
        <f>_xlfn.XLOOKUP(A79,My_Audit!A:A,My_Audit!D:D,"")&amp;""</f>
        <v/>
      </c>
      <c r="F79" s="2" t="str" cm="1">
        <f t="array" ref="F79">IFERROR(_xlfn.LET(
_xlpm.CSVVal,_xlfn.XLOOKUP($A79,CSV!$A:$A,CSV!F:F,""),
_xlpm.MacVal,_xlfn.XLOOKUP($A79,Output_Mac!$A:$A,Output_Mac!E:E,""),
_xlpm.MyAuditVal,_xlfn.XLOOKUP($A79,My_Audit!$A:$A,My_Audit!E:E,""),
_xlfn.IFS(_xlpm.MyAuditVal&lt;&gt;"",_xlpm.MyAuditVal,_xlpm.MacVal&lt;&gt;"",_xlpm.MacVal,_xlpm.CSVVal&lt;&gt;"",_xlpm.CSVVal
)),"")</f>
        <v/>
      </c>
      <c r="G79" s="2" t="str" cm="1">
        <f t="array" ref="G79">IFERROR(_xlfn.LET(
_xlpm.CSVVal,_xlfn.XLOOKUP($A79,CSV!$A:$A,CSV!G:G,""),
_xlpm.MacVal,_xlfn.XLOOKUP($A79,Output_Mac!$A:$A,Output_Mac!F:F,""),
_xlpm.MyAuditVal,_xlfn.XLOOKUP($A79,My_Audit!$A:$A,My_Audit!F:F,""),
_xlfn.IFS(_xlpm.MyAuditVal&lt;&gt;"",_xlpm.MyAuditVal,_xlpm.MacVal&lt;&gt;"",_xlpm.MacVal,_xlpm.CSVVal&lt;&gt;"",PROPER(_xlpm.CSVVal)
)),"")</f>
        <v/>
      </c>
      <c r="H79" s="2" t="str" cm="1">
        <f t="array" ref="H79">IFERROR(_xlfn.LET(
_xlpm.CSVVal,_xlfn.XLOOKUP($A79,CSV!$A:$A,CSV!H:H,""),
_xlpm.MacVal,_xlfn.XLOOKUP($A79,Output_Mac!$A:$A,Output_Mac!H:H,""),
_xlpm.MyAuditVal,_xlfn.XLOOKUP($A79,My_Audit!$A:$A,My_Audit!G:G,""),
_xlfn.IFS(_xlpm.MyAuditVal&lt;&gt;"",_xlpm.MyAuditVal,_xlpm.MacVal&lt;&gt;"",_xlpm.MacVal,_xlpm.CSVVal&lt;&gt;"",_xlpm.CSVVal
)),"")</f>
        <v/>
      </c>
      <c r="I79" s="2" t="str">
        <f>_xlfn.XLOOKUP(A79,Output_Mac!A:A,Output_Mac!I:I,"")</f>
        <v/>
      </c>
      <c r="J79" s="2" t="str" cm="1">
        <f t="array" ref="J79">IFERROR(_xlfn.LET(
_xlpm.CSVVal,_xlfn.XLOOKUP($A79,CSV!$A:$A,CSV!I:I,""),
_xlpm.MacVal,_xlfn.XLOOKUP($A79,Output_Mac!$A:$A,Output_Mac!J:J,""),
_xlpm.MyAuditVal,_xlfn.XLOOKUP($A79,My_Audit!$A:$A,My_Audit!I:I,""),
_xlfn.IFS(_xlpm.MyAuditVal&lt;&gt;"",UPPER(_xlpm.MyAuditVal),_xlpm.MacVal&lt;&gt;"",_xlpm.MacVal,_xlpm.CSVVal&lt;&gt;"",_xlpm.CSVVal
)),"")</f>
        <v/>
      </c>
      <c r="K79" s="2" t="str" cm="1">
        <f t="array" ref="K79">IFERROR(_xlfn.LET(
_xlpm.CSVVal,_xlfn.XLOOKUP($A79,CSV!$A:$A,CSV!K:K,""),
_xlpm.MacVal,_xlfn.XLOOKUP($A79,Output_Mac!$A:$A,Output_Mac!K:K,""),
_xlpm.MyAuditVal,_xlfn.XLOOKUP($A79,My_Audit!$A:$A,My_Audit!J:J,""),
_xlfn.IFS(_xlpm.MyAuditVal&lt;&gt;"",UPPER(_xlpm.MyAuditVal),_xlpm.MacVal&lt;&gt;"",_xlpm.MacVal,_xlpm.CSVVal&lt;&gt;"",_xlpm.CSVVal
)),"")</f>
        <v/>
      </c>
      <c r="L79" s="2" t="str" cm="1">
        <f t="array" ref="L79">IFERROR(_xlfn.LET(
_xlpm.CSVVal,_xlfn.XLOOKUP($A79,CSV!$A:$A,CSV!P:P,""),
_xlpm.MacVal,_xlfn.XLOOKUP($A79,Output_Mac!$A:$A,Output_Mac!L:L,""),
_xlpm.MyAuditVal,_xlfn.XLOOKUP($A79,My_Audit!$A:$A,My_Audit!K:K,""),
_xlfn.IFS(_xlpm.MyAuditVal&lt;&gt;"",UPPER(_xlpm.MyAuditVal),_xlpm.MacVal&lt;&gt;"",_xlpm.MacVal,_xlpm.CSVVal&lt;&gt;"",_xlpm.CSVVal
)),"")</f>
        <v/>
      </c>
      <c r="M79" s="2" t="str" cm="1">
        <f t="array" ref="M79">IFERROR(_xlfn.LET(
_xlpm.CSVVal,_xlfn.XLOOKUP($A79,CSV!$A:$A,CSV!Q:Q,""),
_xlpm.MacVal,_xlfn.XLOOKUP($A79,Output_Mac!$A:$A,Output_Mac!M:M,""),
_xlpm.MyAuditVal,_xlfn.XLOOKUP($A79,My_Audit!$A:$A,My_Audit!L:L,""),
_xlfn.IFS(_xlpm.MyAuditVal&lt;&gt;"",UPPER(_xlpm.MyAuditVal),_xlpm.MacVal&lt;&gt;"",_xlpm.MacVal,_xlpm.CSVVal&lt;&gt;"",_xlpm.CSVVal
)),"")</f>
        <v/>
      </c>
      <c r="O79" s="2" t="str">
        <f>_xlfn.LET(
    _xlpm.CSVVal, _xlfn.XLOOKUP($A79, CSV!$A:$A, CSV!AC:AC, ""),
    _xlpm.MacVal, _xlfn.XLOOKUP($A79, Output_Mac!$A:$A, Output_Mac!S:S, ""),
    _xlpm.MyAuditVal, _xlfn.XLOOKUP($A79, My_Audit!$A:$A, My_Audit!P:P, ""),
    _xlfn.TEXTJOIN(", ", TRUE, _xlpm.MyAuditVal, _xlpm.MacVal, _xlpm.CSVVal)
)</f>
        <v/>
      </c>
      <c r="P79" s="2" t="str" cm="1">
        <f t="array" ref="P79">IFERROR(_xlfn.LET(
_xlpm.CSVVal,_xlfn.XLOOKUP($A79,CSV!$A:$A,CSV!AD:AD,""),
_xlpm.MacVal,_xlfn.XLOOKUP($A79,Output_Mac!$A:$A,Output_Mac!T:T,""),
_xlpm.MyAuditVal,_xlfn.XLOOKUP($A79,My_Audit!$A:$A,My_Audit!Q:Q,""),
_xlfn.IFS(_xlpm.MyAuditVal&lt;&gt;"",UPPER(_xlpm.MyAuditVal),_xlpm.MacVal&lt;&gt;"",_xlpm.MacVal,_xlpm.CSVVal&lt;&gt;"",_xlpm.CSVVal
)),"No")</f>
        <v>No</v>
      </c>
      <c r="Q79" s="2" t="str" cm="1">
        <f t="array" ref="Q79">IFERROR(_xlfn.LET(
_xlpm.CSVVal,_xlfn.XLOOKUP($A79,CSV!$A:$A,CSV!AE:AE,""),
_xlpm.MacVal,_xlfn.XLOOKUP($A79,Output_Mac!$A:$A,Output_Mac!U:U,""),
_xlpm.MyAuditVal,_xlfn.XLOOKUP($A79,My_Audit!$A:$A,My_Audit!R:R,""),
_xlfn.IFS(_xlpm.MyAuditVal&lt;&gt;"",UPPER(_xlpm.MyAuditVal),_xlpm.MacVal&lt;&gt;"",_xlpm.MacVal,_xlpm.CSVVal&lt;&gt;"",_xlpm.CSVVal
)),"")</f>
        <v/>
      </c>
      <c r="X79" t="str">
        <f>_xlfn.LET(
    _xlpm.MacVal, _xlfn.XLOOKUP($A79, Output_Mac!$A:$A, Output_Mac!AB:AB, ""),
    _xlpm.MyAuditVal, _xlfn.XLOOKUP($A79, My_Audit!$A:$A, My_Audit!N:N, ""),
    _xlfn.TEXTJOIN(", ", TRUE, _xlpm.MyAuditVal, _xlpm.MacVal)
)</f>
        <v/>
      </c>
    </row>
    <row r="80" spans="1:24">
      <c r="A80" s="2" t="str">
        <f>_xlfn.TEXTJOIN("",TRUE,Input!$B$2,ROW(My_Audit!A79))</f>
        <v>X79</v>
      </c>
      <c r="B80" s="2" t="str">
        <f>_xlfn.TEXTJOIN("-",TRUE,"ITD",Input!$A$2,A80)</f>
        <v>ITD-SHR-X79</v>
      </c>
      <c r="C80" s="2" t="str" cm="1">
        <f t="array" ref="C80">IFERROR(_xlfn.LET(
_xlpm.CSVVal,_xlfn.XLOOKUP($A80,CSV!$A:$A,CSV!B:B,""),
_xlpm.MacVal,_xlfn.XLOOKUP($A80,Output_Mac!$A:$A,Output_Mac!B:B,""),
_xlpm.MyAuditVal,_xlfn.XLOOKUP($A80,My_Audit!$A:$A,My_Audit!B:B,""),
_xlfn.IFS(_xlpm.MyAuditVal&lt;&gt;"",UPPER(_xlpm.MyAuditVal),_xlpm.MacVal&lt;&gt;"",_xlpm.MacVal,_xlpm.CSVVal&lt;&gt;"",_xlpm.CSVVal
)),"")</f>
        <v/>
      </c>
      <c r="D80" s="2" t="str" cm="1">
        <f t="array" ref="D80">IFERROR(_xlfn.LET(
_xlpm.CSVVal,_xlfn.XLOOKUP($A80,CSV!$A:$A,CSV!D:D,""),
_xlpm.MacVal,_xlfn.XLOOKUP($A80,Output_Mac!$A:$A,Output_Mac!C:C,""),
_xlpm.MyAuditVal,_xlfn.XLOOKUP($A80,My_Audit!$A:$A,My_Audit!C:C,""),
_xlfn.IFS(_xlpm.MyAuditVal&lt;&gt;"",_xlpm.MyAuditVal,_xlpm.MacVal&lt;&gt;"",_xlpm.MacVal,_xlpm.CSVVal&lt;&gt;"",_xlpm.CSVVal
)),"")</f>
        <v/>
      </c>
      <c r="E80" s="2" t="str">
        <f>_xlfn.XLOOKUP(A80,My_Audit!A:A,My_Audit!D:D,"")&amp;""</f>
        <v/>
      </c>
      <c r="F80" s="2" t="str" cm="1">
        <f t="array" ref="F80">IFERROR(_xlfn.LET(
_xlpm.CSVVal,_xlfn.XLOOKUP($A80,CSV!$A:$A,CSV!F:F,""),
_xlpm.MacVal,_xlfn.XLOOKUP($A80,Output_Mac!$A:$A,Output_Mac!E:E,""),
_xlpm.MyAuditVal,_xlfn.XLOOKUP($A80,My_Audit!$A:$A,My_Audit!E:E,""),
_xlfn.IFS(_xlpm.MyAuditVal&lt;&gt;"",_xlpm.MyAuditVal,_xlpm.MacVal&lt;&gt;"",_xlpm.MacVal,_xlpm.CSVVal&lt;&gt;"",_xlpm.CSVVal
)),"")</f>
        <v/>
      </c>
      <c r="G80" s="2" t="str" cm="1">
        <f t="array" ref="G80">IFERROR(_xlfn.LET(
_xlpm.CSVVal,_xlfn.XLOOKUP($A80,CSV!$A:$A,CSV!G:G,""),
_xlpm.MacVal,_xlfn.XLOOKUP($A80,Output_Mac!$A:$A,Output_Mac!F:F,""),
_xlpm.MyAuditVal,_xlfn.XLOOKUP($A80,My_Audit!$A:$A,My_Audit!F:F,""),
_xlfn.IFS(_xlpm.MyAuditVal&lt;&gt;"",_xlpm.MyAuditVal,_xlpm.MacVal&lt;&gt;"",_xlpm.MacVal,_xlpm.CSVVal&lt;&gt;"",PROPER(_xlpm.CSVVal)
)),"")</f>
        <v/>
      </c>
      <c r="H80" s="2" t="str" cm="1">
        <f t="array" ref="H80">IFERROR(_xlfn.LET(
_xlpm.CSVVal,_xlfn.XLOOKUP($A80,CSV!$A:$A,CSV!H:H,""),
_xlpm.MacVal,_xlfn.XLOOKUP($A80,Output_Mac!$A:$A,Output_Mac!H:H,""),
_xlpm.MyAuditVal,_xlfn.XLOOKUP($A80,My_Audit!$A:$A,My_Audit!G:G,""),
_xlfn.IFS(_xlpm.MyAuditVal&lt;&gt;"",_xlpm.MyAuditVal,_xlpm.MacVal&lt;&gt;"",_xlpm.MacVal,_xlpm.CSVVal&lt;&gt;"",_xlpm.CSVVal
)),"")</f>
        <v/>
      </c>
      <c r="I80" s="2" t="str">
        <f>_xlfn.XLOOKUP(A80,Output_Mac!A:A,Output_Mac!I:I,"")</f>
        <v/>
      </c>
      <c r="J80" s="2" t="str" cm="1">
        <f t="array" ref="J80">IFERROR(_xlfn.LET(
_xlpm.CSVVal,_xlfn.XLOOKUP($A80,CSV!$A:$A,CSV!I:I,""),
_xlpm.MacVal,_xlfn.XLOOKUP($A80,Output_Mac!$A:$A,Output_Mac!J:J,""),
_xlpm.MyAuditVal,_xlfn.XLOOKUP($A80,My_Audit!$A:$A,My_Audit!I:I,""),
_xlfn.IFS(_xlpm.MyAuditVal&lt;&gt;"",UPPER(_xlpm.MyAuditVal),_xlpm.MacVal&lt;&gt;"",_xlpm.MacVal,_xlpm.CSVVal&lt;&gt;"",_xlpm.CSVVal
)),"")</f>
        <v/>
      </c>
      <c r="K80" s="2" t="str" cm="1">
        <f t="array" ref="K80">IFERROR(_xlfn.LET(
_xlpm.CSVVal,_xlfn.XLOOKUP($A80,CSV!$A:$A,CSV!K:K,""),
_xlpm.MacVal,_xlfn.XLOOKUP($A80,Output_Mac!$A:$A,Output_Mac!K:K,""),
_xlpm.MyAuditVal,_xlfn.XLOOKUP($A80,My_Audit!$A:$A,My_Audit!J:J,""),
_xlfn.IFS(_xlpm.MyAuditVal&lt;&gt;"",UPPER(_xlpm.MyAuditVal),_xlpm.MacVal&lt;&gt;"",_xlpm.MacVal,_xlpm.CSVVal&lt;&gt;"",_xlpm.CSVVal
)),"")</f>
        <v/>
      </c>
      <c r="L80" s="2" t="str" cm="1">
        <f t="array" ref="L80">IFERROR(_xlfn.LET(
_xlpm.CSVVal,_xlfn.XLOOKUP($A80,CSV!$A:$A,CSV!P:P,""),
_xlpm.MacVal,_xlfn.XLOOKUP($A80,Output_Mac!$A:$A,Output_Mac!L:L,""),
_xlpm.MyAuditVal,_xlfn.XLOOKUP($A80,My_Audit!$A:$A,My_Audit!K:K,""),
_xlfn.IFS(_xlpm.MyAuditVal&lt;&gt;"",UPPER(_xlpm.MyAuditVal),_xlpm.MacVal&lt;&gt;"",_xlpm.MacVal,_xlpm.CSVVal&lt;&gt;"",_xlpm.CSVVal
)),"")</f>
        <v/>
      </c>
      <c r="M80" s="2" t="str" cm="1">
        <f t="array" ref="M80">IFERROR(_xlfn.LET(
_xlpm.CSVVal,_xlfn.XLOOKUP($A80,CSV!$A:$A,CSV!Q:Q,""),
_xlpm.MacVal,_xlfn.XLOOKUP($A80,Output_Mac!$A:$A,Output_Mac!M:M,""),
_xlpm.MyAuditVal,_xlfn.XLOOKUP($A80,My_Audit!$A:$A,My_Audit!L:L,""),
_xlfn.IFS(_xlpm.MyAuditVal&lt;&gt;"",UPPER(_xlpm.MyAuditVal),_xlpm.MacVal&lt;&gt;"",_xlpm.MacVal,_xlpm.CSVVal&lt;&gt;"",_xlpm.CSVVal
)),"")</f>
        <v/>
      </c>
      <c r="O80" s="2" t="str">
        <f>_xlfn.LET(
    _xlpm.CSVVal, _xlfn.XLOOKUP($A80, CSV!$A:$A, CSV!AC:AC, ""),
    _xlpm.MacVal, _xlfn.XLOOKUP($A80, Output_Mac!$A:$A, Output_Mac!S:S, ""),
    _xlpm.MyAuditVal, _xlfn.XLOOKUP($A80, My_Audit!$A:$A, My_Audit!P:P, ""),
    _xlfn.TEXTJOIN(", ", TRUE, _xlpm.MyAuditVal, _xlpm.MacVal, _xlpm.CSVVal)
)</f>
        <v/>
      </c>
      <c r="P80" s="2" t="str" cm="1">
        <f t="array" ref="P80">IFERROR(_xlfn.LET(
_xlpm.CSVVal,_xlfn.XLOOKUP($A80,CSV!$A:$A,CSV!AD:AD,""),
_xlpm.MacVal,_xlfn.XLOOKUP($A80,Output_Mac!$A:$A,Output_Mac!T:T,""),
_xlpm.MyAuditVal,_xlfn.XLOOKUP($A80,My_Audit!$A:$A,My_Audit!Q:Q,""),
_xlfn.IFS(_xlpm.MyAuditVal&lt;&gt;"",UPPER(_xlpm.MyAuditVal),_xlpm.MacVal&lt;&gt;"",_xlpm.MacVal,_xlpm.CSVVal&lt;&gt;"",_xlpm.CSVVal
)),"No")</f>
        <v>No</v>
      </c>
      <c r="Q80" s="2" t="str" cm="1">
        <f t="array" ref="Q80">IFERROR(_xlfn.LET(
_xlpm.CSVVal,_xlfn.XLOOKUP($A80,CSV!$A:$A,CSV!AE:AE,""),
_xlpm.MacVal,_xlfn.XLOOKUP($A80,Output_Mac!$A:$A,Output_Mac!U:U,""),
_xlpm.MyAuditVal,_xlfn.XLOOKUP($A80,My_Audit!$A:$A,My_Audit!R:R,""),
_xlfn.IFS(_xlpm.MyAuditVal&lt;&gt;"",UPPER(_xlpm.MyAuditVal),_xlpm.MacVal&lt;&gt;"",_xlpm.MacVal,_xlpm.CSVVal&lt;&gt;"",_xlpm.CSVVal
)),"")</f>
        <v/>
      </c>
      <c r="X80" t="str">
        <f>_xlfn.LET(
    _xlpm.MacVal, _xlfn.XLOOKUP($A80, Output_Mac!$A:$A, Output_Mac!AB:AB, ""),
    _xlpm.MyAuditVal, _xlfn.XLOOKUP($A80, My_Audit!$A:$A, My_Audit!N:N, ""),
    _xlfn.TEXTJOIN(", ", TRUE, _xlpm.MyAuditVal, _xlpm.MacVal)
)</f>
        <v/>
      </c>
    </row>
    <row r="81" spans="1:24">
      <c r="A81" s="2" t="str">
        <f>_xlfn.TEXTJOIN("",TRUE,Input!$B$2,ROW(My_Audit!A80))</f>
        <v>X80</v>
      </c>
      <c r="B81" s="2" t="str">
        <f>_xlfn.TEXTJOIN("-",TRUE,"ITD",Input!$A$2,A81)</f>
        <v>ITD-SHR-X80</v>
      </c>
      <c r="C81" s="2" t="str" cm="1">
        <f t="array" ref="C81">IFERROR(_xlfn.LET(
_xlpm.CSVVal,_xlfn.XLOOKUP($A81,CSV!$A:$A,CSV!B:B,""),
_xlpm.MacVal,_xlfn.XLOOKUP($A81,Output_Mac!$A:$A,Output_Mac!B:B,""),
_xlpm.MyAuditVal,_xlfn.XLOOKUP($A81,My_Audit!$A:$A,My_Audit!B:B,""),
_xlfn.IFS(_xlpm.MyAuditVal&lt;&gt;"",UPPER(_xlpm.MyAuditVal),_xlpm.MacVal&lt;&gt;"",_xlpm.MacVal,_xlpm.CSVVal&lt;&gt;"",_xlpm.CSVVal
)),"")</f>
        <v/>
      </c>
      <c r="D81" s="2" t="str" cm="1">
        <f t="array" ref="D81">IFERROR(_xlfn.LET(
_xlpm.CSVVal,_xlfn.XLOOKUP($A81,CSV!$A:$A,CSV!D:D,""),
_xlpm.MacVal,_xlfn.XLOOKUP($A81,Output_Mac!$A:$A,Output_Mac!C:C,""),
_xlpm.MyAuditVal,_xlfn.XLOOKUP($A81,My_Audit!$A:$A,My_Audit!C:C,""),
_xlfn.IFS(_xlpm.MyAuditVal&lt;&gt;"",_xlpm.MyAuditVal,_xlpm.MacVal&lt;&gt;"",_xlpm.MacVal,_xlpm.CSVVal&lt;&gt;"",_xlpm.CSVVal
)),"")</f>
        <v/>
      </c>
      <c r="E81" s="2" t="str">
        <f>_xlfn.XLOOKUP(A81,My_Audit!A:A,My_Audit!D:D,"")&amp;""</f>
        <v/>
      </c>
      <c r="F81" s="2" t="str" cm="1">
        <f t="array" ref="F81">IFERROR(_xlfn.LET(
_xlpm.CSVVal,_xlfn.XLOOKUP($A81,CSV!$A:$A,CSV!F:F,""),
_xlpm.MacVal,_xlfn.XLOOKUP($A81,Output_Mac!$A:$A,Output_Mac!E:E,""),
_xlpm.MyAuditVal,_xlfn.XLOOKUP($A81,My_Audit!$A:$A,My_Audit!E:E,""),
_xlfn.IFS(_xlpm.MyAuditVal&lt;&gt;"",_xlpm.MyAuditVal,_xlpm.MacVal&lt;&gt;"",_xlpm.MacVal,_xlpm.CSVVal&lt;&gt;"",_xlpm.CSVVal
)),"")</f>
        <v/>
      </c>
      <c r="G81" s="2" t="str" cm="1">
        <f t="array" ref="G81">IFERROR(_xlfn.LET(
_xlpm.CSVVal,_xlfn.XLOOKUP($A81,CSV!$A:$A,CSV!G:G,""),
_xlpm.MacVal,_xlfn.XLOOKUP($A81,Output_Mac!$A:$A,Output_Mac!F:F,""),
_xlpm.MyAuditVal,_xlfn.XLOOKUP($A81,My_Audit!$A:$A,My_Audit!F:F,""),
_xlfn.IFS(_xlpm.MyAuditVal&lt;&gt;"",_xlpm.MyAuditVal,_xlpm.MacVal&lt;&gt;"",_xlpm.MacVal,_xlpm.CSVVal&lt;&gt;"",PROPER(_xlpm.CSVVal)
)),"")</f>
        <v/>
      </c>
      <c r="H81" s="2" t="str" cm="1">
        <f t="array" ref="H81">IFERROR(_xlfn.LET(
_xlpm.CSVVal,_xlfn.XLOOKUP($A81,CSV!$A:$A,CSV!H:H,""),
_xlpm.MacVal,_xlfn.XLOOKUP($A81,Output_Mac!$A:$A,Output_Mac!H:H,""),
_xlpm.MyAuditVal,_xlfn.XLOOKUP($A81,My_Audit!$A:$A,My_Audit!G:G,""),
_xlfn.IFS(_xlpm.MyAuditVal&lt;&gt;"",_xlpm.MyAuditVal,_xlpm.MacVal&lt;&gt;"",_xlpm.MacVal,_xlpm.CSVVal&lt;&gt;"",_xlpm.CSVVal
)),"")</f>
        <v/>
      </c>
      <c r="I81" s="2" t="str">
        <f>_xlfn.XLOOKUP(A81,Output_Mac!A:A,Output_Mac!I:I,"")</f>
        <v/>
      </c>
      <c r="J81" s="2" t="str" cm="1">
        <f t="array" ref="J81">IFERROR(_xlfn.LET(
_xlpm.CSVVal,_xlfn.XLOOKUP($A81,CSV!$A:$A,CSV!I:I,""),
_xlpm.MacVal,_xlfn.XLOOKUP($A81,Output_Mac!$A:$A,Output_Mac!J:J,""),
_xlpm.MyAuditVal,_xlfn.XLOOKUP($A81,My_Audit!$A:$A,My_Audit!I:I,""),
_xlfn.IFS(_xlpm.MyAuditVal&lt;&gt;"",UPPER(_xlpm.MyAuditVal),_xlpm.MacVal&lt;&gt;"",_xlpm.MacVal,_xlpm.CSVVal&lt;&gt;"",_xlpm.CSVVal
)),"")</f>
        <v/>
      </c>
      <c r="K81" s="2" t="str" cm="1">
        <f t="array" ref="K81">IFERROR(_xlfn.LET(
_xlpm.CSVVal,_xlfn.XLOOKUP($A81,CSV!$A:$A,CSV!K:K,""),
_xlpm.MacVal,_xlfn.XLOOKUP($A81,Output_Mac!$A:$A,Output_Mac!K:K,""),
_xlpm.MyAuditVal,_xlfn.XLOOKUP($A81,My_Audit!$A:$A,My_Audit!J:J,""),
_xlfn.IFS(_xlpm.MyAuditVal&lt;&gt;"",UPPER(_xlpm.MyAuditVal),_xlpm.MacVal&lt;&gt;"",_xlpm.MacVal,_xlpm.CSVVal&lt;&gt;"",_xlpm.CSVVal
)),"")</f>
        <v/>
      </c>
      <c r="L81" s="2" t="str" cm="1">
        <f t="array" ref="L81">IFERROR(_xlfn.LET(
_xlpm.CSVVal,_xlfn.XLOOKUP($A81,CSV!$A:$A,CSV!P:P,""),
_xlpm.MacVal,_xlfn.XLOOKUP($A81,Output_Mac!$A:$A,Output_Mac!L:L,""),
_xlpm.MyAuditVal,_xlfn.XLOOKUP($A81,My_Audit!$A:$A,My_Audit!K:K,""),
_xlfn.IFS(_xlpm.MyAuditVal&lt;&gt;"",UPPER(_xlpm.MyAuditVal),_xlpm.MacVal&lt;&gt;"",_xlpm.MacVal,_xlpm.CSVVal&lt;&gt;"",_xlpm.CSVVal
)),"")</f>
        <v/>
      </c>
      <c r="M81" s="2" t="str" cm="1">
        <f t="array" ref="M81">IFERROR(_xlfn.LET(
_xlpm.CSVVal,_xlfn.XLOOKUP($A81,CSV!$A:$A,CSV!Q:Q,""),
_xlpm.MacVal,_xlfn.XLOOKUP($A81,Output_Mac!$A:$A,Output_Mac!M:M,""),
_xlpm.MyAuditVal,_xlfn.XLOOKUP($A81,My_Audit!$A:$A,My_Audit!L:L,""),
_xlfn.IFS(_xlpm.MyAuditVal&lt;&gt;"",UPPER(_xlpm.MyAuditVal),_xlpm.MacVal&lt;&gt;"",_xlpm.MacVal,_xlpm.CSVVal&lt;&gt;"",_xlpm.CSVVal
)),"")</f>
        <v/>
      </c>
      <c r="O81" s="2" t="str">
        <f>_xlfn.LET(
    _xlpm.CSVVal, _xlfn.XLOOKUP($A81, CSV!$A:$A, CSV!AC:AC, ""),
    _xlpm.MacVal, _xlfn.XLOOKUP($A81, Output_Mac!$A:$A, Output_Mac!S:S, ""),
    _xlpm.MyAuditVal, _xlfn.XLOOKUP($A81, My_Audit!$A:$A, My_Audit!P:P, ""),
    _xlfn.TEXTJOIN(", ", TRUE, _xlpm.MyAuditVal, _xlpm.MacVal, _xlpm.CSVVal)
)</f>
        <v/>
      </c>
      <c r="P81" s="2" t="str" cm="1">
        <f t="array" ref="P81">IFERROR(_xlfn.LET(
_xlpm.CSVVal,_xlfn.XLOOKUP($A81,CSV!$A:$A,CSV!AD:AD,""),
_xlpm.MacVal,_xlfn.XLOOKUP($A81,Output_Mac!$A:$A,Output_Mac!T:T,""),
_xlpm.MyAuditVal,_xlfn.XLOOKUP($A81,My_Audit!$A:$A,My_Audit!Q:Q,""),
_xlfn.IFS(_xlpm.MyAuditVal&lt;&gt;"",UPPER(_xlpm.MyAuditVal),_xlpm.MacVal&lt;&gt;"",_xlpm.MacVal,_xlpm.CSVVal&lt;&gt;"",_xlpm.CSVVal
)),"No")</f>
        <v>No</v>
      </c>
      <c r="Q81" s="2" t="str" cm="1">
        <f t="array" ref="Q81">IFERROR(_xlfn.LET(
_xlpm.CSVVal,_xlfn.XLOOKUP($A81,CSV!$A:$A,CSV!AE:AE,""),
_xlpm.MacVal,_xlfn.XLOOKUP($A81,Output_Mac!$A:$A,Output_Mac!U:U,""),
_xlpm.MyAuditVal,_xlfn.XLOOKUP($A81,My_Audit!$A:$A,My_Audit!R:R,""),
_xlfn.IFS(_xlpm.MyAuditVal&lt;&gt;"",UPPER(_xlpm.MyAuditVal),_xlpm.MacVal&lt;&gt;"",_xlpm.MacVal,_xlpm.CSVVal&lt;&gt;"",_xlpm.CSVVal
)),"")</f>
        <v/>
      </c>
      <c r="X81" t="str">
        <f>_xlfn.LET(
    _xlpm.MacVal, _xlfn.XLOOKUP($A81, Output_Mac!$A:$A, Output_Mac!AB:AB, ""),
    _xlpm.MyAuditVal, _xlfn.XLOOKUP($A81, My_Audit!$A:$A, My_Audit!N:N, ""),
    _xlfn.TEXTJOIN(", ", TRUE, _xlpm.MyAuditVal, _xlpm.MacVal)
)</f>
        <v/>
      </c>
    </row>
    <row r="82" spans="1:24">
      <c r="A82" s="2" t="str">
        <f>_xlfn.TEXTJOIN("",TRUE,Input!$B$2,ROW(My_Audit!A81))</f>
        <v>X81</v>
      </c>
      <c r="B82" s="2" t="str">
        <f>_xlfn.TEXTJOIN("-",TRUE,"ITD",Input!$A$2,A82)</f>
        <v>ITD-SHR-X81</v>
      </c>
      <c r="C82" s="2" t="str" cm="1">
        <f t="array" ref="C82">IFERROR(_xlfn.LET(
_xlpm.CSVVal,_xlfn.XLOOKUP($A82,CSV!$A:$A,CSV!B:B,""),
_xlpm.MacVal,_xlfn.XLOOKUP($A82,Output_Mac!$A:$A,Output_Mac!B:B,""),
_xlpm.MyAuditVal,_xlfn.XLOOKUP($A82,My_Audit!$A:$A,My_Audit!B:B,""),
_xlfn.IFS(_xlpm.MyAuditVal&lt;&gt;"",UPPER(_xlpm.MyAuditVal),_xlpm.MacVal&lt;&gt;"",_xlpm.MacVal,_xlpm.CSVVal&lt;&gt;"",_xlpm.CSVVal
)),"")</f>
        <v/>
      </c>
      <c r="D82" s="2" t="str" cm="1">
        <f t="array" ref="D82">IFERROR(_xlfn.LET(
_xlpm.CSVVal,_xlfn.XLOOKUP($A82,CSV!$A:$A,CSV!D:D,""),
_xlpm.MacVal,_xlfn.XLOOKUP($A82,Output_Mac!$A:$A,Output_Mac!C:C,""),
_xlpm.MyAuditVal,_xlfn.XLOOKUP($A82,My_Audit!$A:$A,My_Audit!C:C,""),
_xlfn.IFS(_xlpm.MyAuditVal&lt;&gt;"",_xlpm.MyAuditVal,_xlpm.MacVal&lt;&gt;"",_xlpm.MacVal,_xlpm.CSVVal&lt;&gt;"",_xlpm.CSVVal
)),"")</f>
        <v/>
      </c>
      <c r="E82" s="2" t="str">
        <f>_xlfn.XLOOKUP(A82,My_Audit!A:A,My_Audit!D:D,"")&amp;""</f>
        <v/>
      </c>
      <c r="F82" s="2" t="str" cm="1">
        <f t="array" ref="F82">IFERROR(_xlfn.LET(
_xlpm.CSVVal,_xlfn.XLOOKUP($A82,CSV!$A:$A,CSV!F:F,""),
_xlpm.MacVal,_xlfn.XLOOKUP($A82,Output_Mac!$A:$A,Output_Mac!E:E,""),
_xlpm.MyAuditVal,_xlfn.XLOOKUP($A82,My_Audit!$A:$A,My_Audit!E:E,""),
_xlfn.IFS(_xlpm.MyAuditVal&lt;&gt;"",_xlpm.MyAuditVal,_xlpm.MacVal&lt;&gt;"",_xlpm.MacVal,_xlpm.CSVVal&lt;&gt;"",_xlpm.CSVVal
)),"")</f>
        <v/>
      </c>
      <c r="G82" s="2" t="str" cm="1">
        <f t="array" ref="G82">IFERROR(_xlfn.LET(
_xlpm.CSVVal,_xlfn.XLOOKUP($A82,CSV!$A:$A,CSV!G:G,""),
_xlpm.MacVal,_xlfn.XLOOKUP($A82,Output_Mac!$A:$A,Output_Mac!F:F,""),
_xlpm.MyAuditVal,_xlfn.XLOOKUP($A82,My_Audit!$A:$A,My_Audit!F:F,""),
_xlfn.IFS(_xlpm.MyAuditVal&lt;&gt;"",_xlpm.MyAuditVal,_xlpm.MacVal&lt;&gt;"",_xlpm.MacVal,_xlpm.CSVVal&lt;&gt;"",PROPER(_xlpm.CSVVal)
)),"")</f>
        <v/>
      </c>
      <c r="H82" s="2" t="str" cm="1">
        <f t="array" ref="H82">IFERROR(_xlfn.LET(
_xlpm.CSVVal,_xlfn.XLOOKUP($A82,CSV!$A:$A,CSV!H:H,""),
_xlpm.MacVal,_xlfn.XLOOKUP($A82,Output_Mac!$A:$A,Output_Mac!H:H,""),
_xlpm.MyAuditVal,_xlfn.XLOOKUP($A82,My_Audit!$A:$A,My_Audit!G:G,""),
_xlfn.IFS(_xlpm.MyAuditVal&lt;&gt;"",_xlpm.MyAuditVal,_xlpm.MacVal&lt;&gt;"",_xlpm.MacVal,_xlpm.CSVVal&lt;&gt;"",_xlpm.CSVVal
)),"")</f>
        <v/>
      </c>
      <c r="I82" s="2" t="str">
        <f>_xlfn.XLOOKUP(A82,Output_Mac!A:A,Output_Mac!I:I,"")</f>
        <v/>
      </c>
      <c r="J82" s="2" t="str" cm="1">
        <f t="array" ref="J82">IFERROR(_xlfn.LET(
_xlpm.CSVVal,_xlfn.XLOOKUP($A82,CSV!$A:$A,CSV!I:I,""),
_xlpm.MacVal,_xlfn.XLOOKUP($A82,Output_Mac!$A:$A,Output_Mac!J:J,""),
_xlpm.MyAuditVal,_xlfn.XLOOKUP($A82,My_Audit!$A:$A,My_Audit!I:I,""),
_xlfn.IFS(_xlpm.MyAuditVal&lt;&gt;"",UPPER(_xlpm.MyAuditVal),_xlpm.MacVal&lt;&gt;"",_xlpm.MacVal,_xlpm.CSVVal&lt;&gt;"",_xlpm.CSVVal
)),"")</f>
        <v/>
      </c>
      <c r="K82" s="2" t="str" cm="1">
        <f t="array" ref="K82">IFERROR(_xlfn.LET(
_xlpm.CSVVal,_xlfn.XLOOKUP($A82,CSV!$A:$A,CSV!K:K,""),
_xlpm.MacVal,_xlfn.XLOOKUP($A82,Output_Mac!$A:$A,Output_Mac!K:K,""),
_xlpm.MyAuditVal,_xlfn.XLOOKUP($A82,My_Audit!$A:$A,My_Audit!J:J,""),
_xlfn.IFS(_xlpm.MyAuditVal&lt;&gt;"",UPPER(_xlpm.MyAuditVal),_xlpm.MacVal&lt;&gt;"",_xlpm.MacVal,_xlpm.CSVVal&lt;&gt;"",_xlpm.CSVVal
)),"")</f>
        <v/>
      </c>
      <c r="L82" s="2" t="str" cm="1">
        <f t="array" ref="L82">IFERROR(_xlfn.LET(
_xlpm.CSVVal,_xlfn.XLOOKUP($A82,CSV!$A:$A,CSV!P:P,""),
_xlpm.MacVal,_xlfn.XLOOKUP($A82,Output_Mac!$A:$A,Output_Mac!L:L,""),
_xlpm.MyAuditVal,_xlfn.XLOOKUP($A82,My_Audit!$A:$A,My_Audit!K:K,""),
_xlfn.IFS(_xlpm.MyAuditVal&lt;&gt;"",UPPER(_xlpm.MyAuditVal),_xlpm.MacVal&lt;&gt;"",_xlpm.MacVal,_xlpm.CSVVal&lt;&gt;"",_xlpm.CSVVal
)),"")</f>
        <v/>
      </c>
      <c r="M82" s="2" t="str" cm="1">
        <f t="array" ref="M82">IFERROR(_xlfn.LET(
_xlpm.CSVVal,_xlfn.XLOOKUP($A82,CSV!$A:$A,CSV!Q:Q,""),
_xlpm.MacVal,_xlfn.XLOOKUP($A82,Output_Mac!$A:$A,Output_Mac!M:M,""),
_xlpm.MyAuditVal,_xlfn.XLOOKUP($A82,My_Audit!$A:$A,My_Audit!L:L,""),
_xlfn.IFS(_xlpm.MyAuditVal&lt;&gt;"",UPPER(_xlpm.MyAuditVal),_xlpm.MacVal&lt;&gt;"",_xlpm.MacVal,_xlpm.CSVVal&lt;&gt;"",_xlpm.CSVVal
)),"")</f>
        <v/>
      </c>
      <c r="O82" s="2" t="str">
        <f>_xlfn.LET(
    _xlpm.CSVVal, _xlfn.XLOOKUP($A82, CSV!$A:$A, CSV!AC:AC, ""),
    _xlpm.MacVal, _xlfn.XLOOKUP($A82, Output_Mac!$A:$A, Output_Mac!S:S, ""),
    _xlpm.MyAuditVal, _xlfn.XLOOKUP($A82, My_Audit!$A:$A, My_Audit!P:P, ""),
    _xlfn.TEXTJOIN(", ", TRUE, _xlpm.MyAuditVal, _xlpm.MacVal, _xlpm.CSVVal)
)</f>
        <v/>
      </c>
      <c r="P82" s="2" t="str" cm="1">
        <f t="array" ref="P82">IFERROR(_xlfn.LET(
_xlpm.CSVVal,_xlfn.XLOOKUP($A82,CSV!$A:$A,CSV!AD:AD,""),
_xlpm.MacVal,_xlfn.XLOOKUP($A82,Output_Mac!$A:$A,Output_Mac!T:T,""),
_xlpm.MyAuditVal,_xlfn.XLOOKUP($A82,My_Audit!$A:$A,My_Audit!Q:Q,""),
_xlfn.IFS(_xlpm.MyAuditVal&lt;&gt;"",UPPER(_xlpm.MyAuditVal),_xlpm.MacVal&lt;&gt;"",_xlpm.MacVal,_xlpm.CSVVal&lt;&gt;"",_xlpm.CSVVal
)),"No")</f>
        <v>No</v>
      </c>
      <c r="Q82" s="2" t="str" cm="1">
        <f t="array" ref="Q82">IFERROR(_xlfn.LET(
_xlpm.CSVVal,_xlfn.XLOOKUP($A82,CSV!$A:$A,CSV!AE:AE,""),
_xlpm.MacVal,_xlfn.XLOOKUP($A82,Output_Mac!$A:$A,Output_Mac!U:U,""),
_xlpm.MyAuditVal,_xlfn.XLOOKUP($A82,My_Audit!$A:$A,My_Audit!R:R,""),
_xlfn.IFS(_xlpm.MyAuditVal&lt;&gt;"",UPPER(_xlpm.MyAuditVal),_xlpm.MacVal&lt;&gt;"",_xlpm.MacVal,_xlpm.CSVVal&lt;&gt;"",_xlpm.CSVVal
)),"")</f>
        <v/>
      </c>
      <c r="X82" t="str">
        <f>_xlfn.LET(
    _xlpm.MacVal, _xlfn.XLOOKUP($A82, Output_Mac!$A:$A, Output_Mac!AB:AB, ""),
    _xlpm.MyAuditVal, _xlfn.XLOOKUP($A82, My_Audit!$A:$A, My_Audit!N:N, ""),
    _xlfn.TEXTJOIN(", ", TRUE, _xlpm.MyAuditVal, _xlpm.MacVal)
)</f>
        <v/>
      </c>
    </row>
    <row r="83" spans="1:24">
      <c r="A83" s="2" t="str">
        <f>_xlfn.TEXTJOIN("",TRUE,Input!$B$2,ROW(My_Audit!A82))</f>
        <v>X82</v>
      </c>
      <c r="B83" s="2" t="str">
        <f>_xlfn.TEXTJOIN("-",TRUE,"ITD",Input!$A$2,A83)</f>
        <v>ITD-SHR-X82</v>
      </c>
      <c r="C83" s="2" t="str" cm="1">
        <f t="array" ref="C83">IFERROR(_xlfn.LET(
_xlpm.CSVVal,_xlfn.XLOOKUP($A83,CSV!$A:$A,CSV!B:B,""),
_xlpm.MacVal,_xlfn.XLOOKUP($A83,Output_Mac!$A:$A,Output_Mac!B:B,""),
_xlpm.MyAuditVal,_xlfn.XLOOKUP($A83,My_Audit!$A:$A,My_Audit!B:B,""),
_xlfn.IFS(_xlpm.MyAuditVal&lt;&gt;"",UPPER(_xlpm.MyAuditVal),_xlpm.MacVal&lt;&gt;"",_xlpm.MacVal,_xlpm.CSVVal&lt;&gt;"",_xlpm.CSVVal
)),"")</f>
        <v/>
      </c>
      <c r="D83" s="2" t="str" cm="1">
        <f t="array" ref="D83">IFERROR(_xlfn.LET(
_xlpm.CSVVal,_xlfn.XLOOKUP($A83,CSV!$A:$A,CSV!D:D,""),
_xlpm.MacVal,_xlfn.XLOOKUP($A83,Output_Mac!$A:$A,Output_Mac!C:C,""),
_xlpm.MyAuditVal,_xlfn.XLOOKUP($A83,My_Audit!$A:$A,My_Audit!C:C,""),
_xlfn.IFS(_xlpm.MyAuditVal&lt;&gt;"",_xlpm.MyAuditVal,_xlpm.MacVal&lt;&gt;"",_xlpm.MacVal,_xlpm.CSVVal&lt;&gt;"",_xlpm.CSVVal
)),"")</f>
        <v/>
      </c>
      <c r="E83" s="2" t="str">
        <f>_xlfn.XLOOKUP(A83,My_Audit!A:A,My_Audit!D:D,"")&amp;""</f>
        <v/>
      </c>
      <c r="F83" s="2" t="str" cm="1">
        <f t="array" ref="F83">IFERROR(_xlfn.LET(
_xlpm.CSVVal,_xlfn.XLOOKUP($A83,CSV!$A:$A,CSV!F:F,""),
_xlpm.MacVal,_xlfn.XLOOKUP($A83,Output_Mac!$A:$A,Output_Mac!E:E,""),
_xlpm.MyAuditVal,_xlfn.XLOOKUP($A83,My_Audit!$A:$A,My_Audit!E:E,""),
_xlfn.IFS(_xlpm.MyAuditVal&lt;&gt;"",_xlpm.MyAuditVal,_xlpm.MacVal&lt;&gt;"",_xlpm.MacVal,_xlpm.CSVVal&lt;&gt;"",_xlpm.CSVVal
)),"")</f>
        <v/>
      </c>
      <c r="G83" s="2" t="str" cm="1">
        <f t="array" ref="G83">IFERROR(_xlfn.LET(
_xlpm.CSVVal,_xlfn.XLOOKUP($A83,CSV!$A:$A,CSV!G:G,""),
_xlpm.MacVal,_xlfn.XLOOKUP($A83,Output_Mac!$A:$A,Output_Mac!F:F,""),
_xlpm.MyAuditVal,_xlfn.XLOOKUP($A83,My_Audit!$A:$A,My_Audit!F:F,""),
_xlfn.IFS(_xlpm.MyAuditVal&lt;&gt;"",_xlpm.MyAuditVal,_xlpm.MacVal&lt;&gt;"",_xlpm.MacVal,_xlpm.CSVVal&lt;&gt;"",PROPER(_xlpm.CSVVal)
)),"")</f>
        <v/>
      </c>
      <c r="H83" s="2" t="str" cm="1">
        <f t="array" ref="H83">IFERROR(_xlfn.LET(
_xlpm.CSVVal,_xlfn.XLOOKUP($A83,CSV!$A:$A,CSV!H:H,""),
_xlpm.MacVal,_xlfn.XLOOKUP($A83,Output_Mac!$A:$A,Output_Mac!H:H,""),
_xlpm.MyAuditVal,_xlfn.XLOOKUP($A83,My_Audit!$A:$A,My_Audit!G:G,""),
_xlfn.IFS(_xlpm.MyAuditVal&lt;&gt;"",_xlpm.MyAuditVal,_xlpm.MacVal&lt;&gt;"",_xlpm.MacVal,_xlpm.CSVVal&lt;&gt;"",_xlpm.CSVVal
)),"")</f>
        <v/>
      </c>
      <c r="I83" s="2" t="str">
        <f>_xlfn.XLOOKUP(A83,Output_Mac!A:A,Output_Mac!I:I,"")</f>
        <v/>
      </c>
      <c r="J83" s="2" t="str" cm="1">
        <f t="array" ref="J83">IFERROR(_xlfn.LET(
_xlpm.CSVVal,_xlfn.XLOOKUP($A83,CSV!$A:$A,CSV!I:I,""),
_xlpm.MacVal,_xlfn.XLOOKUP($A83,Output_Mac!$A:$A,Output_Mac!J:J,""),
_xlpm.MyAuditVal,_xlfn.XLOOKUP($A83,My_Audit!$A:$A,My_Audit!I:I,""),
_xlfn.IFS(_xlpm.MyAuditVal&lt;&gt;"",UPPER(_xlpm.MyAuditVal),_xlpm.MacVal&lt;&gt;"",_xlpm.MacVal,_xlpm.CSVVal&lt;&gt;"",_xlpm.CSVVal
)),"")</f>
        <v/>
      </c>
      <c r="K83" s="2" t="str" cm="1">
        <f t="array" ref="K83">IFERROR(_xlfn.LET(
_xlpm.CSVVal,_xlfn.XLOOKUP($A83,CSV!$A:$A,CSV!K:K,""),
_xlpm.MacVal,_xlfn.XLOOKUP($A83,Output_Mac!$A:$A,Output_Mac!K:K,""),
_xlpm.MyAuditVal,_xlfn.XLOOKUP($A83,My_Audit!$A:$A,My_Audit!J:J,""),
_xlfn.IFS(_xlpm.MyAuditVal&lt;&gt;"",UPPER(_xlpm.MyAuditVal),_xlpm.MacVal&lt;&gt;"",_xlpm.MacVal,_xlpm.CSVVal&lt;&gt;"",_xlpm.CSVVal
)),"")</f>
        <v/>
      </c>
      <c r="L83" s="2" t="str" cm="1">
        <f t="array" ref="L83">IFERROR(_xlfn.LET(
_xlpm.CSVVal,_xlfn.XLOOKUP($A83,CSV!$A:$A,CSV!P:P,""),
_xlpm.MacVal,_xlfn.XLOOKUP($A83,Output_Mac!$A:$A,Output_Mac!L:L,""),
_xlpm.MyAuditVal,_xlfn.XLOOKUP($A83,My_Audit!$A:$A,My_Audit!K:K,""),
_xlfn.IFS(_xlpm.MyAuditVal&lt;&gt;"",UPPER(_xlpm.MyAuditVal),_xlpm.MacVal&lt;&gt;"",_xlpm.MacVal,_xlpm.CSVVal&lt;&gt;"",_xlpm.CSVVal
)),"")</f>
        <v/>
      </c>
      <c r="M83" s="2" t="str" cm="1">
        <f t="array" ref="M83">IFERROR(_xlfn.LET(
_xlpm.CSVVal,_xlfn.XLOOKUP($A83,CSV!$A:$A,CSV!Q:Q,""),
_xlpm.MacVal,_xlfn.XLOOKUP($A83,Output_Mac!$A:$A,Output_Mac!M:M,""),
_xlpm.MyAuditVal,_xlfn.XLOOKUP($A83,My_Audit!$A:$A,My_Audit!L:L,""),
_xlfn.IFS(_xlpm.MyAuditVal&lt;&gt;"",UPPER(_xlpm.MyAuditVal),_xlpm.MacVal&lt;&gt;"",_xlpm.MacVal,_xlpm.CSVVal&lt;&gt;"",_xlpm.CSVVal
)),"")</f>
        <v/>
      </c>
      <c r="O83" s="2" t="str">
        <f>_xlfn.LET(
    _xlpm.CSVVal, _xlfn.XLOOKUP($A83, CSV!$A:$A, CSV!AC:AC, ""),
    _xlpm.MacVal, _xlfn.XLOOKUP($A83, Output_Mac!$A:$A, Output_Mac!S:S, ""),
    _xlpm.MyAuditVal, _xlfn.XLOOKUP($A83, My_Audit!$A:$A, My_Audit!P:P, ""),
    _xlfn.TEXTJOIN(", ", TRUE, _xlpm.MyAuditVal, _xlpm.MacVal, _xlpm.CSVVal)
)</f>
        <v/>
      </c>
      <c r="P83" s="2" t="str" cm="1">
        <f t="array" ref="P83">IFERROR(_xlfn.LET(
_xlpm.CSVVal,_xlfn.XLOOKUP($A83,CSV!$A:$A,CSV!AD:AD,""),
_xlpm.MacVal,_xlfn.XLOOKUP($A83,Output_Mac!$A:$A,Output_Mac!T:T,""),
_xlpm.MyAuditVal,_xlfn.XLOOKUP($A83,My_Audit!$A:$A,My_Audit!Q:Q,""),
_xlfn.IFS(_xlpm.MyAuditVal&lt;&gt;"",UPPER(_xlpm.MyAuditVal),_xlpm.MacVal&lt;&gt;"",_xlpm.MacVal,_xlpm.CSVVal&lt;&gt;"",_xlpm.CSVVal
)),"No")</f>
        <v>No</v>
      </c>
      <c r="Q83" s="2" t="str" cm="1">
        <f t="array" ref="Q83">IFERROR(_xlfn.LET(
_xlpm.CSVVal,_xlfn.XLOOKUP($A83,CSV!$A:$A,CSV!AE:AE,""),
_xlpm.MacVal,_xlfn.XLOOKUP($A83,Output_Mac!$A:$A,Output_Mac!U:U,""),
_xlpm.MyAuditVal,_xlfn.XLOOKUP($A83,My_Audit!$A:$A,My_Audit!R:R,""),
_xlfn.IFS(_xlpm.MyAuditVal&lt;&gt;"",UPPER(_xlpm.MyAuditVal),_xlpm.MacVal&lt;&gt;"",_xlpm.MacVal,_xlpm.CSVVal&lt;&gt;"",_xlpm.CSVVal
)),"")</f>
        <v/>
      </c>
      <c r="X83" t="str">
        <f>_xlfn.LET(
    _xlpm.MacVal, _xlfn.XLOOKUP($A83, Output_Mac!$A:$A, Output_Mac!AB:AB, ""),
    _xlpm.MyAuditVal, _xlfn.XLOOKUP($A83, My_Audit!$A:$A, My_Audit!N:N, ""),
    _xlfn.TEXTJOIN(", ", TRUE, _xlpm.MyAuditVal, _xlpm.MacVal)
)</f>
        <v/>
      </c>
    </row>
    <row r="84" spans="1:24">
      <c r="A84" s="2" t="str">
        <f>_xlfn.TEXTJOIN("",TRUE,Input!$B$2,ROW(My_Audit!A83))</f>
        <v>X83</v>
      </c>
      <c r="B84" s="2" t="str">
        <f>_xlfn.TEXTJOIN("-",TRUE,"ITD",Input!$A$2,A84)</f>
        <v>ITD-SHR-X83</v>
      </c>
      <c r="C84" s="2" t="str" cm="1">
        <f t="array" ref="C84">IFERROR(_xlfn.LET(
_xlpm.CSVVal,_xlfn.XLOOKUP($A84,CSV!$A:$A,CSV!B:B,""),
_xlpm.MacVal,_xlfn.XLOOKUP($A84,Output_Mac!$A:$A,Output_Mac!B:B,""),
_xlpm.MyAuditVal,_xlfn.XLOOKUP($A84,My_Audit!$A:$A,My_Audit!B:B,""),
_xlfn.IFS(_xlpm.MyAuditVal&lt;&gt;"",UPPER(_xlpm.MyAuditVal),_xlpm.MacVal&lt;&gt;"",_xlpm.MacVal,_xlpm.CSVVal&lt;&gt;"",_xlpm.CSVVal
)),"")</f>
        <v/>
      </c>
      <c r="D84" s="2" t="str" cm="1">
        <f t="array" ref="D84">IFERROR(_xlfn.LET(
_xlpm.CSVVal,_xlfn.XLOOKUP($A84,CSV!$A:$A,CSV!D:D,""),
_xlpm.MacVal,_xlfn.XLOOKUP($A84,Output_Mac!$A:$A,Output_Mac!C:C,""),
_xlpm.MyAuditVal,_xlfn.XLOOKUP($A84,My_Audit!$A:$A,My_Audit!C:C,""),
_xlfn.IFS(_xlpm.MyAuditVal&lt;&gt;"",_xlpm.MyAuditVal,_xlpm.MacVal&lt;&gt;"",_xlpm.MacVal,_xlpm.CSVVal&lt;&gt;"",_xlpm.CSVVal
)),"")</f>
        <v/>
      </c>
      <c r="E84" s="2" t="str">
        <f>_xlfn.XLOOKUP(A84,My_Audit!A:A,My_Audit!D:D,"")&amp;""</f>
        <v/>
      </c>
      <c r="F84" s="2" t="str" cm="1">
        <f t="array" ref="F84">IFERROR(_xlfn.LET(
_xlpm.CSVVal,_xlfn.XLOOKUP($A84,CSV!$A:$A,CSV!F:F,""),
_xlpm.MacVal,_xlfn.XLOOKUP($A84,Output_Mac!$A:$A,Output_Mac!E:E,""),
_xlpm.MyAuditVal,_xlfn.XLOOKUP($A84,My_Audit!$A:$A,My_Audit!E:E,""),
_xlfn.IFS(_xlpm.MyAuditVal&lt;&gt;"",_xlpm.MyAuditVal,_xlpm.MacVal&lt;&gt;"",_xlpm.MacVal,_xlpm.CSVVal&lt;&gt;"",_xlpm.CSVVal
)),"")</f>
        <v/>
      </c>
      <c r="G84" s="2" t="str" cm="1">
        <f t="array" ref="G84">IFERROR(_xlfn.LET(
_xlpm.CSVVal,_xlfn.XLOOKUP($A84,CSV!$A:$A,CSV!G:G,""),
_xlpm.MacVal,_xlfn.XLOOKUP($A84,Output_Mac!$A:$A,Output_Mac!F:F,""),
_xlpm.MyAuditVal,_xlfn.XLOOKUP($A84,My_Audit!$A:$A,My_Audit!F:F,""),
_xlfn.IFS(_xlpm.MyAuditVal&lt;&gt;"",_xlpm.MyAuditVal,_xlpm.MacVal&lt;&gt;"",_xlpm.MacVal,_xlpm.CSVVal&lt;&gt;"",PROPER(_xlpm.CSVVal)
)),"")</f>
        <v/>
      </c>
      <c r="H84" s="2" t="str" cm="1">
        <f t="array" ref="H84">IFERROR(_xlfn.LET(
_xlpm.CSVVal,_xlfn.XLOOKUP($A84,CSV!$A:$A,CSV!H:H,""),
_xlpm.MacVal,_xlfn.XLOOKUP($A84,Output_Mac!$A:$A,Output_Mac!H:H,""),
_xlpm.MyAuditVal,_xlfn.XLOOKUP($A84,My_Audit!$A:$A,My_Audit!G:G,""),
_xlfn.IFS(_xlpm.MyAuditVal&lt;&gt;"",_xlpm.MyAuditVal,_xlpm.MacVal&lt;&gt;"",_xlpm.MacVal,_xlpm.CSVVal&lt;&gt;"",_xlpm.CSVVal
)),"")</f>
        <v/>
      </c>
      <c r="I84" s="2" t="str">
        <f>_xlfn.XLOOKUP(A84,Output_Mac!A:A,Output_Mac!I:I,"")</f>
        <v/>
      </c>
      <c r="J84" s="2" t="str" cm="1">
        <f t="array" ref="J84">IFERROR(_xlfn.LET(
_xlpm.CSVVal,_xlfn.XLOOKUP($A84,CSV!$A:$A,CSV!I:I,""),
_xlpm.MacVal,_xlfn.XLOOKUP($A84,Output_Mac!$A:$A,Output_Mac!J:J,""),
_xlpm.MyAuditVal,_xlfn.XLOOKUP($A84,My_Audit!$A:$A,My_Audit!I:I,""),
_xlfn.IFS(_xlpm.MyAuditVal&lt;&gt;"",UPPER(_xlpm.MyAuditVal),_xlpm.MacVal&lt;&gt;"",_xlpm.MacVal,_xlpm.CSVVal&lt;&gt;"",_xlpm.CSVVal
)),"")</f>
        <v/>
      </c>
      <c r="K84" s="2" t="str" cm="1">
        <f t="array" ref="K84">IFERROR(_xlfn.LET(
_xlpm.CSVVal,_xlfn.XLOOKUP($A84,CSV!$A:$A,CSV!K:K,""),
_xlpm.MacVal,_xlfn.XLOOKUP($A84,Output_Mac!$A:$A,Output_Mac!K:K,""),
_xlpm.MyAuditVal,_xlfn.XLOOKUP($A84,My_Audit!$A:$A,My_Audit!J:J,""),
_xlfn.IFS(_xlpm.MyAuditVal&lt;&gt;"",UPPER(_xlpm.MyAuditVal),_xlpm.MacVal&lt;&gt;"",_xlpm.MacVal,_xlpm.CSVVal&lt;&gt;"",_xlpm.CSVVal
)),"")</f>
        <v/>
      </c>
      <c r="L84" s="2" t="str" cm="1">
        <f t="array" ref="L84">IFERROR(_xlfn.LET(
_xlpm.CSVVal,_xlfn.XLOOKUP($A84,CSV!$A:$A,CSV!P:P,""),
_xlpm.MacVal,_xlfn.XLOOKUP($A84,Output_Mac!$A:$A,Output_Mac!L:L,""),
_xlpm.MyAuditVal,_xlfn.XLOOKUP($A84,My_Audit!$A:$A,My_Audit!K:K,""),
_xlfn.IFS(_xlpm.MyAuditVal&lt;&gt;"",UPPER(_xlpm.MyAuditVal),_xlpm.MacVal&lt;&gt;"",_xlpm.MacVal,_xlpm.CSVVal&lt;&gt;"",_xlpm.CSVVal
)),"")</f>
        <v/>
      </c>
      <c r="M84" s="2" t="str" cm="1">
        <f t="array" ref="M84">IFERROR(_xlfn.LET(
_xlpm.CSVVal,_xlfn.XLOOKUP($A84,CSV!$A:$A,CSV!Q:Q,""),
_xlpm.MacVal,_xlfn.XLOOKUP($A84,Output_Mac!$A:$A,Output_Mac!M:M,""),
_xlpm.MyAuditVal,_xlfn.XLOOKUP($A84,My_Audit!$A:$A,My_Audit!L:L,""),
_xlfn.IFS(_xlpm.MyAuditVal&lt;&gt;"",UPPER(_xlpm.MyAuditVal),_xlpm.MacVal&lt;&gt;"",_xlpm.MacVal,_xlpm.CSVVal&lt;&gt;"",_xlpm.CSVVal
)),"")</f>
        <v/>
      </c>
      <c r="O84" s="2" t="str">
        <f>_xlfn.LET(
    _xlpm.CSVVal, _xlfn.XLOOKUP($A84, CSV!$A:$A, CSV!AC:AC, ""),
    _xlpm.MacVal, _xlfn.XLOOKUP($A84, Output_Mac!$A:$A, Output_Mac!S:S, ""),
    _xlpm.MyAuditVal, _xlfn.XLOOKUP($A84, My_Audit!$A:$A, My_Audit!P:P, ""),
    _xlfn.TEXTJOIN(", ", TRUE, _xlpm.MyAuditVal, _xlpm.MacVal, _xlpm.CSVVal)
)</f>
        <v/>
      </c>
      <c r="P84" s="2" t="str" cm="1">
        <f t="array" ref="P84">IFERROR(_xlfn.LET(
_xlpm.CSVVal,_xlfn.XLOOKUP($A84,CSV!$A:$A,CSV!AD:AD,""),
_xlpm.MacVal,_xlfn.XLOOKUP($A84,Output_Mac!$A:$A,Output_Mac!T:T,""),
_xlpm.MyAuditVal,_xlfn.XLOOKUP($A84,My_Audit!$A:$A,My_Audit!Q:Q,""),
_xlfn.IFS(_xlpm.MyAuditVal&lt;&gt;"",UPPER(_xlpm.MyAuditVal),_xlpm.MacVal&lt;&gt;"",_xlpm.MacVal,_xlpm.CSVVal&lt;&gt;"",_xlpm.CSVVal
)),"No")</f>
        <v>No</v>
      </c>
      <c r="Q84" s="2" t="str" cm="1">
        <f t="array" ref="Q84">IFERROR(_xlfn.LET(
_xlpm.CSVVal,_xlfn.XLOOKUP($A84,CSV!$A:$A,CSV!AE:AE,""),
_xlpm.MacVal,_xlfn.XLOOKUP($A84,Output_Mac!$A:$A,Output_Mac!U:U,""),
_xlpm.MyAuditVal,_xlfn.XLOOKUP($A84,My_Audit!$A:$A,My_Audit!R:R,""),
_xlfn.IFS(_xlpm.MyAuditVal&lt;&gt;"",UPPER(_xlpm.MyAuditVal),_xlpm.MacVal&lt;&gt;"",_xlpm.MacVal,_xlpm.CSVVal&lt;&gt;"",_xlpm.CSVVal
)),"")</f>
        <v/>
      </c>
      <c r="X84" t="str">
        <f>_xlfn.LET(
    _xlpm.MacVal, _xlfn.XLOOKUP($A84, Output_Mac!$A:$A, Output_Mac!AB:AB, ""),
    _xlpm.MyAuditVal, _xlfn.XLOOKUP($A84, My_Audit!$A:$A, My_Audit!N:N, ""),
    _xlfn.TEXTJOIN(", ", TRUE, _xlpm.MyAuditVal, _xlpm.MacVal)
)</f>
        <v/>
      </c>
    </row>
    <row r="85" spans="1:24">
      <c r="A85" s="2" t="str">
        <f>_xlfn.TEXTJOIN("",TRUE,Input!$B$2,ROW(My_Audit!A84))</f>
        <v>X84</v>
      </c>
      <c r="B85" s="2" t="str">
        <f>_xlfn.TEXTJOIN("-",TRUE,"ITD",Input!$A$2,A85)</f>
        <v>ITD-SHR-X84</v>
      </c>
      <c r="C85" s="2" t="str" cm="1">
        <f t="array" ref="C85">IFERROR(_xlfn.LET(
_xlpm.CSVVal,_xlfn.XLOOKUP($A85,CSV!$A:$A,CSV!B:B,""),
_xlpm.MacVal,_xlfn.XLOOKUP($A85,Output_Mac!$A:$A,Output_Mac!B:B,""),
_xlpm.MyAuditVal,_xlfn.XLOOKUP($A85,My_Audit!$A:$A,My_Audit!B:B,""),
_xlfn.IFS(_xlpm.MyAuditVal&lt;&gt;"",UPPER(_xlpm.MyAuditVal),_xlpm.MacVal&lt;&gt;"",_xlpm.MacVal,_xlpm.CSVVal&lt;&gt;"",_xlpm.CSVVal
)),"")</f>
        <v/>
      </c>
      <c r="D85" s="2" t="str" cm="1">
        <f t="array" ref="D85">IFERROR(_xlfn.LET(
_xlpm.CSVVal,_xlfn.XLOOKUP($A85,CSV!$A:$A,CSV!D:D,""),
_xlpm.MacVal,_xlfn.XLOOKUP($A85,Output_Mac!$A:$A,Output_Mac!C:C,""),
_xlpm.MyAuditVal,_xlfn.XLOOKUP($A85,My_Audit!$A:$A,My_Audit!C:C,""),
_xlfn.IFS(_xlpm.MyAuditVal&lt;&gt;"",_xlpm.MyAuditVal,_xlpm.MacVal&lt;&gt;"",_xlpm.MacVal,_xlpm.CSVVal&lt;&gt;"",_xlpm.CSVVal
)),"")</f>
        <v/>
      </c>
      <c r="E85" s="2" t="str">
        <f>_xlfn.XLOOKUP(A85,My_Audit!A:A,My_Audit!D:D,"")&amp;""</f>
        <v/>
      </c>
      <c r="F85" s="2" t="str" cm="1">
        <f t="array" ref="F85">IFERROR(_xlfn.LET(
_xlpm.CSVVal,_xlfn.XLOOKUP($A85,CSV!$A:$A,CSV!F:F,""),
_xlpm.MacVal,_xlfn.XLOOKUP($A85,Output_Mac!$A:$A,Output_Mac!E:E,""),
_xlpm.MyAuditVal,_xlfn.XLOOKUP($A85,My_Audit!$A:$A,My_Audit!E:E,""),
_xlfn.IFS(_xlpm.MyAuditVal&lt;&gt;"",_xlpm.MyAuditVal,_xlpm.MacVal&lt;&gt;"",_xlpm.MacVal,_xlpm.CSVVal&lt;&gt;"",_xlpm.CSVVal
)),"")</f>
        <v/>
      </c>
      <c r="G85" s="2" t="str" cm="1">
        <f t="array" ref="G85">IFERROR(_xlfn.LET(
_xlpm.CSVVal,_xlfn.XLOOKUP($A85,CSV!$A:$A,CSV!G:G,""),
_xlpm.MacVal,_xlfn.XLOOKUP($A85,Output_Mac!$A:$A,Output_Mac!F:F,""),
_xlpm.MyAuditVal,_xlfn.XLOOKUP($A85,My_Audit!$A:$A,My_Audit!F:F,""),
_xlfn.IFS(_xlpm.MyAuditVal&lt;&gt;"",_xlpm.MyAuditVal,_xlpm.MacVal&lt;&gt;"",_xlpm.MacVal,_xlpm.CSVVal&lt;&gt;"",PROPER(_xlpm.CSVVal)
)),"")</f>
        <v/>
      </c>
      <c r="H85" s="2" t="str" cm="1">
        <f t="array" ref="H85">IFERROR(_xlfn.LET(
_xlpm.CSVVal,_xlfn.XLOOKUP($A85,CSV!$A:$A,CSV!H:H,""),
_xlpm.MacVal,_xlfn.XLOOKUP($A85,Output_Mac!$A:$A,Output_Mac!H:H,""),
_xlpm.MyAuditVal,_xlfn.XLOOKUP($A85,My_Audit!$A:$A,My_Audit!G:G,""),
_xlfn.IFS(_xlpm.MyAuditVal&lt;&gt;"",_xlpm.MyAuditVal,_xlpm.MacVal&lt;&gt;"",_xlpm.MacVal,_xlpm.CSVVal&lt;&gt;"",_xlpm.CSVVal
)),"")</f>
        <v/>
      </c>
      <c r="I85" s="2" t="str">
        <f>_xlfn.XLOOKUP(A85,Output_Mac!A:A,Output_Mac!I:I,"")</f>
        <v/>
      </c>
      <c r="J85" s="2" t="str" cm="1">
        <f t="array" ref="J85">IFERROR(_xlfn.LET(
_xlpm.CSVVal,_xlfn.XLOOKUP($A85,CSV!$A:$A,CSV!I:I,""),
_xlpm.MacVal,_xlfn.XLOOKUP($A85,Output_Mac!$A:$A,Output_Mac!J:J,""),
_xlpm.MyAuditVal,_xlfn.XLOOKUP($A85,My_Audit!$A:$A,My_Audit!I:I,""),
_xlfn.IFS(_xlpm.MyAuditVal&lt;&gt;"",UPPER(_xlpm.MyAuditVal),_xlpm.MacVal&lt;&gt;"",_xlpm.MacVal,_xlpm.CSVVal&lt;&gt;"",_xlpm.CSVVal
)),"")</f>
        <v/>
      </c>
      <c r="K85" s="2" t="str" cm="1">
        <f t="array" ref="K85">IFERROR(_xlfn.LET(
_xlpm.CSVVal,_xlfn.XLOOKUP($A85,CSV!$A:$A,CSV!K:K,""),
_xlpm.MacVal,_xlfn.XLOOKUP($A85,Output_Mac!$A:$A,Output_Mac!K:K,""),
_xlpm.MyAuditVal,_xlfn.XLOOKUP($A85,My_Audit!$A:$A,My_Audit!J:J,""),
_xlfn.IFS(_xlpm.MyAuditVal&lt;&gt;"",UPPER(_xlpm.MyAuditVal),_xlpm.MacVal&lt;&gt;"",_xlpm.MacVal,_xlpm.CSVVal&lt;&gt;"",_xlpm.CSVVal
)),"")</f>
        <v/>
      </c>
      <c r="L85" s="2" t="str" cm="1">
        <f t="array" ref="L85">IFERROR(_xlfn.LET(
_xlpm.CSVVal,_xlfn.XLOOKUP($A85,CSV!$A:$A,CSV!P:P,""),
_xlpm.MacVal,_xlfn.XLOOKUP($A85,Output_Mac!$A:$A,Output_Mac!L:L,""),
_xlpm.MyAuditVal,_xlfn.XLOOKUP($A85,My_Audit!$A:$A,My_Audit!K:K,""),
_xlfn.IFS(_xlpm.MyAuditVal&lt;&gt;"",UPPER(_xlpm.MyAuditVal),_xlpm.MacVal&lt;&gt;"",_xlpm.MacVal,_xlpm.CSVVal&lt;&gt;"",_xlpm.CSVVal
)),"")</f>
        <v/>
      </c>
      <c r="M85" s="2" t="str" cm="1">
        <f t="array" ref="M85">IFERROR(_xlfn.LET(
_xlpm.CSVVal,_xlfn.XLOOKUP($A85,CSV!$A:$A,CSV!Q:Q,""),
_xlpm.MacVal,_xlfn.XLOOKUP($A85,Output_Mac!$A:$A,Output_Mac!M:M,""),
_xlpm.MyAuditVal,_xlfn.XLOOKUP($A85,My_Audit!$A:$A,My_Audit!L:L,""),
_xlfn.IFS(_xlpm.MyAuditVal&lt;&gt;"",UPPER(_xlpm.MyAuditVal),_xlpm.MacVal&lt;&gt;"",_xlpm.MacVal,_xlpm.CSVVal&lt;&gt;"",_xlpm.CSVVal
)),"")</f>
        <v/>
      </c>
      <c r="O85" s="2" t="str">
        <f>_xlfn.LET(
    _xlpm.CSVVal, _xlfn.XLOOKUP($A85, CSV!$A:$A, CSV!AC:AC, ""),
    _xlpm.MacVal, _xlfn.XLOOKUP($A85, Output_Mac!$A:$A, Output_Mac!S:S, ""),
    _xlpm.MyAuditVal, _xlfn.XLOOKUP($A85, My_Audit!$A:$A, My_Audit!P:P, ""),
    _xlfn.TEXTJOIN(", ", TRUE, _xlpm.MyAuditVal, _xlpm.MacVal, _xlpm.CSVVal)
)</f>
        <v/>
      </c>
      <c r="P85" s="2" t="str" cm="1">
        <f t="array" ref="P85">IFERROR(_xlfn.LET(
_xlpm.CSVVal,_xlfn.XLOOKUP($A85,CSV!$A:$A,CSV!AD:AD,""),
_xlpm.MacVal,_xlfn.XLOOKUP($A85,Output_Mac!$A:$A,Output_Mac!T:T,""),
_xlpm.MyAuditVal,_xlfn.XLOOKUP($A85,My_Audit!$A:$A,My_Audit!Q:Q,""),
_xlfn.IFS(_xlpm.MyAuditVal&lt;&gt;"",UPPER(_xlpm.MyAuditVal),_xlpm.MacVal&lt;&gt;"",_xlpm.MacVal,_xlpm.CSVVal&lt;&gt;"",_xlpm.CSVVal
)),"No")</f>
        <v>No</v>
      </c>
      <c r="Q85" s="2" t="str" cm="1">
        <f t="array" ref="Q85">IFERROR(_xlfn.LET(
_xlpm.CSVVal,_xlfn.XLOOKUP($A85,CSV!$A:$A,CSV!AE:AE,""),
_xlpm.MacVal,_xlfn.XLOOKUP($A85,Output_Mac!$A:$A,Output_Mac!U:U,""),
_xlpm.MyAuditVal,_xlfn.XLOOKUP($A85,My_Audit!$A:$A,My_Audit!R:R,""),
_xlfn.IFS(_xlpm.MyAuditVal&lt;&gt;"",UPPER(_xlpm.MyAuditVal),_xlpm.MacVal&lt;&gt;"",_xlpm.MacVal,_xlpm.CSVVal&lt;&gt;"",_xlpm.CSVVal
)),"")</f>
        <v/>
      </c>
      <c r="X85" t="str">
        <f>_xlfn.LET(
    _xlpm.MacVal, _xlfn.XLOOKUP($A85, Output_Mac!$A:$A, Output_Mac!AB:AB, ""),
    _xlpm.MyAuditVal, _xlfn.XLOOKUP($A85, My_Audit!$A:$A, My_Audit!N:N, ""),
    _xlfn.TEXTJOIN(", ", TRUE, _xlpm.MyAuditVal, _xlpm.MacVal)
)</f>
        <v/>
      </c>
    </row>
    <row r="86" spans="1:24">
      <c r="A86" s="2" t="str">
        <f>_xlfn.TEXTJOIN("",TRUE,Input!$B$2,ROW(My_Audit!A85))</f>
        <v>X85</v>
      </c>
      <c r="B86" s="2" t="str">
        <f>_xlfn.TEXTJOIN("-",TRUE,"ITD",Input!$A$2,A86)</f>
        <v>ITD-SHR-X85</v>
      </c>
      <c r="C86" s="2" t="str" cm="1">
        <f t="array" ref="C86">IFERROR(_xlfn.LET(
_xlpm.CSVVal,_xlfn.XLOOKUP($A86,CSV!$A:$A,CSV!B:B,""),
_xlpm.MacVal,_xlfn.XLOOKUP($A86,Output_Mac!$A:$A,Output_Mac!B:B,""),
_xlpm.MyAuditVal,_xlfn.XLOOKUP($A86,My_Audit!$A:$A,My_Audit!B:B,""),
_xlfn.IFS(_xlpm.MyAuditVal&lt;&gt;"",UPPER(_xlpm.MyAuditVal),_xlpm.MacVal&lt;&gt;"",_xlpm.MacVal,_xlpm.CSVVal&lt;&gt;"",_xlpm.CSVVal
)),"")</f>
        <v/>
      </c>
      <c r="D86" s="2" t="str" cm="1">
        <f t="array" ref="D86">IFERROR(_xlfn.LET(
_xlpm.CSVVal,_xlfn.XLOOKUP($A86,CSV!$A:$A,CSV!D:D,""),
_xlpm.MacVal,_xlfn.XLOOKUP($A86,Output_Mac!$A:$A,Output_Mac!C:C,""),
_xlpm.MyAuditVal,_xlfn.XLOOKUP($A86,My_Audit!$A:$A,My_Audit!C:C,""),
_xlfn.IFS(_xlpm.MyAuditVal&lt;&gt;"",_xlpm.MyAuditVal,_xlpm.MacVal&lt;&gt;"",_xlpm.MacVal,_xlpm.CSVVal&lt;&gt;"",_xlpm.CSVVal
)),"")</f>
        <v/>
      </c>
      <c r="E86" s="2" t="str">
        <f>_xlfn.XLOOKUP(A86,My_Audit!A:A,My_Audit!D:D,"")&amp;""</f>
        <v/>
      </c>
      <c r="F86" s="2" t="str" cm="1">
        <f t="array" ref="F86">IFERROR(_xlfn.LET(
_xlpm.CSVVal,_xlfn.XLOOKUP($A86,CSV!$A:$A,CSV!F:F,""),
_xlpm.MacVal,_xlfn.XLOOKUP($A86,Output_Mac!$A:$A,Output_Mac!E:E,""),
_xlpm.MyAuditVal,_xlfn.XLOOKUP($A86,My_Audit!$A:$A,My_Audit!E:E,""),
_xlfn.IFS(_xlpm.MyAuditVal&lt;&gt;"",_xlpm.MyAuditVal,_xlpm.MacVal&lt;&gt;"",_xlpm.MacVal,_xlpm.CSVVal&lt;&gt;"",_xlpm.CSVVal
)),"")</f>
        <v/>
      </c>
      <c r="G86" s="2" t="str" cm="1">
        <f t="array" ref="G86">IFERROR(_xlfn.LET(
_xlpm.CSVVal,_xlfn.XLOOKUP($A86,CSV!$A:$A,CSV!G:G,""),
_xlpm.MacVal,_xlfn.XLOOKUP($A86,Output_Mac!$A:$A,Output_Mac!F:F,""),
_xlpm.MyAuditVal,_xlfn.XLOOKUP($A86,My_Audit!$A:$A,My_Audit!F:F,""),
_xlfn.IFS(_xlpm.MyAuditVal&lt;&gt;"",_xlpm.MyAuditVal,_xlpm.MacVal&lt;&gt;"",_xlpm.MacVal,_xlpm.CSVVal&lt;&gt;"",PROPER(_xlpm.CSVVal)
)),"")</f>
        <v/>
      </c>
      <c r="H86" s="2" t="str" cm="1">
        <f t="array" ref="H86">IFERROR(_xlfn.LET(
_xlpm.CSVVal,_xlfn.XLOOKUP($A86,CSV!$A:$A,CSV!H:H,""),
_xlpm.MacVal,_xlfn.XLOOKUP($A86,Output_Mac!$A:$A,Output_Mac!H:H,""),
_xlpm.MyAuditVal,_xlfn.XLOOKUP($A86,My_Audit!$A:$A,My_Audit!G:G,""),
_xlfn.IFS(_xlpm.MyAuditVal&lt;&gt;"",_xlpm.MyAuditVal,_xlpm.MacVal&lt;&gt;"",_xlpm.MacVal,_xlpm.CSVVal&lt;&gt;"",_xlpm.CSVVal
)),"")</f>
        <v/>
      </c>
      <c r="I86" s="2" t="str">
        <f>_xlfn.XLOOKUP(A86,Output_Mac!A:A,Output_Mac!I:I,"")</f>
        <v/>
      </c>
      <c r="J86" s="2" t="str" cm="1">
        <f t="array" ref="J86">IFERROR(_xlfn.LET(
_xlpm.CSVVal,_xlfn.XLOOKUP($A86,CSV!$A:$A,CSV!I:I,""),
_xlpm.MacVal,_xlfn.XLOOKUP($A86,Output_Mac!$A:$A,Output_Mac!J:J,""),
_xlpm.MyAuditVal,_xlfn.XLOOKUP($A86,My_Audit!$A:$A,My_Audit!I:I,""),
_xlfn.IFS(_xlpm.MyAuditVal&lt;&gt;"",UPPER(_xlpm.MyAuditVal),_xlpm.MacVal&lt;&gt;"",_xlpm.MacVal,_xlpm.CSVVal&lt;&gt;"",_xlpm.CSVVal
)),"")</f>
        <v/>
      </c>
      <c r="K86" s="2" t="str" cm="1">
        <f t="array" ref="K86">IFERROR(_xlfn.LET(
_xlpm.CSVVal,_xlfn.XLOOKUP($A86,CSV!$A:$A,CSV!K:K,""),
_xlpm.MacVal,_xlfn.XLOOKUP($A86,Output_Mac!$A:$A,Output_Mac!K:K,""),
_xlpm.MyAuditVal,_xlfn.XLOOKUP($A86,My_Audit!$A:$A,My_Audit!J:J,""),
_xlfn.IFS(_xlpm.MyAuditVal&lt;&gt;"",UPPER(_xlpm.MyAuditVal),_xlpm.MacVal&lt;&gt;"",_xlpm.MacVal,_xlpm.CSVVal&lt;&gt;"",_xlpm.CSVVal
)),"")</f>
        <v/>
      </c>
      <c r="L86" s="2" t="str" cm="1">
        <f t="array" ref="L86">IFERROR(_xlfn.LET(
_xlpm.CSVVal,_xlfn.XLOOKUP($A86,CSV!$A:$A,CSV!P:P,""),
_xlpm.MacVal,_xlfn.XLOOKUP($A86,Output_Mac!$A:$A,Output_Mac!L:L,""),
_xlpm.MyAuditVal,_xlfn.XLOOKUP($A86,My_Audit!$A:$A,My_Audit!K:K,""),
_xlfn.IFS(_xlpm.MyAuditVal&lt;&gt;"",UPPER(_xlpm.MyAuditVal),_xlpm.MacVal&lt;&gt;"",_xlpm.MacVal,_xlpm.CSVVal&lt;&gt;"",_xlpm.CSVVal
)),"")</f>
        <v/>
      </c>
      <c r="M86" s="2" t="str" cm="1">
        <f t="array" ref="M86">IFERROR(_xlfn.LET(
_xlpm.CSVVal,_xlfn.XLOOKUP($A86,CSV!$A:$A,CSV!Q:Q,""),
_xlpm.MacVal,_xlfn.XLOOKUP($A86,Output_Mac!$A:$A,Output_Mac!M:M,""),
_xlpm.MyAuditVal,_xlfn.XLOOKUP($A86,My_Audit!$A:$A,My_Audit!L:L,""),
_xlfn.IFS(_xlpm.MyAuditVal&lt;&gt;"",UPPER(_xlpm.MyAuditVal),_xlpm.MacVal&lt;&gt;"",_xlpm.MacVal,_xlpm.CSVVal&lt;&gt;"",_xlpm.CSVVal
)),"")</f>
        <v/>
      </c>
      <c r="O86" s="2" t="str">
        <f>_xlfn.LET(
    _xlpm.CSVVal, _xlfn.XLOOKUP($A86, CSV!$A:$A, CSV!AC:AC, ""),
    _xlpm.MacVal, _xlfn.XLOOKUP($A86, Output_Mac!$A:$A, Output_Mac!S:S, ""),
    _xlpm.MyAuditVal, _xlfn.XLOOKUP($A86, My_Audit!$A:$A, My_Audit!P:P, ""),
    _xlfn.TEXTJOIN(", ", TRUE, _xlpm.MyAuditVal, _xlpm.MacVal, _xlpm.CSVVal)
)</f>
        <v/>
      </c>
      <c r="P86" s="2" t="str" cm="1">
        <f t="array" ref="P86">IFERROR(_xlfn.LET(
_xlpm.CSVVal,_xlfn.XLOOKUP($A86,CSV!$A:$A,CSV!AD:AD,""),
_xlpm.MacVal,_xlfn.XLOOKUP($A86,Output_Mac!$A:$A,Output_Mac!T:T,""),
_xlpm.MyAuditVal,_xlfn.XLOOKUP($A86,My_Audit!$A:$A,My_Audit!Q:Q,""),
_xlfn.IFS(_xlpm.MyAuditVal&lt;&gt;"",UPPER(_xlpm.MyAuditVal),_xlpm.MacVal&lt;&gt;"",_xlpm.MacVal,_xlpm.CSVVal&lt;&gt;"",_xlpm.CSVVal
)),"No")</f>
        <v>No</v>
      </c>
      <c r="Q86" s="2" t="str" cm="1">
        <f t="array" ref="Q86">IFERROR(_xlfn.LET(
_xlpm.CSVVal,_xlfn.XLOOKUP($A86,CSV!$A:$A,CSV!AE:AE,""),
_xlpm.MacVal,_xlfn.XLOOKUP($A86,Output_Mac!$A:$A,Output_Mac!U:U,""),
_xlpm.MyAuditVal,_xlfn.XLOOKUP($A86,My_Audit!$A:$A,My_Audit!R:R,""),
_xlfn.IFS(_xlpm.MyAuditVal&lt;&gt;"",UPPER(_xlpm.MyAuditVal),_xlpm.MacVal&lt;&gt;"",_xlpm.MacVal,_xlpm.CSVVal&lt;&gt;"",_xlpm.CSVVal
)),"")</f>
        <v/>
      </c>
      <c r="X86" t="str">
        <f>_xlfn.LET(
    _xlpm.MacVal, _xlfn.XLOOKUP($A86, Output_Mac!$A:$A, Output_Mac!AB:AB, ""),
    _xlpm.MyAuditVal, _xlfn.XLOOKUP($A86, My_Audit!$A:$A, My_Audit!N:N, ""),
    _xlfn.TEXTJOIN(", ", TRUE, _xlpm.MyAuditVal, _xlpm.MacVal)
)</f>
        <v/>
      </c>
    </row>
    <row r="87" spans="1:24">
      <c r="A87" s="2" t="str">
        <f>_xlfn.TEXTJOIN("",TRUE,Input!$B$2,ROW(My_Audit!A86))</f>
        <v>X86</v>
      </c>
      <c r="B87" s="2" t="str">
        <f>_xlfn.TEXTJOIN("-",TRUE,"ITD",Input!$A$2,A87)</f>
        <v>ITD-SHR-X86</v>
      </c>
      <c r="C87" s="2" t="str" cm="1">
        <f t="array" ref="C87">IFERROR(_xlfn.LET(
_xlpm.CSVVal,_xlfn.XLOOKUP($A87,CSV!$A:$A,CSV!B:B,""),
_xlpm.MacVal,_xlfn.XLOOKUP($A87,Output_Mac!$A:$A,Output_Mac!B:B,""),
_xlpm.MyAuditVal,_xlfn.XLOOKUP($A87,My_Audit!$A:$A,My_Audit!B:B,""),
_xlfn.IFS(_xlpm.MyAuditVal&lt;&gt;"",UPPER(_xlpm.MyAuditVal),_xlpm.MacVal&lt;&gt;"",_xlpm.MacVal,_xlpm.CSVVal&lt;&gt;"",_xlpm.CSVVal
)),"")</f>
        <v/>
      </c>
      <c r="D87" s="2" t="str" cm="1">
        <f t="array" ref="D87">IFERROR(_xlfn.LET(
_xlpm.CSVVal,_xlfn.XLOOKUP($A87,CSV!$A:$A,CSV!D:D,""),
_xlpm.MacVal,_xlfn.XLOOKUP($A87,Output_Mac!$A:$A,Output_Mac!C:C,""),
_xlpm.MyAuditVal,_xlfn.XLOOKUP($A87,My_Audit!$A:$A,My_Audit!C:C,""),
_xlfn.IFS(_xlpm.MyAuditVal&lt;&gt;"",_xlpm.MyAuditVal,_xlpm.MacVal&lt;&gt;"",_xlpm.MacVal,_xlpm.CSVVal&lt;&gt;"",_xlpm.CSVVal
)),"")</f>
        <v/>
      </c>
      <c r="E87" s="2" t="str">
        <f>_xlfn.XLOOKUP(A87,My_Audit!A:A,My_Audit!D:D,"")&amp;""</f>
        <v/>
      </c>
      <c r="F87" s="2" t="str" cm="1">
        <f t="array" ref="F87">IFERROR(_xlfn.LET(
_xlpm.CSVVal,_xlfn.XLOOKUP($A87,CSV!$A:$A,CSV!F:F,""),
_xlpm.MacVal,_xlfn.XLOOKUP($A87,Output_Mac!$A:$A,Output_Mac!E:E,""),
_xlpm.MyAuditVal,_xlfn.XLOOKUP($A87,My_Audit!$A:$A,My_Audit!E:E,""),
_xlfn.IFS(_xlpm.MyAuditVal&lt;&gt;"",_xlpm.MyAuditVal,_xlpm.MacVal&lt;&gt;"",_xlpm.MacVal,_xlpm.CSVVal&lt;&gt;"",_xlpm.CSVVal
)),"")</f>
        <v/>
      </c>
      <c r="G87" s="2" t="str" cm="1">
        <f t="array" ref="G87">IFERROR(_xlfn.LET(
_xlpm.CSVVal,_xlfn.XLOOKUP($A87,CSV!$A:$A,CSV!G:G,""),
_xlpm.MacVal,_xlfn.XLOOKUP($A87,Output_Mac!$A:$A,Output_Mac!F:F,""),
_xlpm.MyAuditVal,_xlfn.XLOOKUP($A87,My_Audit!$A:$A,My_Audit!F:F,""),
_xlfn.IFS(_xlpm.MyAuditVal&lt;&gt;"",_xlpm.MyAuditVal,_xlpm.MacVal&lt;&gt;"",_xlpm.MacVal,_xlpm.CSVVal&lt;&gt;"",PROPER(_xlpm.CSVVal)
)),"")</f>
        <v/>
      </c>
      <c r="H87" s="2" t="str" cm="1">
        <f t="array" ref="H87">IFERROR(_xlfn.LET(
_xlpm.CSVVal,_xlfn.XLOOKUP($A87,CSV!$A:$A,CSV!H:H,""),
_xlpm.MacVal,_xlfn.XLOOKUP($A87,Output_Mac!$A:$A,Output_Mac!H:H,""),
_xlpm.MyAuditVal,_xlfn.XLOOKUP($A87,My_Audit!$A:$A,My_Audit!G:G,""),
_xlfn.IFS(_xlpm.MyAuditVal&lt;&gt;"",_xlpm.MyAuditVal,_xlpm.MacVal&lt;&gt;"",_xlpm.MacVal,_xlpm.CSVVal&lt;&gt;"",_xlpm.CSVVal
)),"")</f>
        <v/>
      </c>
      <c r="I87" s="2" t="str">
        <f>_xlfn.XLOOKUP(A87,Output_Mac!A:A,Output_Mac!I:I,"")</f>
        <v/>
      </c>
      <c r="J87" s="2" t="str" cm="1">
        <f t="array" ref="J87">IFERROR(_xlfn.LET(
_xlpm.CSVVal,_xlfn.XLOOKUP($A87,CSV!$A:$A,CSV!I:I,""),
_xlpm.MacVal,_xlfn.XLOOKUP($A87,Output_Mac!$A:$A,Output_Mac!J:J,""),
_xlpm.MyAuditVal,_xlfn.XLOOKUP($A87,My_Audit!$A:$A,My_Audit!I:I,""),
_xlfn.IFS(_xlpm.MyAuditVal&lt;&gt;"",UPPER(_xlpm.MyAuditVal),_xlpm.MacVal&lt;&gt;"",_xlpm.MacVal,_xlpm.CSVVal&lt;&gt;"",_xlpm.CSVVal
)),"")</f>
        <v/>
      </c>
      <c r="K87" s="2" t="str" cm="1">
        <f t="array" ref="K87">IFERROR(_xlfn.LET(
_xlpm.CSVVal,_xlfn.XLOOKUP($A87,CSV!$A:$A,CSV!K:K,""),
_xlpm.MacVal,_xlfn.XLOOKUP($A87,Output_Mac!$A:$A,Output_Mac!K:K,""),
_xlpm.MyAuditVal,_xlfn.XLOOKUP($A87,My_Audit!$A:$A,My_Audit!J:J,""),
_xlfn.IFS(_xlpm.MyAuditVal&lt;&gt;"",UPPER(_xlpm.MyAuditVal),_xlpm.MacVal&lt;&gt;"",_xlpm.MacVal,_xlpm.CSVVal&lt;&gt;"",_xlpm.CSVVal
)),"")</f>
        <v/>
      </c>
      <c r="L87" s="2" t="str" cm="1">
        <f t="array" ref="L87">IFERROR(_xlfn.LET(
_xlpm.CSVVal,_xlfn.XLOOKUP($A87,CSV!$A:$A,CSV!P:P,""),
_xlpm.MacVal,_xlfn.XLOOKUP($A87,Output_Mac!$A:$A,Output_Mac!L:L,""),
_xlpm.MyAuditVal,_xlfn.XLOOKUP($A87,My_Audit!$A:$A,My_Audit!K:K,""),
_xlfn.IFS(_xlpm.MyAuditVal&lt;&gt;"",UPPER(_xlpm.MyAuditVal),_xlpm.MacVal&lt;&gt;"",_xlpm.MacVal,_xlpm.CSVVal&lt;&gt;"",_xlpm.CSVVal
)),"")</f>
        <v/>
      </c>
      <c r="M87" s="2" t="str" cm="1">
        <f t="array" ref="M87">IFERROR(_xlfn.LET(
_xlpm.CSVVal,_xlfn.XLOOKUP($A87,CSV!$A:$A,CSV!Q:Q,""),
_xlpm.MacVal,_xlfn.XLOOKUP($A87,Output_Mac!$A:$A,Output_Mac!M:M,""),
_xlpm.MyAuditVal,_xlfn.XLOOKUP($A87,My_Audit!$A:$A,My_Audit!L:L,""),
_xlfn.IFS(_xlpm.MyAuditVal&lt;&gt;"",UPPER(_xlpm.MyAuditVal),_xlpm.MacVal&lt;&gt;"",_xlpm.MacVal,_xlpm.CSVVal&lt;&gt;"",_xlpm.CSVVal
)),"")</f>
        <v/>
      </c>
      <c r="O87" s="2" t="str">
        <f>_xlfn.LET(
    _xlpm.CSVVal, _xlfn.XLOOKUP($A87, CSV!$A:$A, CSV!AC:AC, ""),
    _xlpm.MacVal, _xlfn.XLOOKUP($A87, Output_Mac!$A:$A, Output_Mac!S:S, ""),
    _xlpm.MyAuditVal, _xlfn.XLOOKUP($A87, My_Audit!$A:$A, My_Audit!P:P, ""),
    _xlfn.TEXTJOIN(", ", TRUE, _xlpm.MyAuditVal, _xlpm.MacVal, _xlpm.CSVVal)
)</f>
        <v/>
      </c>
      <c r="P87" s="2" t="str" cm="1">
        <f t="array" ref="P87">IFERROR(_xlfn.LET(
_xlpm.CSVVal,_xlfn.XLOOKUP($A87,CSV!$A:$A,CSV!AD:AD,""),
_xlpm.MacVal,_xlfn.XLOOKUP($A87,Output_Mac!$A:$A,Output_Mac!T:T,""),
_xlpm.MyAuditVal,_xlfn.XLOOKUP($A87,My_Audit!$A:$A,My_Audit!Q:Q,""),
_xlfn.IFS(_xlpm.MyAuditVal&lt;&gt;"",UPPER(_xlpm.MyAuditVal),_xlpm.MacVal&lt;&gt;"",_xlpm.MacVal,_xlpm.CSVVal&lt;&gt;"",_xlpm.CSVVal
)),"No")</f>
        <v>No</v>
      </c>
      <c r="Q87" s="2" t="str" cm="1">
        <f t="array" ref="Q87">IFERROR(_xlfn.LET(
_xlpm.CSVVal,_xlfn.XLOOKUP($A87,CSV!$A:$A,CSV!AE:AE,""),
_xlpm.MacVal,_xlfn.XLOOKUP($A87,Output_Mac!$A:$A,Output_Mac!U:U,""),
_xlpm.MyAuditVal,_xlfn.XLOOKUP($A87,My_Audit!$A:$A,My_Audit!R:R,""),
_xlfn.IFS(_xlpm.MyAuditVal&lt;&gt;"",UPPER(_xlpm.MyAuditVal),_xlpm.MacVal&lt;&gt;"",_xlpm.MacVal,_xlpm.CSVVal&lt;&gt;"",_xlpm.CSVVal
)),"")</f>
        <v/>
      </c>
      <c r="X87" t="str">
        <f>_xlfn.LET(
    _xlpm.MacVal, _xlfn.XLOOKUP($A87, Output_Mac!$A:$A, Output_Mac!AB:AB, ""),
    _xlpm.MyAuditVal, _xlfn.XLOOKUP($A87, My_Audit!$A:$A, My_Audit!N:N, ""),
    _xlfn.TEXTJOIN(", ", TRUE, _xlpm.MyAuditVal, _xlpm.MacVal)
)</f>
        <v/>
      </c>
    </row>
    <row r="88" spans="1:24">
      <c r="A88" s="2" t="str">
        <f>_xlfn.TEXTJOIN("",TRUE,Input!$B$2,ROW(My_Audit!A87))</f>
        <v>X87</v>
      </c>
      <c r="B88" s="2" t="str">
        <f>_xlfn.TEXTJOIN("-",TRUE,"ITD",Input!$A$2,A88)</f>
        <v>ITD-SHR-X87</v>
      </c>
      <c r="C88" s="2" t="str" cm="1">
        <f t="array" ref="C88">IFERROR(_xlfn.LET(
_xlpm.CSVVal,_xlfn.XLOOKUP($A88,CSV!$A:$A,CSV!B:B,""),
_xlpm.MacVal,_xlfn.XLOOKUP($A88,Output_Mac!$A:$A,Output_Mac!B:B,""),
_xlpm.MyAuditVal,_xlfn.XLOOKUP($A88,My_Audit!$A:$A,My_Audit!B:B,""),
_xlfn.IFS(_xlpm.MyAuditVal&lt;&gt;"",UPPER(_xlpm.MyAuditVal),_xlpm.MacVal&lt;&gt;"",_xlpm.MacVal,_xlpm.CSVVal&lt;&gt;"",_xlpm.CSVVal
)),"")</f>
        <v/>
      </c>
      <c r="D88" s="2" t="str" cm="1">
        <f t="array" ref="D88">IFERROR(_xlfn.LET(
_xlpm.CSVVal,_xlfn.XLOOKUP($A88,CSV!$A:$A,CSV!D:D,""),
_xlpm.MacVal,_xlfn.XLOOKUP($A88,Output_Mac!$A:$A,Output_Mac!C:C,""),
_xlpm.MyAuditVal,_xlfn.XLOOKUP($A88,My_Audit!$A:$A,My_Audit!C:C,""),
_xlfn.IFS(_xlpm.MyAuditVal&lt;&gt;"",_xlpm.MyAuditVal,_xlpm.MacVal&lt;&gt;"",_xlpm.MacVal,_xlpm.CSVVal&lt;&gt;"",_xlpm.CSVVal
)),"")</f>
        <v/>
      </c>
      <c r="E88" s="2" t="str">
        <f>_xlfn.XLOOKUP(A88,My_Audit!A:A,My_Audit!D:D,"")&amp;""</f>
        <v/>
      </c>
      <c r="F88" s="2" t="str" cm="1">
        <f t="array" ref="F88">IFERROR(_xlfn.LET(
_xlpm.CSVVal,_xlfn.XLOOKUP($A88,CSV!$A:$A,CSV!F:F,""),
_xlpm.MacVal,_xlfn.XLOOKUP($A88,Output_Mac!$A:$A,Output_Mac!E:E,""),
_xlpm.MyAuditVal,_xlfn.XLOOKUP($A88,My_Audit!$A:$A,My_Audit!E:E,""),
_xlfn.IFS(_xlpm.MyAuditVal&lt;&gt;"",_xlpm.MyAuditVal,_xlpm.MacVal&lt;&gt;"",_xlpm.MacVal,_xlpm.CSVVal&lt;&gt;"",_xlpm.CSVVal
)),"")</f>
        <v/>
      </c>
      <c r="G88" s="2" t="str" cm="1">
        <f t="array" ref="G88">IFERROR(_xlfn.LET(
_xlpm.CSVVal,_xlfn.XLOOKUP($A88,CSV!$A:$A,CSV!G:G,""),
_xlpm.MacVal,_xlfn.XLOOKUP($A88,Output_Mac!$A:$A,Output_Mac!F:F,""),
_xlpm.MyAuditVal,_xlfn.XLOOKUP($A88,My_Audit!$A:$A,My_Audit!F:F,""),
_xlfn.IFS(_xlpm.MyAuditVal&lt;&gt;"",_xlpm.MyAuditVal,_xlpm.MacVal&lt;&gt;"",_xlpm.MacVal,_xlpm.CSVVal&lt;&gt;"",PROPER(_xlpm.CSVVal)
)),"")</f>
        <v/>
      </c>
      <c r="H88" s="2" t="str" cm="1">
        <f t="array" ref="H88">IFERROR(_xlfn.LET(
_xlpm.CSVVal,_xlfn.XLOOKUP($A88,CSV!$A:$A,CSV!H:H,""),
_xlpm.MacVal,_xlfn.XLOOKUP($A88,Output_Mac!$A:$A,Output_Mac!H:H,""),
_xlpm.MyAuditVal,_xlfn.XLOOKUP($A88,My_Audit!$A:$A,My_Audit!G:G,""),
_xlfn.IFS(_xlpm.MyAuditVal&lt;&gt;"",_xlpm.MyAuditVal,_xlpm.MacVal&lt;&gt;"",_xlpm.MacVal,_xlpm.CSVVal&lt;&gt;"",_xlpm.CSVVal
)),"")</f>
        <v/>
      </c>
      <c r="I88" s="2" t="str">
        <f>_xlfn.XLOOKUP(A88,Output_Mac!A:A,Output_Mac!I:I,"")</f>
        <v/>
      </c>
      <c r="J88" s="2" t="str" cm="1">
        <f t="array" ref="J88">IFERROR(_xlfn.LET(
_xlpm.CSVVal,_xlfn.XLOOKUP($A88,CSV!$A:$A,CSV!I:I,""),
_xlpm.MacVal,_xlfn.XLOOKUP($A88,Output_Mac!$A:$A,Output_Mac!J:J,""),
_xlpm.MyAuditVal,_xlfn.XLOOKUP($A88,My_Audit!$A:$A,My_Audit!I:I,""),
_xlfn.IFS(_xlpm.MyAuditVal&lt;&gt;"",UPPER(_xlpm.MyAuditVal),_xlpm.MacVal&lt;&gt;"",_xlpm.MacVal,_xlpm.CSVVal&lt;&gt;"",_xlpm.CSVVal
)),"")</f>
        <v/>
      </c>
      <c r="K88" s="2" t="str" cm="1">
        <f t="array" ref="K88">IFERROR(_xlfn.LET(
_xlpm.CSVVal,_xlfn.XLOOKUP($A88,CSV!$A:$A,CSV!K:K,""),
_xlpm.MacVal,_xlfn.XLOOKUP($A88,Output_Mac!$A:$A,Output_Mac!K:K,""),
_xlpm.MyAuditVal,_xlfn.XLOOKUP($A88,My_Audit!$A:$A,My_Audit!J:J,""),
_xlfn.IFS(_xlpm.MyAuditVal&lt;&gt;"",UPPER(_xlpm.MyAuditVal),_xlpm.MacVal&lt;&gt;"",_xlpm.MacVal,_xlpm.CSVVal&lt;&gt;"",_xlpm.CSVVal
)),"")</f>
        <v/>
      </c>
      <c r="L88" s="2" t="str" cm="1">
        <f t="array" ref="L88">IFERROR(_xlfn.LET(
_xlpm.CSVVal,_xlfn.XLOOKUP($A88,CSV!$A:$A,CSV!P:P,""),
_xlpm.MacVal,_xlfn.XLOOKUP($A88,Output_Mac!$A:$A,Output_Mac!L:L,""),
_xlpm.MyAuditVal,_xlfn.XLOOKUP($A88,My_Audit!$A:$A,My_Audit!K:K,""),
_xlfn.IFS(_xlpm.MyAuditVal&lt;&gt;"",UPPER(_xlpm.MyAuditVal),_xlpm.MacVal&lt;&gt;"",_xlpm.MacVal,_xlpm.CSVVal&lt;&gt;"",_xlpm.CSVVal
)),"")</f>
        <v/>
      </c>
      <c r="M88" s="2" t="str" cm="1">
        <f t="array" ref="M88">IFERROR(_xlfn.LET(
_xlpm.CSVVal,_xlfn.XLOOKUP($A88,CSV!$A:$A,CSV!Q:Q,""),
_xlpm.MacVal,_xlfn.XLOOKUP($A88,Output_Mac!$A:$A,Output_Mac!M:M,""),
_xlpm.MyAuditVal,_xlfn.XLOOKUP($A88,My_Audit!$A:$A,My_Audit!L:L,""),
_xlfn.IFS(_xlpm.MyAuditVal&lt;&gt;"",UPPER(_xlpm.MyAuditVal),_xlpm.MacVal&lt;&gt;"",_xlpm.MacVal,_xlpm.CSVVal&lt;&gt;"",_xlpm.CSVVal
)),"")</f>
        <v/>
      </c>
      <c r="O88" s="2" t="str">
        <f>_xlfn.LET(
    _xlpm.CSVVal, _xlfn.XLOOKUP($A88, CSV!$A:$A, CSV!AC:AC, ""),
    _xlpm.MacVal, _xlfn.XLOOKUP($A88, Output_Mac!$A:$A, Output_Mac!S:S, ""),
    _xlpm.MyAuditVal, _xlfn.XLOOKUP($A88, My_Audit!$A:$A, My_Audit!P:P, ""),
    _xlfn.TEXTJOIN(", ", TRUE, _xlpm.MyAuditVal, _xlpm.MacVal, _xlpm.CSVVal)
)</f>
        <v/>
      </c>
      <c r="P88" s="2" t="str" cm="1">
        <f t="array" ref="P88">IFERROR(_xlfn.LET(
_xlpm.CSVVal,_xlfn.XLOOKUP($A88,CSV!$A:$A,CSV!AD:AD,""),
_xlpm.MacVal,_xlfn.XLOOKUP($A88,Output_Mac!$A:$A,Output_Mac!T:T,""),
_xlpm.MyAuditVal,_xlfn.XLOOKUP($A88,My_Audit!$A:$A,My_Audit!Q:Q,""),
_xlfn.IFS(_xlpm.MyAuditVal&lt;&gt;"",UPPER(_xlpm.MyAuditVal),_xlpm.MacVal&lt;&gt;"",_xlpm.MacVal,_xlpm.CSVVal&lt;&gt;"",_xlpm.CSVVal
)),"No")</f>
        <v>No</v>
      </c>
      <c r="Q88" s="2" t="str" cm="1">
        <f t="array" ref="Q88">IFERROR(_xlfn.LET(
_xlpm.CSVVal,_xlfn.XLOOKUP($A88,CSV!$A:$A,CSV!AE:AE,""),
_xlpm.MacVal,_xlfn.XLOOKUP($A88,Output_Mac!$A:$A,Output_Mac!U:U,""),
_xlpm.MyAuditVal,_xlfn.XLOOKUP($A88,My_Audit!$A:$A,My_Audit!R:R,""),
_xlfn.IFS(_xlpm.MyAuditVal&lt;&gt;"",UPPER(_xlpm.MyAuditVal),_xlpm.MacVal&lt;&gt;"",_xlpm.MacVal,_xlpm.CSVVal&lt;&gt;"",_xlpm.CSVVal
)),"")</f>
        <v/>
      </c>
      <c r="X88" t="str">
        <f>_xlfn.LET(
    _xlpm.MacVal, _xlfn.XLOOKUP($A88, Output_Mac!$A:$A, Output_Mac!AB:AB, ""),
    _xlpm.MyAuditVal, _xlfn.XLOOKUP($A88, My_Audit!$A:$A, My_Audit!N:N, ""),
    _xlfn.TEXTJOIN(", ", TRUE, _xlpm.MyAuditVal, _xlpm.MacVal)
)</f>
        <v/>
      </c>
    </row>
    <row r="89" spans="1:24">
      <c r="A89" s="2" t="str">
        <f>_xlfn.TEXTJOIN("",TRUE,Input!$B$2,ROW(My_Audit!A88))</f>
        <v>X88</v>
      </c>
      <c r="B89" s="2" t="str">
        <f>_xlfn.TEXTJOIN("-",TRUE,"ITD",Input!$A$2,A89)</f>
        <v>ITD-SHR-X88</v>
      </c>
      <c r="C89" s="2" t="str" cm="1">
        <f t="array" ref="C89">IFERROR(_xlfn.LET(
_xlpm.CSVVal,_xlfn.XLOOKUP($A89,CSV!$A:$A,CSV!B:B,""),
_xlpm.MacVal,_xlfn.XLOOKUP($A89,Output_Mac!$A:$A,Output_Mac!B:B,""),
_xlpm.MyAuditVal,_xlfn.XLOOKUP($A89,My_Audit!$A:$A,My_Audit!B:B,""),
_xlfn.IFS(_xlpm.MyAuditVal&lt;&gt;"",UPPER(_xlpm.MyAuditVal),_xlpm.MacVal&lt;&gt;"",_xlpm.MacVal,_xlpm.CSVVal&lt;&gt;"",_xlpm.CSVVal
)),"")</f>
        <v/>
      </c>
      <c r="D89" s="2" t="str" cm="1">
        <f t="array" ref="D89">IFERROR(_xlfn.LET(
_xlpm.CSVVal,_xlfn.XLOOKUP($A89,CSV!$A:$A,CSV!D:D,""),
_xlpm.MacVal,_xlfn.XLOOKUP($A89,Output_Mac!$A:$A,Output_Mac!C:C,""),
_xlpm.MyAuditVal,_xlfn.XLOOKUP($A89,My_Audit!$A:$A,My_Audit!C:C,""),
_xlfn.IFS(_xlpm.MyAuditVal&lt;&gt;"",_xlpm.MyAuditVal,_xlpm.MacVal&lt;&gt;"",_xlpm.MacVal,_xlpm.CSVVal&lt;&gt;"",_xlpm.CSVVal
)),"")</f>
        <v/>
      </c>
      <c r="E89" s="2" t="str">
        <f>_xlfn.XLOOKUP(A89,My_Audit!A:A,My_Audit!D:D,"")&amp;""</f>
        <v/>
      </c>
      <c r="F89" s="2" t="str" cm="1">
        <f t="array" ref="F89">IFERROR(_xlfn.LET(
_xlpm.CSVVal,_xlfn.XLOOKUP($A89,CSV!$A:$A,CSV!F:F,""),
_xlpm.MacVal,_xlfn.XLOOKUP($A89,Output_Mac!$A:$A,Output_Mac!E:E,""),
_xlpm.MyAuditVal,_xlfn.XLOOKUP($A89,My_Audit!$A:$A,My_Audit!E:E,""),
_xlfn.IFS(_xlpm.MyAuditVal&lt;&gt;"",_xlpm.MyAuditVal,_xlpm.MacVal&lt;&gt;"",_xlpm.MacVal,_xlpm.CSVVal&lt;&gt;"",_xlpm.CSVVal
)),"")</f>
        <v/>
      </c>
      <c r="G89" s="2" t="str" cm="1">
        <f t="array" ref="G89">IFERROR(_xlfn.LET(
_xlpm.CSVVal,_xlfn.XLOOKUP($A89,CSV!$A:$A,CSV!G:G,""),
_xlpm.MacVal,_xlfn.XLOOKUP($A89,Output_Mac!$A:$A,Output_Mac!F:F,""),
_xlpm.MyAuditVal,_xlfn.XLOOKUP($A89,My_Audit!$A:$A,My_Audit!F:F,""),
_xlfn.IFS(_xlpm.MyAuditVal&lt;&gt;"",_xlpm.MyAuditVal,_xlpm.MacVal&lt;&gt;"",_xlpm.MacVal,_xlpm.CSVVal&lt;&gt;"",PROPER(_xlpm.CSVVal)
)),"")</f>
        <v/>
      </c>
      <c r="H89" s="2" t="str" cm="1">
        <f t="array" ref="H89">IFERROR(_xlfn.LET(
_xlpm.CSVVal,_xlfn.XLOOKUP($A89,CSV!$A:$A,CSV!H:H,""),
_xlpm.MacVal,_xlfn.XLOOKUP($A89,Output_Mac!$A:$A,Output_Mac!H:H,""),
_xlpm.MyAuditVal,_xlfn.XLOOKUP($A89,My_Audit!$A:$A,My_Audit!G:G,""),
_xlfn.IFS(_xlpm.MyAuditVal&lt;&gt;"",_xlpm.MyAuditVal,_xlpm.MacVal&lt;&gt;"",_xlpm.MacVal,_xlpm.CSVVal&lt;&gt;"",_xlpm.CSVVal
)),"")</f>
        <v/>
      </c>
      <c r="I89" s="2" t="str">
        <f>_xlfn.XLOOKUP(A89,Output_Mac!A:A,Output_Mac!I:I,"")</f>
        <v/>
      </c>
      <c r="J89" s="2" t="str" cm="1">
        <f t="array" ref="J89">IFERROR(_xlfn.LET(
_xlpm.CSVVal,_xlfn.XLOOKUP($A89,CSV!$A:$A,CSV!I:I,""),
_xlpm.MacVal,_xlfn.XLOOKUP($A89,Output_Mac!$A:$A,Output_Mac!J:J,""),
_xlpm.MyAuditVal,_xlfn.XLOOKUP($A89,My_Audit!$A:$A,My_Audit!I:I,""),
_xlfn.IFS(_xlpm.MyAuditVal&lt;&gt;"",UPPER(_xlpm.MyAuditVal),_xlpm.MacVal&lt;&gt;"",_xlpm.MacVal,_xlpm.CSVVal&lt;&gt;"",_xlpm.CSVVal
)),"")</f>
        <v/>
      </c>
      <c r="K89" s="2" t="str" cm="1">
        <f t="array" ref="K89">IFERROR(_xlfn.LET(
_xlpm.CSVVal,_xlfn.XLOOKUP($A89,CSV!$A:$A,CSV!K:K,""),
_xlpm.MacVal,_xlfn.XLOOKUP($A89,Output_Mac!$A:$A,Output_Mac!K:K,""),
_xlpm.MyAuditVal,_xlfn.XLOOKUP($A89,My_Audit!$A:$A,My_Audit!J:J,""),
_xlfn.IFS(_xlpm.MyAuditVal&lt;&gt;"",UPPER(_xlpm.MyAuditVal),_xlpm.MacVal&lt;&gt;"",_xlpm.MacVal,_xlpm.CSVVal&lt;&gt;"",_xlpm.CSVVal
)),"")</f>
        <v/>
      </c>
      <c r="L89" s="2" t="str" cm="1">
        <f t="array" ref="L89">IFERROR(_xlfn.LET(
_xlpm.CSVVal,_xlfn.XLOOKUP($A89,CSV!$A:$A,CSV!P:P,""),
_xlpm.MacVal,_xlfn.XLOOKUP($A89,Output_Mac!$A:$A,Output_Mac!L:L,""),
_xlpm.MyAuditVal,_xlfn.XLOOKUP($A89,My_Audit!$A:$A,My_Audit!K:K,""),
_xlfn.IFS(_xlpm.MyAuditVal&lt;&gt;"",UPPER(_xlpm.MyAuditVal),_xlpm.MacVal&lt;&gt;"",_xlpm.MacVal,_xlpm.CSVVal&lt;&gt;"",_xlpm.CSVVal
)),"")</f>
        <v/>
      </c>
      <c r="M89" s="2" t="str" cm="1">
        <f t="array" ref="M89">IFERROR(_xlfn.LET(
_xlpm.CSVVal,_xlfn.XLOOKUP($A89,CSV!$A:$A,CSV!Q:Q,""),
_xlpm.MacVal,_xlfn.XLOOKUP($A89,Output_Mac!$A:$A,Output_Mac!M:M,""),
_xlpm.MyAuditVal,_xlfn.XLOOKUP($A89,My_Audit!$A:$A,My_Audit!L:L,""),
_xlfn.IFS(_xlpm.MyAuditVal&lt;&gt;"",UPPER(_xlpm.MyAuditVal),_xlpm.MacVal&lt;&gt;"",_xlpm.MacVal,_xlpm.CSVVal&lt;&gt;"",_xlpm.CSVVal
)),"")</f>
        <v/>
      </c>
      <c r="O89" s="2" t="str">
        <f>_xlfn.LET(
    _xlpm.CSVVal, _xlfn.XLOOKUP($A89, CSV!$A:$A, CSV!AC:AC, ""),
    _xlpm.MacVal, _xlfn.XLOOKUP($A89, Output_Mac!$A:$A, Output_Mac!S:S, ""),
    _xlpm.MyAuditVal, _xlfn.XLOOKUP($A89, My_Audit!$A:$A, My_Audit!P:P, ""),
    _xlfn.TEXTJOIN(", ", TRUE, _xlpm.MyAuditVal, _xlpm.MacVal, _xlpm.CSVVal)
)</f>
        <v/>
      </c>
      <c r="P89" s="2" t="str" cm="1">
        <f t="array" ref="P89">IFERROR(_xlfn.LET(
_xlpm.CSVVal,_xlfn.XLOOKUP($A89,CSV!$A:$A,CSV!AD:AD,""),
_xlpm.MacVal,_xlfn.XLOOKUP($A89,Output_Mac!$A:$A,Output_Mac!T:T,""),
_xlpm.MyAuditVal,_xlfn.XLOOKUP($A89,My_Audit!$A:$A,My_Audit!Q:Q,""),
_xlfn.IFS(_xlpm.MyAuditVal&lt;&gt;"",UPPER(_xlpm.MyAuditVal),_xlpm.MacVal&lt;&gt;"",_xlpm.MacVal,_xlpm.CSVVal&lt;&gt;"",_xlpm.CSVVal
)),"No")</f>
        <v>No</v>
      </c>
      <c r="Q89" s="2" t="str" cm="1">
        <f t="array" ref="Q89">IFERROR(_xlfn.LET(
_xlpm.CSVVal,_xlfn.XLOOKUP($A89,CSV!$A:$A,CSV!AE:AE,""),
_xlpm.MacVal,_xlfn.XLOOKUP($A89,Output_Mac!$A:$A,Output_Mac!U:U,""),
_xlpm.MyAuditVal,_xlfn.XLOOKUP($A89,My_Audit!$A:$A,My_Audit!R:R,""),
_xlfn.IFS(_xlpm.MyAuditVal&lt;&gt;"",UPPER(_xlpm.MyAuditVal),_xlpm.MacVal&lt;&gt;"",_xlpm.MacVal,_xlpm.CSVVal&lt;&gt;"",_xlpm.CSVVal
)),"")</f>
        <v/>
      </c>
      <c r="X89" t="str">
        <f>_xlfn.LET(
    _xlpm.MacVal, _xlfn.XLOOKUP($A89, Output_Mac!$A:$A, Output_Mac!AB:AB, ""),
    _xlpm.MyAuditVal, _xlfn.XLOOKUP($A89, My_Audit!$A:$A, My_Audit!N:N, ""),
    _xlfn.TEXTJOIN(", ", TRUE, _xlpm.MyAuditVal, _xlpm.MacVal)
)</f>
        <v/>
      </c>
    </row>
    <row r="90" spans="1:24">
      <c r="A90" s="2" t="str">
        <f>_xlfn.TEXTJOIN("",TRUE,Input!$B$2,ROW(My_Audit!A89))</f>
        <v>X89</v>
      </c>
      <c r="B90" s="2" t="str">
        <f>_xlfn.TEXTJOIN("-",TRUE,"ITD",Input!$A$2,A90)</f>
        <v>ITD-SHR-X89</v>
      </c>
      <c r="C90" s="2" t="str" cm="1">
        <f t="array" ref="C90">IFERROR(_xlfn.LET(
_xlpm.CSVVal,_xlfn.XLOOKUP($A90,CSV!$A:$A,CSV!B:B,""),
_xlpm.MacVal,_xlfn.XLOOKUP($A90,Output_Mac!$A:$A,Output_Mac!B:B,""),
_xlpm.MyAuditVal,_xlfn.XLOOKUP($A90,My_Audit!$A:$A,My_Audit!B:B,""),
_xlfn.IFS(_xlpm.MyAuditVal&lt;&gt;"",UPPER(_xlpm.MyAuditVal),_xlpm.MacVal&lt;&gt;"",_xlpm.MacVal,_xlpm.CSVVal&lt;&gt;"",_xlpm.CSVVal
)),"")</f>
        <v/>
      </c>
      <c r="D90" s="2" t="str" cm="1">
        <f t="array" ref="D90">IFERROR(_xlfn.LET(
_xlpm.CSVVal,_xlfn.XLOOKUP($A90,CSV!$A:$A,CSV!D:D,""),
_xlpm.MacVal,_xlfn.XLOOKUP($A90,Output_Mac!$A:$A,Output_Mac!C:C,""),
_xlpm.MyAuditVal,_xlfn.XLOOKUP($A90,My_Audit!$A:$A,My_Audit!C:C,""),
_xlfn.IFS(_xlpm.MyAuditVal&lt;&gt;"",_xlpm.MyAuditVal,_xlpm.MacVal&lt;&gt;"",_xlpm.MacVal,_xlpm.CSVVal&lt;&gt;"",_xlpm.CSVVal
)),"")</f>
        <v/>
      </c>
      <c r="E90" s="2" t="str">
        <f>_xlfn.XLOOKUP(A90,My_Audit!A:A,My_Audit!D:D,"")&amp;""</f>
        <v/>
      </c>
      <c r="F90" s="2" t="str" cm="1">
        <f t="array" ref="F90">IFERROR(_xlfn.LET(
_xlpm.CSVVal,_xlfn.XLOOKUP($A90,CSV!$A:$A,CSV!F:F,""),
_xlpm.MacVal,_xlfn.XLOOKUP($A90,Output_Mac!$A:$A,Output_Mac!E:E,""),
_xlpm.MyAuditVal,_xlfn.XLOOKUP($A90,My_Audit!$A:$A,My_Audit!E:E,""),
_xlfn.IFS(_xlpm.MyAuditVal&lt;&gt;"",_xlpm.MyAuditVal,_xlpm.MacVal&lt;&gt;"",_xlpm.MacVal,_xlpm.CSVVal&lt;&gt;"",_xlpm.CSVVal
)),"")</f>
        <v/>
      </c>
      <c r="G90" s="2" t="str" cm="1">
        <f t="array" ref="G90">IFERROR(_xlfn.LET(
_xlpm.CSVVal,_xlfn.XLOOKUP($A90,CSV!$A:$A,CSV!G:G,""),
_xlpm.MacVal,_xlfn.XLOOKUP($A90,Output_Mac!$A:$A,Output_Mac!F:F,""),
_xlpm.MyAuditVal,_xlfn.XLOOKUP($A90,My_Audit!$A:$A,My_Audit!F:F,""),
_xlfn.IFS(_xlpm.MyAuditVal&lt;&gt;"",_xlpm.MyAuditVal,_xlpm.MacVal&lt;&gt;"",_xlpm.MacVal,_xlpm.CSVVal&lt;&gt;"",PROPER(_xlpm.CSVVal)
)),"")</f>
        <v/>
      </c>
      <c r="H90" s="2" t="str" cm="1">
        <f t="array" ref="H90">IFERROR(_xlfn.LET(
_xlpm.CSVVal,_xlfn.XLOOKUP($A90,CSV!$A:$A,CSV!H:H,""),
_xlpm.MacVal,_xlfn.XLOOKUP($A90,Output_Mac!$A:$A,Output_Mac!H:H,""),
_xlpm.MyAuditVal,_xlfn.XLOOKUP($A90,My_Audit!$A:$A,My_Audit!G:G,""),
_xlfn.IFS(_xlpm.MyAuditVal&lt;&gt;"",_xlpm.MyAuditVal,_xlpm.MacVal&lt;&gt;"",_xlpm.MacVal,_xlpm.CSVVal&lt;&gt;"",_xlpm.CSVVal
)),"")</f>
        <v/>
      </c>
      <c r="I90" s="2" t="str">
        <f>_xlfn.XLOOKUP(A90,Output_Mac!A:A,Output_Mac!I:I,"")</f>
        <v/>
      </c>
      <c r="J90" s="2" t="str" cm="1">
        <f t="array" ref="J90">IFERROR(_xlfn.LET(
_xlpm.CSVVal,_xlfn.XLOOKUP($A90,CSV!$A:$A,CSV!I:I,""),
_xlpm.MacVal,_xlfn.XLOOKUP($A90,Output_Mac!$A:$A,Output_Mac!J:J,""),
_xlpm.MyAuditVal,_xlfn.XLOOKUP($A90,My_Audit!$A:$A,My_Audit!I:I,""),
_xlfn.IFS(_xlpm.MyAuditVal&lt;&gt;"",UPPER(_xlpm.MyAuditVal),_xlpm.MacVal&lt;&gt;"",_xlpm.MacVal,_xlpm.CSVVal&lt;&gt;"",_xlpm.CSVVal
)),"")</f>
        <v/>
      </c>
      <c r="K90" s="2" t="str" cm="1">
        <f t="array" ref="K90">IFERROR(_xlfn.LET(
_xlpm.CSVVal,_xlfn.XLOOKUP($A90,CSV!$A:$A,CSV!K:K,""),
_xlpm.MacVal,_xlfn.XLOOKUP($A90,Output_Mac!$A:$A,Output_Mac!K:K,""),
_xlpm.MyAuditVal,_xlfn.XLOOKUP($A90,My_Audit!$A:$A,My_Audit!J:J,""),
_xlfn.IFS(_xlpm.MyAuditVal&lt;&gt;"",UPPER(_xlpm.MyAuditVal),_xlpm.MacVal&lt;&gt;"",_xlpm.MacVal,_xlpm.CSVVal&lt;&gt;"",_xlpm.CSVVal
)),"")</f>
        <v/>
      </c>
      <c r="L90" s="2" t="str" cm="1">
        <f t="array" ref="L90">IFERROR(_xlfn.LET(
_xlpm.CSVVal,_xlfn.XLOOKUP($A90,CSV!$A:$A,CSV!P:P,""),
_xlpm.MacVal,_xlfn.XLOOKUP($A90,Output_Mac!$A:$A,Output_Mac!L:L,""),
_xlpm.MyAuditVal,_xlfn.XLOOKUP($A90,My_Audit!$A:$A,My_Audit!K:K,""),
_xlfn.IFS(_xlpm.MyAuditVal&lt;&gt;"",UPPER(_xlpm.MyAuditVal),_xlpm.MacVal&lt;&gt;"",_xlpm.MacVal,_xlpm.CSVVal&lt;&gt;"",_xlpm.CSVVal
)),"")</f>
        <v/>
      </c>
      <c r="M90" s="2" t="str" cm="1">
        <f t="array" ref="M90">IFERROR(_xlfn.LET(
_xlpm.CSVVal,_xlfn.XLOOKUP($A90,CSV!$A:$A,CSV!Q:Q,""),
_xlpm.MacVal,_xlfn.XLOOKUP($A90,Output_Mac!$A:$A,Output_Mac!M:M,""),
_xlpm.MyAuditVal,_xlfn.XLOOKUP($A90,My_Audit!$A:$A,My_Audit!L:L,""),
_xlfn.IFS(_xlpm.MyAuditVal&lt;&gt;"",UPPER(_xlpm.MyAuditVal),_xlpm.MacVal&lt;&gt;"",_xlpm.MacVal,_xlpm.CSVVal&lt;&gt;"",_xlpm.CSVVal
)),"")</f>
        <v/>
      </c>
      <c r="O90" s="2" t="str">
        <f>_xlfn.LET(
    _xlpm.CSVVal, _xlfn.XLOOKUP($A90, CSV!$A:$A, CSV!AC:AC, ""),
    _xlpm.MacVal, _xlfn.XLOOKUP($A90, Output_Mac!$A:$A, Output_Mac!S:S, ""),
    _xlpm.MyAuditVal, _xlfn.XLOOKUP($A90, My_Audit!$A:$A, My_Audit!P:P, ""),
    _xlfn.TEXTJOIN(", ", TRUE, _xlpm.MyAuditVal, _xlpm.MacVal, _xlpm.CSVVal)
)</f>
        <v/>
      </c>
      <c r="P90" s="2" t="str" cm="1">
        <f t="array" ref="P90">IFERROR(_xlfn.LET(
_xlpm.CSVVal,_xlfn.XLOOKUP($A90,CSV!$A:$A,CSV!AD:AD,""),
_xlpm.MacVal,_xlfn.XLOOKUP($A90,Output_Mac!$A:$A,Output_Mac!T:T,""),
_xlpm.MyAuditVal,_xlfn.XLOOKUP($A90,My_Audit!$A:$A,My_Audit!Q:Q,""),
_xlfn.IFS(_xlpm.MyAuditVal&lt;&gt;"",UPPER(_xlpm.MyAuditVal),_xlpm.MacVal&lt;&gt;"",_xlpm.MacVal,_xlpm.CSVVal&lt;&gt;"",_xlpm.CSVVal
)),"No")</f>
        <v>No</v>
      </c>
      <c r="Q90" s="2" t="str" cm="1">
        <f t="array" ref="Q90">IFERROR(_xlfn.LET(
_xlpm.CSVVal,_xlfn.XLOOKUP($A90,CSV!$A:$A,CSV!AE:AE,""),
_xlpm.MacVal,_xlfn.XLOOKUP($A90,Output_Mac!$A:$A,Output_Mac!U:U,""),
_xlpm.MyAuditVal,_xlfn.XLOOKUP($A90,My_Audit!$A:$A,My_Audit!R:R,""),
_xlfn.IFS(_xlpm.MyAuditVal&lt;&gt;"",UPPER(_xlpm.MyAuditVal),_xlpm.MacVal&lt;&gt;"",_xlpm.MacVal,_xlpm.CSVVal&lt;&gt;"",_xlpm.CSVVal
)),"")</f>
        <v/>
      </c>
      <c r="X90" t="str">
        <f>_xlfn.LET(
    _xlpm.MacVal, _xlfn.XLOOKUP($A90, Output_Mac!$A:$A, Output_Mac!AB:AB, ""),
    _xlpm.MyAuditVal, _xlfn.XLOOKUP($A90, My_Audit!$A:$A, My_Audit!N:N, ""),
    _xlfn.TEXTJOIN(", ", TRUE, _xlpm.MyAuditVal, _xlpm.MacVal)
)</f>
        <v/>
      </c>
    </row>
    <row r="91" spans="1:24">
      <c r="A91" s="2" t="str">
        <f>_xlfn.TEXTJOIN("",TRUE,Input!$B$2,ROW(My_Audit!A90))</f>
        <v>X90</v>
      </c>
      <c r="B91" s="2" t="str">
        <f>_xlfn.TEXTJOIN("-",TRUE,"ITD",Input!$A$2,A91)</f>
        <v>ITD-SHR-X90</v>
      </c>
      <c r="C91" s="2" t="str" cm="1">
        <f t="array" ref="C91">IFERROR(_xlfn.LET(
_xlpm.CSVVal,_xlfn.XLOOKUP($A91,CSV!$A:$A,CSV!B:B,""),
_xlpm.MacVal,_xlfn.XLOOKUP($A91,Output_Mac!$A:$A,Output_Mac!B:B,""),
_xlpm.MyAuditVal,_xlfn.XLOOKUP($A91,My_Audit!$A:$A,My_Audit!B:B,""),
_xlfn.IFS(_xlpm.MyAuditVal&lt;&gt;"",UPPER(_xlpm.MyAuditVal),_xlpm.MacVal&lt;&gt;"",_xlpm.MacVal,_xlpm.CSVVal&lt;&gt;"",_xlpm.CSVVal
)),"")</f>
        <v/>
      </c>
      <c r="D91" s="2" t="str" cm="1">
        <f t="array" ref="D91">IFERROR(_xlfn.LET(
_xlpm.CSVVal,_xlfn.XLOOKUP($A91,CSV!$A:$A,CSV!D:D,""),
_xlpm.MacVal,_xlfn.XLOOKUP($A91,Output_Mac!$A:$A,Output_Mac!C:C,""),
_xlpm.MyAuditVal,_xlfn.XLOOKUP($A91,My_Audit!$A:$A,My_Audit!C:C,""),
_xlfn.IFS(_xlpm.MyAuditVal&lt;&gt;"",_xlpm.MyAuditVal,_xlpm.MacVal&lt;&gt;"",_xlpm.MacVal,_xlpm.CSVVal&lt;&gt;"",_xlpm.CSVVal
)),"")</f>
        <v/>
      </c>
      <c r="E91" s="2" t="str">
        <f>_xlfn.XLOOKUP(A91,My_Audit!A:A,My_Audit!D:D,"")&amp;""</f>
        <v/>
      </c>
      <c r="F91" s="2" t="str" cm="1">
        <f t="array" ref="F91">IFERROR(_xlfn.LET(
_xlpm.CSVVal,_xlfn.XLOOKUP($A91,CSV!$A:$A,CSV!F:F,""),
_xlpm.MacVal,_xlfn.XLOOKUP($A91,Output_Mac!$A:$A,Output_Mac!E:E,""),
_xlpm.MyAuditVal,_xlfn.XLOOKUP($A91,My_Audit!$A:$A,My_Audit!E:E,""),
_xlfn.IFS(_xlpm.MyAuditVal&lt;&gt;"",_xlpm.MyAuditVal,_xlpm.MacVal&lt;&gt;"",_xlpm.MacVal,_xlpm.CSVVal&lt;&gt;"",_xlpm.CSVVal
)),"")</f>
        <v/>
      </c>
      <c r="G91" s="2" t="str" cm="1">
        <f t="array" ref="G91">IFERROR(_xlfn.LET(
_xlpm.CSVVal,_xlfn.XLOOKUP($A91,CSV!$A:$A,CSV!G:G,""),
_xlpm.MacVal,_xlfn.XLOOKUP($A91,Output_Mac!$A:$A,Output_Mac!F:F,""),
_xlpm.MyAuditVal,_xlfn.XLOOKUP($A91,My_Audit!$A:$A,My_Audit!F:F,""),
_xlfn.IFS(_xlpm.MyAuditVal&lt;&gt;"",_xlpm.MyAuditVal,_xlpm.MacVal&lt;&gt;"",_xlpm.MacVal,_xlpm.CSVVal&lt;&gt;"",PROPER(_xlpm.CSVVal)
)),"")</f>
        <v/>
      </c>
      <c r="H91" s="2" t="str" cm="1">
        <f t="array" ref="H91">IFERROR(_xlfn.LET(
_xlpm.CSVVal,_xlfn.XLOOKUP($A91,CSV!$A:$A,CSV!H:H,""),
_xlpm.MacVal,_xlfn.XLOOKUP($A91,Output_Mac!$A:$A,Output_Mac!H:H,""),
_xlpm.MyAuditVal,_xlfn.XLOOKUP($A91,My_Audit!$A:$A,My_Audit!G:G,""),
_xlfn.IFS(_xlpm.MyAuditVal&lt;&gt;"",_xlpm.MyAuditVal,_xlpm.MacVal&lt;&gt;"",_xlpm.MacVal,_xlpm.CSVVal&lt;&gt;"",_xlpm.CSVVal
)),"")</f>
        <v/>
      </c>
      <c r="I91" s="2" t="str">
        <f>_xlfn.XLOOKUP(A91,Output_Mac!A:A,Output_Mac!I:I,"")</f>
        <v/>
      </c>
      <c r="J91" s="2" t="str" cm="1">
        <f t="array" ref="J91">IFERROR(_xlfn.LET(
_xlpm.CSVVal,_xlfn.XLOOKUP($A91,CSV!$A:$A,CSV!I:I,""),
_xlpm.MacVal,_xlfn.XLOOKUP($A91,Output_Mac!$A:$A,Output_Mac!J:J,""),
_xlpm.MyAuditVal,_xlfn.XLOOKUP($A91,My_Audit!$A:$A,My_Audit!I:I,""),
_xlfn.IFS(_xlpm.MyAuditVal&lt;&gt;"",UPPER(_xlpm.MyAuditVal),_xlpm.MacVal&lt;&gt;"",_xlpm.MacVal,_xlpm.CSVVal&lt;&gt;"",_xlpm.CSVVal
)),"")</f>
        <v/>
      </c>
      <c r="K91" s="2" t="str" cm="1">
        <f t="array" ref="K91">IFERROR(_xlfn.LET(
_xlpm.CSVVal,_xlfn.XLOOKUP($A91,CSV!$A:$A,CSV!K:K,""),
_xlpm.MacVal,_xlfn.XLOOKUP($A91,Output_Mac!$A:$A,Output_Mac!K:K,""),
_xlpm.MyAuditVal,_xlfn.XLOOKUP($A91,My_Audit!$A:$A,My_Audit!J:J,""),
_xlfn.IFS(_xlpm.MyAuditVal&lt;&gt;"",UPPER(_xlpm.MyAuditVal),_xlpm.MacVal&lt;&gt;"",_xlpm.MacVal,_xlpm.CSVVal&lt;&gt;"",_xlpm.CSVVal
)),"")</f>
        <v/>
      </c>
      <c r="L91" s="2" t="str" cm="1">
        <f t="array" ref="L91">IFERROR(_xlfn.LET(
_xlpm.CSVVal,_xlfn.XLOOKUP($A91,CSV!$A:$A,CSV!P:P,""),
_xlpm.MacVal,_xlfn.XLOOKUP($A91,Output_Mac!$A:$A,Output_Mac!L:L,""),
_xlpm.MyAuditVal,_xlfn.XLOOKUP($A91,My_Audit!$A:$A,My_Audit!K:K,""),
_xlfn.IFS(_xlpm.MyAuditVal&lt;&gt;"",UPPER(_xlpm.MyAuditVal),_xlpm.MacVal&lt;&gt;"",_xlpm.MacVal,_xlpm.CSVVal&lt;&gt;"",_xlpm.CSVVal
)),"")</f>
        <v/>
      </c>
      <c r="M91" s="2" t="str" cm="1">
        <f t="array" ref="M91">IFERROR(_xlfn.LET(
_xlpm.CSVVal,_xlfn.XLOOKUP($A91,CSV!$A:$A,CSV!Q:Q,""),
_xlpm.MacVal,_xlfn.XLOOKUP($A91,Output_Mac!$A:$A,Output_Mac!M:M,""),
_xlpm.MyAuditVal,_xlfn.XLOOKUP($A91,My_Audit!$A:$A,My_Audit!L:L,""),
_xlfn.IFS(_xlpm.MyAuditVal&lt;&gt;"",UPPER(_xlpm.MyAuditVal),_xlpm.MacVal&lt;&gt;"",_xlpm.MacVal,_xlpm.CSVVal&lt;&gt;"",_xlpm.CSVVal
)),"")</f>
        <v/>
      </c>
      <c r="O91" s="2" t="str">
        <f>_xlfn.LET(
    _xlpm.CSVVal, _xlfn.XLOOKUP($A91, CSV!$A:$A, CSV!AC:AC, ""),
    _xlpm.MacVal, _xlfn.XLOOKUP($A91, Output_Mac!$A:$A, Output_Mac!S:S, ""),
    _xlpm.MyAuditVal, _xlfn.XLOOKUP($A91, My_Audit!$A:$A, My_Audit!P:P, ""),
    _xlfn.TEXTJOIN(", ", TRUE, _xlpm.MyAuditVal, _xlpm.MacVal, _xlpm.CSVVal)
)</f>
        <v/>
      </c>
      <c r="P91" s="2" t="str" cm="1">
        <f t="array" ref="P91">IFERROR(_xlfn.LET(
_xlpm.CSVVal,_xlfn.XLOOKUP($A91,CSV!$A:$A,CSV!AD:AD,""),
_xlpm.MacVal,_xlfn.XLOOKUP($A91,Output_Mac!$A:$A,Output_Mac!T:T,""),
_xlpm.MyAuditVal,_xlfn.XLOOKUP($A91,My_Audit!$A:$A,My_Audit!Q:Q,""),
_xlfn.IFS(_xlpm.MyAuditVal&lt;&gt;"",UPPER(_xlpm.MyAuditVal),_xlpm.MacVal&lt;&gt;"",_xlpm.MacVal,_xlpm.CSVVal&lt;&gt;"",_xlpm.CSVVal
)),"No")</f>
        <v>No</v>
      </c>
      <c r="Q91" s="2" t="str" cm="1">
        <f t="array" ref="Q91">IFERROR(_xlfn.LET(
_xlpm.CSVVal,_xlfn.XLOOKUP($A91,CSV!$A:$A,CSV!AE:AE,""),
_xlpm.MacVal,_xlfn.XLOOKUP($A91,Output_Mac!$A:$A,Output_Mac!U:U,""),
_xlpm.MyAuditVal,_xlfn.XLOOKUP($A91,My_Audit!$A:$A,My_Audit!R:R,""),
_xlfn.IFS(_xlpm.MyAuditVal&lt;&gt;"",UPPER(_xlpm.MyAuditVal),_xlpm.MacVal&lt;&gt;"",_xlpm.MacVal,_xlpm.CSVVal&lt;&gt;"",_xlpm.CSVVal
)),"")</f>
        <v/>
      </c>
      <c r="X91" t="str">
        <f>_xlfn.LET(
    _xlpm.MacVal, _xlfn.XLOOKUP($A91, Output_Mac!$A:$A, Output_Mac!AB:AB, ""),
    _xlpm.MyAuditVal, _xlfn.XLOOKUP($A91, My_Audit!$A:$A, My_Audit!N:N, ""),
    _xlfn.TEXTJOIN(", ", TRUE, _xlpm.MyAuditVal, _xlpm.MacVal)
)</f>
        <v/>
      </c>
    </row>
    <row r="92" spans="1:24">
      <c r="A92" s="2" t="str">
        <f>_xlfn.TEXTJOIN("",TRUE,Input!$B$2,ROW(My_Audit!A91))</f>
        <v>X91</v>
      </c>
      <c r="B92" s="2" t="str">
        <f>_xlfn.TEXTJOIN("-",TRUE,"ITD",Input!$A$2,A92)</f>
        <v>ITD-SHR-X91</v>
      </c>
      <c r="C92" s="2" t="str" cm="1">
        <f t="array" ref="C92">IFERROR(_xlfn.LET(
_xlpm.CSVVal,_xlfn.XLOOKUP($A92,CSV!$A:$A,CSV!B:B,""),
_xlpm.MacVal,_xlfn.XLOOKUP($A92,Output_Mac!$A:$A,Output_Mac!B:B,""),
_xlpm.MyAuditVal,_xlfn.XLOOKUP($A92,My_Audit!$A:$A,My_Audit!B:B,""),
_xlfn.IFS(_xlpm.MyAuditVal&lt;&gt;"",UPPER(_xlpm.MyAuditVal),_xlpm.MacVal&lt;&gt;"",_xlpm.MacVal,_xlpm.CSVVal&lt;&gt;"",_xlpm.CSVVal
)),"")</f>
        <v/>
      </c>
      <c r="D92" s="2" t="str" cm="1">
        <f t="array" ref="D92">IFERROR(_xlfn.LET(
_xlpm.CSVVal,_xlfn.XLOOKUP($A92,CSV!$A:$A,CSV!D:D,""),
_xlpm.MacVal,_xlfn.XLOOKUP($A92,Output_Mac!$A:$A,Output_Mac!C:C,""),
_xlpm.MyAuditVal,_xlfn.XLOOKUP($A92,My_Audit!$A:$A,My_Audit!C:C,""),
_xlfn.IFS(_xlpm.MyAuditVal&lt;&gt;"",_xlpm.MyAuditVal,_xlpm.MacVal&lt;&gt;"",_xlpm.MacVal,_xlpm.CSVVal&lt;&gt;"",_xlpm.CSVVal
)),"")</f>
        <v/>
      </c>
      <c r="E92" s="2" t="str">
        <f>_xlfn.XLOOKUP(A92,My_Audit!A:A,My_Audit!D:D,"")&amp;""</f>
        <v/>
      </c>
      <c r="F92" s="2" t="str" cm="1">
        <f t="array" ref="F92">IFERROR(_xlfn.LET(
_xlpm.CSVVal,_xlfn.XLOOKUP($A92,CSV!$A:$A,CSV!F:F,""),
_xlpm.MacVal,_xlfn.XLOOKUP($A92,Output_Mac!$A:$A,Output_Mac!E:E,""),
_xlpm.MyAuditVal,_xlfn.XLOOKUP($A92,My_Audit!$A:$A,My_Audit!E:E,""),
_xlfn.IFS(_xlpm.MyAuditVal&lt;&gt;"",_xlpm.MyAuditVal,_xlpm.MacVal&lt;&gt;"",_xlpm.MacVal,_xlpm.CSVVal&lt;&gt;"",_xlpm.CSVVal
)),"")</f>
        <v/>
      </c>
      <c r="G92" s="2" t="str" cm="1">
        <f t="array" ref="G92">IFERROR(_xlfn.LET(
_xlpm.CSVVal,_xlfn.XLOOKUP($A92,CSV!$A:$A,CSV!G:G,""),
_xlpm.MacVal,_xlfn.XLOOKUP($A92,Output_Mac!$A:$A,Output_Mac!F:F,""),
_xlpm.MyAuditVal,_xlfn.XLOOKUP($A92,My_Audit!$A:$A,My_Audit!F:F,""),
_xlfn.IFS(_xlpm.MyAuditVal&lt;&gt;"",_xlpm.MyAuditVal,_xlpm.MacVal&lt;&gt;"",_xlpm.MacVal,_xlpm.CSVVal&lt;&gt;"",PROPER(_xlpm.CSVVal)
)),"")</f>
        <v/>
      </c>
      <c r="H92" s="2" t="str" cm="1">
        <f t="array" ref="H92">IFERROR(_xlfn.LET(
_xlpm.CSVVal,_xlfn.XLOOKUP($A92,CSV!$A:$A,CSV!H:H,""),
_xlpm.MacVal,_xlfn.XLOOKUP($A92,Output_Mac!$A:$A,Output_Mac!H:H,""),
_xlpm.MyAuditVal,_xlfn.XLOOKUP($A92,My_Audit!$A:$A,My_Audit!G:G,""),
_xlfn.IFS(_xlpm.MyAuditVal&lt;&gt;"",_xlpm.MyAuditVal,_xlpm.MacVal&lt;&gt;"",_xlpm.MacVal,_xlpm.CSVVal&lt;&gt;"",_xlpm.CSVVal
)),"")</f>
        <v/>
      </c>
      <c r="I92" s="2" t="str">
        <f>_xlfn.XLOOKUP(A92,Output_Mac!A:A,Output_Mac!I:I,"")</f>
        <v/>
      </c>
      <c r="J92" s="2" t="str" cm="1">
        <f t="array" ref="J92">IFERROR(_xlfn.LET(
_xlpm.CSVVal,_xlfn.XLOOKUP($A92,CSV!$A:$A,CSV!I:I,""),
_xlpm.MacVal,_xlfn.XLOOKUP($A92,Output_Mac!$A:$A,Output_Mac!J:J,""),
_xlpm.MyAuditVal,_xlfn.XLOOKUP($A92,My_Audit!$A:$A,My_Audit!I:I,""),
_xlfn.IFS(_xlpm.MyAuditVal&lt;&gt;"",UPPER(_xlpm.MyAuditVal),_xlpm.MacVal&lt;&gt;"",_xlpm.MacVal,_xlpm.CSVVal&lt;&gt;"",_xlpm.CSVVal
)),"")</f>
        <v/>
      </c>
      <c r="K92" s="2" t="str" cm="1">
        <f t="array" ref="K92">IFERROR(_xlfn.LET(
_xlpm.CSVVal,_xlfn.XLOOKUP($A92,CSV!$A:$A,CSV!K:K,""),
_xlpm.MacVal,_xlfn.XLOOKUP($A92,Output_Mac!$A:$A,Output_Mac!K:K,""),
_xlpm.MyAuditVal,_xlfn.XLOOKUP($A92,My_Audit!$A:$A,My_Audit!J:J,""),
_xlfn.IFS(_xlpm.MyAuditVal&lt;&gt;"",UPPER(_xlpm.MyAuditVal),_xlpm.MacVal&lt;&gt;"",_xlpm.MacVal,_xlpm.CSVVal&lt;&gt;"",_xlpm.CSVVal
)),"")</f>
        <v/>
      </c>
      <c r="L92" s="2" t="str" cm="1">
        <f t="array" ref="L92">IFERROR(_xlfn.LET(
_xlpm.CSVVal,_xlfn.XLOOKUP($A92,CSV!$A:$A,CSV!P:P,""),
_xlpm.MacVal,_xlfn.XLOOKUP($A92,Output_Mac!$A:$A,Output_Mac!L:L,""),
_xlpm.MyAuditVal,_xlfn.XLOOKUP($A92,My_Audit!$A:$A,My_Audit!K:K,""),
_xlfn.IFS(_xlpm.MyAuditVal&lt;&gt;"",UPPER(_xlpm.MyAuditVal),_xlpm.MacVal&lt;&gt;"",_xlpm.MacVal,_xlpm.CSVVal&lt;&gt;"",_xlpm.CSVVal
)),"")</f>
        <v/>
      </c>
      <c r="M92" s="2" t="str" cm="1">
        <f t="array" ref="M92">IFERROR(_xlfn.LET(
_xlpm.CSVVal,_xlfn.XLOOKUP($A92,CSV!$A:$A,CSV!Q:Q,""),
_xlpm.MacVal,_xlfn.XLOOKUP($A92,Output_Mac!$A:$A,Output_Mac!M:M,""),
_xlpm.MyAuditVal,_xlfn.XLOOKUP($A92,My_Audit!$A:$A,My_Audit!L:L,""),
_xlfn.IFS(_xlpm.MyAuditVal&lt;&gt;"",UPPER(_xlpm.MyAuditVal),_xlpm.MacVal&lt;&gt;"",_xlpm.MacVal,_xlpm.CSVVal&lt;&gt;"",_xlpm.CSVVal
)),"")</f>
        <v/>
      </c>
      <c r="O92" s="2" t="str">
        <f>_xlfn.LET(
    _xlpm.CSVVal, _xlfn.XLOOKUP($A92, CSV!$A:$A, CSV!AC:AC, ""),
    _xlpm.MacVal, _xlfn.XLOOKUP($A92, Output_Mac!$A:$A, Output_Mac!S:S, ""),
    _xlpm.MyAuditVal, _xlfn.XLOOKUP($A92, My_Audit!$A:$A, My_Audit!P:P, ""),
    _xlfn.TEXTJOIN(", ", TRUE, _xlpm.MyAuditVal, _xlpm.MacVal, _xlpm.CSVVal)
)</f>
        <v/>
      </c>
      <c r="P92" s="2" t="str" cm="1">
        <f t="array" ref="P92">IFERROR(_xlfn.LET(
_xlpm.CSVVal,_xlfn.XLOOKUP($A92,CSV!$A:$A,CSV!AD:AD,""),
_xlpm.MacVal,_xlfn.XLOOKUP($A92,Output_Mac!$A:$A,Output_Mac!T:T,""),
_xlpm.MyAuditVal,_xlfn.XLOOKUP($A92,My_Audit!$A:$A,My_Audit!Q:Q,""),
_xlfn.IFS(_xlpm.MyAuditVal&lt;&gt;"",UPPER(_xlpm.MyAuditVal),_xlpm.MacVal&lt;&gt;"",_xlpm.MacVal,_xlpm.CSVVal&lt;&gt;"",_xlpm.CSVVal
)),"No")</f>
        <v>No</v>
      </c>
      <c r="Q92" s="2" t="str" cm="1">
        <f t="array" ref="Q92">IFERROR(_xlfn.LET(
_xlpm.CSVVal,_xlfn.XLOOKUP($A92,CSV!$A:$A,CSV!AE:AE,""),
_xlpm.MacVal,_xlfn.XLOOKUP($A92,Output_Mac!$A:$A,Output_Mac!U:U,""),
_xlpm.MyAuditVal,_xlfn.XLOOKUP($A92,My_Audit!$A:$A,My_Audit!R:R,""),
_xlfn.IFS(_xlpm.MyAuditVal&lt;&gt;"",UPPER(_xlpm.MyAuditVal),_xlpm.MacVal&lt;&gt;"",_xlpm.MacVal,_xlpm.CSVVal&lt;&gt;"",_xlpm.CSVVal
)),"")</f>
        <v/>
      </c>
      <c r="X92" t="str">
        <f>_xlfn.LET(
    _xlpm.MacVal, _xlfn.XLOOKUP($A92, Output_Mac!$A:$A, Output_Mac!AB:AB, ""),
    _xlpm.MyAuditVal, _xlfn.XLOOKUP($A92, My_Audit!$A:$A, My_Audit!N:N, ""),
    _xlfn.TEXTJOIN(", ", TRUE, _xlpm.MyAuditVal, _xlpm.MacVal)
)</f>
        <v/>
      </c>
    </row>
    <row r="93" spans="1:24">
      <c r="A93" s="2" t="str">
        <f>_xlfn.TEXTJOIN("",TRUE,Input!$B$2,ROW(My_Audit!A92))</f>
        <v>X92</v>
      </c>
      <c r="B93" s="2" t="str">
        <f>_xlfn.TEXTJOIN("-",TRUE,"ITD",Input!$A$2,A93)</f>
        <v>ITD-SHR-X92</v>
      </c>
      <c r="C93" s="2" t="str" cm="1">
        <f t="array" ref="C93">IFERROR(_xlfn.LET(
_xlpm.CSVVal,_xlfn.XLOOKUP($A93,CSV!$A:$A,CSV!B:B,""),
_xlpm.MacVal,_xlfn.XLOOKUP($A93,Output_Mac!$A:$A,Output_Mac!B:B,""),
_xlpm.MyAuditVal,_xlfn.XLOOKUP($A93,My_Audit!$A:$A,My_Audit!B:B,""),
_xlfn.IFS(_xlpm.MyAuditVal&lt;&gt;"",UPPER(_xlpm.MyAuditVal),_xlpm.MacVal&lt;&gt;"",_xlpm.MacVal,_xlpm.CSVVal&lt;&gt;"",_xlpm.CSVVal
)),"")</f>
        <v/>
      </c>
      <c r="D93" s="2" t="str" cm="1">
        <f t="array" ref="D93">IFERROR(_xlfn.LET(
_xlpm.CSVVal,_xlfn.XLOOKUP($A93,CSV!$A:$A,CSV!D:D,""),
_xlpm.MacVal,_xlfn.XLOOKUP($A93,Output_Mac!$A:$A,Output_Mac!C:C,""),
_xlpm.MyAuditVal,_xlfn.XLOOKUP($A93,My_Audit!$A:$A,My_Audit!C:C,""),
_xlfn.IFS(_xlpm.MyAuditVal&lt;&gt;"",_xlpm.MyAuditVal,_xlpm.MacVal&lt;&gt;"",_xlpm.MacVal,_xlpm.CSVVal&lt;&gt;"",_xlpm.CSVVal
)),"")</f>
        <v/>
      </c>
      <c r="E93" s="2" t="str">
        <f>_xlfn.XLOOKUP(A93,My_Audit!A:A,My_Audit!D:D,"")&amp;""</f>
        <v/>
      </c>
      <c r="F93" s="2" t="str" cm="1">
        <f t="array" ref="F93">IFERROR(_xlfn.LET(
_xlpm.CSVVal,_xlfn.XLOOKUP($A93,CSV!$A:$A,CSV!F:F,""),
_xlpm.MacVal,_xlfn.XLOOKUP($A93,Output_Mac!$A:$A,Output_Mac!E:E,""),
_xlpm.MyAuditVal,_xlfn.XLOOKUP($A93,My_Audit!$A:$A,My_Audit!E:E,""),
_xlfn.IFS(_xlpm.MyAuditVal&lt;&gt;"",_xlpm.MyAuditVal,_xlpm.MacVal&lt;&gt;"",_xlpm.MacVal,_xlpm.CSVVal&lt;&gt;"",_xlpm.CSVVal
)),"")</f>
        <v/>
      </c>
      <c r="G93" s="2" t="str" cm="1">
        <f t="array" ref="G93">IFERROR(_xlfn.LET(
_xlpm.CSVVal,_xlfn.XLOOKUP($A93,CSV!$A:$A,CSV!G:G,""),
_xlpm.MacVal,_xlfn.XLOOKUP($A93,Output_Mac!$A:$A,Output_Mac!F:F,""),
_xlpm.MyAuditVal,_xlfn.XLOOKUP($A93,My_Audit!$A:$A,My_Audit!F:F,""),
_xlfn.IFS(_xlpm.MyAuditVal&lt;&gt;"",_xlpm.MyAuditVal,_xlpm.MacVal&lt;&gt;"",_xlpm.MacVal,_xlpm.CSVVal&lt;&gt;"",PROPER(_xlpm.CSVVal)
)),"")</f>
        <v/>
      </c>
      <c r="H93" s="2" t="str" cm="1">
        <f t="array" ref="H93">IFERROR(_xlfn.LET(
_xlpm.CSVVal,_xlfn.XLOOKUP($A93,CSV!$A:$A,CSV!H:H,""),
_xlpm.MacVal,_xlfn.XLOOKUP($A93,Output_Mac!$A:$A,Output_Mac!H:H,""),
_xlpm.MyAuditVal,_xlfn.XLOOKUP($A93,My_Audit!$A:$A,My_Audit!G:G,""),
_xlfn.IFS(_xlpm.MyAuditVal&lt;&gt;"",_xlpm.MyAuditVal,_xlpm.MacVal&lt;&gt;"",_xlpm.MacVal,_xlpm.CSVVal&lt;&gt;"",_xlpm.CSVVal
)),"")</f>
        <v/>
      </c>
      <c r="I93" s="2" t="str">
        <f>_xlfn.XLOOKUP(A93,Output_Mac!A:A,Output_Mac!I:I,"")</f>
        <v/>
      </c>
      <c r="J93" s="2" t="str" cm="1">
        <f t="array" ref="J93">IFERROR(_xlfn.LET(
_xlpm.CSVVal,_xlfn.XLOOKUP($A93,CSV!$A:$A,CSV!I:I,""),
_xlpm.MacVal,_xlfn.XLOOKUP($A93,Output_Mac!$A:$A,Output_Mac!J:J,""),
_xlpm.MyAuditVal,_xlfn.XLOOKUP($A93,My_Audit!$A:$A,My_Audit!I:I,""),
_xlfn.IFS(_xlpm.MyAuditVal&lt;&gt;"",UPPER(_xlpm.MyAuditVal),_xlpm.MacVal&lt;&gt;"",_xlpm.MacVal,_xlpm.CSVVal&lt;&gt;"",_xlpm.CSVVal
)),"")</f>
        <v/>
      </c>
      <c r="K93" s="2" t="str" cm="1">
        <f t="array" ref="K93">IFERROR(_xlfn.LET(
_xlpm.CSVVal,_xlfn.XLOOKUP($A93,CSV!$A:$A,CSV!K:K,""),
_xlpm.MacVal,_xlfn.XLOOKUP($A93,Output_Mac!$A:$A,Output_Mac!K:K,""),
_xlpm.MyAuditVal,_xlfn.XLOOKUP($A93,My_Audit!$A:$A,My_Audit!J:J,""),
_xlfn.IFS(_xlpm.MyAuditVal&lt;&gt;"",UPPER(_xlpm.MyAuditVal),_xlpm.MacVal&lt;&gt;"",_xlpm.MacVal,_xlpm.CSVVal&lt;&gt;"",_xlpm.CSVVal
)),"")</f>
        <v/>
      </c>
      <c r="L93" s="2" t="str" cm="1">
        <f t="array" ref="L93">IFERROR(_xlfn.LET(
_xlpm.CSVVal,_xlfn.XLOOKUP($A93,CSV!$A:$A,CSV!P:P,""),
_xlpm.MacVal,_xlfn.XLOOKUP($A93,Output_Mac!$A:$A,Output_Mac!L:L,""),
_xlpm.MyAuditVal,_xlfn.XLOOKUP($A93,My_Audit!$A:$A,My_Audit!K:K,""),
_xlfn.IFS(_xlpm.MyAuditVal&lt;&gt;"",UPPER(_xlpm.MyAuditVal),_xlpm.MacVal&lt;&gt;"",_xlpm.MacVal,_xlpm.CSVVal&lt;&gt;"",_xlpm.CSVVal
)),"")</f>
        <v/>
      </c>
      <c r="M93" s="2" t="str" cm="1">
        <f t="array" ref="M93">IFERROR(_xlfn.LET(
_xlpm.CSVVal,_xlfn.XLOOKUP($A93,CSV!$A:$A,CSV!Q:Q,""),
_xlpm.MacVal,_xlfn.XLOOKUP($A93,Output_Mac!$A:$A,Output_Mac!M:M,""),
_xlpm.MyAuditVal,_xlfn.XLOOKUP($A93,My_Audit!$A:$A,My_Audit!L:L,""),
_xlfn.IFS(_xlpm.MyAuditVal&lt;&gt;"",UPPER(_xlpm.MyAuditVal),_xlpm.MacVal&lt;&gt;"",_xlpm.MacVal,_xlpm.CSVVal&lt;&gt;"",_xlpm.CSVVal
)),"")</f>
        <v/>
      </c>
      <c r="O93" s="2" t="str">
        <f>_xlfn.LET(
    _xlpm.CSVVal, _xlfn.XLOOKUP($A93, CSV!$A:$A, CSV!AC:AC, ""),
    _xlpm.MacVal, _xlfn.XLOOKUP($A93, Output_Mac!$A:$A, Output_Mac!S:S, ""),
    _xlpm.MyAuditVal, _xlfn.XLOOKUP($A93, My_Audit!$A:$A, My_Audit!P:P, ""),
    _xlfn.TEXTJOIN(", ", TRUE, _xlpm.MyAuditVal, _xlpm.MacVal, _xlpm.CSVVal)
)</f>
        <v/>
      </c>
      <c r="P93" s="2" t="str" cm="1">
        <f t="array" ref="P93">IFERROR(_xlfn.LET(
_xlpm.CSVVal,_xlfn.XLOOKUP($A93,CSV!$A:$A,CSV!AD:AD,""),
_xlpm.MacVal,_xlfn.XLOOKUP($A93,Output_Mac!$A:$A,Output_Mac!T:T,""),
_xlpm.MyAuditVal,_xlfn.XLOOKUP($A93,My_Audit!$A:$A,My_Audit!Q:Q,""),
_xlfn.IFS(_xlpm.MyAuditVal&lt;&gt;"",UPPER(_xlpm.MyAuditVal),_xlpm.MacVal&lt;&gt;"",_xlpm.MacVal,_xlpm.CSVVal&lt;&gt;"",_xlpm.CSVVal
)),"No")</f>
        <v>No</v>
      </c>
      <c r="Q93" s="2" t="str" cm="1">
        <f t="array" ref="Q93">IFERROR(_xlfn.LET(
_xlpm.CSVVal,_xlfn.XLOOKUP($A93,CSV!$A:$A,CSV!AE:AE,""),
_xlpm.MacVal,_xlfn.XLOOKUP($A93,Output_Mac!$A:$A,Output_Mac!U:U,""),
_xlpm.MyAuditVal,_xlfn.XLOOKUP($A93,My_Audit!$A:$A,My_Audit!R:R,""),
_xlfn.IFS(_xlpm.MyAuditVal&lt;&gt;"",UPPER(_xlpm.MyAuditVal),_xlpm.MacVal&lt;&gt;"",_xlpm.MacVal,_xlpm.CSVVal&lt;&gt;"",_xlpm.CSVVal
)),"")</f>
        <v/>
      </c>
      <c r="X93" t="str">
        <f>_xlfn.LET(
    _xlpm.MacVal, _xlfn.XLOOKUP($A93, Output_Mac!$A:$A, Output_Mac!AB:AB, ""),
    _xlpm.MyAuditVal, _xlfn.XLOOKUP($A93, My_Audit!$A:$A, My_Audit!N:N, ""),
    _xlfn.TEXTJOIN(", ", TRUE, _xlpm.MyAuditVal, _xlpm.MacVal)
)</f>
        <v/>
      </c>
    </row>
    <row r="94" spans="1:24">
      <c r="A94" s="2" t="str">
        <f>_xlfn.TEXTJOIN("",TRUE,Input!$B$2,ROW(My_Audit!A93))</f>
        <v>X93</v>
      </c>
      <c r="B94" s="2" t="str">
        <f>_xlfn.TEXTJOIN("-",TRUE,"ITD",Input!$A$2,A94)</f>
        <v>ITD-SHR-X93</v>
      </c>
      <c r="C94" s="2" t="str" cm="1">
        <f t="array" ref="C94">IFERROR(_xlfn.LET(
_xlpm.CSVVal,_xlfn.XLOOKUP($A94,CSV!$A:$A,CSV!B:B,""),
_xlpm.MacVal,_xlfn.XLOOKUP($A94,Output_Mac!$A:$A,Output_Mac!B:B,""),
_xlpm.MyAuditVal,_xlfn.XLOOKUP($A94,My_Audit!$A:$A,My_Audit!B:B,""),
_xlfn.IFS(_xlpm.MyAuditVal&lt;&gt;"",UPPER(_xlpm.MyAuditVal),_xlpm.MacVal&lt;&gt;"",_xlpm.MacVal,_xlpm.CSVVal&lt;&gt;"",_xlpm.CSVVal
)),"")</f>
        <v/>
      </c>
      <c r="D94" s="2" t="str" cm="1">
        <f t="array" ref="D94">IFERROR(_xlfn.LET(
_xlpm.CSVVal,_xlfn.XLOOKUP($A94,CSV!$A:$A,CSV!D:D,""),
_xlpm.MacVal,_xlfn.XLOOKUP($A94,Output_Mac!$A:$A,Output_Mac!C:C,""),
_xlpm.MyAuditVal,_xlfn.XLOOKUP($A94,My_Audit!$A:$A,My_Audit!C:C,""),
_xlfn.IFS(_xlpm.MyAuditVal&lt;&gt;"",_xlpm.MyAuditVal,_xlpm.MacVal&lt;&gt;"",_xlpm.MacVal,_xlpm.CSVVal&lt;&gt;"",_xlpm.CSVVal
)),"")</f>
        <v/>
      </c>
      <c r="E94" s="2" t="str">
        <f>_xlfn.XLOOKUP(A94,My_Audit!A:A,My_Audit!D:D,"")&amp;""</f>
        <v/>
      </c>
      <c r="F94" s="2" t="str" cm="1">
        <f t="array" ref="F94">IFERROR(_xlfn.LET(
_xlpm.CSVVal,_xlfn.XLOOKUP($A94,CSV!$A:$A,CSV!F:F,""),
_xlpm.MacVal,_xlfn.XLOOKUP($A94,Output_Mac!$A:$A,Output_Mac!E:E,""),
_xlpm.MyAuditVal,_xlfn.XLOOKUP($A94,My_Audit!$A:$A,My_Audit!E:E,""),
_xlfn.IFS(_xlpm.MyAuditVal&lt;&gt;"",_xlpm.MyAuditVal,_xlpm.MacVal&lt;&gt;"",_xlpm.MacVal,_xlpm.CSVVal&lt;&gt;"",_xlpm.CSVVal
)),"")</f>
        <v/>
      </c>
      <c r="G94" s="2" t="str" cm="1">
        <f t="array" ref="G94">IFERROR(_xlfn.LET(
_xlpm.CSVVal,_xlfn.XLOOKUP($A94,CSV!$A:$A,CSV!G:G,""),
_xlpm.MacVal,_xlfn.XLOOKUP($A94,Output_Mac!$A:$A,Output_Mac!F:F,""),
_xlpm.MyAuditVal,_xlfn.XLOOKUP($A94,My_Audit!$A:$A,My_Audit!F:F,""),
_xlfn.IFS(_xlpm.MyAuditVal&lt;&gt;"",_xlpm.MyAuditVal,_xlpm.MacVal&lt;&gt;"",_xlpm.MacVal,_xlpm.CSVVal&lt;&gt;"",PROPER(_xlpm.CSVVal)
)),"")</f>
        <v/>
      </c>
      <c r="H94" s="2" t="str" cm="1">
        <f t="array" ref="H94">IFERROR(_xlfn.LET(
_xlpm.CSVVal,_xlfn.XLOOKUP($A94,CSV!$A:$A,CSV!H:H,""),
_xlpm.MacVal,_xlfn.XLOOKUP($A94,Output_Mac!$A:$A,Output_Mac!H:H,""),
_xlpm.MyAuditVal,_xlfn.XLOOKUP($A94,My_Audit!$A:$A,My_Audit!G:G,""),
_xlfn.IFS(_xlpm.MyAuditVal&lt;&gt;"",_xlpm.MyAuditVal,_xlpm.MacVal&lt;&gt;"",_xlpm.MacVal,_xlpm.CSVVal&lt;&gt;"",_xlpm.CSVVal
)),"")</f>
        <v/>
      </c>
      <c r="I94" s="2" t="str">
        <f>_xlfn.XLOOKUP(A94,Output_Mac!A:A,Output_Mac!I:I,"")</f>
        <v/>
      </c>
      <c r="J94" s="2" t="str" cm="1">
        <f t="array" ref="J94">IFERROR(_xlfn.LET(
_xlpm.CSVVal,_xlfn.XLOOKUP($A94,CSV!$A:$A,CSV!I:I,""),
_xlpm.MacVal,_xlfn.XLOOKUP($A94,Output_Mac!$A:$A,Output_Mac!J:J,""),
_xlpm.MyAuditVal,_xlfn.XLOOKUP($A94,My_Audit!$A:$A,My_Audit!I:I,""),
_xlfn.IFS(_xlpm.MyAuditVal&lt;&gt;"",UPPER(_xlpm.MyAuditVal),_xlpm.MacVal&lt;&gt;"",_xlpm.MacVal,_xlpm.CSVVal&lt;&gt;"",_xlpm.CSVVal
)),"")</f>
        <v/>
      </c>
      <c r="K94" s="2" t="str" cm="1">
        <f t="array" ref="K94">IFERROR(_xlfn.LET(
_xlpm.CSVVal,_xlfn.XLOOKUP($A94,CSV!$A:$A,CSV!K:K,""),
_xlpm.MacVal,_xlfn.XLOOKUP($A94,Output_Mac!$A:$A,Output_Mac!K:K,""),
_xlpm.MyAuditVal,_xlfn.XLOOKUP($A94,My_Audit!$A:$A,My_Audit!J:J,""),
_xlfn.IFS(_xlpm.MyAuditVal&lt;&gt;"",UPPER(_xlpm.MyAuditVal),_xlpm.MacVal&lt;&gt;"",_xlpm.MacVal,_xlpm.CSVVal&lt;&gt;"",_xlpm.CSVVal
)),"")</f>
        <v/>
      </c>
      <c r="L94" s="2" t="str" cm="1">
        <f t="array" ref="L94">IFERROR(_xlfn.LET(
_xlpm.CSVVal,_xlfn.XLOOKUP($A94,CSV!$A:$A,CSV!P:P,""),
_xlpm.MacVal,_xlfn.XLOOKUP($A94,Output_Mac!$A:$A,Output_Mac!L:L,""),
_xlpm.MyAuditVal,_xlfn.XLOOKUP($A94,My_Audit!$A:$A,My_Audit!K:K,""),
_xlfn.IFS(_xlpm.MyAuditVal&lt;&gt;"",UPPER(_xlpm.MyAuditVal),_xlpm.MacVal&lt;&gt;"",_xlpm.MacVal,_xlpm.CSVVal&lt;&gt;"",_xlpm.CSVVal
)),"")</f>
        <v/>
      </c>
      <c r="M94" s="2" t="str" cm="1">
        <f t="array" ref="M94">IFERROR(_xlfn.LET(
_xlpm.CSVVal,_xlfn.XLOOKUP($A94,CSV!$A:$A,CSV!Q:Q,""),
_xlpm.MacVal,_xlfn.XLOOKUP($A94,Output_Mac!$A:$A,Output_Mac!M:M,""),
_xlpm.MyAuditVal,_xlfn.XLOOKUP($A94,My_Audit!$A:$A,My_Audit!L:L,""),
_xlfn.IFS(_xlpm.MyAuditVal&lt;&gt;"",UPPER(_xlpm.MyAuditVal),_xlpm.MacVal&lt;&gt;"",_xlpm.MacVal,_xlpm.CSVVal&lt;&gt;"",_xlpm.CSVVal
)),"")</f>
        <v/>
      </c>
      <c r="O94" s="2" t="str">
        <f>_xlfn.LET(
    _xlpm.CSVVal, _xlfn.XLOOKUP($A94, CSV!$A:$A, CSV!AC:AC, ""),
    _xlpm.MacVal, _xlfn.XLOOKUP($A94, Output_Mac!$A:$A, Output_Mac!S:S, ""),
    _xlpm.MyAuditVal, _xlfn.XLOOKUP($A94, My_Audit!$A:$A, My_Audit!P:P, ""),
    _xlfn.TEXTJOIN(", ", TRUE, _xlpm.MyAuditVal, _xlpm.MacVal, _xlpm.CSVVal)
)</f>
        <v/>
      </c>
      <c r="P94" s="2" t="str" cm="1">
        <f t="array" ref="P94">IFERROR(_xlfn.LET(
_xlpm.CSVVal,_xlfn.XLOOKUP($A94,CSV!$A:$A,CSV!AD:AD,""),
_xlpm.MacVal,_xlfn.XLOOKUP($A94,Output_Mac!$A:$A,Output_Mac!T:T,""),
_xlpm.MyAuditVal,_xlfn.XLOOKUP($A94,My_Audit!$A:$A,My_Audit!Q:Q,""),
_xlfn.IFS(_xlpm.MyAuditVal&lt;&gt;"",UPPER(_xlpm.MyAuditVal),_xlpm.MacVal&lt;&gt;"",_xlpm.MacVal,_xlpm.CSVVal&lt;&gt;"",_xlpm.CSVVal
)),"No")</f>
        <v>No</v>
      </c>
      <c r="Q94" s="2" t="str" cm="1">
        <f t="array" ref="Q94">IFERROR(_xlfn.LET(
_xlpm.CSVVal,_xlfn.XLOOKUP($A94,CSV!$A:$A,CSV!AE:AE,""),
_xlpm.MacVal,_xlfn.XLOOKUP($A94,Output_Mac!$A:$A,Output_Mac!U:U,""),
_xlpm.MyAuditVal,_xlfn.XLOOKUP($A94,My_Audit!$A:$A,My_Audit!R:R,""),
_xlfn.IFS(_xlpm.MyAuditVal&lt;&gt;"",UPPER(_xlpm.MyAuditVal),_xlpm.MacVal&lt;&gt;"",_xlpm.MacVal,_xlpm.CSVVal&lt;&gt;"",_xlpm.CSVVal
)),"")</f>
        <v/>
      </c>
      <c r="X94" t="str">
        <f>_xlfn.LET(
    _xlpm.MacVal, _xlfn.XLOOKUP($A94, Output_Mac!$A:$A, Output_Mac!AB:AB, ""),
    _xlpm.MyAuditVal, _xlfn.XLOOKUP($A94, My_Audit!$A:$A, My_Audit!N:N, ""),
    _xlfn.TEXTJOIN(", ", TRUE, _xlpm.MyAuditVal, _xlpm.MacVal)
)</f>
        <v/>
      </c>
    </row>
    <row r="95" spans="1:24">
      <c r="A95" s="2" t="str">
        <f>_xlfn.TEXTJOIN("",TRUE,Input!$B$2,ROW(My_Audit!A94))</f>
        <v>X94</v>
      </c>
      <c r="B95" s="2" t="str">
        <f>_xlfn.TEXTJOIN("-",TRUE,"ITD",Input!$A$2,A95)</f>
        <v>ITD-SHR-X94</v>
      </c>
      <c r="C95" s="2" t="str" cm="1">
        <f t="array" ref="C95">IFERROR(_xlfn.LET(
_xlpm.CSVVal,_xlfn.XLOOKUP($A95,CSV!$A:$A,CSV!B:B,""),
_xlpm.MacVal,_xlfn.XLOOKUP($A95,Output_Mac!$A:$A,Output_Mac!B:B,""),
_xlpm.MyAuditVal,_xlfn.XLOOKUP($A95,My_Audit!$A:$A,My_Audit!B:B,""),
_xlfn.IFS(_xlpm.MyAuditVal&lt;&gt;"",UPPER(_xlpm.MyAuditVal),_xlpm.MacVal&lt;&gt;"",_xlpm.MacVal,_xlpm.CSVVal&lt;&gt;"",_xlpm.CSVVal
)),"")</f>
        <v/>
      </c>
      <c r="D95" s="2" t="str" cm="1">
        <f t="array" ref="D95">IFERROR(_xlfn.LET(
_xlpm.CSVVal,_xlfn.XLOOKUP($A95,CSV!$A:$A,CSV!D:D,""),
_xlpm.MacVal,_xlfn.XLOOKUP($A95,Output_Mac!$A:$A,Output_Mac!C:C,""),
_xlpm.MyAuditVal,_xlfn.XLOOKUP($A95,My_Audit!$A:$A,My_Audit!C:C,""),
_xlfn.IFS(_xlpm.MyAuditVal&lt;&gt;"",_xlpm.MyAuditVal,_xlpm.MacVal&lt;&gt;"",_xlpm.MacVal,_xlpm.CSVVal&lt;&gt;"",_xlpm.CSVVal
)),"")</f>
        <v/>
      </c>
      <c r="E95" s="2" t="str">
        <f>_xlfn.XLOOKUP(A95,My_Audit!A:A,My_Audit!D:D,"")&amp;""</f>
        <v/>
      </c>
      <c r="F95" s="2" t="str" cm="1">
        <f t="array" ref="F95">IFERROR(_xlfn.LET(
_xlpm.CSVVal,_xlfn.XLOOKUP($A95,CSV!$A:$A,CSV!F:F,""),
_xlpm.MacVal,_xlfn.XLOOKUP($A95,Output_Mac!$A:$A,Output_Mac!E:E,""),
_xlpm.MyAuditVal,_xlfn.XLOOKUP($A95,My_Audit!$A:$A,My_Audit!E:E,""),
_xlfn.IFS(_xlpm.MyAuditVal&lt;&gt;"",_xlpm.MyAuditVal,_xlpm.MacVal&lt;&gt;"",_xlpm.MacVal,_xlpm.CSVVal&lt;&gt;"",_xlpm.CSVVal
)),"")</f>
        <v/>
      </c>
      <c r="G95" s="2" t="str" cm="1">
        <f t="array" ref="G95">IFERROR(_xlfn.LET(
_xlpm.CSVVal,_xlfn.XLOOKUP($A95,CSV!$A:$A,CSV!G:G,""),
_xlpm.MacVal,_xlfn.XLOOKUP($A95,Output_Mac!$A:$A,Output_Mac!F:F,""),
_xlpm.MyAuditVal,_xlfn.XLOOKUP($A95,My_Audit!$A:$A,My_Audit!F:F,""),
_xlfn.IFS(_xlpm.MyAuditVal&lt;&gt;"",_xlpm.MyAuditVal,_xlpm.MacVal&lt;&gt;"",_xlpm.MacVal,_xlpm.CSVVal&lt;&gt;"",PROPER(_xlpm.CSVVal)
)),"")</f>
        <v/>
      </c>
      <c r="H95" s="2" t="str" cm="1">
        <f t="array" ref="H95">IFERROR(_xlfn.LET(
_xlpm.CSVVal,_xlfn.XLOOKUP($A95,CSV!$A:$A,CSV!H:H,""),
_xlpm.MacVal,_xlfn.XLOOKUP($A95,Output_Mac!$A:$A,Output_Mac!H:H,""),
_xlpm.MyAuditVal,_xlfn.XLOOKUP($A95,My_Audit!$A:$A,My_Audit!G:G,""),
_xlfn.IFS(_xlpm.MyAuditVal&lt;&gt;"",_xlpm.MyAuditVal,_xlpm.MacVal&lt;&gt;"",_xlpm.MacVal,_xlpm.CSVVal&lt;&gt;"",_xlpm.CSVVal
)),"")</f>
        <v/>
      </c>
      <c r="I95" s="2" t="str">
        <f>_xlfn.XLOOKUP(A95,Output_Mac!A:A,Output_Mac!I:I,"")</f>
        <v/>
      </c>
      <c r="J95" s="2" t="str" cm="1">
        <f t="array" ref="J95">IFERROR(_xlfn.LET(
_xlpm.CSVVal,_xlfn.XLOOKUP($A95,CSV!$A:$A,CSV!I:I,""),
_xlpm.MacVal,_xlfn.XLOOKUP($A95,Output_Mac!$A:$A,Output_Mac!J:J,""),
_xlpm.MyAuditVal,_xlfn.XLOOKUP($A95,My_Audit!$A:$A,My_Audit!I:I,""),
_xlfn.IFS(_xlpm.MyAuditVal&lt;&gt;"",UPPER(_xlpm.MyAuditVal),_xlpm.MacVal&lt;&gt;"",_xlpm.MacVal,_xlpm.CSVVal&lt;&gt;"",_xlpm.CSVVal
)),"")</f>
        <v/>
      </c>
      <c r="K95" s="2" t="str" cm="1">
        <f t="array" ref="K95">IFERROR(_xlfn.LET(
_xlpm.CSVVal,_xlfn.XLOOKUP($A95,CSV!$A:$A,CSV!K:K,""),
_xlpm.MacVal,_xlfn.XLOOKUP($A95,Output_Mac!$A:$A,Output_Mac!K:K,""),
_xlpm.MyAuditVal,_xlfn.XLOOKUP($A95,My_Audit!$A:$A,My_Audit!J:J,""),
_xlfn.IFS(_xlpm.MyAuditVal&lt;&gt;"",UPPER(_xlpm.MyAuditVal),_xlpm.MacVal&lt;&gt;"",_xlpm.MacVal,_xlpm.CSVVal&lt;&gt;"",_xlpm.CSVVal
)),"")</f>
        <v/>
      </c>
      <c r="L95" s="2" t="str" cm="1">
        <f t="array" ref="L95">IFERROR(_xlfn.LET(
_xlpm.CSVVal,_xlfn.XLOOKUP($A95,CSV!$A:$A,CSV!P:P,""),
_xlpm.MacVal,_xlfn.XLOOKUP($A95,Output_Mac!$A:$A,Output_Mac!L:L,""),
_xlpm.MyAuditVal,_xlfn.XLOOKUP($A95,My_Audit!$A:$A,My_Audit!K:K,""),
_xlfn.IFS(_xlpm.MyAuditVal&lt;&gt;"",UPPER(_xlpm.MyAuditVal),_xlpm.MacVal&lt;&gt;"",_xlpm.MacVal,_xlpm.CSVVal&lt;&gt;"",_xlpm.CSVVal
)),"")</f>
        <v/>
      </c>
      <c r="M95" s="2" t="str" cm="1">
        <f t="array" ref="M95">IFERROR(_xlfn.LET(
_xlpm.CSVVal,_xlfn.XLOOKUP($A95,CSV!$A:$A,CSV!Q:Q,""),
_xlpm.MacVal,_xlfn.XLOOKUP($A95,Output_Mac!$A:$A,Output_Mac!M:M,""),
_xlpm.MyAuditVal,_xlfn.XLOOKUP($A95,My_Audit!$A:$A,My_Audit!L:L,""),
_xlfn.IFS(_xlpm.MyAuditVal&lt;&gt;"",UPPER(_xlpm.MyAuditVal),_xlpm.MacVal&lt;&gt;"",_xlpm.MacVal,_xlpm.CSVVal&lt;&gt;"",_xlpm.CSVVal
)),"")</f>
        <v/>
      </c>
      <c r="O95" s="2" t="str">
        <f>_xlfn.LET(
    _xlpm.CSVVal, _xlfn.XLOOKUP($A95, CSV!$A:$A, CSV!AC:AC, ""),
    _xlpm.MacVal, _xlfn.XLOOKUP($A95, Output_Mac!$A:$A, Output_Mac!S:S, ""),
    _xlpm.MyAuditVal, _xlfn.XLOOKUP($A95, My_Audit!$A:$A, My_Audit!P:P, ""),
    _xlfn.TEXTJOIN(", ", TRUE, _xlpm.MyAuditVal, _xlpm.MacVal, _xlpm.CSVVal)
)</f>
        <v/>
      </c>
      <c r="P95" s="2" t="str" cm="1">
        <f t="array" ref="P95">IFERROR(_xlfn.LET(
_xlpm.CSVVal,_xlfn.XLOOKUP($A95,CSV!$A:$A,CSV!AD:AD,""),
_xlpm.MacVal,_xlfn.XLOOKUP($A95,Output_Mac!$A:$A,Output_Mac!T:T,""),
_xlpm.MyAuditVal,_xlfn.XLOOKUP($A95,My_Audit!$A:$A,My_Audit!Q:Q,""),
_xlfn.IFS(_xlpm.MyAuditVal&lt;&gt;"",UPPER(_xlpm.MyAuditVal),_xlpm.MacVal&lt;&gt;"",_xlpm.MacVal,_xlpm.CSVVal&lt;&gt;"",_xlpm.CSVVal
)),"No")</f>
        <v>No</v>
      </c>
      <c r="Q95" s="2" t="str" cm="1">
        <f t="array" ref="Q95">IFERROR(_xlfn.LET(
_xlpm.CSVVal,_xlfn.XLOOKUP($A95,CSV!$A:$A,CSV!AE:AE,""),
_xlpm.MacVal,_xlfn.XLOOKUP($A95,Output_Mac!$A:$A,Output_Mac!U:U,""),
_xlpm.MyAuditVal,_xlfn.XLOOKUP($A95,My_Audit!$A:$A,My_Audit!R:R,""),
_xlfn.IFS(_xlpm.MyAuditVal&lt;&gt;"",UPPER(_xlpm.MyAuditVal),_xlpm.MacVal&lt;&gt;"",_xlpm.MacVal,_xlpm.CSVVal&lt;&gt;"",_xlpm.CSVVal
)),"")</f>
        <v/>
      </c>
      <c r="X95" t="str">
        <f>_xlfn.LET(
    _xlpm.MacVal, _xlfn.XLOOKUP($A95, Output_Mac!$A:$A, Output_Mac!AB:AB, ""),
    _xlpm.MyAuditVal, _xlfn.XLOOKUP($A95, My_Audit!$A:$A, My_Audit!N:N, ""),
    _xlfn.TEXTJOIN(", ", TRUE, _xlpm.MyAuditVal, _xlpm.MacVal)
)</f>
        <v/>
      </c>
    </row>
    <row r="96" spans="1:24">
      <c r="A96" s="2" t="str">
        <f>_xlfn.TEXTJOIN("",TRUE,Input!$B$2,ROW(My_Audit!A95))</f>
        <v>X95</v>
      </c>
      <c r="B96" s="2" t="str">
        <f>_xlfn.TEXTJOIN("-",TRUE,"ITD",Input!$A$2,A96)</f>
        <v>ITD-SHR-X95</v>
      </c>
      <c r="C96" s="2" t="str" cm="1">
        <f t="array" ref="C96">IFERROR(_xlfn.LET(
_xlpm.CSVVal,_xlfn.XLOOKUP($A96,CSV!$A:$A,CSV!B:B,""),
_xlpm.MacVal,_xlfn.XLOOKUP($A96,Output_Mac!$A:$A,Output_Mac!B:B,""),
_xlpm.MyAuditVal,_xlfn.XLOOKUP($A96,My_Audit!$A:$A,My_Audit!B:B,""),
_xlfn.IFS(_xlpm.MyAuditVal&lt;&gt;"",UPPER(_xlpm.MyAuditVal),_xlpm.MacVal&lt;&gt;"",_xlpm.MacVal,_xlpm.CSVVal&lt;&gt;"",_xlpm.CSVVal
)),"")</f>
        <v/>
      </c>
      <c r="D96" s="2" t="str" cm="1">
        <f t="array" ref="D96">IFERROR(_xlfn.LET(
_xlpm.CSVVal,_xlfn.XLOOKUP($A96,CSV!$A:$A,CSV!D:D,""),
_xlpm.MacVal,_xlfn.XLOOKUP($A96,Output_Mac!$A:$A,Output_Mac!C:C,""),
_xlpm.MyAuditVal,_xlfn.XLOOKUP($A96,My_Audit!$A:$A,My_Audit!C:C,""),
_xlfn.IFS(_xlpm.MyAuditVal&lt;&gt;"",_xlpm.MyAuditVal,_xlpm.MacVal&lt;&gt;"",_xlpm.MacVal,_xlpm.CSVVal&lt;&gt;"",_xlpm.CSVVal
)),"")</f>
        <v/>
      </c>
      <c r="E96" s="2" t="str">
        <f>_xlfn.XLOOKUP(A96,My_Audit!A:A,My_Audit!D:D,"")&amp;""</f>
        <v/>
      </c>
      <c r="F96" s="2" t="str" cm="1">
        <f t="array" ref="F96">IFERROR(_xlfn.LET(
_xlpm.CSVVal,_xlfn.XLOOKUP($A96,CSV!$A:$A,CSV!F:F,""),
_xlpm.MacVal,_xlfn.XLOOKUP($A96,Output_Mac!$A:$A,Output_Mac!E:E,""),
_xlpm.MyAuditVal,_xlfn.XLOOKUP($A96,My_Audit!$A:$A,My_Audit!E:E,""),
_xlfn.IFS(_xlpm.MyAuditVal&lt;&gt;"",_xlpm.MyAuditVal,_xlpm.MacVal&lt;&gt;"",_xlpm.MacVal,_xlpm.CSVVal&lt;&gt;"",_xlpm.CSVVal
)),"")</f>
        <v/>
      </c>
      <c r="G96" s="2" t="str" cm="1">
        <f t="array" ref="G96">IFERROR(_xlfn.LET(
_xlpm.CSVVal,_xlfn.XLOOKUP($A96,CSV!$A:$A,CSV!G:G,""),
_xlpm.MacVal,_xlfn.XLOOKUP($A96,Output_Mac!$A:$A,Output_Mac!F:F,""),
_xlpm.MyAuditVal,_xlfn.XLOOKUP($A96,My_Audit!$A:$A,My_Audit!F:F,""),
_xlfn.IFS(_xlpm.MyAuditVal&lt;&gt;"",_xlpm.MyAuditVal,_xlpm.MacVal&lt;&gt;"",_xlpm.MacVal,_xlpm.CSVVal&lt;&gt;"",PROPER(_xlpm.CSVVal)
)),"")</f>
        <v/>
      </c>
      <c r="H96" s="2" t="str" cm="1">
        <f t="array" ref="H96">IFERROR(_xlfn.LET(
_xlpm.CSVVal,_xlfn.XLOOKUP($A96,CSV!$A:$A,CSV!H:H,""),
_xlpm.MacVal,_xlfn.XLOOKUP($A96,Output_Mac!$A:$A,Output_Mac!H:H,""),
_xlpm.MyAuditVal,_xlfn.XLOOKUP($A96,My_Audit!$A:$A,My_Audit!G:G,""),
_xlfn.IFS(_xlpm.MyAuditVal&lt;&gt;"",_xlpm.MyAuditVal,_xlpm.MacVal&lt;&gt;"",_xlpm.MacVal,_xlpm.CSVVal&lt;&gt;"",_xlpm.CSVVal
)),"")</f>
        <v/>
      </c>
      <c r="I96" s="2" t="str">
        <f>_xlfn.XLOOKUP(A96,Output_Mac!A:A,Output_Mac!I:I,"")</f>
        <v/>
      </c>
      <c r="J96" s="2" t="str" cm="1">
        <f t="array" ref="J96">IFERROR(_xlfn.LET(
_xlpm.CSVVal,_xlfn.XLOOKUP($A96,CSV!$A:$A,CSV!I:I,""),
_xlpm.MacVal,_xlfn.XLOOKUP($A96,Output_Mac!$A:$A,Output_Mac!J:J,""),
_xlpm.MyAuditVal,_xlfn.XLOOKUP($A96,My_Audit!$A:$A,My_Audit!I:I,""),
_xlfn.IFS(_xlpm.MyAuditVal&lt;&gt;"",UPPER(_xlpm.MyAuditVal),_xlpm.MacVal&lt;&gt;"",_xlpm.MacVal,_xlpm.CSVVal&lt;&gt;"",_xlpm.CSVVal
)),"")</f>
        <v/>
      </c>
      <c r="K96" s="2" t="str" cm="1">
        <f t="array" ref="K96">IFERROR(_xlfn.LET(
_xlpm.CSVVal,_xlfn.XLOOKUP($A96,CSV!$A:$A,CSV!K:K,""),
_xlpm.MacVal,_xlfn.XLOOKUP($A96,Output_Mac!$A:$A,Output_Mac!K:K,""),
_xlpm.MyAuditVal,_xlfn.XLOOKUP($A96,My_Audit!$A:$A,My_Audit!J:J,""),
_xlfn.IFS(_xlpm.MyAuditVal&lt;&gt;"",UPPER(_xlpm.MyAuditVal),_xlpm.MacVal&lt;&gt;"",_xlpm.MacVal,_xlpm.CSVVal&lt;&gt;"",_xlpm.CSVVal
)),"")</f>
        <v/>
      </c>
      <c r="L96" s="2" t="str" cm="1">
        <f t="array" ref="L96">IFERROR(_xlfn.LET(
_xlpm.CSVVal,_xlfn.XLOOKUP($A96,CSV!$A:$A,CSV!P:P,""),
_xlpm.MacVal,_xlfn.XLOOKUP($A96,Output_Mac!$A:$A,Output_Mac!L:L,""),
_xlpm.MyAuditVal,_xlfn.XLOOKUP($A96,My_Audit!$A:$A,My_Audit!K:K,""),
_xlfn.IFS(_xlpm.MyAuditVal&lt;&gt;"",UPPER(_xlpm.MyAuditVal),_xlpm.MacVal&lt;&gt;"",_xlpm.MacVal,_xlpm.CSVVal&lt;&gt;"",_xlpm.CSVVal
)),"")</f>
        <v/>
      </c>
      <c r="M96" s="2" t="str" cm="1">
        <f t="array" ref="M96">IFERROR(_xlfn.LET(
_xlpm.CSVVal,_xlfn.XLOOKUP($A96,CSV!$A:$A,CSV!Q:Q,""),
_xlpm.MacVal,_xlfn.XLOOKUP($A96,Output_Mac!$A:$A,Output_Mac!M:M,""),
_xlpm.MyAuditVal,_xlfn.XLOOKUP($A96,My_Audit!$A:$A,My_Audit!L:L,""),
_xlfn.IFS(_xlpm.MyAuditVal&lt;&gt;"",UPPER(_xlpm.MyAuditVal),_xlpm.MacVal&lt;&gt;"",_xlpm.MacVal,_xlpm.CSVVal&lt;&gt;"",_xlpm.CSVVal
)),"")</f>
        <v/>
      </c>
      <c r="O96" s="2" t="str">
        <f>_xlfn.LET(
    _xlpm.CSVVal, _xlfn.XLOOKUP($A96, CSV!$A:$A, CSV!AC:AC, ""),
    _xlpm.MacVal, _xlfn.XLOOKUP($A96, Output_Mac!$A:$A, Output_Mac!S:S, ""),
    _xlpm.MyAuditVal, _xlfn.XLOOKUP($A96, My_Audit!$A:$A, My_Audit!P:P, ""),
    _xlfn.TEXTJOIN(", ", TRUE, _xlpm.MyAuditVal, _xlpm.MacVal, _xlpm.CSVVal)
)</f>
        <v/>
      </c>
      <c r="P96" s="2" t="str" cm="1">
        <f t="array" ref="P96">IFERROR(_xlfn.LET(
_xlpm.CSVVal,_xlfn.XLOOKUP($A96,CSV!$A:$A,CSV!AD:AD,""),
_xlpm.MacVal,_xlfn.XLOOKUP($A96,Output_Mac!$A:$A,Output_Mac!T:T,""),
_xlpm.MyAuditVal,_xlfn.XLOOKUP($A96,My_Audit!$A:$A,My_Audit!Q:Q,""),
_xlfn.IFS(_xlpm.MyAuditVal&lt;&gt;"",UPPER(_xlpm.MyAuditVal),_xlpm.MacVal&lt;&gt;"",_xlpm.MacVal,_xlpm.CSVVal&lt;&gt;"",_xlpm.CSVVal
)),"No")</f>
        <v>No</v>
      </c>
      <c r="Q96" s="2" t="str" cm="1">
        <f t="array" ref="Q96">IFERROR(_xlfn.LET(
_xlpm.CSVVal,_xlfn.XLOOKUP($A96,CSV!$A:$A,CSV!AE:AE,""),
_xlpm.MacVal,_xlfn.XLOOKUP($A96,Output_Mac!$A:$A,Output_Mac!U:U,""),
_xlpm.MyAuditVal,_xlfn.XLOOKUP($A96,My_Audit!$A:$A,My_Audit!R:R,""),
_xlfn.IFS(_xlpm.MyAuditVal&lt;&gt;"",UPPER(_xlpm.MyAuditVal),_xlpm.MacVal&lt;&gt;"",_xlpm.MacVal,_xlpm.CSVVal&lt;&gt;"",_xlpm.CSVVal
)),"")</f>
        <v/>
      </c>
      <c r="X96" t="str">
        <f>_xlfn.LET(
    _xlpm.MacVal, _xlfn.XLOOKUP($A96, Output_Mac!$A:$A, Output_Mac!AB:AB, ""),
    _xlpm.MyAuditVal, _xlfn.XLOOKUP($A96, My_Audit!$A:$A, My_Audit!N:N, ""),
    _xlfn.TEXTJOIN(", ", TRUE, _xlpm.MyAuditVal, _xlpm.MacVal)
)</f>
        <v/>
      </c>
    </row>
    <row r="97" spans="1:24">
      <c r="A97" s="2" t="str">
        <f>_xlfn.TEXTJOIN("",TRUE,Input!$B$2,ROW(My_Audit!A96))</f>
        <v>X96</v>
      </c>
      <c r="B97" s="2" t="str">
        <f>_xlfn.TEXTJOIN("-",TRUE,"ITD",Input!$A$2,A97)</f>
        <v>ITD-SHR-X96</v>
      </c>
      <c r="C97" s="2" t="str" cm="1">
        <f t="array" ref="C97">IFERROR(_xlfn.LET(
_xlpm.CSVVal,_xlfn.XLOOKUP($A97,CSV!$A:$A,CSV!B:B,""),
_xlpm.MacVal,_xlfn.XLOOKUP($A97,Output_Mac!$A:$A,Output_Mac!B:B,""),
_xlpm.MyAuditVal,_xlfn.XLOOKUP($A97,My_Audit!$A:$A,My_Audit!B:B,""),
_xlfn.IFS(_xlpm.MyAuditVal&lt;&gt;"",UPPER(_xlpm.MyAuditVal),_xlpm.MacVal&lt;&gt;"",_xlpm.MacVal,_xlpm.CSVVal&lt;&gt;"",_xlpm.CSVVal
)),"")</f>
        <v/>
      </c>
      <c r="D97" s="2" t="str" cm="1">
        <f t="array" ref="D97">IFERROR(_xlfn.LET(
_xlpm.CSVVal,_xlfn.XLOOKUP($A97,CSV!$A:$A,CSV!D:D,""),
_xlpm.MacVal,_xlfn.XLOOKUP($A97,Output_Mac!$A:$A,Output_Mac!C:C,""),
_xlpm.MyAuditVal,_xlfn.XLOOKUP($A97,My_Audit!$A:$A,My_Audit!C:C,""),
_xlfn.IFS(_xlpm.MyAuditVal&lt;&gt;"",_xlpm.MyAuditVal,_xlpm.MacVal&lt;&gt;"",_xlpm.MacVal,_xlpm.CSVVal&lt;&gt;"",_xlpm.CSVVal
)),"")</f>
        <v/>
      </c>
      <c r="E97" s="2" t="str">
        <f>_xlfn.XLOOKUP(A97,My_Audit!A:A,My_Audit!D:D,"")&amp;""</f>
        <v/>
      </c>
      <c r="F97" s="2" t="str" cm="1">
        <f t="array" ref="F97">IFERROR(_xlfn.LET(
_xlpm.CSVVal,_xlfn.XLOOKUP($A97,CSV!$A:$A,CSV!F:F,""),
_xlpm.MacVal,_xlfn.XLOOKUP($A97,Output_Mac!$A:$A,Output_Mac!E:E,""),
_xlpm.MyAuditVal,_xlfn.XLOOKUP($A97,My_Audit!$A:$A,My_Audit!E:E,""),
_xlfn.IFS(_xlpm.MyAuditVal&lt;&gt;"",_xlpm.MyAuditVal,_xlpm.MacVal&lt;&gt;"",_xlpm.MacVal,_xlpm.CSVVal&lt;&gt;"",_xlpm.CSVVal
)),"")</f>
        <v/>
      </c>
      <c r="G97" s="2" t="str" cm="1">
        <f t="array" ref="G97">IFERROR(_xlfn.LET(
_xlpm.CSVVal,_xlfn.XLOOKUP($A97,CSV!$A:$A,CSV!G:G,""),
_xlpm.MacVal,_xlfn.XLOOKUP($A97,Output_Mac!$A:$A,Output_Mac!F:F,""),
_xlpm.MyAuditVal,_xlfn.XLOOKUP($A97,My_Audit!$A:$A,My_Audit!F:F,""),
_xlfn.IFS(_xlpm.MyAuditVal&lt;&gt;"",_xlpm.MyAuditVal,_xlpm.MacVal&lt;&gt;"",_xlpm.MacVal,_xlpm.CSVVal&lt;&gt;"",PROPER(_xlpm.CSVVal)
)),"")</f>
        <v/>
      </c>
      <c r="H97" s="2" t="str" cm="1">
        <f t="array" ref="H97">IFERROR(_xlfn.LET(
_xlpm.CSVVal,_xlfn.XLOOKUP($A97,CSV!$A:$A,CSV!H:H,""),
_xlpm.MacVal,_xlfn.XLOOKUP($A97,Output_Mac!$A:$A,Output_Mac!H:H,""),
_xlpm.MyAuditVal,_xlfn.XLOOKUP($A97,My_Audit!$A:$A,My_Audit!G:G,""),
_xlfn.IFS(_xlpm.MyAuditVal&lt;&gt;"",_xlpm.MyAuditVal,_xlpm.MacVal&lt;&gt;"",_xlpm.MacVal,_xlpm.CSVVal&lt;&gt;"",_xlpm.CSVVal
)),"")</f>
        <v/>
      </c>
      <c r="I97" s="2" t="str">
        <f>_xlfn.XLOOKUP(A97,Output_Mac!A:A,Output_Mac!I:I,"")</f>
        <v/>
      </c>
      <c r="J97" s="2" t="str" cm="1">
        <f t="array" ref="J97">IFERROR(_xlfn.LET(
_xlpm.CSVVal,_xlfn.XLOOKUP($A97,CSV!$A:$A,CSV!I:I,""),
_xlpm.MacVal,_xlfn.XLOOKUP($A97,Output_Mac!$A:$A,Output_Mac!J:J,""),
_xlpm.MyAuditVal,_xlfn.XLOOKUP($A97,My_Audit!$A:$A,My_Audit!I:I,""),
_xlfn.IFS(_xlpm.MyAuditVal&lt;&gt;"",UPPER(_xlpm.MyAuditVal),_xlpm.MacVal&lt;&gt;"",_xlpm.MacVal,_xlpm.CSVVal&lt;&gt;"",_xlpm.CSVVal
)),"")</f>
        <v/>
      </c>
      <c r="K97" s="2" t="str" cm="1">
        <f t="array" ref="K97">IFERROR(_xlfn.LET(
_xlpm.CSVVal,_xlfn.XLOOKUP($A97,CSV!$A:$A,CSV!K:K,""),
_xlpm.MacVal,_xlfn.XLOOKUP($A97,Output_Mac!$A:$A,Output_Mac!K:K,""),
_xlpm.MyAuditVal,_xlfn.XLOOKUP($A97,My_Audit!$A:$A,My_Audit!J:J,""),
_xlfn.IFS(_xlpm.MyAuditVal&lt;&gt;"",UPPER(_xlpm.MyAuditVal),_xlpm.MacVal&lt;&gt;"",_xlpm.MacVal,_xlpm.CSVVal&lt;&gt;"",_xlpm.CSVVal
)),"")</f>
        <v/>
      </c>
      <c r="L97" s="2" t="str" cm="1">
        <f t="array" ref="L97">IFERROR(_xlfn.LET(
_xlpm.CSVVal,_xlfn.XLOOKUP($A97,CSV!$A:$A,CSV!P:P,""),
_xlpm.MacVal,_xlfn.XLOOKUP($A97,Output_Mac!$A:$A,Output_Mac!L:L,""),
_xlpm.MyAuditVal,_xlfn.XLOOKUP($A97,My_Audit!$A:$A,My_Audit!K:K,""),
_xlfn.IFS(_xlpm.MyAuditVal&lt;&gt;"",UPPER(_xlpm.MyAuditVal),_xlpm.MacVal&lt;&gt;"",_xlpm.MacVal,_xlpm.CSVVal&lt;&gt;"",_xlpm.CSVVal
)),"")</f>
        <v/>
      </c>
      <c r="M97" s="2" t="str" cm="1">
        <f t="array" ref="M97">IFERROR(_xlfn.LET(
_xlpm.CSVVal,_xlfn.XLOOKUP($A97,CSV!$A:$A,CSV!Q:Q,""),
_xlpm.MacVal,_xlfn.XLOOKUP($A97,Output_Mac!$A:$A,Output_Mac!M:M,""),
_xlpm.MyAuditVal,_xlfn.XLOOKUP($A97,My_Audit!$A:$A,My_Audit!L:L,""),
_xlfn.IFS(_xlpm.MyAuditVal&lt;&gt;"",UPPER(_xlpm.MyAuditVal),_xlpm.MacVal&lt;&gt;"",_xlpm.MacVal,_xlpm.CSVVal&lt;&gt;"",_xlpm.CSVVal
)),"")</f>
        <v/>
      </c>
      <c r="O97" s="2" t="str">
        <f>_xlfn.LET(
    _xlpm.CSVVal, _xlfn.XLOOKUP($A97, CSV!$A:$A, CSV!AC:AC, ""),
    _xlpm.MacVal, _xlfn.XLOOKUP($A97, Output_Mac!$A:$A, Output_Mac!S:S, ""),
    _xlpm.MyAuditVal, _xlfn.XLOOKUP($A97, My_Audit!$A:$A, My_Audit!P:P, ""),
    _xlfn.TEXTJOIN(", ", TRUE, _xlpm.MyAuditVal, _xlpm.MacVal, _xlpm.CSVVal)
)</f>
        <v/>
      </c>
      <c r="P97" s="2" t="str" cm="1">
        <f t="array" ref="P97">IFERROR(_xlfn.LET(
_xlpm.CSVVal,_xlfn.XLOOKUP($A97,CSV!$A:$A,CSV!AD:AD,""),
_xlpm.MacVal,_xlfn.XLOOKUP($A97,Output_Mac!$A:$A,Output_Mac!T:T,""),
_xlpm.MyAuditVal,_xlfn.XLOOKUP($A97,My_Audit!$A:$A,My_Audit!Q:Q,""),
_xlfn.IFS(_xlpm.MyAuditVal&lt;&gt;"",UPPER(_xlpm.MyAuditVal),_xlpm.MacVal&lt;&gt;"",_xlpm.MacVal,_xlpm.CSVVal&lt;&gt;"",_xlpm.CSVVal
)),"No")</f>
        <v>No</v>
      </c>
      <c r="Q97" s="2" t="str" cm="1">
        <f t="array" ref="Q97">IFERROR(_xlfn.LET(
_xlpm.CSVVal,_xlfn.XLOOKUP($A97,CSV!$A:$A,CSV!AE:AE,""),
_xlpm.MacVal,_xlfn.XLOOKUP($A97,Output_Mac!$A:$A,Output_Mac!U:U,""),
_xlpm.MyAuditVal,_xlfn.XLOOKUP($A97,My_Audit!$A:$A,My_Audit!R:R,""),
_xlfn.IFS(_xlpm.MyAuditVal&lt;&gt;"",UPPER(_xlpm.MyAuditVal),_xlpm.MacVal&lt;&gt;"",_xlpm.MacVal,_xlpm.CSVVal&lt;&gt;"",_xlpm.CSVVal
)),"")</f>
        <v/>
      </c>
      <c r="X97" t="str">
        <f>_xlfn.LET(
    _xlpm.MacVal, _xlfn.XLOOKUP($A97, Output_Mac!$A:$A, Output_Mac!AB:AB, ""),
    _xlpm.MyAuditVal, _xlfn.XLOOKUP($A97, My_Audit!$A:$A, My_Audit!N:N, ""),
    _xlfn.TEXTJOIN(", ", TRUE, _xlpm.MyAuditVal, _xlpm.MacVal)
)</f>
        <v/>
      </c>
    </row>
    <row r="98" spans="1:24">
      <c r="A98" s="2" t="str">
        <f>_xlfn.TEXTJOIN("",TRUE,Input!$B$2,ROW(My_Audit!A97))</f>
        <v>X97</v>
      </c>
      <c r="B98" s="2" t="str">
        <f>_xlfn.TEXTJOIN("-",TRUE,"ITD",Input!$A$2,A98)</f>
        <v>ITD-SHR-X97</v>
      </c>
      <c r="C98" s="2" t="str" cm="1">
        <f t="array" ref="C98">IFERROR(_xlfn.LET(
_xlpm.CSVVal,_xlfn.XLOOKUP($A98,CSV!$A:$A,CSV!B:B,""),
_xlpm.MacVal,_xlfn.XLOOKUP($A98,Output_Mac!$A:$A,Output_Mac!B:B,""),
_xlpm.MyAuditVal,_xlfn.XLOOKUP($A98,My_Audit!$A:$A,My_Audit!B:B,""),
_xlfn.IFS(_xlpm.MyAuditVal&lt;&gt;"",UPPER(_xlpm.MyAuditVal),_xlpm.MacVal&lt;&gt;"",_xlpm.MacVal,_xlpm.CSVVal&lt;&gt;"",_xlpm.CSVVal
)),"")</f>
        <v/>
      </c>
      <c r="D98" s="2" t="str" cm="1">
        <f t="array" ref="D98">IFERROR(_xlfn.LET(
_xlpm.CSVVal,_xlfn.XLOOKUP($A98,CSV!$A:$A,CSV!D:D,""),
_xlpm.MacVal,_xlfn.XLOOKUP($A98,Output_Mac!$A:$A,Output_Mac!C:C,""),
_xlpm.MyAuditVal,_xlfn.XLOOKUP($A98,My_Audit!$A:$A,My_Audit!C:C,""),
_xlfn.IFS(_xlpm.MyAuditVal&lt;&gt;"",_xlpm.MyAuditVal,_xlpm.MacVal&lt;&gt;"",_xlpm.MacVal,_xlpm.CSVVal&lt;&gt;"",_xlpm.CSVVal
)),"")</f>
        <v/>
      </c>
      <c r="E98" s="2" t="str">
        <f>_xlfn.XLOOKUP(A98,My_Audit!A:A,My_Audit!D:D,"")&amp;""</f>
        <v/>
      </c>
      <c r="F98" s="2" t="str" cm="1">
        <f t="array" ref="F98">IFERROR(_xlfn.LET(
_xlpm.CSVVal,_xlfn.XLOOKUP($A98,CSV!$A:$A,CSV!F:F,""),
_xlpm.MacVal,_xlfn.XLOOKUP($A98,Output_Mac!$A:$A,Output_Mac!E:E,""),
_xlpm.MyAuditVal,_xlfn.XLOOKUP($A98,My_Audit!$A:$A,My_Audit!E:E,""),
_xlfn.IFS(_xlpm.MyAuditVal&lt;&gt;"",_xlpm.MyAuditVal,_xlpm.MacVal&lt;&gt;"",_xlpm.MacVal,_xlpm.CSVVal&lt;&gt;"",_xlpm.CSVVal
)),"")</f>
        <v/>
      </c>
      <c r="G98" s="2" t="str" cm="1">
        <f t="array" ref="G98">IFERROR(_xlfn.LET(
_xlpm.CSVVal,_xlfn.XLOOKUP($A98,CSV!$A:$A,CSV!G:G,""),
_xlpm.MacVal,_xlfn.XLOOKUP($A98,Output_Mac!$A:$A,Output_Mac!F:F,""),
_xlpm.MyAuditVal,_xlfn.XLOOKUP($A98,My_Audit!$A:$A,My_Audit!F:F,""),
_xlfn.IFS(_xlpm.MyAuditVal&lt;&gt;"",_xlpm.MyAuditVal,_xlpm.MacVal&lt;&gt;"",_xlpm.MacVal,_xlpm.CSVVal&lt;&gt;"",PROPER(_xlpm.CSVVal)
)),"")</f>
        <v/>
      </c>
      <c r="H98" s="2" t="str" cm="1">
        <f t="array" ref="H98">IFERROR(_xlfn.LET(
_xlpm.CSVVal,_xlfn.XLOOKUP($A98,CSV!$A:$A,CSV!H:H,""),
_xlpm.MacVal,_xlfn.XLOOKUP($A98,Output_Mac!$A:$A,Output_Mac!H:H,""),
_xlpm.MyAuditVal,_xlfn.XLOOKUP($A98,My_Audit!$A:$A,My_Audit!G:G,""),
_xlfn.IFS(_xlpm.MyAuditVal&lt;&gt;"",_xlpm.MyAuditVal,_xlpm.MacVal&lt;&gt;"",_xlpm.MacVal,_xlpm.CSVVal&lt;&gt;"",_xlpm.CSVVal
)),"")</f>
        <v/>
      </c>
      <c r="I98" s="2" t="str">
        <f>_xlfn.XLOOKUP(A98,Output_Mac!A:A,Output_Mac!I:I,"")</f>
        <v/>
      </c>
      <c r="J98" s="2" t="str" cm="1">
        <f t="array" ref="J98">IFERROR(_xlfn.LET(
_xlpm.CSVVal,_xlfn.XLOOKUP($A98,CSV!$A:$A,CSV!I:I,""),
_xlpm.MacVal,_xlfn.XLOOKUP($A98,Output_Mac!$A:$A,Output_Mac!J:J,""),
_xlpm.MyAuditVal,_xlfn.XLOOKUP($A98,My_Audit!$A:$A,My_Audit!I:I,""),
_xlfn.IFS(_xlpm.MyAuditVal&lt;&gt;"",UPPER(_xlpm.MyAuditVal),_xlpm.MacVal&lt;&gt;"",_xlpm.MacVal,_xlpm.CSVVal&lt;&gt;"",_xlpm.CSVVal
)),"")</f>
        <v/>
      </c>
      <c r="K98" s="2" t="str" cm="1">
        <f t="array" ref="K98">IFERROR(_xlfn.LET(
_xlpm.CSVVal,_xlfn.XLOOKUP($A98,CSV!$A:$A,CSV!K:K,""),
_xlpm.MacVal,_xlfn.XLOOKUP($A98,Output_Mac!$A:$A,Output_Mac!K:K,""),
_xlpm.MyAuditVal,_xlfn.XLOOKUP($A98,My_Audit!$A:$A,My_Audit!J:J,""),
_xlfn.IFS(_xlpm.MyAuditVal&lt;&gt;"",UPPER(_xlpm.MyAuditVal),_xlpm.MacVal&lt;&gt;"",_xlpm.MacVal,_xlpm.CSVVal&lt;&gt;"",_xlpm.CSVVal
)),"")</f>
        <v/>
      </c>
      <c r="L98" s="2" t="str" cm="1">
        <f t="array" ref="L98">IFERROR(_xlfn.LET(
_xlpm.CSVVal,_xlfn.XLOOKUP($A98,CSV!$A:$A,CSV!P:P,""),
_xlpm.MacVal,_xlfn.XLOOKUP($A98,Output_Mac!$A:$A,Output_Mac!L:L,""),
_xlpm.MyAuditVal,_xlfn.XLOOKUP($A98,My_Audit!$A:$A,My_Audit!K:K,""),
_xlfn.IFS(_xlpm.MyAuditVal&lt;&gt;"",UPPER(_xlpm.MyAuditVal),_xlpm.MacVal&lt;&gt;"",_xlpm.MacVal,_xlpm.CSVVal&lt;&gt;"",_xlpm.CSVVal
)),"")</f>
        <v/>
      </c>
      <c r="M98" s="2" t="str" cm="1">
        <f t="array" ref="M98">IFERROR(_xlfn.LET(
_xlpm.CSVVal,_xlfn.XLOOKUP($A98,CSV!$A:$A,CSV!Q:Q,""),
_xlpm.MacVal,_xlfn.XLOOKUP($A98,Output_Mac!$A:$A,Output_Mac!M:M,""),
_xlpm.MyAuditVal,_xlfn.XLOOKUP($A98,My_Audit!$A:$A,My_Audit!L:L,""),
_xlfn.IFS(_xlpm.MyAuditVal&lt;&gt;"",UPPER(_xlpm.MyAuditVal),_xlpm.MacVal&lt;&gt;"",_xlpm.MacVal,_xlpm.CSVVal&lt;&gt;"",_xlpm.CSVVal
)),"")</f>
        <v/>
      </c>
      <c r="O98" s="2" t="str">
        <f>_xlfn.LET(
    _xlpm.CSVVal, _xlfn.XLOOKUP($A98, CSV!$A:$A, CSV!AC:AC, ""),
    _xlpm.MacVal, _xlfn.XLOOKUP($A98, Output_Mac!$A:$A, Output_Mac!S:S, ""),
    _xlpm.MyAuditVal, _xlfn.XLOOKUP($A98, My_Audit!$A:$A, My_Audit!P:P, ""),
    _xlfn.TEXTJOIN(", ", TRUE, _xlpm.MyAuditVal, _xlpm.MacVal, _xlpm.CSVVal)
)</f>
        <v/>
      </c>
      <c r="P98" s="2" t="str" cm="1">
        <f t="array" ref="P98">IFERROR(_xlfn.LET(
_xlpm.CSVVal,_xlfn.XLOOKUP($A98,CSV!$A:$A,CSV!AD:AD,""),
_xlpm.MacVal,_xlfn.XLOOKUP($A98,Output_Mac!$A:$A,Output_Mac!T:T,""),
_xlpm.MyAuditVal,_xlfn.XLOOKUP($A98,My_Audit!$A:$A,My_Audit!Q:Q,""),
_xlfn.IFS(_xlpm.MyAuditVal&lt;&gt;"",UPPER(_xlpm.MyAuditVal),_xlpm.MacVal&lt;&gt;"",_xlpm.MacVal,_xlpm.CSVVal&lt;&gt;"",_xlpm.CSVVal
)),"No")</f>
        <v>No</v>
      </c>
      <c r="Q98" s="2" t="str" cm="1">
        <f t="array" ref="Q98">IFERROR(_xlfn.LET(
_xlpm.CSVVal,_xlfn.XLOOKUP($A98,CSV!$A:$A,CSV!AE:AE,""),
_xlpm.MacVal,_xlfn.XLOOKUP($A98,Output_Mac!$A:$A,Output_Mac!U:U,""),
_xlpm.MyAuditVal,_xlfn.XLOOKUP($A98,My_Audit!$A:$A,My_Audit!R:R,""),
_xlfn.IFS(_xlpm.MyAuditVal&lt;&gt;"",UPPER(_xlpm.MyAuditVal),_xlpm.MacVal&lt;&gt;"",_xlpm.MacVal,_xlpm.CSVVal&lt;&gt;"",_xlpm.CSVVal
)),"")</f>
        <v/>
      </c>
      <c r="X98" t="str">
        <f>_xlfn.LET(
    _xlpm.MacVal, _xlfn.XLOOKUP($A98, Output_Mac!$A:$A, Output_Mac!AB:AB, ""),
    _xlpm.MyAuditVal, _xlfn.XLOOKUP($A98, My_Audit!$A:$A, My_Audit!N:N, ""),
    _xlfn.TEXTJOIN(", ", TRUE, _xlpm.MyAuditVal, _xlpm.MacVal)
)</f>
        <v/>
      </c>
    </row>
    <row r="99" spans="1:24">
      <c r="A99" s="2" t="str">
        <f>_xlfn.TEXTJOIN("",TRUE,Input!$B$2,ROW(My_Audit!A98))</f>
        <v>X98</v>
      </c>
      <c r="B99" s="2" t="str">
        <f>_xlfn.TEXTJOIN("-",TRUE,"ITD",Input!$A$2,A99)</f>
        <v>ITD-SHR-X98</v>
      </c>
      <c r="C99" s="2" t="str" cm="1">
        <f t="array" ref="C99">IFERROR(_xlfn.LET(
_xlpm.CSVVal,_xlfn.XLOOKUP($A99,CSV!$A:$A,CSV!B:B,""),
_xlpm.MacVal,_xlfn.XLOOKUP($A99,Output_Mac!$A:$A,Output_Mac!B:B,""),
_xlpm.MyAuditVal,_xlfn.XLOOKUP($A99,My_Audit!$A:$A,My_Audit!B:B,""),
_xlfn.IFS(_xlpm.MyAuditVal&lt;&gt;"",UPPER(_xlpm.MyAuditVal),_xlpm.MacVal&lt;&gt;"",_xlpm.MacVal,_xlpm.CSVVal&lt;&gt;"",_xlpm.CSVVal
)),"")</f>
        <v/>
      </c>
      <c r="D99" s="2" t="str" cm="1">
        <f t="array" ref="D99">IFERROR(_xlfn.LET(
_xlpm.CSVVal,_xlfn.XLOOKUP($A99,CSV!$A:$A,CSV!D:D,""),
_xlpm.MacVal,_xlfn.XLOOKUP($A99,Output_Mac!$A:$A,Output_Mac!C:C,""),
_xlpm.MyAuditVal,_xlfn.XLOOKUP($A99,My_Audit!$A:$A,My_Audit!C:C,""),
_xlfn.IFS(_xlpm.MyAuditVal&lt;&gt;"",_xlpm.MyAuditVal,_xlpm.MacVal&lt;&gt;"",_xlpm.MacVal,_xlpm.CSVVal&lt;&gt;"",_xlpm.CSVVal
)),"")</f>
        <v/>
      </c>
      <c r="E99" s="2" t="str">
        <f>_xlfn.XLOOKUP(A99,My_Audit!A:A,My_Audit!D:D,"")&amp;""</f>
        <v/>
      </c>
      <c r="F99" s="2" t="str" cm="1">
        <f t="array" ref="F99">IFERROR(_xlfn.LET(
_xlpm.CSVVal,_xlfn.XLOOKUP($A99,CSV!$A:$A,CSV!F:F,""),
_xlpm.MacVal,_xlfn.XLOOKUP($A99,Output_Mac!$A:$A,Output_Mac!E:E,""),
_xlpm.MyAuditVal,_xlfn.XLOOKUP($A99,My_Audit!$A:$A,My_Audit!E:E,""),
_xlfn.IFS(_xlpm.MyAuditVal&lt;&gt;"",_xlpm.MyAuditVal,_xlpm.MacVal&lt;&gt;"",_xlpm.MacVal,_xlpm.CSVVal&lt;&gt;"",_xlpm.CSVVal
)),"")</f>
        <v/>
      </c>
      <c r="G99" s="2" t="str" cm="1">
        <f t="array" ref="G99">IFERROR(_xlfn.LET(
_xlpm.CSVVal,_xlfn.XLOOKUP($A99,CSV!$A:$A,CSV!G:G,""),
_xlpm.MacVal,_xlfn.XLOOKUP($A99,Output_Mac!$A:$A,Output_Mac!F:F,""),
_xlpm.MyAuditVal,_xlfn.XLOOKUP($A99,My_Audit!$A:$A,My_Audit!F:F,""),
_xlfn.IFS(_xlpm.MyAuditVal&lt;&gt;"",_xlpm.MyAuditVal,_xlpm.MacVal&lt;&gt;"",_xlpm.MacVal,_xlpm.CSVVal&lt;&gt;"",PROPER(_xlpm.CSVVal)
)),"")</f>
        <v/>
      </c>
      <c r="H99" s="2" t="str" cm="1">
        <f t="array" ref="H99">IFERROR(_xlfn.LET(
_xlpm.CSVVal,_xlfn.XLOOKUP($A99,CSV!$A:$A,CSV!H:H,""),
_xlpm.MacVal,_xlfn.XLOOKUP($A99,Output_Mac!$A:$A,Output_Mac!H:H,""),
_xlpm.MyAuditVal,_xlfn.XLOOKUP($A99,My_Audit!$A:$A,My_Audit!G:G,""),
_xlfn.IFS(_xlpm.MyAuditVal&lt;&gt;"",_xlpm.MyAuditVal,_xlpm.MacVal&lt;&gt;"",_xlpm.MacVal,_xlpm.CSVVal&lt;&gt;"",_xlpm.CSVVal
)),"")</f>
        <v/>
      </c>
      <c r="I99" s="2" t="str">
        <f>_xlfn.XLOOKUP(A99,Output_Mac!A:A,Output_Mac!I:I,"")</f>
        <v/>
      </c>
      <c r="J99" s="2" t="str" cm="1">
        <f t="array" ref="J99">IFERROR(_xlfn.LET(
_xlpm.CSVVal,_xlfn.XLOOKUP($A99,CSV!$A:$A,CSV!I:I,""),
_xlpm.MacVal,_xlfn.XLOOKUP($A99,Output_Mac!$A:$A,Output_Mac!J:J,""),
_xlpm.MyAuditVal,_xlfn.XLOOKUP($A99,My_Audit!$A:$A,My_Audit!I:I,""),
_xlfn.IFS(_xlpm.MyAuditVal&lt;&gt;"",UPPER(_xlpm.MyAuditVal),_xlpm.MacVal&lt;&gt;"",_xlpm.MacVal,_xlpm.CSVVal&lt;&gt;"",_xlpm.CSVVal
)),"")</f>
        <v/>
      </c>
      <c r="K99" s="2" t="str" cm="1">
        <f t="array" ref="K99">IFERROR(_xlfn.LET(
_xlpm.CSVVal,_xlfn.XLOOKUP($A99,CSV!$A:$A,CSV!K:K,""),
_xlpm.MacVal,_xlfn.XLOOKUP($A99,Output_Mac!$A:$A,Output_Mac!K:K,""),
_xlpm.MyAuditVal,_xlfn.XLOOKUP($A99,My_Audit!$A:$A,My_Audit!J:J,""),
_xlfn.IFS(_xlpm.MyAuditVal&lt;&gt;"",UPPER(_xlpm.MyAuditVal),_xlpm.MacVal&lt;&gt;"",_xlpm.MacVal,_xlpm.CSVVal&lt;&gt;"",_xlpm.CSVVal
)),"")</f>
        <v/>
      </c>
      <c r="L99" s="2" t="str" cm="1">
        <f t="array" ref="L99">IFERROR(_xlfn.LET(
_xlpm.CSVVal,_xlfn.XLOOKUP($A99,CSV!$A:$A,CSV!P:P,""),
_xlpm.MacVal,_xlfn.XLOOKUP($A99,Output_Mac!$A:$A,Output_Mac!L:L,""),
_xlpm.MyAuditVal,_xlfn.XLOOKUP($A99,My_Audit!$A:$A,My_Audit!K:K,""),
_xlfn.IFS(_xlpm.MyAuditVal&lt;&gt;"",UPPER(_xlpm.MyAuditVal),_xlpm.MacVal&lt;&gt;"",_xlpm.MacVal,_xlpm.CSVVal&lt;&gt;"",_xlpm.CSVVal
)),"")</f>
        <v/>
      </c>
      <c r="M99" s="2" t="str" cm="1">
        <f t="array" ref="M99">IFERROR(_xlfn.LET(
_xlpm.CSVVal,_xlfn.XLOOKUP($A99,CSV!$A:$A,CSV!Q:Q,""),
_xlpm.MacVal,_xlfn.XLOOKUP($A99,Output_Mac!$A:$A,Output_Mac!M:M,""),
_xlpm.MyAuditVal,_xlfn.XLOOKUP($A99,My_Audit!$A:$A,My_Audit!L:L,""),
_xlfn.IFS(_xlpm.MyAuditVal&lt;&gt;"",UPPER(_xlpm.MyAuditVal),_xlpm.MacVal&lt;&gt;"",_xlpm.MacVal,_xlpm.CSVVal&lt;&gt;"",_xlpm.CSVVal
)),"")</f>
        <v/>
      </c>
      <c r="O99" s="2" t="str">
        <f>_xlfn.LET(
    _xlpm.CSVVal, _xlfn.XLOOKUP($A99, CSV!$A:$A, CSV!AC:AC, ""),
    _xlpm.MacVal, _xlfn.XLOOKUP($A99, Output_Mac!$A:$A, Output_Mac!S:S, ""),
    _xlpm.MyAuditVal, _xlfn.XLOOKUP($A99, My_Audit!$A:$A, My_Audit!P:P, ""),
    _xlfn.TEXTJOIN(", ", TRUE, _xlpm.MyAuditVal, _xlpm.MacVal, _xlpm.CSVVal)
)</f>
        <v/>
      </c>
      <c r="P99" s="2" t="str" cm="1">
        <f t="array" ref="P99">IFERROR(_xlfn.LET(
_xlpm.CSVVal,_xlfn.XLOOKUP($A99,CSV!$A:$A,CSV!AD:AD,""),
_xlpm.MacVal,_xlfn.XLOOKUP($A99,Output_Mac!$A:$A,Output_Mac!T:T,""),
_xlpm.MyAuditVal,_xlfn.XLOOKUP($A99,My_Audit!$A:$A,My_Audit!Q:Q,""),
_xlfn.IFS(_xlpm.MyAuditVal&lt;&gt;"",UPPER(_xlpm.MyAuditVal),_xlpm.MacVal&lt;&gt;"",_xlpm.MacVal,_xlpm.CSVVal&lt;&gt;"",_xlpm.CSVVal
)),"No")</f>
        <v>No</v>
      </c>
      <c r="Q99" s="2" t="str" cm="1">
        <f t="array" ref="Q99">IFERROR(_xlfn.LET(
_xlpm.CSVVal,_xlfn.XLOOKUP($A99,CSV!$A:$A,CSV!AE:AE,""),
_xlpm.MacVal,_xlfn.XLOOKUP($A99,Output_Mac!$A:$A,Output_Mac!U:U,""),
_xlpm.MyAuditVal,_xlfn.XLOOKUP($A99,My_Audit!$A:$A,My_Audit!R:R,""),
_xlfn.IFS(_xlpm.MyAuditVal&lt;&gt;"",UPPER(_xlpm.MyAuditVal),_xlpm.MacVal&lt;&gt;"",_xlpm.MacVal,_xlpm.CSVVal&lt;&gt;"",_xlpm.CSVVal
)),"")</f>
        <v/>
      </c>
      <c r="X99" t="str">
        <f>_xlfn.LET(
    _xlpm.MacVal, _xlfn.XLOOKUP($A99, Output_Mac!$A:$A, Output_Mac!AB:AB, ""),
    _xlpm.MyAuditVal, _xlfn.XLOOKUP($A99, My_Audit!$A:$A, My_Audit!N:N, ""),
    _xlfn.TEXTJOIN(", ", TRUE, _xlpm.MyAuditVal, _xlpm.MacVal)
)</f>
        <v/>
      </c>
    </row>
    <row r="100" spans="1:24">
      <c r="A100" s="2" t="str">
        <f>_xlfn.TEXTJOIN("",TRUE,Input!$B$2,ROW(My_Audit!A99))</f>
        <v>X99</v>
      </c>
      <c r="B100" s="2" t="str">
        <f>_xlfn.TEXTJOIN("-",TRUE,"ITD",Input!$A$2,A100)</f>
        <v>ITD-SHR-X99</v>
      </c>
      <c r="C100" s="2" t="str" cm="1">
        <f t="array" ref="C100">IFERROR(_xlfn.LET(
_xlpm.CSVVal,_xlfn.XLOOKUP($A100,CSV!$A:$A,CSV!B:B,""),
_xlpm.MacVal,_xlfn.XLOOKUP($A100,Output_Mac!$A:$A,Output_Mac!B:B,""),
_xlpm.MyAuditVal,_xlfn.XLOOKUP($A100,My_Audit!$A:$A,My_Audit!B:B,""),
_xlfn.IFS(_xlpm.MyAuditVal&lt;&gt;"",UPPER(_xlpm.MyAuditVal),_xlpm.MacVal&lt;&gt;"",_xlpm.MacVal,_xlpm.CSVVal&lt;&gt;"",_xlpm.CSVVal
)),"")</f>
        <v/>
      </c>
      <c r="D100" s="2" t="str" cm="1">
        <f t="array" ref="D100">IFERROR(_xlfn.LET(
_xlpm.CSVVal,_xlfn.XLOOKUP($A100,CSV!$A:$A,CSV!D:D,""),
_xlpm.MacVal,_xlfn.XLOOKUP($A100,Output_Mac!$A:$A,Output_Mac!C:C,""),
_xlpm.MyAuditVal,_xlfn.XLOOKUP($A100,My_Audit!$A:$A,My_Audit!C:C,""),
_xlfn.IFS(_xlpm.MyAuditVal&lt;&gt;"",_xlpm.MyAuditVal,_xlpm.MacVal&lt;&gt;"",_xlpm.MacVal,_xlpm.CSVVal&lt;&gt;"",_xlpm.CSVVal
)),"")</f>
        <v/>
      </c>
      <c r="E100" s="2" t="str">
        <f>_xlfn.XLOOKUP(A100,My_Audit!A:A,My_Audit!D:D,"")&amp;""</f>
        <v/>
      </c>
      <c r="F100" s="2" t="str" cm="1">
        <f t="array" ref="F100">IFERROR(_xlfn.LET(
_xlpm.CSVVal,_xlfn.XLOOKUP($A100,CSV!$A:$A,CSV!F:F,""),
_xlpm.MacVal,_xlfn.XLOOKUP($A100,Output_Mac!$A:$A,Output_Mac!E:E,""),
_xlpm.MyAuditVal,_xlfn.XLOOKUP($A100,My_Audit!$A:$A,My_Audit!E:E,""),
_xlfn.IFS(_xlpm.MyAuditVal&lt;&gt;"",_xlpm.MyAuditVal,_xlpm.MacVal&lt;&gt;"",_xlpm.MacVal,_xlpm.CSVVal&lt;&gt;"",_xlpm.CSVVal
)),"")</f>
        <v/>
      </c>
      <c r="G100" s="2" t="str" cm="1">
        <f t="array" ref="G100">IFERROR(_xlfn.LET(
_xlpm.CSVVal,_xlfn.XLOOKUP($A100,CSV!$A:$A,CSV!G:G,""),
_xlpm.MacVal,_xlfn.XLOOKUP($A100,Output_Mac!$A:$A,Output_Mac!F:F,""),
_xlpm.MyAuditVal,_xlfn.XLOOKUP($A100,My_Audit!$A:$A,My_Audit!F:F,""),
_xlfn.IFS(_xlpm.MyAuditVal&lt;&gt;"",_xlpm.MyAuditVal,_xlpm.MacVal&lt;&gt;"",_xlpm.MacVal,_xlpm.CSVVal&lt;&gt;"",PROPER(_xlpm.CSVVal)
)),"")</f>
        <v/>
      </c>
      <c r="H100" s="2" t="str" cm="1">
        <f t="array" ref="H100">IFERROR(_xlfn.LET(
_xlpm.CSVVal,_xlfn.XLOOKUP($A100,CSV!$A:$A,CSV!H:H,""),
_xlpm.MacVal,_xlfn.XLOOKUP($A100,Output_Mac!$A:$A,Output_Mac!H:H,""),
_xlpm.MyAuditVal,_xlfn.XLOOKUP($A100,My_Audit!$A:$A,My_Audit!G:G,""),
_xlfn.IFS(_xlpm.MyAuditVal&lt;&gt;"",_xlpm.MyAuditVal,_xlpm.MacVal&lt;&gt;"",_xlpm.MacVal,_xlpm.CSVVal&lt;&gt;"",_xlpm.CSVVal
)),"")</f>
        <v/>
      </c>
      <c r="I100" s="2" t="str">
        <f>_xlfn.XLOOKUP(A100,Output_Mac!A:A,Output_Mac!I:I,"")</f>
        <v/>
      </c>
      <c r="J100" s="2" t="str" cm="1">
        <f t="array" ref="J100">IFERROR(_xlfn.LET(
_xlpm.CSVVal,_xlfn.XLOOKUP($A100,CSV!$A:$A,CSV!I:I,""),
_xlpm.MacVal,_xlfn.XLOOKUP($A100,Output_Mac!$A:$A,Output_Mac!J:J,""),
_xlpm.MyAuditVal,_xlfn.XLOOKUP($A100,My_Audit!$A:$A,My_Audit!I:I,""),
_xlfn.IFS(_xlpm.MyAuditVal&lt;&gt;"",UPPER(_xlpm.MyAuditVal),_xlpm.MacVal&lt;&gt;"",_xlpm.MacVal,_xlpm.CSVVal&lt;&gt;"",_xlpm.CSVVal
)),"")</f>
        <v/>
      </c>
      <c r="K100" s="2" t="str" cm="1">
        <f t="array" ref="K100">IFERROR(_xlfn.LET(
_xlpm.CSVVal,_xlfn.XLOOKUP($A100,CSV!$A:$A,CSV!K:K,""),
_xlpm.MacVal,_xlfn.XLOOKUP($A100,Output_Mac!$A:$A,Output_Mac!K:K,""),
_xlpm.MyAuditVal,_xlfn.XLOOKUP($A100,My_Audit!$A:$A,My_Audit!J:J,""),
_xlfn.IFS(_xlpm.MyAuditVal&lt;&gt;"",UPPER(_xlpm.MyAuditVal),_xlpm.MacVal&lt;&gt;"",_xlpm.MacVal,_xlpm.CSVVal&lt;&gt;"",_xlpm.CSVVal
)),"")</f>
        <v/>
      </c>
      <c r="L100" s="2" t="str" cm="1">
        <f t="array" ref="L100">IFERROR(_xlfn.LET(
_xlpm.CSVVal,_xlfn.XLOOKUP($A100,CSV!$A:$A,CSV!P:P,""),
_xlpm.MacVal,_xlfn.XLOOKUP($A100,Output_Mac!$A:$A,Output_Mac!L:L,""),
_xlpm.MyAuditVal,_xlfn.XLOOKUP($A100,My_Audit!$A:$A,My_Audit!K:K,""),
_xlfn.IFS(_xlpm.MyAuditVal&lt;&gt;"",UPPER(_xlpm.MyAuditVal),_xlpm.MacVal&lt;&gt;"",_xlpm.MacVal,_xlpm.CSVVal&lt;&gt;"",_xlpm.CSVVal
)),"")</f>
        <v/>
      </c>
      <c r="M100" s="2" t="str" cm="1">
        <f t="array" ref="M100">IFERROR(_xlfn.LET(
_xlpm.CSVVal,_xlfn.XLOOKUP($A100,CSV!$A:$A,CSV!Q:Q,""),
_xlpm.MacVal,_xlfn.XLOOKUP($A100,Output_Mac!$A:$A,Output_Mac!M:M,""),
_xlpm.MyAuditVal,_xlfn.XLOOKUP($A100,My_Audit!$A:$A,My_Audit!L:L,""),
_xlfn.IFS(_xlpm.MyAuditVal&lt;&gt;"",UPPER(_xlpm.MyAuditVal),_xlpm.MacVal&lt;&gt;"",_xlpm.MacVal,_xlpm.CSVVal&lt;&gt;"",_xlpm.CSVVal
)),"")</f>
        <v/>
      </c>
      <c r="O100" s="2" t="str">
        <f>_xlfn.LET(
    _xlpm.CSVVal, _xlfn.XLOOKUP($A100, CSV!$A:$A, CSV!AC:AC, ""),
    _xlpm.MacVal, _xlfn.XLOOKUP($A100, Output_Mac!$A:$A, Output_Mac!S:S, ""),
    _xlpm.MyAuditVal, _xlfn.XLOOKUP($A100, My_Audit!$A:$A, My_Audit!P:P, ""),
    _xlfn.TEXTJOIN(", ", TRUE, _xlpm.MyAuditVal, _xlpm.MacVal, _xlpm.CSVVal)
)</f>
        <v/>
      </c>
      <c r="P100" s="2" t="str" cm="1">
        <f t="array" ref="P100">IFERROR(_xlfn.LET(
_xlpm.CSVVal,_xlfn.XLOOKUP($A100,CSV!$A:$A,CSV!AD:AD,""),
_xlpm.MacVal,_xlfn.XLOOKUP($A100,Output_Mac!$A:$A,Output_Mac!T:T,""),
_xlpm.MyAuditVal,_xlfn.XLOOKUP($A100,My_Audit!$A:$A,My_Audit!Q:Q,""),
_xlfn.IFS(_xlpm.MyAuditVal&lt;&gt;"",UPPER(_xlpm.MyAuditVal),_xlpm.MacVal&lt;&gt;"",_xlpm.MacVal,_xlpm.CSVVal&lt;&gt;"",_xlpm.CSVVal
)),"No")</f>
        <v>No</v>
      </c>
      <c r="Q100" s="2" t="str" cm="1">
        <f t="array" ref="Q100">IFERROR(_xlfn.LET(
_xlpm.CSVVal,_xlfn.XLOOKUP($A100,CSV!$A:$A,CSV!AE:AE,""),
_xlpm.MacVal,_xlfn.XLOOKUP($A100,Output_Mac!$A:$A,Output_Mac!U:U,""),
_xlpm.MyAuditVal,_xlfn.XLOOKUP($A100,My_Audit!$A:$A,My_Audit!R:R,""),
_xlfn.IFS(_xlpm.MyAuditVal&lt;&gt;"",UPPER(_xlpm.MyAuditVal),_xlpm.MacVal&lt;&gt;"",_xlpm.MacVal,_xlpm.CSVVal&lt;&gt;"",_xlpm.CSVVal
)),"")</f>
        <v/>
      </c>
      <c r="X100" t="str">
        <f>_xlfn.LET(
    _xlpm.MacVal, _xlfn.XLOOKUP($A100, Output_Mac!$A:$A, Output_Mac!AB:AB, ""),
    _xlpm.MyAuditVal, _xlfn.XLOOKUP($A100, My_Audit!$A:$A, My_Audit!N:N, ""),
    _xlfn.TEXTJOIN(", ", TRUE, _xlpm.MyAuditVal, _xlpm.MacVal)
)</f>
        <v/>
      </c>
    </row>
    <row r="101" spans="1:24">
      <c r="A101" s="2" t="str">
        <f>_xlfn.TEXTJOIN("",TRUE,Input!$B$2,ROW(My_Audit!A100))</f>
        <v>X100</v>
      </c>
      <c r="B101" s="2" t="str">
        <f>_xlfn.TEXTJOIN("-",TRUE,"ITD",Input!$A$2,A101)</f>
        <v>ITD-SHR-X100</v>
      </c>
      <c r="C101" s="2" t="str" cm="1">
        <f t="array" ref="C101">IFERROR(_xlfn.LET(
_xlpm.CSVVal,_xlfn.XLOOKUP($A101,CSV!$A:$A,CSV!B:B,""),
_xlpm.MacVal,_xlfn.XLOOKUP($A101,Output_Mac!$A:$A,Output_Mac!B:B,""),
_xlpm.MyAuditVal,_xlfn.XLOOKUP($A101,My_Audit!$A:$A,My_Audit!B:B,""),
_xlfn.IFS(_xlpm.MyAuditVal&lt;&gt;"",UPPER(_xlpm.MyAuditVal),_xlpm.MacVal&lt;&gt;"",_xlpm.MacVal,_xlpm.CSVVal&lt;&gt;"",_xlpm.CSVVal
)),"")</f>
        <v/>
      </c>
      <c r="D101" s="2" t="str" cm="1">
        <f t="array" ref="D101">IFERROR(_xlfn.LET(
_xlpm.CSVVal,_xlfn.XLOOKUP($A101,CSV!$A:$A,CSV!D:D,""),
_xlpm.MacVal,_xlfn.XLOOKUP($A101,Output_Mac!$A:$A,Output_Mac!C:C,""),
_xlpm.MyAuditVal,_xlfn.XLOOKUP($A101,My_Audit!$A:$A,My_Audit!C:C,""),
_xlfn.IFS(_xlpm.MyAuditVal&lt;&gt;"",_xlpm.MyAuditVal,_xlpm.MacVal&lt;&gt;"",_xlpm.MacVal,_xlpm.CSVVal&lt;&gt;"",_xlpm.CSVVal
)),"")</f>
        <v/>
      </c>
      <c r="E101" s="2" t="str">
        <f>_xlfn.XLOOKUP(A101,My_Audit!A:A,My_Audit!D:D,"")&amp;""</f>
        <v/>
      </c>
      <c r="F101" s="2" t="str" cm="1">
        <f t="array" ref="F101">IFERROR(_xlfn.LET(
_xlpm.CSVVal,_xlfn.XLOOKUP($A101,CSV!$A:$A,CSV!F:F,""),
_xlpm.MacVal,_xlfn.XLOOKUP($A101,Output_Mac!$A:$A,Output_Mac!E:E,""),
_xlpm.MyAuditVal,_xlfn.XLOOKUP($A101,My_Audit!$A:$A,My_Audit!E:E,""),
_xlfn.IFS(_xlpm.MyAuditVal&lt;&gt;"",_xlpm.MyAuditVal,_xlpm.MacVal&lt;&gt;"",_xlpm.MacVal,_xlpm.CSVVal&lt;&gt;"",_xlpm.CSVVal
)),"")</f>
        <v/>
      </c>
      <c r="G101" s="2" t="str" cm="1">
        <f t="array" ref="G101">IFERROR(_xlfn.LET(
_xlpm.CSVVal,_xlfn.XLOOKUP($A101,CSV!$A:$A,CSV!G:G,""),
_xlpm.MacVal,_xlfn.XLOOKUP($A101,Output_Mac!$A:$A,Output_Mac!F:F,""),
_xlpm.MyAuditVal,_xlfn.XLOOKUP($A101,My_Audit!$A:$A,My_Audit!F:F,""),
_xlfn.IFS(_xlpm.MyAuditVal&lt;&gt;"",_xlpm.MyAuditVal,_xlpm.MacVal&lt;&gt;"",_xlpm.MacVal,_xlpm.CSVVal&lt;&gt;"",PROPER(_xlpm.CSVVal)
)),"")</f>
        <v/>
      </c>
      <c r="H101" s="2" t="str" cm="1">
        <f t="array" ref="H101">IFERROR(_xlfn.LET(
_xlpm.CSVVal,_xlfn.XLOOKUP($A101,CSV!$A:$A,CSV!H:H,""),
_xlpm.MacVal,_xlfn.XLOOKUP($A101,Output_Mac!$A:$A,Output_Mac!H:H,""),
_xlpm.MyAuditVal,_xlfn.XLOOKUP($A101,My_Audit!$A:$A,My_Audit!G:G,""),
_xlfn.IFS(_xlpm.MyAuditVal&lt;&gt;"",_xlpm.MyAuditVal,_xlpm.MacVal&lt;&gt;"",_xlpm.MacVal,_xlpm.CSVVal&lt;&gt;"",_xlpm.CSVVal
)),"")</f>
        <v/>
      </c>
      <c r="I101" s="2" t="str">
        <f>_xlfn.XLOOKUP(A101,Output_Mac!A:A,Output_Mac!I:I,"")</f>
        <v/>
      </c>
      <c r="J101" s="2" t="str" cm="1">
        <f t="array" ref="J101">IFERROR(_xlfn.LET(
_xlpm.CSVVal,_xlfn.XLOOKUP($A101,CSV!$A:$A,CSV!I:I,""),
_xlpm.MacVal,_xlfn.XLOOKUP($A101,Output_Mac!$A:$A,Output_Mac!J:J,""),
_xlpm.MyAuditVal,_xlfn.XLOOKUP($A101,My_Audit!$A:$A,My_Audit!I:I,""),
_xlfn.IFS(_xlpm.MyAuditVal&lt;&gt;"",UPPER(_xlpm.MyAuditVal),_xlpm.MacVal&lt;&gt;"",_xlpm.MacVal,_xlpm.CSVVal&lt;&gt;"",_xlpm.CSVVal
)),"")</f>
        <v/>
      </c>
      <c r="K101" s="2" t="str" cm="1">
        <f t="array" ref="K101">IFERROR(_xlfn.LET(
_xlpm.CSVVal,_xlfn.XLOOKUP($A101,CSV!$A:$A,CSV!K:K,""),
_xlpm.MacVal,_xlfn.XLOOKUP($A101,Output_Mac!$A:$A,Output_Mac!K:K,""),
_xlpm.MyAuditVal,_xlfn.XLOOKUP($A101,My_Audit!$A:$A,My_Audit!J:J,""),
_xlfn.IFS(_xlpm.MyAuditVal&lt;&gt;"",UPPER(_xlpm.MyAuditVal),_xlpm.MacVal&lt;&gt;"",_xlpm.MacVal,_xlpm.CSVVal&lt;&gt;"",_xlpm.CSVVal
)),"")</f>
        <v/>
      </c>
      <c r="L101" s="2" t="str" cm="1">
        <f t="array" ref="L101">IFERROR(_xlfn.LET(
_xlpm.CSVVal,_xlfn.XLOOKUP($A101,CSV!$A:$A,CSV!P:P,""),
_xlpm.MacVal,_xlfn.XLOOKUP($A101,Output_Mac!$A:$A,Output_Mac!L:L,""),
_xlpm.MyAuditVal,_xlfn.XLOOKUP($A101,My_Audit!$A:$A,My_Audit!K:K,""),
_xlfn.IFS(_xlpm.MyAuditVal&lt;&gt;"",UPPER(_xlpm.MyAuditVal),_xlpm.MacVal&lt;&gt;"",_xlpm.MacVal,_xlpm.CSVVal&lt;&gt;"",_xlpm.CSVVal
)),"")</f>
        <v/>
      </c>
      <c r="M101" s="2" t="str" cm="1">
        <f t="array" ref="M101">IFERROR(_xlfn.LET(
_xlpm.CSVVal,_xlfn.XLOOKUP($A101,CSV!$A:$A,CSV!Q:Q,""),
_xlpm.MacVal,_xlfn.XLOOKUP($A101,Output_Mac!$A:$A,Output_Mac!M:M,""),
_xlpm.MyAuditVal,_xlfn.XLOOKUP($A101,My_Audit!$A:$A,My_Audit!L:L,""),
_xlfn.IFS(_xlpm.MyAuditVal&lt;&gt;"",UPPER(_xlpm.MyAuditVal),_xlpm.MacVal&lt;&gt;"",_xlpm.MacVal,_xlpm.CSVVal&lt;&gt;"",_xlpm.CSVVal
)),"")</f>
        <v/>
      </c>
      <c r="O101" s="2" t="str">
        <f>_xlfn.LET(
    _xlpm.CSVVal, _xlfn.XLOOKUP($A101, CSV!$A:$A, CSV!AC:AC, ""),
    _xlpm.MacVal, _xlfn.XLOOKUP($A101, Output_Mac!$A:$A, Output_Mac!S:S, ""),
    _xlpm.MyAuditVal, _xlfn.XLOOKUP($A101, My_Audit!$A:$A, My_Audit!P:P, ""),
    _xlfn.TEXTJOIN(", ", TRUE, _xlpm.MyAuditVal, _xlpm.MacVal, _xlpm.CSVVal)
)</f>
        <v/>
      </c>
      <c r="P101" s="2" t="str" cm="1">
        <f t="array" ref="P101">IFERROR(_xlfn.LET(
_xlpm.CSVVal,_xlfn.XLOOKUP($A101,CSV!$A:$A,CSV!AD:AD,""),
_xlpm.MacVal,_xlfn.XLOOKUP($A101,Output_Mac!$A:$A,Output_Mac!T:T,""),
_xlpm.MyAuditVal,_xlfn.XLOOKUP($A101,My_Audit!$A:$A,My_Audit!Q:Q,""),
_xlfn.IFS(_xlpm.MyAuditVal&lt;&gt;"",UPPER(_xlpm.MyAuditVal),_xlpm.MacVal&lt;&gt;"",_xlpm.MacVal,_xlpm.CSVVal&lt;&gt;"",_xlpm.CSVVal
)),"No")</f>
        <v>No</v>
      </c>
      <c r="Q101" s="2" t="str" cm="1">
        <f t="array" ref="Q101">IFERROR(_xlfn.LET(
_xlpm.CSVVal,_xlfn.XLOOKUP($A101,CSV!$A:$A,CSV!AE:AE,""),
_xlpm.MacVal,_xlfn.XLOOKUP($A101,Output_Mac!$A:$A,Output_Mac!U:U,""),
_xlpm.MyAuditVal,_xlfn.XLOOKUP($A101,My_Audit!$A:$A,My_Audit!R:R,""),
_xlfn.IFS(_xlpm.MyAuditVal&lt;&gt;"",UPPER(_xlpm.MyAuditVal),_xlpm.MacVal&lt;&gt;"",_xlpm.MacVal,_xlpm.CSVVal&lt;&gt;"",_xlpm.CSVVal
)),"")</f>
        <v/>
      </c>
      <c r="X101" t="str">
        <f>_xlfn.LET(
    _xlpm.MacVal, _xlfn.XLOOKUP($A101, Output_Mac!$A:$A, Output_Mac!AB:AB, ""),
    _xlpm.MyAuditVal, _xlfn.XLOOKUP($A101, My_Audit!$A:$A, My_Audit!N:N, ""),
    _xlfn.TEXTJOIN(", ", TRUE, _xlpm.MyAuditVal, _xlpm.MacVal)
)</f>
        <v/>
      </c>
    </row>
    <row r="102" spans="1:24">
      <c r="A102" s="2" t="str">
        <f>_xlfn.TEXTJOIN("",TRUE,Input!$B$2,ROW(My_Audit!A101))</f>
        <v>X101</v>
      </c>
      <c r="B102" s="2" t="str">
        <f>_xlfn.TEXTJOIN("-",TRUE,"ITD",Input!$A$2,A102)</f>
        <v>ITD-SHR-X101</v>
      </c>
      <c r="C102" s="2" t="str" cm="1">
        <f t="array" ref="C102">IFERROR(_xlfn.LET(
_xlpm.CSVVal,_xlfn.XLOOKUP($A102,CSV!$A:$A,CSV!B:B,""),
_xlpm.MacVal,_xlfn.XLOOKUP($A102,Output_Mac!$A:$A,Output_Mac!B:B,""),
_xlpm.MyAuditVal,_xlfn.XLOOKUP($A102,My_Audit!$A:$A,My_Audit!B:B,""),
_xlfn.IFS(_xlpm.MyAuditVal&lt;&gt;"",UPPER(_xlpm.MyAuditVal),_xlpm.MacVal&lt;&gt;"",_xlpm.MacVal,_xlpm.CSVVal&lt;&gt;"",_xlpm.CSVVal
)),"")</f>
        <v/>
      </c>
      <c r="D102" s="2" t="str" cm="1">
        <f t="array" ref="D102">IFERROR(_xlfn.LET(
_xlpm.CSVVal,_xlfn.XLOOKUP($A102,CSV!$A:$A,CSV!D:D,""),
_xlpm.MacVal,_xlfn.XLOOKUP($A102,Output_Mac!$A:$A,Output_Mac!C:C,""),
_xlpm.MyAuditVal,_xlfn.XLOOKUP($A102,My_Audit!$A:$A,My_Audit!C:C,""),
_xlfn.IFS(_xlpm.MyAuditVal&lt;&gt;"",_xlpm.MyAuditVal,_xlpm.MacVal&lt;&gt;"",_xlpm.MacVal,_xlpm.CSVVal&lt;&gt;"",_xlpm.CSVVal
)),"")</f>
        <v/>
      </c>
      <c r="E102" s="2" t="str">
        <f>_xlfn.XLOOKUP(A102,My_Audit!A:A,My_Audit!D:D,"")&amp;""</f>
        <v/>
      </c>
      <c r="F102" s="2" t="str" cm="1">
        <f t="array" ref="F102">IFERROR(_xlfn.LET(
_xlpm.CSVVal,_xlfn.XLOOKUP($A102,CSV!$A:$A,CSV!F:F,""),
_xlpm.MacVal,_xlfn.XLOOKUP($A102,Output_Mac!$A:$A,Output_Mac!E:E,""),
_xlpm.MyAuditVal,_xlfn.XLOOKUP($A102,My_Audit!$A:$A,My_Audit!E:E,""),
_xlfn.IFS(_xlpm.MyAuditVal&lt;&gt;"",_xlpm.MyAuditVal,_xlpm.MacVal&lt;&gt;"",_xlpm.MacVal,_xlpm.CSVVal&lt;&gt;"",_xlpm.CSVVal
)),"")</f>
        <v/>
      </c>
      <c r="G102" s="2" t="str" cm="1">
        <f t="array" ref="G102">IFERROR(_xlfn.LET(
_xlpm.CSVVal,_xlfn.XLOOKUP($A102,CSV!$A:$A,CSV!G:G,""),
_xlpm.MacVal,_xlfn.XLOOKUP($A102,Output_Mac!$A:$A,Output_Mac!F:F,""),
_xlpm.MyAuditVal,_xlfn.XLOOKUP($A102,My_Audit!$A:$A,My_Audit!F:F,""),
_xlfn.IFS(_xlpm.MyAuditVal&lt;&gt;"",_xlpm.MyAuditVal,_xlpm.MacVal&lt;&gt;"",_xlpm.MacVal,_xlpm.CSVVal&lt;&gt;"",PROPER(_xlpm.CSVVal)
)),"")</f>
        <v/>
      </c>
      <c r="H102" s="2" t="str" cm="1">
        <f t="array" ref="H102">IFERROR(_xlfn.LET(
_xlpm.CSVVal,_xlfn.XLOOKUP($A102,CSV!$A:$A,CSV!H:H,""),
_xlpm.MacVal,_xlfn.XLOOKUP($A102,Output_Mac!$A:$A,Output_Mac!H:H,""),
_xlpm.MyAuditVal,_xlfn.XLOOKUP($A102,My_Audit!$A:$A,My_Audit!G:G,""),
_xlfn.IFS(_xlpm.MyAuditVal&lt;&gt;"",_xlpm.MyAuditVal,_xlpm.MacVal&lt;&gt;"",_xlpm.MacVal,_xlpm.CSVVal&lt;&gt;"",_xlpm.CSVVal
)),"")</f>
        <v/>
      </c>
      <c r="I102" s="2" t="str">
        <f>_xlfn.XLOOKUP(A102,Output_Mac!A:A,Output_Mac!I:I,"")</f>
        <v/>
      </c>
      <c r="J102" s="2" t="str" cm="1">
        <f t="array" ref="J102">IFERROR(_xlfn.LET(
_xlpm.CSVVal,_xlfn.XLOOKUP($A102,CSV!$A:$A,CSV!I:I,""),
_xlpm.MacVal,_xlfn.XLOOKUP($A102,Output_Mac!$A:$A,Output_Mac!J:J,""),
_xlpm.MyAuditVal,_xlfn.XLOOKUP($A102,My_Audit!$A:$A,My_Audit!I:I,""),
_xlfn.IFS(_xlpm.MyAuditVal&lt;&gt;"",UPPER(_xlpm.MyAuditVal),_xlpm.MacVal&lt;&gt;"",_xlpm.MacVal,_xlpm.CSVVal&lt;&gt;"",_xlpm.CSVVal
)),"")</f>
        <v/>
      </c>
      <c r="K102" s="2" t="str" cm="1">
        <f t="array" ref="K102">IFERROR(_xlfn.LET(
_xlpm.CSVVal,_xlfn.XLOOKUP($A102,CSV!$A:$A,CSV!K:K,""),
_xlpm.MacVal,_xlfn.XLOOKUP($A102,Output_Mac!$A:$A,Output_Mac!K:K,""),
_xlpm.MyAuditVal,_xlfn.XLOOKUP($A102,My_Audit!$A:$A,My_Audit!J:J,""),
_xlfn.IFS(_xlpm.MyAuditVal&lt;&gt;"",UPPER(_xlpm.MyAuditVal),_xlpm.MacVal&lt;&gt;"",_xlpm.MacVal,_xlpm.CSVVal&lt;&gt;"",_xlpm.CSVVal
)),"")</f>
        <v/>
      </c>
      <c r="L102" s="2" t="str" cm="1">
        <f t="array" ref="L102">IFERROR(_xlfn.LET(
_xlpm.CSVVal,_xlfn.XLOOKUP($A102,CSV!$A:$A,CSV!P:P,""),
_xlpm.MacVal,_xlfn.XLOOKUP($A102,Output_Mac!$A:$A,Output_Mac!L:L,""),
_xlpm.MyAuditVal,_xlfn.XLOOKUP($A102,My_Audit!$A:$A,My_Audit!K:K,""),
_xlfn.IFS(_xlpm.MyAuditVal&lt;&gt;"",UPPER(_xlpm.MyAuditVal),_xlpm.MacVal&lt;&gt;"",_xlpm.MacVal,_xlpm.CSVVal&lt;&gt;"",_xlpm.CSVVal
)),"")</f>
        <v/>
      </c>
      <c r="M102" s="2" t="str" cm="1">
        <f t="array" ref="M102">IFERROR(_xlfn.LET(
_xlpm.CSVVal,_xlfn.XLOOKUP($A102,CSV!$A:$A,CSV!Q:Q,""),
_xlpm.MacVal,_xlfn.XLOOKUP($A102,Output_Mac!$A:$A,Output_Mac!M:M,""),
_xlpm.MyAuditVal,_xlfn.XLOOKUP($A102,My_Audit!$A:$A,My_Audit!L:L,""),
_xlfn.IFS(_xlpm.MyAuditVal&lt;&gt;"",UPPER(_xlpm.MyAuditVal),_xlpm.MacVal&lt;&gt;"",_xlpm.MacVal,_xlpm.CSVVal&lt;&gt;"",_xlpm.CSVVal
)),"")</f>
        <v/>
      </c>
      <c r="O102" s="2" t="str">
        <f>_xlfn.LET(
    _xlpm.CSVVal, _xlfn.XLOOKUP($A102, CSV!$A:$A, CSV!AC:AC, ""),
    _xlpm.MacVal, _xlfn.XLOOKUP($A102, Output_Mac!$A:$A, Output_Mac!S:S, ""),
    _xlpm.MyAuditVal, _xlfn.XLOOKUP($A102, My_Audit!$A:$A, My_Audit!P:P, ""),
    _xlfn.TEXTJOIN(", ", TRUE, _xlpm.MyAuditVal, _xlpm.MacVal, _xlpm.CSVVal)
)</f>
        <v/>
      </c>
      <c r="P102" s="2" t="str" cm="1">
        <f t="array" ref="P102">IFERROR(_xlfn.LET(
_xlpm.CSVVal,_xlfn.XLOOKUP($A102,CSV!$A:$A,CSV!AD:AD,""),
_xlpm.MacVal,_xlfn.XLOOKUP($A102,Output_Mac!$A:$A,Output_Mac!T:T,""),
_xlpm.MyAuditVal,_xlfn.XLOOKUP($A102,My_Audit!$A:$A,My_Audit!Q:Q,""),
_xlfn.IFS(_xlpm.MyAuditVal&lt;&gt;"",UPPER(_xlpm.MyAuditVal),_xlpm.MacVal&lt;&gt;"",_xlpm.MacVal,_xlpm.CSVVal&lt;&gt;"",_xlpm.CSVVal
)),"No")</f>
        <v>No</v>
      </c>
      <c r="Q102" s="2" t="str" cm="1">
        <f t="array" ref="Q102">IFERROR(_xlfn.LET(
_xlpm.CSVVal,_xlfn.XLOOKUP($A102,CSV!$A:$A,CSV!AE:AE,""),
_xlpm.MacVal,_xlfn.XLOOKUP($A102,Output_Mac!$A:$A,Output_Mac!U:U,""),
_xlpm.MyAuditVal,_xlfn.XLOOKUP($A102,My_Audit!$A:$A,My_Audit!R:R,""),
_xlfn.IFS(_xlpm.MyAuditVal&lt;&gt;"",UPPER(_xlpm.MyAuditVal),_xlpm.MacVal&lt;&gt;"",_xlpm.MacVal,_xlpm.CSVVal&lt;&gt;"",_xlpm.CSVVal
)),"")</f>
        <v/>
      </c>
      <c r="X102" t="str">
        <f>_xlfn.LET(
    _xlpm.MacVal, _xlfn.XLOOKUP($A102, Output_Mac!$A:$A, Output_Mac!AB:AB, ""),
    _xlpm.MyAuditVal, _xlfn.XLOOKUP($A102, My_Audit!$A:$A, My_Audit!N:N, ""),
    _xlfn.TEXTJOIN(", ", TRUE, _xlpm.MyAuditVal, _xlpm.MacVal)
)</f>
        <v/>
      </c>
    </row>
    <row r="103" spans="1:24">
      <c r="A103" s="2" t="str">
        <f>_xlfn.TEXTJOIN("",TRUE,Input!$B$2,ROW(My_Audit!A102))</f>
        <v>X102</v>
      </c>
      <c r="B103" s="2" t="str">
        <f>_xlfn.TEXTJOIN("-",TRUE,"ITD",Input!$A$2,A103)</f>
        <v>ITD-SHR-X102</v>
      </c>
      <c r="C103" s="2" t="str" cm="1">
        <f t="array" ref="C103">IFERROR(_xlfn.LET(
_xlpm.CSVVal,_xlfn.XLOOKUP($A103,CSV!$A:$A,CSV!B:B,""),
_xlpm.MacVal,_xlfn.XLOOKUP($A103,Output_Mac!$A:$A,Output_Mac!B:B,""),
_xlpm.MyAuditVal,_xlfn.XLOOKUP($A103,My_Audit!$A:$A,My_Audit!B:B,""),
_xlfn.IFS(_xlpm.MyAuditVal&lt;&gt;"",UPPER(_xlpm.MyAuditVal),_xlpm.MacVal&lt;&gt;"",_xlpm.MacVal,_xlpm.CSVVal&lt;&gt;"",_xlpm.CSVVal
)),"")</f>
        <v/>
      </c>
      <c r="D103" s="2" t="str" cm="1">
        <f t="array" ref="D103">IFERROR(_xlfn.LET(
_xlpm.CSVVal,_xlfn.XLOOKUP($A103,CSV!$A:$A,CSV!D:D,""),
_xlpm.MacVal,_xlfn.XLOOKUP($A103,Output_Mac!$A:$A,Output_Mac!C:C,""),
_xlpm.MyAuditVal,_xlfn.XLOOKUP($A103,My_Audit!$A:$A,My_Audit!C:C,""),
_xlfn.IFS(_xlpm.MyAuditVal&lt;&gt;"",_xlpm.MyAuditVal,_xlpm.MacVal&lt;&gt;"",_xlpm.MacVal,_xlpm.CSVVal&lt;&gt;"",_xlpm.CSVVal
)),"")</f>
        <v/>
      </c>
      <c r="E103" s="2" t="str">
        <f>_xlfn.XLOOKUP(A103,My_Audit!A:A,My_Audit!D:D,"")&amp;""</f>
        <v/>
      </c>
      <c r="F103" s="2" t="str" cm="1">
        <f t="array" ref="F103">IFERROR(_xlfn.LET(
_xlpm.CSVVal,_xlfn.XLOOKUP($A103,CSV!$A:$A,CSV!F:F,""),
_xlpm.MacVal,_xlfn.XLOOKUP($A103,Output_Mac!$A:$A,Output_Mac!E:E,""),
_xlpm.MyAuditVal,_xlfn.XLOOKUP($A103,My_Audit!$A:$A,My_Audit!E:E,""),
_xlfn.IFS(_xlpm.MyAuditVal&lt;&gt;"",_xlpm.MyAuditVal,_xlpm.MacVal&lt;&gt;"",_xlpm.MacVal,_xlpm.CSVVal&lt;&gt;"",_xlpm.CSVVal
)),"")</f>
        <v/>
      </c>
      <c r="G103" s="2" t="str" cm="1">
        <f t="array" ref="G103">IFERROR(_xlfn.LET(
_xlpm.CSVVal,_xlfn.XLOOKUP($A103,CSV!$A:$A,CSV!G:G,""),
_xlpm.MacVal,_xlfn.XLOOKUP($A103,Output_Mac!$A:$A,Output_Mac!F:F,""),
_xlpm.MyAuditVal,_xlfn.XLOOKUP($A103,My_Audit!$A:$A,My_Audit!F:F,""),
_xlfn.IFS(_xlpm.MyAuditVal&lt;&gt;"",_xlpm.MyAuditVal,_xlpm.MacVal&lt;&gt;"",_xlpm.MacVal,_xlpm.CSVVal&lt;&gt;"",PROPER(_xlpm.CSVVal)
)),"")</f>
        <v/>
      </c>
      <c r="H103" s="2" t="str" cm="1">
        <f t="array" ref="H103">IFERROR(_xlfn.LET(
_xlpm.CSVVal,_xlfn.XLOOKUP($A103,CSV!$A:$A,CSV!H:H,""),
_xlpm.MacVal,_xlfn.XLOOKUP($A103,Output_Mac!$A:$A,Output_Mac!H:H,""),
_xlpm.MyAuditVal,_xlfn.XLOOKUP($A103,My_Audit!$A:$A,My_Audit!G:G,""),
_xlfn.IFS(_xlpm.MyAuditVal&lt;&gt;"",_xlpm.MyAuditVal,_xlpm.MacVal&lt;&gt;"",_xlpm.MacVal,_xlpm.CSVVal&lt;&gt;"",_xlpm.CSVVal
)),"")</f>
        <v/>
      </c>
      <c r="I103" s="2" t="str">
        <f>_xlfn.XLOOKUP(A103,Output_Mac!A:A,Output_Mac!I:I,"")</f>
        <v/>
      </c>
      <c r="J103" s="2" t="str" cm="1">
        <f t="array" ref="J103">IFERROR(_xlfn.LET(
_xlpm.CSVVal,_xlfn.XLOOKUP($A103,CSV!$A:$A,CSV!I:I,""),
_xlpm.MacVal,_xlfn.XLOOKUP($A103,Output_Mac!$A:$A,Output_Mac!J:J,""),
_xlpm.MyAuditVal,_xlfn.XLOOKUP($A103,My_Audit!$A:$A,My_Audit!I:I,""),
_xlfn.IFS(_xlpm.MyAuditVal&lt;&gt;"",UPPER(_xlpm.MyAuditVal),_xlpm.MacVal&lt;&gt;"",_xlpm.MacVal,_xlpm.CSVVal&lt;&gt;"",_xlpm.CSVVal
)),"")</f>
        <v/>
      </c>
      <c r="K103" s="2" t="str" cm="1">
        <f t="array" ref="K103">IFERROR(_xlfn.LET(
_xlpm.CSVVal,_xlfn.XLOOKUP($A103,CSV!$A:$A,CSV!K:K,""),
_xlpm.MacVal,_xlfn.XLOOKUP($A103,Output_Mac!$A:$A,Output_Mac!K:K,""),
_xlpm.MyAuditVal,_xlfn.XLOOKUP($A103,My_Audit!$A:$A,My_Audit!J:J,""),
_xlfn.IFS(_xlpm.MyAuditVal&lt;&gt;"",UPPER(_xlpm.MyAuditVal),_xlpm.MacVal&lt;&gt;"",_xlpm.MacVal,_xlpm.CSVVal&lt;&gt;"",_xlpm.CSVVal
)),"")</f>
        <v/>
      </c>
      <c r="L103" s="2" t="str" cm="1">
        <f t="array" ref="L103">IFERROR(_xlfn.LET(
_xlpm.CSVVal,_xlfn.XLOOKUP($A103,CSV!$A:$A,CSV!P:P,""),
_xlpm.MacVal,_xlfn.XLOOKUP($A103,Output_Mac!$A:$A,Output_Mac!L:L,""),
_xlpm.MyAuditVal,_xlfn.XLOOKUP($A103,My_Audit!$A:$A,My_Audit!K:K,""),
_xlfn.IFS(_xlpm.MyAuditVal&lt;&gt;"",UPPER(_xlpm.MyAuditVal),_xlpm.MacVal&lt;&gt;"",_xlpm.MacVal,_xlpm.CSVVal&lt;&gt;"",_xlpm.CSVVal
)),"")</f>
        <v/>
      </c>
      <c r="M103" s="2" t="str" cm="1">
        <f t="array" ref="M103">IFERROR(_xlfn.LET(
_xlpm.CSVVal,_xlfn.XLOOKUP($A103,CSV!$A:$A,CSV!Q:Q,""),
_xlpm.MacVal,_xlfn.XLOOKUP($A103,Output_Mac!$A:$A,Output_Mac!M:M,""),
_xlpm.MyAuditVal,_xlfn.XLOOKUP($A103,My_Audit!$A:$A,My_Audit!L:L,""),
_xlfn.IFS(_xlpm.MyAuditVal&lt;&gt;"",UPPER(_xlpm.MyAuditVal),_xlpm.MacVal&lt;&gt;"",_xlpm.MacVal,_xlpm.CSVVal&lt;&gt;"",_xlpm.CSVVal
)),"")</f>
        <v/>
      </c>
      <c r="O103" s="2" t="str">
        <f>_xlfn.LET(
    _xlpm.CSVVal, _xlfn.XLOOKUP($A103, CSV!$A:$A, CSV!AC:AC, ""),
    _xlpm.MacVal, _xlfn.XLOOKUP($A103, Output_Mac!$A:$A, Output_Mac!S:S, ""),
    _xlpm.MyAuditVal, _xlfn.XLOOKUP($A103, My_Audit!$A:$A, My_Audit!P:P, ""),
    _xlfn.TEXTJOIN(", ", TRUE, _xlpm.MyAuditVal, _xlpm.MacVal, _xlpm.CSVVal)
)</f>
        <v/>
      </c>
      <c r="P103" s="2" t="str" cm="1">
        <f t="array" ref="P103">IFERROR(_xlfn.LET(
_xlpm.CSVVal,_xlfn.XLOOKUP($A103,CSV!$A:$A,CSV!AD:AD,""),
_xlpm.MacVal,_xlfn.XLOOKUP($A103,Output_Mac!$A:$A,Output_Mac!T:T,""),
_xlpm.MyAuditVal,_xlfn.XLOOKUP($A103,My_Audit!$A:$A,My_Audit!Q:Q,""),
_xlfn.IFS(_xlpm.MyAuditVal&lt;&gt;"",UPPER(_xlpm.MyAuditVal),_xlpm.MacVal&lt;&gt;"",_xlpm.MacVal,_xlpm.CSVVal&lt;&gt;"",_xlpm.CSVVal
)),"No")</f>
        <v>No</v>
      </c>
      <c r="Q103" s="2" t="str" cm="1">
        <f t="array" ref="Q103">IFERROR(_xlfn.LET(
_xlpm.CSVVal,_xlfn.XLOOKUP($A103,CSV!$A:$A,CSV!AE:AE,""),
_xlpm.MacVal,_xlfn.XLOOKUP($A103,Output_Mac!$A:$A,Output_Mac!U:U,""),
_xlpm.MyAuditVal,_xlfn.XLOOKUP($A103,My_Audit!$A:$A,My_Audit!R:R,""),
_xlfn.IFS(_xlpm.MyAuditVal&lt;&gt;"",UPPER(_xlpm.MyAuditVal),_xlpm.MacVal&lt;&gt;"",_xlpm.MacVal,_xlpm.CSVVal&lt;&gt;"",_xlpm.CSVVal
)),"")</f>
        <v/>
      </c>
      <c r="X103" t="str">
        <f>_xlfn.LET(
    _xlpm.MacVal, _xlfn.XLOOKUP($A103, Output_Mac!$A:$A, Output_Mac!AB:AB, ""),
    _xlpm.MyAuditVal, _xlfn.XLOOKUP($A103, My_Audit!$A:$A, My_Audit!N:N, ""),
    _xlfn.TEXTJOIN(", ", TRUE, _xlpm.MyAuditVal, _xlpm.MacVal)
)</f>
        <v/>
      </c>
    </row>
    <row r="104" spans="1:24">
      <c r="A104" s="2" t="str">
        <f>_xlfn.TEXTJOIN("",TRUE,Input!$B$2,ROW(My_Audit!A103))</f>
        <v>X103</v>
      </c>
      <c r="B104" s="2" t="str">
        <f>_xlfn.TEXTJOIN("-",TRUE,"ITD",Input!$A$2,A104)</f>
        <v>ITD-SHR-X103</v>
      </c>
      <c r="C104" s="2" t="str" cm="1">
        <f t="array" ref="C104">IFERROR(_xlfn.LET(
_xlpm.CSVVal,_xlfn.XLOOKUP($A104,CSV!$A:$A,CSV!B:B,""),
_xlpm.MacVal,_xlfn.XLOOKUP($A104,Output_Mac!$A:$A,Output_Mac!B:B,""),
_xlpm.MyAuditVal,_xlfn.XLOOKUP($A104,My_Audit!$A:$A,My_Audit!B:B,""),
_xlfn.IFS(_xlpm.MyAuditVal&lt;&gt;"",UPPER(_xlpm.MyAuditVal),_xlpm.MacVal&lt;&gt;"",_xlpm.MacVal,_xlpm.CSVVal&lt;&gt;"",_xlpm.CSVVal
)),"")</f>
        <v/>
      </c>
      <c r="D104" s="2" t="str" cm="1">
        <f t="array" ref="D104">IFERROR(_xlfn.LET(
_xlpm.CSVVal,_xlfn.XLOOKUP($A104,CSV!$A:$A,CSV!D:D,""),
_xlpm.MacVal,_xlfn.XLOOKUP($A104,Output_Mac!$A:$A,Output_Mac!C:C,""),
_xlpm.MyAuditVal,_xlfn.XLOOKUP($A104,My_Audit!$A:$A,My_Audit!C:C,""),
_xlfn.IFS(_xlpm.MyAuditVal&lt;&gt;"",_xlpm.MyAuditVal,_xlpm.MacVal&lt;&gt;"",_xlpm.MacVal,_xlpm.CSVVal&lt;&gt;"",_xlpm.CSVVal
)),"")</f>
        <v/>
      </c>
      <c r="E104" s="2" t="str">
        <f>_xlfn.XLOOKUP(A104,My_Audit!A:A,My_Audit!D:D,"")&amp;""</f>
        <v/>
      </c>
      <c r="F104" s="2" t="str" cm="1">
        <f t="array" ref="F104">IFERROR(_xlfn.LET(
_xlpm.CSVVal,_xlfn.XLOOKUP($A104,CSV!$A:$A,CSV!F:F,""),
_xlpm.MacVal,_xlfn.XLOOKUP($A104,Output_Mac!$A:$A,Output_Mac!E:E,""),
_xlpm.MyAuditVal,_xlfn.XLOOKUP($A104,My_Audit!$A:$A,My_Audit!E:E,""),
_xlfn.IFS(_xlpm.MyAuditVal&lt;&gt;"",_xlpm.MyAuditVal,_xlpm.MacVal&lt;&gt;"",_xlpm.MacVal,_xlpm.CSVVal&lt;&gt;"",_xlpm.CSVVal
)),"")</f>
        <v/>
      </c>
      <c r="G104" s="2" t="str" cm="1">
        <f t="array" ref="G104">IFERROR(_xlfn.LET(
_xlpm.CSVVal,_xlfn.XLOOKUP($A104,CSV!$A:$A,CSV!G:G,""),
_xlpm.MacVal,_xlfn.XLOOKUP($A104,Output_Mac!$A:$A,Output_Mac!F:F,""),
_xlpm.MyAuditVal,_xlfn.XLOOKUP($A104,My_Audit!$A:$A,My_Audit!F:F,""),
_xlfn.IFS(_xlpm.MyAuditVal&lt;&gt;"",_xlpm.MyAuditVal,_xlpm.MacVal&lt;&gt;"",_xlpm.MacVal,_xlpm.CSVVal&lt;&gt;"",PROPER(_xlpm.CSVVal)
)),"")</f>
        <v/>
      </c>
      <c r="H104" s="2" t="str" cm="1">
        <f t="array" ref="H104">IFERROR(_xlfn.LET(
_xlpm.CSVVal,_xlfn.XLOOKUP($A104,CSV!$A:$A,CSV!H:H,""),
_xlpm.MacVal,_xlfn.XLOOKUP($A104,Output_Mac!$A:$A,Output_Mac!H:H,""),
_xlpm.MyAuditVal,_xlfn.XLOOKUP($A104,My_Audit!$A:$A,My_Audit!G:G,""),
_xlfn.IFS(_xlpm.MyAuditVal&lt;&gt;"",_xlpm.MyAuditVal,_xlpm.MacVal&lt;&gt;"",_xlpm.MacVal,_xlpm.CSVVal&lt;&gt;"",_xlpm.CSVVal
)),"")</f>
        <v/>
      </c>
      <c r="I104" s="2" t="str">
        <f>_xlfn.XLOOKUP(A104,Output_Mac!A:A,Output_Mac!I:I,"")</f>
        <v/>
      </c>
      <c r="J104" s="2" t="str" cm="1">
        <f t="array" ref="J104">IFERROR(_xlfn.LET(
_xlpm.CSVVal,_xlfn.XLOOKUP($A104,CSV!$A:$A,CSV!I:I,""),
_xlpm.MacVal,_xlfn.XLOOKUP($A104,Output_Mac!$A:$A,Output_Mac!J:J,""),
_xlpm.MyAuditVal,_xlfn.XLOOKUP($A104,My_Audit!$A:$A,My_Audit!I:I,""),
_xlfn.IFS(_xlpm.MyAuditVal&lt;&gt;"",UPPER(_xlpm.MyAuditVal),_xlpm.MacVal&lt;&gt;"",_xlpm.MacVal,_xlpm.CSVVal&lt;&gt;"",_xlpm.CSVVal
)),"")</f>
        <v/>
      </c>
      <c r="K104" s="2" t="str" cm="1">
        <f t="array" ref="K104">IFERROR(_xlfn.LET(
_xlpm.CSVVal,_xlfn.XLOOKUP($A104,CSV!$A:$A,CSV!K:K,""),
_xlpm.MacVal,_xlfn.XLOOKUP($A104,Output_Mac!$A:$A,Output_Mac!K:K,""),
_xlpm.MyAuditVal,_xlfn.XLOOKUP($A104,My_Audit!$A:$A,My_Audit!J:J,""),
_xlfn.IFS(_xlpm.MyAuditVal&lt;&gt;"",UPPER(_xlpm.MyAuditVal),_xlpm.MacVal&lt;&gt;"",_xlpm.MacVal,_xlpm.CSVVal&lt;&gt;"",_xlpm.CSVVal
)),"")</f>
        <v/>
      </c>
      <c r="L104" s="2" t="str" cm="1">
        <f t="array" ref="L104">IFERROR(_xlfn.LET(
_xlpm.CSVVal,_xlfn.XLOOKUP($A104,CSV!$A:$A,CSV!P:P,""),
_xlpm.MacVal,_xlfn.XLOOKUP($A104,Output_Mac!$A:$A,Output_Mac!L:L,""),
_xlpm.MyAuditVal,_xlfn.XLOOKUP($A104,My_Audit!$A:$A,My_Audit!K:K,""),
_xlfn.IFS(_xlpm.MyAuditVal&lt;&gt;"",UPPER(_xlpm.MyAuditVal),_xlpm.MacVal&lt;&gt;"",_xlpm.MacVal,_xlpm.CSVVal&lt;&gt;"",_xlpm.CSVVal
)),"")</f>
        <v/>
      </c>
      <c r="M104" s="2" t="str" cm="1">
        <f t="array" ref="M104">IFERROR(_xlfn.LET(
_xlpm.CSVVal,_xlfn.XLOOKUP($A104,CSV!$A:$A,CSV!Q:Q,""),
_xlpm.MacVal,_xlfn.XLOOKUP($A104,Output_Mac!$A:$A,Output_Mac!M:M,""),
_xlpm.MyAuditVal,_xlfn.XLOOKUP($A104,My_Audit!$A:$A,My_Audit!L:L,""),
_xlfn.IFS(_xlpm.MyAuditVal&lt;&gt;"",UPPER(_xlpm.MyAuditVal),_xlpm.MacVal&lt;&gt;"",_xlpm.MacVal,_xlpm.CSVVal&lt;&gt;"",_xlpm.CSVVal
)),"")</f>
        <v/>
      </c>
      <c r="O104" s="2" t="str">
        <f>_xlfn.LET(
    _xlpm.CSVVal, _xlfn.XLOOKUP($A104, CSV!$A:$A, CSV!AC:AC, ""),
    _xlpm.MacVal, _xlfn.XLOOKUP($A104, Output_Mac!$A:$A, Output_Mac!S:S, ""),
    _xlpm.MyAuditVal, _xlfn.XLOOKUP($A104, My_Audit!$A:$A, My_Audit!P:P, ""),
    _xlfn.TEXTJOIN(", ", TRUE, _xlpm.MyAuditVal, _xlpm.MacVal, _xlpm.CSVVal)
)</f>
        <v/>
      </c>
      <c r="P104" s="2" t="str" cm="1">
        <f t="array" ref="P104">IFERROR(_xlfn.LET(
_xlpm.CSVVal,_xlfn.XLOOKUP($A104,CSV!$A:$A,CSV!AD:AD,""),
_xlpm.MacVal,_xlfn.XLOOKUP($A104,Output_Mac!$A:$A,Output_Mac!T:T,""),
_xlpm.MyAuditVal,_xlfn.XLOOKUP($A104,My_Audit!$A:$A,My_Audit!Q:Q,""),
_xlfn.IFS(_xlpm.MyAuditVal&lt;&gt;"",UPPER(_xlpm.MyAuditVal),_xlpm.MacVal&lt;&gt;"",_xlpm.MacVal,_xlpm.CSVVal&lt;&gt;"",_xlpm.CSVVal
)),"No")</f>
        <v>No</v>
      </c>
      <c r="Q104" s="2" t="str" cm="1">
        <f t="array" ref="Q104">IFERROR(_xlfn.LET(
_xlpm.CSVVal,_xlfn.XLOOKUP($A104,CSV!$A:$A,CSV!AE:AE,""),
_xlpm.MacVal,_xlfn.XLOOKUP($A104,Output_Mac!$A:$A,Output_Mac!U:U,""),
_xlpm.MyAuditVal,_xlfn.XLOOKUP($A104,My_Audit!$A:$A,My_Audit!R:R,""),
_xlfn.IFS(_xlpm.MyAuditVal&lt;&gt;"",UPPER(_xlpm.MyAuditVal),_xlpm.MacVal&lt;&gt;"",_xlpm.MacVal,_xlpm.CSVVal&lt;&gt;"",_xlpm.CSVVal
)),"")</f>
        <v/>
      </c>
      <c r="X104" t="str">
        <f>_xlfn.LET(
    _xlpm.MacVal, _xlfn.XLOOKUP($A104, Output_Mac!$A:$A, Output_Mac!AB:AB, ""),
    _xlpm.MyAuditVal, _xlfn.XLOOKUP($A104, My_Audit!$A:$A, My_Audit!N:N, ""),
    _xlfn.TEXTJOIN(", ", TRUE, _xlpm.MyAuditVal, _xlpm.MacVal)
)</f>
        <v/>
      </c>
    </row>
    <row r="105" spans="1:24">
      <c r="A105" s="2" t="str">
        <f>_xlfn.TEXTJOIN("",TRUE,Input!$B$2,ROW(My_Audit!A104))</f>
        <v>X104</v>
      </c>
      <c r="B105" s="2" t="str">
        <f>_xlfn.TEXTJOIN("-",TRUE,"ITD",Input!$A$2,A105)</f>
        <v>ITD-SHR-X104</v>
      </c>
      <c r="C105" s="2" t="str" cm="1">
        <f t="array" ref="C105">IFERROR(_xlfn.LET(
_xlpm.CSVVal,_xlfn.XLOOKUP($A105,CSV!$A:$A,CSV!B:B,""),
_xlpm.MacVal,_xlfn.XLOOKUP($A105,Output_Mac!$A:$A,Output_Mac!B:B,""),
_xlpm.MyAuditVal,_xlfn.XLOOKUP($A105,My_Audit!$A:$A,My_Audit!B:B,""),
_xlfn.IFS(_xlpm.MyAuditVal&lt;&gt;"",UPPER(_xlpm.MyAuditVal),_xlpm.MacVal&lt;&gt;"",_xlpm.MacVal,_xlpm.CSVVal&lt;&gt;"",_xlpm.CSVVal
)),"")</f>
        <v/>
      </c>
      <c r="D105" s="2" t="str" cm="1">
        <f t="array" ref="D105">IFERROR(_xlfn.LET(
_xlpm.CSVVal,_xlfn.XLOOKUP($A105,CSV!$A:$A,CSV!D:D,""),
_xlpm.MacVal,_xlfn.XLOOKUP($A105,Output_Mac!$A:$A,Output_Mac!C:C,""),
_xlpm.MyAuditVal,_xlfn.XLOOKUP($A105,My_Audit!$A:$A,My_Audit!C:C,""),
_xlfn.IFS(_xlpm.MyAuditVal&lt;&gt;"",_xlpm.MyAuditVal,_xlpm.MacVal&lt;&gt;"",_xlpm.MacVal,_xlpm.CSVVal&lt;&gt;"",_xlpm.CSVVal
)),"")</f>
        <v/>
      </c>
      <c r="E105" s="2" t="str">
        <f>_xlfn.XLOOKUP(A105,My_Audit!A:A,My_Audit!D:D,"")&amp;""</f>
        <v/>
      </c>
      <c r="F105" s="2" t="str" cm="1">
        <f t="array" ref="F105">IFERROR(_xlfn.LET(
_xlpm.CSVVal,_xlfn.XLOOKUP($A105,CSV!$A:$A,CSV!F:F,""),
_xlpm.MacVal,_xlfn.XLOOKUP($A105,Output_Mac!$A:$A,Output_Mac!E:E,""),
_xlpm.MyAuditVal,_xlfn.XLOOKUP($A105,My_Audit!$A:$A,My_Audit!E:E,""),
_xlfn.IFS(_xlpm.MyAuditVal&lt;&gt;"",_xlpm.MyAuditVal,_xlpm.MacVal&lt;&gt;"",_xlpm.MacVal,_xlpm.CSVVal&lt;&gt;"",_xlpm.CSVVal
)),"")</f>
        <v/>
      </c>
      <c r="G105" s="2" t="str" cm="1">
        <f t="array" ref="G105">IFERROR(_xlfn.LET(
_xlpm.CSVVal,_xlfn.XLOOKUP($A105,CSV!$A:$A,CSV!G:G,""),
_xlpm.MacVal,_xlfn.XLOOKUP($A105,Output_Mac!$A:$A,Output_Mac!F:F,""),
_xlpm.MyAuditVal,_xlfn.XLOOKUP($A105,My_Audit!$A:$A,My_Audit!F:F,""),
_xlfn.IFS(_xlpm.MyAuditVal&lt;&gt;"",_xlpm.MyAuditVal,_xlpm.MacVal&lt;&gt;"",_xlpm.MacVal,_xlpm.CSVVal&lt;&gt;"",PROPER(_xlpm.CSVVal)
)),"")</f>
        <v/>
      </c>
      <c r="H105" s="2" t="str" cm="1">
        <f t="array" ref="H105">IFERROR(_xlfn.LET(
_xlpm.CSVVal,_xlfn.XLOOKUP($A105,CSV!$A:$A,CSV!H:H,""),
_xlpm.MacVal,_xlfn.XLOOKUP($A105,Output_Mac!$A:$A,Output_Mac!H:H,""),
_xlpm.MyAuditVal,_xlfn.XLOOKUP($A105,My_Audit!$A:$A,My_Audit!G:G,""),
_xlfn.IFS(_xlpm.MyAuditVal&lt;&gt;"",_xlpm.MyAuditVal,_xlpm.MacVal&lt;&gt;"",_xlpm.MacVal,_xlpm.CSVVal&lt;&gt;"",_xlpm.CSVVal
)),"")</f>
        <v/>
      </c>
      <c r="I105" s="2" t="str">
        <f>_xlfn.XLOOKUP(A105,Output_Mac!A:A,Output_Mac!I:I,"")</f>
        <v/>
      </c>
      <c r="J105" s="2" t="str" cm="1">
        <f t="array" ref="J105">IFERROR(_xlfn.LET(
_xlpm.CSVVal,_xlfn.XLOOKUP($A105,CSV!$A:$A,CSV!I:I,""),
_xlpm.MacVal,_xlfn.XLOOKUP($A105,Output_Mac!$A:$A,Output_Mac!J:J,""),
_xlpm.MyAuditVal,_xlfn.XLOOKUP($A105,My_Audit!$A:$A,My_Audit!I:I,""),
_xlfn.IFS(_xlpm.MyAuditVal&lt;&gt;"",UPPER(_xlpm.MyAuditVal),_xlpm.MacVal&lt;&gt;"",_xlpm.MacVal,_xlpm.CSVVal&lt;&gt;"",_xlpm.CSVVal
)),"")</f>
        <v/>
      </c>
      <c r="K105" s="2" t="str" cm="1">
        <f t="array" ref="K105">IFERROR(_xlfn.LET(
_xlpm.CSVVal,_xlfn.XLOOKUP($A105,CSV!$A:$A,CSV!K:K,""),
_xlpm.MacVal,_xlfn.XLOOKUP($A105,Output_Mac!$A:$A,Output_Mac!K:K,""),
_xlpm.MyAuditVal,_xlfn.XLOOKUP($A105,My_Audit!$A:$A,My_Audit!J:J,""),
_xlfn.IFS(_xlpm.MyAuditVal&lt;&gt;"",UPPER(_xlpm.MyAuditVal),_xlpm.MacVal&lt;&gt;"",_xlpm.MacVal,_xlpm.CSVVal&lt;&gt;"",_xlpm.CSVVal
)),"")</f>
        <v/>
      </c>
      <c r="L105" s="2" t="str" cm="1">
        <f t="array" ref="L105">IFERROR(_xlfn.LET(
_xlpm.CSVVal,_xlfn.XLOOKUP($A105,CSV!$A:$A,CSV!P:P,""),
_xlpm.MacVal,_xlfn.XLOOKUP($A105,Output_Mac!$A:$A,Output_Mac!L:L,""),
_xlpm.MyAuditVal,_xlfn.XLOOKUP($A105,My_Audit!$A:$A,My_Audit!K:K,""),
_xlfn.IFS(_xlpm.MyAuditVal&lt;&gt;"",UPPER(_xlpm.MyAuditVal),_xlpm.MacVal&lt;&gt;"",_xlpm.MacVal,_xlpm.CSVVal&lt;&gt;"",_xlpm.CSVVal
)),"")</f>
        <v/>
      </c>
      <c r="M105" s="2" t="str" cm="1">
        <f t="array" ref="M105">IFERROR(_xlfn.LET(
_xlpm.CSVVal,_xlfn.XLOOKUP($A105,CSV!$A:$A,CSV!Q:Q,""),
_xlpm.MacVal,_xlfn.XLOOKUP($A105,Output_Mac!$A:$A,Output_Mac!M:M,""),
_xlpm.MyAuditVal,_xlfn.XLOOKUP($A105,My_Audit!$A:$A,My_Audit!L:L,""),
_xlfn.IFS(_xlpm.MyAuditVal&lt;&gt;"",UPPER(_xlpm.MyAuditVal),_xlpm.MacVal&lt;&gt;"",_xlpm.MacVal,_xlpm.CSVVal&lt;&gt;"",_xlpm.CSVVal
)),"")</f>
        <v/>
      </c>
      <c r="O105" s="2" t="str">
        <f>_xlfn.LET(
    _xlpm.CSVVal, _xlfn.XLOOKUP($A105, CSV!$A:$A, CSV!AC:AC, ""),
    _xlpm.MacVal, _xlfn.XLOOKUP($A105, Output_Mac!$A:$A, Output_Mac!S:S, ""),
    _xlpm.MyAuditVal, _xlfn.XLOOKUP($A105, My_Audit!$A:$A, My_Audit!P:P, ""),
    _xlfn.TEXTJOIN(", ", TRUE, _xlpm.MyAuditVal, _xlpm.MacVal, _xlpm.CSVVal)
)</f>
        <v/>
      </c>
      <c r="P105" s="2" t="str" cm="1">
        <f t="array" ref="P105">IFERROR(_xlfn.LET(
_xlpm.CSVVal,_xlfn.XLOOKUP($A105,CSV!$A:$A,CSV!AD:AD,""),
_xlpm.MacVal,_xlfn.XLOOKUP($A105,Output_Mac!$A:$A,Output_Mac!T:T,""),
_xlpm.MyAuditVal,_xlfn.XLOOKUP($A105,My_Audit!$A:$A,My_Audit!Q:Q,""),
_xlfn.IFS(_xlpm.MyAuditVal&lt;&gt;"",UPPER(_xlpm.MyAuditVal),_xlpm.MacVal&lt;&gt;"",_xlpm.MacVal,_xlpm.CSVVal&lt;&gt;"",_xlpm.CSVVal
)),"No")</f>
        <v>No</v>
      </c>
      <c r="Q105" s="2" t="str" cm="1">
        <f t="array" ref="Q105">IFERROR(_xlfn.LET(
_xlpm.CSVVal,_xlfn.XLOOKUP($A105,CSV!$A:$A,CSV!AE:AE,""),
_xlpm.MacVal,_xlfn.XLOOKUP($A105,Output_Mac!$A:$A,Output_Mac!U:U,""),
_xlpm.MyAuditVal,_xlfn.XLOOKUP($A105,My_Audit!$A:$A,My_Audit!R:R,""),
_xlfn.IFS(_xlpm.MyAuditVal&lt;&gt;"",UPPER(_xlpm.MyAuditVal),_xlpm.MacVal&lt;&gt;"",_xlpm.MacVal,_xlpm.CSVVal&lt;&gt;"",_xlpm.CSVVal
)),"")</f>
        <v/>
      </c>
      <c r="X105" t="str">
        <f>_xlfn.LET(
    _xlpm.MacVal, _xlfn.XLOOKUP($A105, Output_Mac!$A:$A, Output_Mac!AB:AB, ""),
    _xlpm.MyAuditVal, _xlfn.XLOOKUP($A105, My_Audit!$A:$A, My_Audit!N:N, ""),
    _xlfn.TEXTJOIN(", ", TRUE, _xlpm.MyAuditVal, _xlpm.MacVal)
)</f>
        <v/>
      </c>
    </row>
    <row r="106" spans="1:24">
      <c r="A106" s="2" t="str">
        <f>_xlfn.TEXTJOIN("",TRUE,Input!$B$2,ROW(My_Audit!A105))</f>
        <v>X105</v>
      </c>
      <c r="B106" s="2" t="str">
        <f>_xlfn.TEXTJOIN("-",TRUE,"ITD",Input!$A$2,A106)</f>
        <v>ITD-SHR-X105</v>
      </c>
      <c r="C106" s="2" t="str" cm="1">
        <f t="array" ref="C106">IFERROR(_xlfn.LET(
_xlpm.CSVVal,_xlfn.XLOOKUP($A106,CSV!$A:$A,CSV!B:B,""),
_xlpm.MacVal,_xlfn.XLOOKUP($A106,Output_Mac!$A:$A,Output_Mac!B:B,""),
_xlpm.MyAuditVal,_xlfn.XLOOKUP($A106,My_Audit!$A:$A,My_Audit!B:B,""),
_xlfn.IFS(_xlpm.MyAuditVal&lt;&gt;"",UPPER(_xlpm.MyAuditVal),_xlpm.MacVal&lt;&gt;"",_xlpm.MacVal,_xlpm.CSVVal&lt;&gt;"",_xlpm.CSVVal
)),"")</f>
        <v/>
      </c>
      <c r="D106" s="2" t="str" cm="1">
        <f t="array" ref="D106">IFERROR(_xlfn.LET(
_xlpm.CSVVal,_xlfn.XLOOKUP($A106,CSV!$A:$A,CSV!D:D,""),
_xlpm.MacVal,_xlfn.XLOOKUP($A106,Output_Mac!$A:$A,Output_Mac!C:C,""),
_xlpm.MyAuditVal,_xlfn.XLOOKUP($A106,My_Audit!$A:$A,My_Audit!C:C,""),
_xlfn.IFS(_xlpm.MyAuditVal&lt;&gt;"",_xlpm.MyAuditVal,_xlpm.MacVal&lt;&gt;"",_xlpm.MacVal,_xlpm.CSVVal&lt;&gt;"",_xlpm.CSVVal
)),"")</f>
        <v/>
      </c>
      <c r="E106" s="2" t="str">
        <f>_xlfn.XLOOKUP(A106,My_Audit!A:A,My_Audit!D:D,"")&amp;""</f>
        <v/>
      </c>
      <c r="F106" s="2" t="str" cm="1">
        <f t="array" ref="F106">IFERROR(_xlfn.LET(
_xlpm.CSVVal,_xlfn.XLOOKUP($A106,CSV!$A:$A,CSV!F:F,""),
_xlpm.MacVal,_xlfn.XLOOKUP($A106,Output_Mac!$A:$A,Output_Mac!E:E,""),
_xlpm.MyAuditVal,_xlfn.XLOOKUP($A106,My_Audit!$A:$A,My_Audit!E:E,""),
_xlfn.IFS(_xlpm.MyAuditVal&lt;&gt;"",_xlpm.MyAuditVal,_xlpm.MacVal&lt;&gt;"",_xlpm.MacVal,_xlpm.CSVVal&lt;&gt;"",_xlpm.CSVVal
)),"")</f>
        <v/>
      </c>
      <c r="G106" s="2" t="str" cm="1">
        <f t="array" ref="G106">IFERROR(_xlfn.LET(
_xlpm.CSVVal,_xlfn.XLOOKUP($A106,CSV!$A:$A,CSV!G:G,""),
_xlpm.MacVal,_xlfn.XLOOKUP($A106,Output_Mac!$A:$A,Output_Mac!F:F,""),
_xlpm.MyAuditVal,_xlfn.XLOOKUP($A106,My_Audit!$A:$A,My_Audit!F:F,""),
_xlfn.IFS(_xlpm.MyAuditVal&lt;&gt;"",_xlpm.MyAuditVal,_xlpm.MacVal&lt;&gt;"",_xlpm.MacVal,_xlpm.CSVVal&lt;&gt;"",PROPER(_xlpm.CSVVal)
)),"")</f>
        <v/>
      </c>
      <c r="H106" s="2" t="str" cm="1">
        <f t="array" ref="H106">IFERROR(_xlfn.LET(
_xlpm.CSVVal,_xlfn.XLOOKUP($A106,CSV!$A:$A,CSV!H:H,""),
_xlpm.MacVal,_xlfn.XLOOKUP($A106,Output_Mac!$A:$A,Output_Mac!H:H,""),
_xlpm.MyAuditVal,_xlfn.XLOOKUP($A106,My_Audit!$A:$A,My_Audit!G:G,""),
_xlfn.IFS(_xlpm.MyAuditVal&lt;&gt;"",_xlpm.MyAuditVal,_xlpm.MacVal&lt;&gt;"",_xlpm.MacVal,_xlpm.CSVVal&lt;&gt;"",_xlpm.CSVVal
)),"")</f>
        <v/>
      </c>
      <c r="I106" s="2" t="str">
        <f>_xlfn.XLOOKUP(A106,Output_Mac!A:A,Output_Mac!I:I,"")</f>
        <v/>
      </c>
      <c r="J106" s="2" t="str" cm="1">
        <f t="array" ref="J106">IFERROR(_xlfn.LET(
_xlpm.CSVVal,_xlfn.XLOOKUP($A106,CSV!$A:$A,CSV!I:I,""),
_xlpm.MacVal,_xlfn.XLOOKUP($A106,Output_Mac!$A:$A,Output_Mac!J:J,""),
_xlpm.MyAuditVal,_xlfn.XLOOKUP($A106,My_Audit!$A:$A,My_Audit!I:I,""),
_xlfn.IFS(_xlpm.MyAuditVal&lt;&gt;"",UPPER(_xlpm.MyAuditVal),_xlpm.MacVal&lt;&gt;"",_xlpm.MacVal,_xlpm.CSVVal&lt;&gt;"",_xlpm.CSVVal
)),"")</f>
        <v/>
      </c>
      <c r="K106" s="2" t="str" cm="1">
        <f t="array" ref="K106">IFERROR(_xlfn.LET(
_xlpm.CSVVal,_xlfn.XLOOKUP($A106,CSV!$A:$A,CSV!K:K,""),
_xlpm.MacVal,_xlfn.XLOOKUP($A106,Output_Mac!$A:$A,Output_Mac!K:K,""),
_xlpm.MyAuditVal,_xlfn.XLOOKUP($A106,My_Audit!$A:$A,My_Audit!J:J,""),
_xlfn.IFS(_xlpm.MyAuditVal&lt;&gt;"",UPPER(_xlpm.MyAuditVal),_xlpm.MacVal&lt;&gt;"",_xlpm.MacVal,_xlpm.CSVVal&lt;&gt;"",_xlpm.CSVVal
)),"")</f>
        <v/>
      </c>
      <c r="L106" s="2" t="str" cm="1">
        <f t="array" ref="L106">IFERROR(_xlfn.LET(
_xlpm.CSVVal,_xlfn.XLOOKUP($A106,CSV!$A:$A,CSV!P:P,""),
_xlpm.MacVal,_xlfn.XLOOKUP($A106,Output_Mac!$A:$A,Output_Mac!L:L,""),
_xlpm.MyAuditVal,_xlfn.XLOOKUP($A106,My_Audit!$A:$A,My_Audit!K:K,""),
_xlfn.IFS(_xlpm.MyAuditVal&lt;&gt;"",UPPER(_xlpm.MyAuditVal),_xlpm.MacVal&lt;&gt;"",_xlpm.MacVal,_xlpm.CSVVal&lt;&gt;"",_xlpm.CSVVal
)),"")</f>
        <v/>
      </c>
      <c r="M106" s="2" t="str" cm="1">
        <f t="array" ref="M106">IFERROR(_xlfn.LET(
_xlpm.CSVVal,_xlfn.XLOOKUP($A106,CSV!$A:$A,CSV!Q:Q,""),
_xlpm.MacVal,_xlfn.XLOOKUP($A106,Output_Mac!$A:$A,Output_Mac!M:M,""),
_xlpm.MyAuditVal,_xlfn.XLOOKUP($A106,My_Audit!$A:$A,My_Audit!L:L,""),
_xlfn.IFS(_xlpm.MyAuditVal&lt;&gt;"",UPPER(_xlpm.MyAuditVal),_xlpm.MacVal&lt;&gt;"",_xlpm.MacVal,_xlpm.CSVVal&lt;&gt;"",_xlpm.CSVVal
)),"")</f>
        <v/>
      </c>
      <c r="O106" s="2" t="str">
        <f>_xlfn.LET(
    _xlpm.CSVVal, _xlfn.XLOOKUP($A106, CSV!$A:$A, CSV!AC:AC, ""),
    _xlpm.MacVal, _xlfn.XLOOKUP($A106, Output_Mac!$A:$A, Output_Mac!S:S, ""),
    _xlpm.MyAuditVal, _xlfn.XLOOKUP($A106, My_Audit!$A:$A, My_Audit!P:P, ""),
    _xlfn.TEXTJOIN(", ", TRUE, _xlpm.MyAuditVal, _xlpm.MacVal, _xlpm.CSVVal)
)</f>
        <v/>
      </c>
      <c r="P106" s="2" t="str" cm="1">
        <f t="array" ref="P106">IFERROR(_xlfn.LET(
_xlpm.CSVVal,_xlfn.XLOOKUP($A106,CSV!$A:$A,CSV!AD:AD,""),
_xlpm.MacVal,_xlfn.XLOOKUP($A106,Output_Mac!$A:$A,Output_Mac!T:T,""),
_xlpm.MyAuditVal,_xlfn.XLOOKUP($A106,My_Audit!$A:$A,My_Audit!Q:Q,""),
_xlfn.IFS(_xlpm.MyAuditVal&lt;&gt;"",UPPER(_xlpm.MyAuditVal),_xlpm.MacVal&lt;&gt;"",_xlpm.MacVal,_xlpm.CSVVal&lt;&gt;"",_xlpm.CSVVal
)),"No")</f>
        <v>No</v>
      </c>
      <c r="Q106" s="2" t="str" cm="1">
        <f t="array" ref="Q106">IFERROR(_xlfn.LET(
_xlpm.CSVVal,_xlfn.XLOOKUP($A106,CSV!$A:$A,CSV!AE:AE,""),
_xlpm.MacVal,_xlfn.XLOOKUP($A106,Output_Mac!$A:$A,Output_Mac!U:U,""),
_xlpm.MyAuditVal,_xlfn.XLOOKUP($A106,My_Audit!$A:$A,My_Audit!R:R,""),
_xlfn.IFS(_xlpm.MyAuditVal&lt;&gt;"",UPPER(_xlpm.MyAuditVal),_xlpm.MacVal&lt;&gt;"",_xlpm.MacVal,_xlpm.CSVVal&lt;&gt;"",_xlpm.CSVVal
)),"")</f>
        <v/>
      </c>
      <c r="X106" t="str">
        <f>_xlfn.LET(
    _xlpm.MacVal, _xlfn.XLOOKUP($A106, Output_Mac!$A:$A, Output_Mac!AB:AB, ""),
    _xlpm.MyAuditVal, _xlfn.XLOOKUP($A106, My_Audit!$A:$A, My_Audit!N:N, ""),
    _xlfn.TEXTJOIN(", ", TRUE, _xlpm.MyAuditVal, _xlpm.MacVal)
)</f>
        <v/>
      </c>
    </row>
    <row r="107" spans="1:24">
      <c r="A107" s="2" t="str">
        <f>_xlfn.TEXTJOIN("",TRUE,Input!$B$2,ROW(My_Audit!A106))</f>
        <v>X106</v>
      </c>
      <c r="B107" s="2" t="str">
        <f>_xlfn.TEXTJOIN("-",TRUE,"ITD",Input!$A$2,A107)</f>
        <v>ITD-SHR-X106</v>
      </c>
      <c r="C107" s="2" t="str" cm="1">
        <f t="array" ref="C107">IFERROR(_xlfn.LET(
_xlpm.CSVVal,_xlfn.XLOOKUP($A107,CSV!$A:$A,CSV!B:B,""),
_xlpm.MacVal,_xlfn.XLOOKUP($A107,Output_Mac!$A:$A,Output_Mac!B:B,""),
_xlpm.MyAuditVal,_xlfn.XLOOKUP($A107,My_Audit!$A:$A,My_Audit!B:B,""),
_xlfn.IFS(_xlpm.MyAuditVal&lt;&gt;"",UPPER(_xlpm.MyAuditVal),_xlpm.MacVal&lt;&gt;"",_xlpm.MacVal,_xlpm.CSVVal&lt;&gt;"",_xlpm.CSVVal
)),"")</f>
        <v/>
      </c>
      <c r="D107" s="2" t="str" cm="1">
        <f t="array" ref="D107">IFERROR(_xlfn.LET(
_xlpm.CSVVal,_xlfn.XLOOKUP($A107,CSV!$A:$A,CSV!D:D,""),
_xlpm.MacVal,_xlfn.XLOOKUP($A107,Output_Mac!$A:$A,Output_Mac!C:C,""),
_xlpm.MyAuditVal,_xlfn.XLOOKUP($A107,My_Audit!$A:$A,My_Audit!C:C,""),
_xlfn.IFS(_xlpm.MyAuditVal&lt;&gt;"",_xlpm.MyAuditVal,_xlpm.MacVal&lt;&gt;"",_xlpm.MacVal,_xlpm.CSVVal&lt;&gt;"",_xlpm.CSVVal
)),"")</f>
        <v/>
      </c>
      <c r="E107" s="2" t="str">
        <f>_xlfn.XLOOKUP(A107,My_Audit!A:A,My_Audit!D:D,"")&amp;""</f>
        <v/>
      </c>
      <c r="F107" s="2" t="str" cm="1">
        <f t="array" ref="F107">IFERROR(_xlfn.LET(
_xlpm.CSVVal,_xlfn.XLOOKUP($A107,CSV!$A:$A,CSV!F:F,""),
_xlpm.MacVal,_xlfn.XLOOKUP($A107,Output_Mac!$A:$A,Output_Mac!E:E,""),
_xlpm.MyAuditVal,_xlfn.XLOOKUP($A107,My_Audit!$A:$A,My_Audit!E:E,""),
_xlfn.IFS(_xlpm.MyAuditVal&lt;&gt;"",_xlpm.MyAuditVal,_xlpm.MacVal&lt;&gt;"",_xlpm.MacVal,_xlpm.CSVVal&lt;&gt;"",_xlpm.CSVVal
)),"")</f>
        <v/>
      </c>
      <c r="G107" s="2" t="str" cm="1">
        <f t="array" ref="G107">IFERROR(_xlfn.LET(
_xlpm.CSVVal,_xlfn.XLOOKUP($A107,CSV!$A:$A,CSV!G:G,""),
_xlpm.MacVal,_xlfn.XLOOKUP($A107,Output_Mac!$A:$A,Output_Mac!F:F,""),
_xlpm.MyAuditVal,_xlfn.XLOOKUP($A107,My_Audit!$A:$A,My_Audit!F:F,""),
_xlfn.IFS(_xlpm.MyAuditVal&lt;&gt;"",_xlpm.MyAuditVal,_xlpm.MacVal&lt;&gt;"",_xlpm.MacVal,_xlpm.CSVVal&lt;&gt;"",PROPER(_xlpm.CSVVal)
)),"")</f>
        <v/>
      </c>
      <c r="H107" s="2" t="str" cm="1">
        <f t="array" ref="H107">IFERROR(_xlfn.LET(
_xlpm.CSVVal,_xlfn.XLOOKUP($A107,CSV!$A:$A,CSV!H:H,""),
_xlpm.MacVal,_xlfn.XLOOKUP($A107,Output_Mac!$A:$A,Output_Mac!H:H,""),
_xlpm.MyAuditVal,_xlfn.XLOOKUP($A107,My_Audit!$A:$A,My_Audit!G:G,""),
_xlfn.IFS(_xlpm.MyAuditVal&lt;&gt;"",_xlpm.MyAuditVal,_xlpm.MacVal&lt;&gt;"",_xlpm.MacVal,_xlpm.CSVVal&lt;&gt;"",_xlpm.CSVVal
)),"")</f>
        <v/>
      </c>
      <c r="I107" s="2" t="str">
        <f>_xlfn.XLOOKUP(A107,Output_Mac!A:A,Output_Mac!I:I,"")</f>
        <v/>
      </c>
      <c r="J107" s="2" t="str" cm="1">
        <f t="array" ref="J107">IFERROR(_xlfn.LET(
_xlpm.CSVVal,_xlfn.XLOOKUP($A107,CSV!$A:$A,CSV!I:I,""),
_xlpm.MacVal,_xlfn.XLOOKUP($A107,Output_Mac!$A:$A,Output_Mac!J:J,""),
_xlpm.MyAuditVal,_xlfn.XLOOKUP($A107,My_Audit!$A:$A,My_Audit!I:I,""),
_xlfn.IFS(_xlpm.MyAuditVal&lt;&gt;"",UPPER(_xlpm.MyAuditVal),_xlpm.MacVal&lt;&gt;"",_xlpm.MacVal,_xlpm.CSVVal&lt;&gt;"",_xlpm.CSVVal
)),"")</f>
        <v/>
      </c>
      <c r="K107" s="2" t="str" cm="1">
        <f t="array" ref="K107">IFERROR(_xlfn.LET(
_xlpm.CSVVal,_xlfn.XLOOKUP($A107,CSV!$A:$A,CSV!K:K,""),
_xlpm.MacVal,_xlfn.XLOOKUP($A107,Output_Mac!$A:$A,Output_Mac!K:K,""),
_xlpm.MyAuditVal,_xlfn.XLOOKUP($A107,My_Audit!$A:$A,My_Audit!J:J,""),
_xlfn.IFS(_xlpm.MyAuditVal&lt;&gt;"",UPPER(_xlpm.MyAuditVal),_xlpm.MacVal&lt;&gt;"",_xlpm.MacVal,_xlpm.CSVVal&lt;&gt;"",_xlpm.CSVVal
)),"")</f>
        <v/>
      </c>
      <c r="L107" s="2" t="str" cm="1">
        <f t="array" ref="L107">IFERROR(_xlfn.LET(
_xlpm.CSVVal,_xlfn.XLOOKUP($A107,CSV!$A:$A,CSV!P:P,""),
_xlpm.MacVal,_xlfn.XLOOKUP($A107,Output_Mac!$A:$A,Output_Mac!L:L,""),
_xlpm.MyAuditVal,_xlfn.XLOOKUP($A107,My_Audit!$A:$A,My_Audit!K:K,""),
_xlfn.IFS(_xlpm.MyAuditVal&lt;&gt;"",UPPER(_xlpm.MyAuditVal),_xlpm.MacVal&lt;&gt;"",_xlpm.MacVal,_xlpm.CSVVal&lt;&gt;"",_xlpm.CSVVal
)),"")</f>
        <v/>
      </c>
      <c r="M107" s="2" t="str" cm="1">
        <f t="array" ref="M107">IFERROR(_xlfn.LET(
_xlpm.CSVVal,_xlfn.XLOOKUP($A107,CSV!$A:$A,CSV!Q:Q,""),
_xlpm.MacVal,_xlfn.XLOOKUP($A107,Output_Mac!$A:$A,Output_Mac!M:M,""),
_xlpm.MyAuditVal,_xlfn.XLOOKUP($A107,My_Audit!$A:$A,My_Audit!L:L,""),
_xlfn.IFS(_xlpm.MyAuditVal&lt;&gt;"",UPPER(_xlpm.MyAuditVal),_xlpm.MacVal&lt;&gt;"",_xlpm.MacVal,_xlpm.CSVVal&lt;&gt;"",_xlpm.CSVVal
)),"")</f>
        <v/>
      </c>
      <c r="O107" s="2" t="str">
        <f>_xlfn.LET(
    _xlpm.CSVVal, _xlfn.XLOOKUP($A107, CSV!$A:$A, CSV!AC:AC, ""),
    _xlpm.MacVal, _xlfn.XLOOKUP($A107, Output_Mac!$A:$A, Output_Mac!S:S, ""),
    _xlpm.MyAuditVal, _xlfn.XLOOKUP($A107, My_Audit!$A:$A, My_Audit!P:P, ""),
    _xlfn.TEXTJOIN(", ", TRUE, _xlpm.MyAuditVal, _xlpm.MacVal, _xlpm.CSVVal)
)</f>
        <v/>
      </c>
      <c r="P107" s="2" t="str" cm="1">
        <f t="array" ref="P107">IFERROR(_xlfn.LET(
_xlpm.CSVVal,_xlfn.XLOOKUP($A107,CSV!$A:$A,CSV!AD:AD,""),
_xlpm.MacVal,_xlfn.XLOOKUP($A107,Output_Mac!$A:$A,Output_Mac!T:T,""),
_xlpm.MyAuditVal,_xlfn.XLOOKUP($A107,My_Audit!$A:$A,My_Audit!Q:Q,""),
_xlfn.IFS(_xlpm.MyAuditVal&lt;&gt;"",UPPER(_xlpm.MyAuditVal),_xlpm.MacVal&lt;&gt;"",_xlpm.MacVal,_xlpm.CSVVal&lt;&gt;"",_xlpm.CSVVal
)),"No")</f>
        <v>No</v>
      </c>
      <c r="Q107" s="2" t="str" cm="1">
        <f t="array" ref="Q107">IFERROR(_xlfn.LET(
_xlpm.CSVVal,_xlfn.XLOOKUP($A107,CSV!$A:$A,CSV!AE:AE,""),
_xlpm.MacVal,_xlfn.XLOOKUP($A107,Output_Mac!$A:$A,Output_Mac!U:U,""),
_xlpm.MyAuditVal,_xlfn.XLOOKUP($A107,My_Audit!$A:$A,My_Audit!R:R,""),
_xlfn.IFS(_xlpm.MyAuditVal&lt;&gt;"",UPPER(_xlpm.MyAuditVal),_xlpm.MacVal&lt;&gt;"",_xlpm.MacVal,_xlpm.CSVVal&lt;&gt;"",_xlpm.CSVVal
)),"")</f>
        <v/>
      </c>
      <c r="X107" t="str">
        <f>_xlfn.LET(
    _xlpm.MacVal, _xlfn.XLOOKUP($A107, Output_Mac!$A:$A, Output_Mac!AB:AB, ""),
    _xlpm.MyAuditVal, _xlfn.XLOOKUP($A107, My_Audit!$A:$A, My_Audit!N:N, ""),
    _xlfn.TEXTJOIN(", ", TRUE, _xlpm.MyAuditVal, _xlpm.MacVal)
)</f>
        <v/>
      </c>
    </row>
    <row r="108" spans="1:24">
      <c r="A108" s="2" t="str">
        <f>_xlfn.TEXTJOIN("",TRUE,Input!$B$2,ROW(My_Audit!A107))</f>
        <v>X107</v>
      </c>
      <c r="B108" s="2" t="str">
        <f>_xlfn.TEXTJOIN("-",TRUE,"ITD",Input!$A$2,A108)</f>
        <v>ITD-SHR-X107</v>
      </c>
      <c r="C108" s="2" t="str" cm="1">
        <f t="array" ref="C108">IFERROR(_xlfn.LET(
_xlpm.CSVVal,_xlfn.XLOOKUP($A108,CSV!$A:$A,CSV!B:B,""),
_xlpm.MacVal,_xlfn.XLOOKUP($A108,Output_Mac!$A:$A,Output_Mac!B:B,""),
_xlpm.MyAuditVal,_xlfn.XLOOKUP($A108,My_Audit!$A:$A,My_Audit!B:B,""),
_xlfn.IFS(_xlpm.MyAuditVal&lt;&gt;"",UPPER(_xlpm.MyAuditVal),_xlpm.MacVal&lt;&gt;"",_xlpm.MacVal,_xlpm.CSVVal&lt;&gt;"",_xlpm.CSVVal
)),"")</f>
        <v/>
      </c>
      <c r="D108" s="2" t="str" cm="1">
        <f t="array" ref="D108">IFERROR(_xlfn.LET(
_xlpm.CSVVal,_xlfn.XLOOKUP($A108,CSV!$A:$A,CSV!D:D,""),
_xlpm.MacVal,_xlfn.XLOOKUP($A108,Output_Mac!$A:$A,Output_Mac!C:C,""),
_xlpm.MyAuditVal,_xlfn.XLOOKUP($A108,My_Audit!$A:$A,My_Audit!C:C,""),
_xlfn.IFS(_xlpm.MyAuditVal&lt;&gt;"",_xlpm.MyAuditVal,_xlpm.MacVal&lt;&gt;"",_xlpm.MacVal,_xlpm.CSVVal&lt;&gt;"",_xlpm.CSVVal
)),"")</f>
        <v/>
      </c>
      <c r="E108" s="2" t="str">
        <f>_xlfn.XLOOKUP(A108,My_Audit!A:A,My_Audit!D:D,"")&amp;""</f>
        <v/>
      </c>
      <c r="F108" s="2" t="str" cm="1">
        <f t="array" ref="F108">IFERROR(_xlfn.LET(
_xlpm.CSVVal,_xlfn.XLOOKUP($A108,CSV!$A:$A,CSV!F:F,""),
_xlpm.MacVal,_xlfn.XLOOKUP($A108,Output_Mac!$A:$A,Output_Mac!E:E,""),
_xlpm.MyAuditVal,_xlfn.XLOOKUP($A108,My_Audit!$A:$A,My_Audit!E:E,""),
_xlfn.IFS(_xlpm.MyAuditVal&lt;&gt;"",_xlpm.MyAuditVal,_xlpm.MacVal&lt;&gt;"",_xlpm.MacVal,_xlpm.CSVVal&lt;&gt;"",_xlpm.CSVVal
)),"")</f>
        <v/>
      </c>
      <c r="G108" s="2" t="str" cm="1">
        <f t="array" ref="G108">IFERROR(_xlfn.LET(
_xlpm.CSVVal,_xlfn.XLOOKUP($A108,CSV!$A:$A,CSV!G:G,""),
_xlpm.MacVal,_xlfn.XLOOKUP($A108,Output_Mac!$A:$A,Output_Mac!F:F,""),
_xlpm.MyAuditVal,_xlfn.XLOOKUP($A108,My_Audit!$A:$A,My_Audit!F:F,""),
_xlfn.IFS(_xlpm.MyAuditVal&lt;&gt;"",_xlpm.MyAuditVal,_xlpm.MacVal&lt;&gt;"",_xlpm.MacVal,_xlpm.CSVVal&lt;&gt;"",PROPER(_xlpm.CSVVal)
)),"")</f>
        <v/>
      </c>
      <c r="H108" s="2" t="str" cm="1">
        <f t="array" ref="H108">IFERROR(_xlfn.LET(
_xlpm.CSVVal,_xlfn.XLOOKUP($A108,CSV!$A:$A,CSV!H:H,""),
_xlpm.MacVal,_xlfn.XLOOKUP($A108,Output_Mac!$A:$A,Output_Mac!H:H,""),
_xlpm.MyAuditVal,_xlfn.XLOOKUP($A108,My_Audit!$A:$A,My_Audit!G:G,""),
_xlfn.IFS(_xlpm.MyAuditVal&lt;&gt;"",_xlpm.MyAuditVal,_xlpm.MacVal&lt;&gt;"",_xlpm.MacVal,_xlpm.CSVVal&lt;&gt;"",_xlpm.CSVVal
)),"")</f>
        <v/>
      </c>
      <c r="I108" s="2" t="str">
        <f>_xlfn.XLOOKUP(A108,Output_Mac!A:A,Output_Mac!I:I,"")</f>
        <v/>
      </c>
      <c r="J108" s="2" t="str" cm="1">
        <f t="array" ref="J108">IFERROR(_xlfn.LET(
_xlpm.CSVVal,_xlfn.XLOOKUP($A108,CSV!$A:$A,CSV!I:I,""),
_xlpm.MacVal,_xlfn.XLOOKUP($A108,Output_Mac!$A:$A,Output_Mac!J:J,""),
_xlpm.MyAuditVal,_xlfn.XLOOKUP($A108,My_Audit!$A:$A,My_Audit!I:I,""),
_xlfn.IFS(_xlpm.MyAuditVal&lt;&gt;"",UPPER(_xlpm.MyAuditVal),_xlpm.MacVal&lt;&gt;"",_xlpm.MacVal,_xlpm.CSVVal&lt;&gt;"",_xlpm.CSVVal
)),"")</f>
        <v/>
      </c>
      <c r="K108" s="2" t="str" cm="1">
        <f t="array" ref="K108">IFERROR(_xlfn.LET(
_xlpm.CSVVal,_xlfn.XLOOKUP($A108,CSV!$A:$A,CSV!K:K,""),
_xlpm.MacVal,_xlfn.XLOOKUP($A108,Output_Mac!$A:$A,Output_Mac!K:K,""),
_xlpm.MyAuditVal,_xlfn.XLOOKUP($A108,My_Audit!$A:$A,My_Audit!J:J,""),
_xlfn.IFS(_xlpm.MyAuditVal&lt;&gt;"",UPPER(_xlpm.MyAuditVal),_xlpm.MacVal&lt;&gt;"",_xlpm.MacVal,_xlpm.CSVVal&lt;&gt;"",_xlpm.CSVVal
)),"")</f>
        <v/>
      </c>
      <c r="L108" s="2" t="str" cm="1">
        <f t="array" ref="L108">IFERROR(_xlfn.LET(
_xlpm.CSVVal,_xlfn.XLOOKUP($A108,CSV!$A:$A,CSV!P:P,""),
_xlpm.MacVal,_xlfn.XLOOKUP($A108,Output_Mac!$A:$A,Output_Mac!L:L,""),
_xlpm.MyAuditVal,_xlfn.XLOOKUP($A108,My_Audit!$A:$A,My_Audit!K:K,""),
_xlfn.IFS(_xlpm.MyAuditVal&lt;&gt;"",UPPER(_xlpm.MyAuditVal),_xlpm.MacVal&lt;&gt;"",_xlpm.MacVal,_xlpm.CSVVal&lt;&gt;"",_xlpm.CSVVal
)),"")</f>
        <v/>
      </c>
      <c r="M108" s="2" t="str" cm="1">
        <f t="array" ref="M108">IFERROR(_xlfn.LET(
_xlpm.CSVVal,_xlfn.XLOOKUP($A108,CSV!$A:$A,CSV!Q:Q,""),
_xlpm.MacVal,_xlfn.XLOOKUP($A108,Output_Mac!$A:$A,Output_Mac!M:M,""),
_xlpm.MyAuditVal,_xlfn.XLOOKUP($A108,My_Audit!$A:$A,My_Audit!L:L,""),
_xlfn.IFS(_xlpm.MyAuditVal&lt;&gt;"",UPPER(_xlpm.MyAuditVal),_xlpm.MacVal&lt;&gt;"",_xlpm.MacVal,_xlpm.CSVVal&lt;&gt;"",_xlpm.CSVVal
)),"")</f>
        <v/>
      </c>
      <c r="O108" s="2" t="str">
        <f>_xlfn.LET(
    _xlpm.CSVVal, _xlfn.XLOOKUP($A108, CSV!$A:$A, CSV!AC:AC, ""),
    _xlpm.MacVal, _xlfn.XLOOKUP($A108, Output_Mac!$A:$A, Output_Mac!S:S, ""),
    _xlpm.MyAuditVal, _xlfn.XLOOKUP($A108, My_Audit!$A:$A, My_Audit!P:P, ""),
    _xlfn.TEXTJOIN(", ", TRUE, _xlpm.MyAuditVal, _xlpm.MacVal, _xlpm.CSVVal)
)</f>
        <v/>
      </c>
      <c r="P108" s="2" t="str" cm="1">
        <f t="array" ref="P108">IFERROR(_xlfn.LET(
_xlpm.CSVVal,_xlfn.XLOOKUP($A108,CSV!$A:$A,CSV!AD:AD,""),
_xlpm.MacVal,_xlfn.XLOOKUP($A108,Output_Mac!$A:$A,Output_Mac!T:T,""),
_xlpm.MyAuditVal,_xlfn.XLOOKUP($A108,My_Audit!$A:$A,My_Audit!Q:Q,""),
_xlfn.IFS(_xlpm.MyAuditVal&lt;&gt;"",UPPER(_xlpm.MyAuditVal),_xlpm.MacVal&lt;&gt;"",_xlpm.MacVal,_xlpm.CSVVal&lt;&gt;"",_xlpm.CSVVal
)),"No")</f>
        <v>No</v>
      </c>
      <c r="Q108" s="2" t="str" cm="1">
        <f t="array" ref="Q108">IFERROR(_xlfn.LET(
_xlpm.CSVVal,_xlfn.XLOOKUP($A108,CSV!$A:$A,CSV!AE:AE,""),
_xlpm.MacVal,_xlfn.XLOOKUP($A108,Output_Mac!$A:$A,Output_Mac!U:U,""),
_xlpm.MyAuditVal,_xlfn.XLOOKUP($A108,My_Audit!$A:$A,My_Audit!R:R,""),
_xlfn.IFS(_xlpm.MyAuditVal&lt;&gt;"",UPPER(_xlpm.MyAuditVal),_xlpm.MacVal&lt;&gt;"",_xlpm.MacVal,_xlpm.CSVVal&lt;&gt;"",_xlpm.CSVVal
)),"")</f>
        <v/>
      </c>
      <c r="X108" t="str">
        <f>_xlfn.LET(
    _xlpm.MacVal, _xlfn.XLOOKUP($A108, Output_Mac!$A:$A, Output_Mac!AB:AB, ""),
    _xlpm.MyAuditVal, _xlfn.XLOOKUP($A108, My_Audit!$A:$A, My_Audit!N:N, ""),
    _xlfn.TEXTJOIN(", ", TRUE, _xlpm.MyAuditVal, _xlpm.MacVal)
)</f>
        <v/>
      </c>
    </row>
    <row r="109" spans="1:24">
      <c r="A109" s="2" t="str">
        <f>_xlfn.TEXTJOIN("",TRUE,Input!$B$2,ROW(My_Audit!A108))</f>
        <v>X108</v>
      </c>
      <c r="B109" s="2" t="str">
        <f>_xlfn.TEXTJOIN("-",TRUE,"ITD",Input!$A$2,A109)</f>
        <v>ITD-SHR-X108</v>
      </c>
      <c r="C109" s="2" t="str" cm="1">
        <f t="array" ref="C109">IFERROR(_xlfn.LET(
_xlpm.CSVVal,_xlfn.XLOOKUP($A109,CSV!$A:$A,CSV!B:B,""),
_xlpm.MacVal,_xlfn.XLOOKUP($A109,Output_Mac!$A:$A,Output_Mac!B:B,""),
_xlpm.MyAuditVal,_xlfn.XLOOKUP($A109,My_Audit!$A:$A,My_Audit!B:B,""),
_xlfn.IFS(_xlpm.MyAuditVal&lt;&gt;"",UPPER(_xlpm.MyAuditVal),_xlpm.MacVal&lt;&gt;"",_xlpm.MacVal,_xlpm.CSVVal&lt;&gt;"",_xlpm.CSVVal
)),"")</f>
        <v/>
      </c>
      <c r="D109" s="2" t="str" cm="1">
        <f t="array" ref="D109">IFERROR(_xlfn.LET(
_xlpm.CSVVal,_xlfn.XLOOKUP($A109,CSV!$A:$A,CSV!D:D,""),
_xlpm.MacVal,_xlfn.XLOOKUP($A109,Output_Mac!$A:$A,Output_Mac!C:C,""),
_xlpm.MyAuditVal,_xlfn.XLOOKUP($A109,My_Audit!$A:$A,My_Audit!C:C,""),
_xlfn.IFS(_xlpm.MyAuditVal&lt;&gt;"",_xlpm.MyAuditVal,_xlpm.MacVal&lt;&gt;"",_xlpm.MacVal,_xlpm.CSVVal&lt;&gt;"",_xlpm.CSVVal
)),"")</f>
        <v/>
      </c>
      <c r="E109" s="2" t="str">
        <f>_xlfn.XLOOKUP(A109,My_Audit!A:A,My_Audit!D:D,"")&amp;""</f>
        <v/>
      </c>
      <c r="F109" s="2" t="str" cm="1">
        <f t="array" ref="F109">IFERROR(_xlfn.LET(
_xlpm.CSVVal,_xlfn.XLOOKUP($A109,CSV!$A:$A,CSV!F:F,""),
_xlpm.MacVal,_xlfn.XLOOKUP($A109,Output_Mac!$A:$A,Output_Mac!E:E,""),
_xlpm.MyAuditVal,_xlfn.XLOOKUP($A109,My_Audit!$A:$A,My_Audit!E:E,""),
_xlfn.IFS(_xlpm.MyAuditVal&lt;&gt;"",_xlpm.MyAuditVal,_xlpm.MacVal&lt;&gt;"",_xlpm.MacVal,_xlpm.CSVVal&lt;&gt;"",_xlpm.CSVVal
)),"")</f>
        <v/>
      </c>
      <c r="G109" s="2" t="str" cm="1">
        <f t="array" ref="G109">IFERROR(_xlfn.LET(
_xlpm.CSVVal,_xlfn.XLOOKUP($A109,CSV!$A:$A,CSV!G:G,""),
_xlpm.MacVal,_xlfn.XLOOKUP($A109,Output_Mac!$A:$A,Output_Mac!F:F,""),
_xlpm.MyAuditVal,_xlfn.XLOOKUP($A109,My_Audit!$A:$A,My_Audit!F:F,""),
_xlfn.IFS(_xlpm.MyAuditVal&lt;&gt;"",_xlpm.MyAuditVal,_xlpm.MacVal&lt;&gt;"",_xlpm.MacVal,_xlpm.CSVVal&lt;&gt;"",PROPER(_xlpm.CSVVal)
)),"")</f>
        <v/>
      </c>
      <c r="H109" s="2" t="str" cm="1">
        <f t="array" ref="H109">IFERROR(_xlfn.LET(
_xlpm.CSVVal,_xlfn.XLOOKUP($A109,CSV!$A:$A,CSV!H:H,""),
_xlpm.MacVal,_xlfn.XLOOKUP($A109,Output_Mac!$A:$A,Output_Mac!H:H,""),
_xlpm.MyAuditVal,_xlfn.XLOOKUP($A109,My_Audit!$A:$A,My_Audit!G:G,""),
_xlfn.IFS(_xlpm.MyAuditVal&lt;&gt;"",_xlpm.MyAuditVal,_xlpm.MacVal&lt;&gt;"",_xlpm.MacVal,_xlpm.CSVVal&lt;&gt;"",_xlpm.CSVVal
)),"")</f>
        <v/>
      </c>
      <c r="I109" s="2" t="str">
        <f>_xlfn.XLOOKUP(A109,Output_Mac!A:A,Output_Mac!I:I,"")</f>
        <v/>
      </c>
      <c r="J109" s="2" t="str" cm="1">
        <f t="array" ref="J109">IFERROR(_xlfn.LET(
_xlpm.CSVVal,_xlfn.XLOOKUP($A109,CSV!$A:$A,CSV!I:I,""),
_xlpm.MacVal,_xlfn.XLOOKUP($A109,Output_Mac!$A:$A,Output_Mac!J:J,""),
_xlpm.MyAuditVal,_xlfn.XLOOKUP($A109,My_Audit!$A:$A,My_Audit!I:I,""),
_xlfn.IFS(_xlpm.MyAuditVal&lt;&gt;"",UPPER(_xlpm.MyAuditVal),_xlpm.MacVal&lt;&gt;"",_xlpm.MacVal,_xlpm.CSVVal&lt;&gt;"",_xlpm.CSVVal
)),"")</f>
        <v/>
      </c>
      <c r="K109" s="2" t="str" cm="1">
        <f t="array" ref="K109">IFERROR(_xlfn.LET(
_xlpm.CSVVal,_xlfn.XLOOKUP($A109,CSV!$A:$A,CSV!K:K,""),
_xlpm.MacVal,_xlfn.XLOOKUP($A109,Output_Mac!$A:$A,Output_Mac!K:K,""),
_xlpm.MyAuditVal,_xlfn.XLOOKUP($A109,My_Audit!$A:$A,My_Audit!J:J,""),
_xlfn.IFS(_xlpm.MyAuditVal&lt;&gt;"",UPPER(_xlpm.MyAuditVal),_xlpm.MacVal&lt;&gt;"",_xlpm.MacVal,_xlpm.CSVVal&lt;&gt;"",_xlpm.CSVVal
)),"")</f>
        <v/>
      </c>
      <c r="L109" s="2" t="str" cm="1">
        <f t="array" ref="L109">IFERROR(_xlfn.LET(
_xlpm.CSVVal,_xlfn.XLOOKUP($A109,CSV!$A:$A,CSV!P:P,""),
_xlpm.MacVal,_xlfn.XLOOKUP($A109,Output_Mac!$A:$A,Output_Mac!L:L,""),
_xlpm.MyAuditVal,_xlfn.XLOOKUP($A109,My_Audit!$A:$A,My_Audit!K:K,""),
_xlfn.IFS(_xlpm.MyAuditVal&lt;&gt;"",UPPER(_xlpm.MyAuditVal),_xlpm.MacVal&lt;&gt;"",_xlpm.MacVal,_xlpm.CSVVal&lt;&gt;"",_xlpm.CSVVal
)),"")</f>
        <v/>
      </c>
      <c r="M109" s="2" t="str" cm="1">
        <f t="array" ref="M109">IFERROR(_xlfn.LET(
_xlpm.CSVVal,_xlfn.XLOOKUP($A109,CSV!$A:$A,CSV!Q:Q,""),
_xlpm.MacVal,_xlfn.XLOOKUP($A109,Output_Mac!$A:$A,Output_Mac!M:M,""),
_xlpm.MyAuditVal,_xlfn.XLOOKUP($A109,My_Audit!$A:$A,My_Audit!L:L,""),
_xlfn.IFS(_xlpm.MyAuditVal&lt;&gt;"",UPPER(_xlpm.MyAuditVal),_xlpm.MacVal&lt;&gt;"",_xlpm.MacVal,_xlpm.CSVVal&lt;&gt;"",_xlpm.CSVVal
)),"")</f>
        <v/>
      </c>
      <c r="O109" s="2" t="str">
        <f>_xlfn.LET(
    _xlpm.CSVVal, _xlfn.XLOOKUP($A109, CSV!$A:$A, CSV!AC:AC, ""),
    _xlpm.MacVal, _xlfn.XLOOKUP($A109, Output_Mac!$A:$A, Output_Mac!S:S, ""),
    _xlpm.MyAuditVal, _xlfn.XLOOKUP($A109, My_Audit!$A:$A, My_Audit!P:P, ""),
    _xlfn.TEXTJOIN(", ", TRUE, _xlpm.MyAuditVal, _xlpm.MacVal, _xlpm.CSVVal)
)</f>
        <v/>
      </c>
      <c r="P109" s="2" t="str" cm="1">
        <f t="array" ref="P109">IFERROR(_xlfn.LET(
_xlpm.CSVVal,_xlfn.XLOOKUP($A109,CSV!$A:$A,CSV!AD:AD,""),
_xlpm.MacVal,_xlfn.XLOOKUP($A109,Output_Mac!$A:$A,Output_Mac!T:T,""),
_xlpm.MyAuditVal,_xlfn.XLOOKUP($A109,My_Audit!$A:$A,My_Audit!Q:Q,""),
_xlfn.IFS(_xlpm.MyAuditVal&lt;&gt;"",UPPER(_xlpm.MyAuditVal),_xlpm.MacVal&lt;&gt;"",_xlpm.MacVal,_xlpm.CSVVal&lt;&gt;"",_xlpm.CSVVal
)),"No")</f>
        <v>No</v>
      </c>
      <c r="Q109" s="2" t="str" cm="1">
        <f t="array" ref="Q109">IFERROR(_xlfn.LET(
_xlpm.CSVVal,_xlfn.XLOOKUP($A109,CSV!$A:$A,CSV!AE:AE,""),
_xlpm.MacVal,_xlfn.XLOOKUP($A109,Output_Mac!$A:$A,Output_Mac!U:U,""),
_xlpm.MyAuditVal,_xlfn.XLOOKUP($A109,My_Audit!$A:$A,My_Audit!R:R,""),
_xlfn.IFS(_xlpm.MyAuditVal&lt;&gt;"",UPPER(_xlpm.MyAuditVal),_xlpm.MacVal&lt;&gt;"",_xlpm.MacVal,_xlpm.CSVVal&lt;&gt;"",_xlpm.CSVVal
)),"")</f>
        <v/>
      </c>
      <c r="X109" t="str">
        <f>_xlfn.LET(
    _xlpm.MacVal, _xlfn.XLOOKUP($A109, Output_Mac!$A:$A, Output_Mac!AB:AB, ""),
    _xlpm.MyAuditVal, _xlfn.XLOOKUP($A109, My_Audit!$A:$A, My_Audit!N:N, ""),
    _xlfn.TEXTJOIN(", ", TRUE, _xlpm.MyAuditVal, _xlpm.MacVal)
)</f>
        <v/>
      </c>
    </row>
    <row r="110" spans="1:24">
      <c r="A110" s="2" t="str">
        <f>_xlfn.TEXTJOIN("",TRUE,Input!$B$2,ROW(My_Audit!A109))</f>
        <v>X109</v>
      </c>
      <c r="B110" s="2" t="str">
        <f>_xlfn.TEXTJOIN("-",TRUE,"ITD",Input!$A$2,A110)</f>
        <v>ITD-SHR-X109</v>
      </c>
      <c r="C110" s="2" t="str" cm="1">
        <f t="array" ref="C110">IFERROR(_xlfn.LET(
_xlpm.CSVVal,_xlfn.XLOOKUP($A110,CSV!$A:$A,CSV!B:B,""),
_xlpm.MacVal,_xlfn.XLOOKUP($A110,Output_Mac!$A:$A,Output_Mac!B:B,""),
_xlpm.MyAuditVal,_xlfn.XLOOKUP($A110,My_Audit!$A:$A,My_Audit!B:B,""),
_xlfn.IFS(_xlpm.MyAuditVal&lt;&gt;"",UPPER(_xlpm.MyAuditVal),_xlpm.MacVal&lt;&gt;"",_xlpm.MacVal,_xlpm.CSVVal&lt;&gt;"",_xlpm.CSVVal
)),"")</f>
        <v/>
      </c>
      <c r="D110" s="2" t="str" cm="1">
        <f t="array" ref="D110">IFERROR(_xlfn.LET(
_xlpm.CSVVal,_xlfn.XLOOKUP($A110,CSV!$A:$A,CSV!D:D,""),
_xlpm.MacVal,_xlfn.XLOOKUP($A110,Output_Mac!$A:$A,Output_Mac!C:C,""),
_xlpm.MyAuditVal,_xlfn.XLOOKUP($A110,My_Audit!$A:$A,My_Audit!C:C,""),
_xlfn.IFS(_xlpm.MyAuditVal&lt;&gt;"",_xlpm.MyAuditVal,_xlpm.MacVal&lt;&gt;"",_xlpm.MacVal,_xlpm.CSVVal&lt;&gt;"",_xlpm.CSVVal
)),"")</f>
        <v/>
      </c>
      <c r="E110" s="2" t="str">
        <f>_xlfn.XLOOKUP(A110,My_Audit!A:A,My_Audit!D:D,"")&amp;""</f>
        <v/>
      </c>
      <c r="F110" s="2" t="str" cm="1">
        <f t="array" ref="F110">IFERROR(_xlfn.LET(
_xlpm.CSVVal,_xlfn.XLOOKUP($A110,CSV!$A:$A,CSV!F:F,""),
_xlpm.MacVal,_xlfn.XLOOKUP($A110,Output_Mac!$A:$A,Output_Mac!E:E,""),
_xlpm.MyAuditVal,_xlfn.XLOOKUP($A110,My_Audit!$A:$A,My_Audit!E:E,""),
_xlfn.IFS(_xlpm.MyAuditVal&lt;&gt;"",_xlpm.MyAuditVal,_xlpm.MacVal&lt;&gt;"",_xlpm.MacVal,_xlpm.CSVVal&lt;&gt;"",_xlpm.CSVVal
)),"")</f>
        <v/>
      </c>
      <c r="G110" s="2" t="str" cm="1">
        <f t="array" ref="G110">IFERROR(_xlfn.LET(
_xlpm.CSVVal,_xlfn.XLOOKUP($A110,CSV!$A:$A,CSV!G:G,""),
_xlpm.MacVal,_xlfn.XLOOKUP($A110,Output_Mac!$A:$A,Output_Mac!F:F,""),
_xlpm.MyAuditVal,_xlfn.XLOOKUP($A110,My_Audit!$A:$A,My_Audit!F:F,""),
_xlfn.IFS(_xlpm.MyAuditVal&lt;&gt;"",_xlpm.MyAuditVal,_xlpm.MacVal&lt;&gt;"",_xlpm.MacVal,_xlpm.CSVVal&lt;&gt;"",PROPER(_xlpm.CSVVal)
)),"")</f>
        <v/>
      </c>
      <c r="H110" s="2" t="str" cm="1">
        <f t="array" ref="H110">IFERROR(_xlfn.LET(
_xlpm.CSVVal,_xlfn.XLOOKUP($A110,CSV!$A:$A,CSV!H:H,""),
_xlpm.MacVal,_xlfn.XLOOKUP($A110,Output_Mac!$A:$A,Output_Mac!H:H,""),
_xlpm.MyAuditVal,_xlfn.XLOOKUP($A110,My_Audit!$A:$A,My_Audit!G:G,""),
_xlfn.IFS(_xlpm.MyAuditVal&lt;&gt;"",_xlpm.MyAuditVal,_xlpm.MacVal&lt;&gt;"",_xlpm.MacVal,_xlpm.CSVVal&lt;&gt;"",_xlpm.CSVVal
)),"")</f>
        <v/>
      </c>
      <c r="I110" s="2" t="str">
        <f>_xlfn.XLOOKUP(A110,Output_Mac!A:A,Output_Mac!I:I,"")</f>
        <v/>
      </c>
      <c r="J110" s="2" t="str" cm="1">
        <f t="array" ref="J110">IFERROR(_xlfn.LET(
_xlpm.CSVVal,_xlfn.XLOOKUP($A110,CSV!$A:$A,CSV!I:I,""),
_xlpm.MacVal,_xlfn.XLOOKUP($A110,Output_Mac!$A:$A,Output_Mac!J:J,""),
_xlpm.MyAuditVal,_xlfn.XLOOKUP($A110,My_Audit!$A:$A,My_Audit!I:I,""),
_xlfn.IFS(_xlpm.MyAuditVal&lt;&gt;"",UPPER(_xlpm.MyAuditVal),_xlpm.MacVal&lt;&gt;"",_xlpm.MacVal,_xlpm.CSVVal&lt;&gt;"",_xlpm.CSVVal
)),"")</f>
        <v/>
      </c>
      <c r="K110" s="2" t="str" cm="1">
        <f t="array" ref="K110">IFERROR(_xlfn.LET(
_xlpm.CSVVal,_xlfn.XLOOKUP($A110,CSV!$A:$A,CSV!K:K,""),
_xlpm.MacVal,_xlfn.XLOOKUP($A110,Output_Mac!$A:$A,Output_Mac!K:K,""),
_xlpm.MyAuditVal,_xlfn.XLOOKUP($A110,My_Audit!$A:$A,My_Audit!J:J,""),
_xlfn.IFS(_xlpm.MyAuditVal&lt;&gt;"",UPPER(_xlpm.MyAuditVal),_xlpm.MacVal&lt;&gt;"",_xlpm.MacVal,_xlpm.CSVVal&lt;&gt;"",_xlpm.CSVVal
)),"")</f>
        <v/>
      </c>
      <c r="L110" s="2" t="str" cm="1">
        <f t="array" ref="L110">IFERROR(_xlfn.LET(
_xlpm.CSVVal,_xlfn.XLOOKUP($A110,CSV!$A:$A,CSV!P:P,""),
_xlpm.MacVal,_xlfn.XLOOKUP($A110,Output_Mac!$A:$A,Output_Mac!L:L,""),
_xlpm.MyAuditVal,_xlfn.XLOOKUP($A110,My_Audit!$A:$A,My_Audit!K:K,""),
_xlfn.IFS(_xlpm.MyAuditVal&lt;&gt;"",UPPER(_xlpm.MyAuditVal),_xlpm.MacVal&lt;&gt;"",_xlpm.MacVal,_xlpm.CSVVal&lt;&gt;"",_xlpm.CSVVal
)),"")</f>
        <v/>
      </c>
      <c r="M110" s="2" t="str" cm="1">
        <f t="array" ref="M110">IFERROR(_xlfn.LET(
_xlpm.CSVVal,_xlfn.XLOOKUP($A110,CSV!$A:$A,CSV!Q:Q,""),
_xlpm.MacVal,_xlfn.XLOOKUP($A110,Output_Mac!$A:$A,Output_Mac!M:M,""),
_xlpm.MyAuditVal,_xlfn.XLOOKUP($A110,My_Audit!$A:$A,My_Audit!L:L,""),
_xlfn.IFS(_xlpm.MyAuditVal&lt;&gt;"",UPPER(_xlpm.MyAuditVal),_xlpm.MacVal&lt;&gt;"",_xlpm.MacVal,_xlpm.CSVVal&lt;&gt;"",_xlpm.CSVVal
)),"")</f>
        <v/>
      </c>
      <c r="O110" s="2" t="str">
        <f>_xlfn.LET(
    _xlpm.CSVVal, _xlfn.XLOOKUP($A110, CSV!$A:$A, CSV!AC:AC, ""),
    _xlpm.MacVal, _xlfn.XLOOKUP($A110, Output_Mac!$A:$A, Output_Mac!S:S, ""),
    _xlpm.MyAuditVal, _xlfn.XLOOKUP($A110, My_Audit!$A:$A, My_Audit!P:P, ""),
    _xlfn.TEXTJOIN(", ", TRUE, _xlpm.MyAuditVal, _xlpm.MacVal, _xlpm.CSVVal)
)</f>
        <v/>
      </c>
      <c r="P110" s="2" t="str" cm="1">
        <f t="array" ref="P110">IFERROR(_xlfn.LET(
_xlpm.CSVVal,_xlfn.XLOOKUP($A110,CSV!$A:$A,CSV!AD:AD,""),
_xlpm.MacVal,_xlfn.XLOOKUP($A110,Output_Mac!$A:$A,Output_Mac!T:T,""),
_xlpm.MyAuditVal,_xlfn.XLOOKUP($A110,My_Audit!$A:$A,My_Audit!Q:Q,""),
_xlfn.IFS(_xlpm.MyAuditVal&lt;&gt;"",UPPER(_xlpm.MyAuditVal),_xlpm.MacVal&lt;&gt;"",_xlpm.MacVal,_xlpm.CSVVal&lt;&gt;"",_xlpm.CSVVal
)),"No")</f>
        <v>No</v>
      </c>
      <c r="Q110" s="2" t="str" cm="1">
        <f t="array" ref="Q110">IFERROR(_xlfn.LET(
_xlpm.CSVVal,_xlfn.XLOOKUP($A110,CSV!$A:$A,CSV!AE:AE,""),
_xlpm.MacVal,_xlfn.XLOOKUP($A110,Output_Mac!$A:$A,Output_Mac!U:U,""),
_xlpm.MyAuditVal,_xlfn.XLOOKUP($A110,My_Audit!$A:$A,My_Audit!R:R,""),
_xlfn.IFS(_xlpm.MyAuditVal&lt;&gt;"",UPPER(_xlpm.MyAuditVal),_xlpm.MacVal&lt;&gt;"",_xlpm.MacVal,_xlpm.CSVVal&lt;&gt;"",_xlpm.CSVVal
)),"")</f>
        <v/>
      </c>
      <c r="X110" t="str">
        <f>_xlfn.LET(
    _xlpm.MacVal, _xlfn.XLOOKUP($A110, Output_Mac!$A:$A, Output_Mac!AB:AB, ""),
    _xlpm.MyAuditVal, _xlfn.XLOOKUP($A110, My_Audit!$A:$A, My_Audit!N:N, ""),
    _xlfn.TEXTJOIN(", ", TRUE, _xlpm.MyAuditVal, _xlpm.MacVal)
)</f>
        <v/>
      </c>
    </row>
    <row r="111" spans="1:24">
      <c r="A111" s="2" t="str">
        <f>_xlfn.TEXTJOIN("",TRUE,Input!$B$2,ROW(My_Audit!A110))</f>
        <v>X110</v>
      </c>
      <c r="B111" s="2" t="str">
        <f>_xlfn.TEXTJOIN("-",TRUE,"ITD",Input!$A$2,A111)</f>
        <v>ITD-SHR-X110</v>
      </c>
      <c r="C111" s="2" t="str" cm="1">
        <f t="array" ref="C111">IFERROR(_xlfn.LET(
_xlpm.CSVVal,_xlfn.XLOOKUP($A111,CSV!$A:$A,CSV!B:B,""),
_xlpm.MacVal,_xlfn.XLOOKUP($A111,Output_Mac!$A:$A,Output_Mac!B:B,""),
_xlpm.MyAuditVal,_xlfn.XLOOKUP($A111,My_Audit!$A:$A,My_Audit!B:B,""),
_xlfn.IFS(_xlpm.MyAuditVal&lt;&gt;"",UPPER(_xlpm.MyAuditVal),_xlpm.MacVal&lt;&gt;"",_xlpm.MacVal,_xlpm.CSVVal&lt;&gt;"",_xlpm.CSVVal
)),"")</f>
        <v/>
      </c>
      <c r="D111" s="2" t="str" cm="1">
        <f t="array" ref="D111">IFERROR(_xlfn.LET(
_xlpm.CSVVal,_xlfn.XLOOKUP($A111,CSV!$A:$A,CSV!D:D,""),
_xlpm.MacVal,_xlfn.XLOOKUP($A111,Output_Mac!$A:$A,Output_Mac!C:C,""),
_xlpm.MyAuditVal,_xlfn.XLOOKUP($A111,My_Audit!$A:$A,My_Audit!C:C,""),
_xlfn.IFS(_xlpm.MyAuditVal&lt;&gt;"",_xlpm.MyAuditVal,_xlpm.MacVal&lt;&gt;"",_xlpm.MacVal,_xlpm.CSVVal&lt;&gt;"",_xlpm.CSVVal
)),"")</f>
        <v/>
      </c>
      <c r="E111" s="2" t="str">
        <f>_xlfn.XLOOKUP(A111,My_Audit!A:A,My_Audit!D:D,"")&amp;""</f>
        <v/>
      </c>
      <c r="F111" s="2" t="str" cm="1">
        <f t="array" ref="F111">IFERROR(_xlfn.LET(
_xlpm.CSVVal,_xlfn.XLOOKUP($A111,CSV!$A:$A,CSV!F:F,""),
_xlpm.MacVal,_xlfn.XLOOKUP($A111,Output_Mac!$A:$A,Output_Mac!E:E,""),
_xlpm.MyAuditVal,_xlfn.XLOOKUP($A111,My_Audit!$A:$A,My_Audit!E:E,""),
_xlfn.IFS(_xlpm.MyAuditVal&lt;&gt;"",_xlpm.MyAuditVal,_xlpm.MacVal&lt;&gt;"",_xlpm.MacVal,_xlpm.CSVVal&lt;&gt;"",_xlpm.CSVVal
)),"")</f>
        <v/>
      </c>
      <c r="G111" s="2" t="str" cm="1">
        <f t="array" ref="G111">IFERROR(_xlfn.LET(
_xlpm.CSVVal,_xlfn.XLOOKUP($A111,CSV!$A:$A,CSV!G:G,""),
_xlpm.MacVal,_xlfn.XLOOKUP($A111,Output_Mac!$A:$A,Output_Mac!F:F,""),
_xlpm.MyAuditVal,_xlfn.XLOOKUP($A111,My_Audit!$A:$A,My_Audit!F:F,""),
_xlfn.IFS(_xlpm.MyAuditVal&lt;&gt;"",_xlpm.MyAuditVal,_xlpm.MacVal&lt;&gt;"",_xlpm.MacVal,_xlpm.CSVVal&lt;&gt;"",PROPER(_xlpm.CSVVal)
)),"")</f>
        <v/>
      </c>
      <c r="H111" s="2" t="str" cm="1">
        <f t="array" ref="H111">IFERROR(_xlfn.LET(
_xlpm.CSVVal,_xlfn.XLOOKUP($A111,CSV!$A:$A,CSV!H:H,""),
_xlpm.MacVal,_xlfn.XLOOKUP($A111,Output_Mac!$A:$A,Output_Mac!H:H,""),
_xlpm.MyAuditVal,_xlfn.XLOOKUP($A111,My_Audit!$A:$A,My_Audit!G:G,""),
_xlfn.IFS(_xlpm.MyAuditVal&lt;&gt;"",_xlpm.MyAuditVal,_xlpm.MacVal&lt;&gt;"",_xlpm.MacVal,_xlpm.CSVVal&lt;&gt;"",_xlpm.CSVVal
)),"")</f>
        <v/>
      </c>
      <c r="I111" s="2" t="str">
        <f>_xlfn.XLOOKUP(A111,Output_Mac!A:A,Output_Mac!I:I,"")</f>
        <v/>
      </c>
      <c r="J111" s="2" t="str" cm="1">
        <f t="array" ref="J111">IFERROR(_xlfn.LET(
_xlpm.CSVVal,_xlfn.XLOOKUP($A111,CSV!$A:$A,CSV!I:I,""),
_xlpm.MacVal,_xlfn.XLOOKUP($A111,Output_Mac!$A:$A,Output_Mac!J:J,""),
_xlpm.MyAuditVal,_xlfn.XLOOKUP($A111,My_Audit!$A:$A,My_Audit!I:I,""),
_xlfn.IFS(_xlpm.MyAuditVal&lt;&gt;"",UPPER(_xlpm.MyAuditVal),_xlpm.MacVal&lt;&gt;"",_xlpm.MacVal,_xlpm.CSVVal&lt;&gt;"",_xlpm.CSVVal
)),"")</f>
        <v/>
      </c>
      <c r="K111" s="2" t="str" cm="1">
        <f t="array" ref="K111">IFERROR(_xlfn.LET(
_xlpm.CSVVal,_xlfn.XLOOKUP($A111,CSV!$A:$A,CSV!K:K,""),
_xlpm.MacVal,_xlfn.XLOOKUP($A111,Output_Mac!$A:$A,Output_Mac!K:K,""),
_xlpm.MyAuditVal,_xlfn.XLOOKUP($A111,My_Audit!$A:$A,My_Audit!J:J,""),
_xlfn.IFS(_xlpm.MyAuditVal&lt;&gt;"",UPPER(_xlpm.MyAuditVal),_xlpm.MacVal&lt;&gt;"",_xlpm.MacVal,_xlpm.CSVVal&lt;&gt;"",_xlpm.CSVVal
)),"")</f>
        <v/>
      </c>
      <c r="L111" s="2" t="str" cm="1">
        <f t="array" ref="L111">IFERROR(_xlfn.LET(
_xlpm.CSVVal,_xlfn.XLOOKUP($A111,CSV!$A:$A,CSV!P:P,""),
_xlpm.MacVal,_xlfn.XLOOKUP($A111,Output_Mac!$A:$A,Output_Mac!L:L,""),
_xlpm.MyAuditVal,_xlfn.XLOOKUP($A111,My_Audit!$A:$A,My_Audit!K:K,""),
_xlfn.IFS(_xlpm.MyAuditVal&lt;&gt;"",UPPER(_xlpm.MyAuditVal),_xlpm.MacVal&lt;&gt;"",_xlpm.MacVal,_xlpm.CSVVal&lt;&gt;"",_xlpm.CSVVal
)),"")</f>
        <v/>
      </c>
      <c r="M111" s="2" t="str" cm="1">
        <f t="array" ref="M111">IFERROR(_xlfn.LET(
_xlpm.CSVVal,_xlfn.XLOOKUP($A111,CSV!$A:$A,CSV!Q:Q,""),
_xlpm.MacVal,_xlfn.XLOOKUP($A111,Output_Mac!$A:$A,Output_Mac!M:M,""),
_xlpm.MyAuditVal,_xlfn.XLOOKUP($A111,My_Audit!$A:$A,My_Audit!L:L,""),
_xlfn.IFS(_xlpm.MyAuditVal&lt;&gt;"",UPPER(_xlpm.MyAuditVal),_xlpm.MacVal&lt;&gt;"",_xlpm.MacVal,_xlpm.CSVVal&lt;&gt;"",_xlpm.CSVVal
)),"")</f>
        <v/>
      </c>
      <c r="O111" s="2" t="str">
        <f>_xlfn.LET(
    _xlpm.CSVVal, _xlfn.XLOOKUP($A111, CSV!$A:$A, CSV!AC:AC, ""),
    _xlpm.MacVal, _xlfn.XLOOKUP($A111, Output_Mac!$A:$A, Output_Mac!S:S, ""),
    _xlpm.MyAuditVal, _xlfn.XLOOKUP($A111, My_Audit!$A:$A, My_Audit!P:P, ""),
    _xlfn.TEXTJOIN(", ", TRUE, _xlpm.MyAuditVal, _xlpm.MacVal, _xlpm.CSVVal)
)</f>
        <v/>
      </c>
      <c r="P111" s="2" t="str" cm="1">
        <f t="array" ref="P111">IFERROR(_xlfn.LET(
_xlpm.CSVVal,_xlfn.XLOOKUP($A111,CSV!$A:$A,CSV!AD:AD,""),
_xlpm.MacVal,_xlfn.XLOOKUP($A111,Output_Mac!$A:$A,Output_Mac!T:T,""),
_xlpm.MyAuditVal,_xlfn.XLOOKUP($A111,My_Audit!$A:$A,My_Audit!Q:Q,""),
_xlfn.IFS(_xlpm.MyAuditVal&lt;&gt;"",UPPER(_xlpm.MyAuditVal),_xlpm.MacVal&lt;&gt;"",_xlpm.MacVal,_xlpm.CSVVal&lt;&gt;"",_xlpm.CSVVal
)),"No")</f>
        <v>No</v>
      </c>
      <c r="Q111" s="2" t="str" cm="1">
        <f t="array" ref="Q111">IFERROR(_xlfn.LET(
_xlpm.CSVVal,_xlfn.XLOOKUP($A111,CSV!$A:$A,CSV!AE:AE,""),
_xlpm.MacVal,_xlfn.XLOOKUP($A111,Output_Mac!$A:$A,Output_Mac!U:U,""),
_xlpm.MyAuditVal,_xlfn.XLOOKUP($A111,My_Audit!$A:$A,My_Audit!R:R,""),
_xlfn.IFS(_xlpm.MyAuditVal&lt;&gt;"",UPPER(_xlpm.MyAuditVal),_xlpm.MacVal&lt;&gt;"",_xlpm.MacVal,_xlpm.CSVVal&lt;&gt;"",_xlpm.CSVVal
)),"")</f>
        <v/>
      </c>
      <c r="X111" t="str">
        <f>_xlfn.LET(
    _xlpm.MacVal, _xlfn.XLOOKUP($A111, Output_Mac!$A:$A, Output_Mac!AB:AB, ""),
    _xlpm.MyAuditVal, _xlfn.XLOOKUP($A111, My_Audit!$A:$A, My_Audit!N:N, ""),
    _xlfn.TEXTJOIN(", ", TRUE, _xlpm.MyAuditVal, _xlpm.MacVal)
)</f>
        <v/>
      </c>
    </row>
    <row r="112" spans="1:24">
      <c r="A112" s="2" t="str">
        <f>_xlfn.TEXTJOIN("",TRUE,Input!$B$2,ROW(My_Audit!A111))</f>
        <v>X111</v>
      </c>
      <c r="B112" s="2" t="str">
        <f>_xlfn.TEXTJOIN("-",TRUE,"ITD",Input!$A$2,A112)</f>
        <v>ITD-SHR-X111</v>
      </c>
      <c r="C112" s="2" t="str" cm="1">
        <f t="array" ref="C112">IFERROR(_xlfn.LET(
_xlpm.CSVVal,_xlfn.XLOOKUP($A112,CSV!$A:$A,CSV!B:B,""),
_xlpm.MacVal,_xlfn.XLOOKUP($A112,Output_Mac!$A:$A,Output_Mac!B:B,""),
_xlpm.MyAuditVal,_xlfn.XLOOKUP($A112,My_Audit!$A:$A,My_Audit!B:B,""),
_xlfn.IFS(_xlpm.MyAuditVal&lt;&gt;"",UPPER(_xlpm.MyAuditVal),_xlpm.MacVal&lt;&gt;"",_xlpm.MacVal,_xlpm.CSVVal&lt;&gt;"",_xlpm.CSVVal
)),"")</f>
        <v/>
      </c>
      <c r="D112" s="2" t="str" cm="1">
        <f t="array" ref="D112">IFERROR(_xlfn.LET(
_xlpm.CSVVal,_xlfn.XLOOKUP($A112,CSV!$A:$A,CSV!D:D,""),
_xlpm.MacVal,_xlfn.XLOOKUP($A112,Output_Mac!$A:$A,Output_Mac!C:C,""),
_xlpm.MyAuditVal,_xlfn.XLOOKUP($A112,My_Audit!$A:$A,My_Audit!C:C,""),
_xlfn.IFS(_xlpm.MyAuditVal&lt;&gt;"",_xlpm.MyAuditVal,_xlpm.MacVal&lt;&gt;"",_xlpm.MacVal,_xlpm.CSVVal&lt;&gt;"",_xlpm.CSVVal
)),"")</f>
        <v/>
      </c>
      <c r="E112" s="2" t="str">
        <f>_xlfn.XLOOKUP(A112,My_Audit!A:A,My_Audit!D:D,"")&amp;""</f>
        <v/>
      </c>
      <c r="F112" s="2" t="str" cm="1">
        <f t="array" ref="F112">IFERROR(_xlfn.LET(
_xlpm.CSVVal,_xlfn.XLOOKUP($A112,CSV!$A:$A,CSV!F:F,""),
_xlpm.MacVal,_xlfn.XLOOKUP($A112,Output_Mac!$A:$A,Output_Mac!E:E,""),
_xlpm.MyAuditVal,_xlfn.XLOOKUP($A112,My_Audit!$A:$A,My_Audit!E:E,""),
_xlfn.IFS(_xlpm.MyAuditVal&lt;&gt;"",_xlpm.MyAuditVal,_xlpm.MacVal&lt;&gt;"",_xlpm.MacVal,_xlpm.CSVVal&lt;&gt;"",_xlpm.CSVVal
)),"")</f>
        <v/>
      </c>
      <c r="G112" s="2" t="str" cm="1">
        <f t="array" ref="G112">IFERROR(_xlfn.LET(
_xlpm.CSVVal,_xlfn.XLOOKUP($A112,CSV!$A:$A,CSV!G:G,""),
_xlpm.MacVal,_xlfn.XLOOKUP($A112,Output_Mac!$A:$A,Output_Mac!F:F,""),
_xlpm.MyAuditVal,_xlfn.XLOOKUP($A112,My_Audit!$A:$A,My_Audit!F:F,""),
_xlfn.IFS(_xlpm.MyAuditVal&lt;&gt;"",_xlpm.MyAuditVal,_xlpm.MacVal&lt;&gt;"",_xlpm.MacVal,_xlpm.CSVVal&lt;&gt;"",PROPER(_xlpm.CSVVal)
)),"")</f>
        <v/>
      </c>
      <c r="H112" s="2" t="str" cm="1">
        <f t="array" ref="H112">IFERROR(_xlfn.LET(
_xlpm.CSVVal,_xlfn.XLOOKUP($A112,CSV!$A:$A,CSV!H:H,""),
_xlpm.MacVal,_xlfn.XLOOKUP($A112,Output_Mac!$A:$A,Output_Mac!H:H,""),
_xlpm.MyAuditVal,_xlfn.XLOOKUP($A112,My_Audit!$A:$A,My_Audit!G:G,""),
_xlfn.IFS(_xlpm.MyAuditVal&lt;&gt;"",_xlpm.MyAuditVal,_xlpm.MacVal&lt;&gt;"",_xlpm.MacVal,_xlpm.CSVVal&lt;&gt;"",_xlpm.CSVVal
)),"")</f>
        <v/>
      </c>
      <c r="I112" s="2" t="str">
        <f>_xlfn.XLOOKUP(A112,Output_Mac!A:A,Output_Mac!I:I,"")</f>
        <v/>
      </c>
      <c r="J112" s="2" t="str" cm="1">
        <f t="array" ref="J112">IFERROR(_xlfn.LET(
_xlpm.CSVVal,_xlfn.XLOOKUP($A112,CSV!$A:$A,CSV!I:I,""),
_xlpm.MacVal,_xlfn.XLOOKUP($A112,Output_Mac!$A:$A,Output_Mac!J:J,""),
_xlpm.MyAuditVal,_xlfn.XLOOKUP($A112,My_Audit!$A:$A,My_Audit!I:I,""),
_xlfn.IFS(_xlpm.MyAuditVal&lt;&gt;"",UPPER(_xlpm.MyAuditVal),_xlpm.MacVal&lt;&gt;"",_xlpm.MacVal,_xlpm.CSVVal&lt;&gt;"",_xlpm.CSVVal
)),"")</f>
        <v/>
      </c>
      <c r="K112" s="2" t="str" cm="1">
        <f t="array" ref="K112">IFERROR(_xlfn.LET(
_xlpm.CSVVal,_xlfn.XLOOKUP($A112,CSV!$A:$A,CSV!K:K,""),
_xlpm.MacVal,_xlfn.XLOOKUP($A112,Output_Mac!$A:$A,Output_Mac!K:K,""),
_xlpm.MyAuditVal,_xlfn.XLOOKUP($A112,My_Audit!$A:$A,My_Audit!J:J,""),
_xlfn.IFS(_xlpm.MyAuditVal&lt;&gt;"",UPPER(_xlpm.MyAuditVal),_xlpm.MacVal&lt;&gt;"",_xlpm.MacVal,_xlpm.CSVVal&lt;&gt;"",_xlpm.CSVVal
)),"")</f>
        <v/>
      </c>
      <c r="L112" s="2" t="str" cm="1">
        <f t="array" ref="L112">IFERROR(_xlfn.LET(
_xlpm.CSVVal,_xlfn.XLOOKUP($A112,CSV!$A:$A,CSV!P:P,""),
_xlpm.MacVal,_xlfn.XLOOKUP($A112,Output_Mac!$A:$A,Output_Mac!L:L,""),
_xlpm.MyAuditVal,_xlfn.XLOOKUP($A112,My_Audit!$A:$A,My_Audit!K:K,""),
_xlfn.IFS(_xlpm.MyAuditVal&lt;&gt;"",UPPER(_xlpm.MyAuditVal),_xlpm.MacVal&lt;&gt;"",_xlpm.MacVal,_xlpm.CSVVal&lt;&gt;"",_xlpm.CSVVal
)),"")</f>
        <v/>
      </c>
      <c r="M112" s="2" t="str" cm="1">
        <f t="array" ref="M112">IFERROR(_xlfn.LET(
_xlpm.CSVVal,_xlfn.XLOOKUP($A112,CSV!$A:$A,CSV!Q:Q,""),
_xlpm.MacVal,_xlfn.XLOOKUP($A112,Output_Mac!$A:$A,Output_Mac!M:M,""),
_xlpm.MyAuditVal,_xlfn.XLOOKUP($A112,My_Audit!$A:$A,My_Audit!L:L,""),
_xlfn.IFS(_xlpm.MyAuditVal&lt;&gt;"",UPPER(_xlpm.MyAuditVal),_xlpm.MacVal&lt;&gt;"",_xlpm.MacVal,_xlpm.CSVVal&lt;&gt;"",_xlpm.CSVVal
)),"")</f>
        <v/>
      </c>
      <c r="O112" s="2" t="str">
        <f>_xlfn.LET(
    _xlpm.CSVVal, _xlfn.XLOOKUP($A112, CSV!$A:$A, CSV!AC:AC, ""),
    _xlpm.MacVal, _xlfn.XLOOKUP($A112, Output_Mac!$A:$A, Output_Mac!S:S, ""),
    _xlpm.MyAuditVal, _xlfn.XLOOKUP($A112, My_Audit!$A:$A, My_Audit!P:P, ""),
    _xlfn.TEXTJOIN(", ", TRUE, _xlpm.MyAuditVal, _xlpm.MacVal, _xlpm.CSVVal)
)</f>
        <v/>
      </c>
      <c r="P112" s="2" t="str" cm="1">
        <f t="array" ref="P112">IFERROR(_xlfn.LET(
_xlpm.CSVVal,_xlfn.XLOOKUP($A112,CSV!$A:$A,CSV!AD:AD,""),
_xlpm.MacVal,_xlfn.XLOOKUP($A112,Output_Mac!$A:$A,Output_Mac!T:T,""),
_xlpm.MyAuditVal,_xlfn.XLOOKUP($A112,My_Audit!$A:$A,My_Audit!Q:Q,""),
_xlfn.IFS(_xlpm.MyAuditVal&lt;&gt;"",UPPER(_xlpm.MyAuditVal),_xlpm.MacVal&lt;&gt;"",_xlpm.MacVal,_xlpm.CSVVal&lt;&gt;"",_xlpm.CSVVal
)),"No")</f>
        <v>No</v>
      </c>
      <c r="Q112" s="2" t="str" cm="1">
        <f t="array" ref="Q112">IFERROR(_xlfn.LET(
_xlpm.CSVVal,_xlfn.XLOOKUP($A112,CSV!$A:$A,CSV!AE:AE,""),
_xlpm.MacVal,_xlfn.XLOOKUP($A112,Output_Mac!$A:$A,Output_Mac!U:U,""),
_xlpm.MyAuditVal,_xlfn.XLOOKUP($A112,My_Audit!$A:$A,My_Audit!R:R,""),
_xlfn.IFS(_xlpm.MyAuditVal&lt;&gt;"",UPPER(_xlpm.MyAuditVal),_xlpm.MacVal&lt;&gt;"",_xlpm.MacVal,_xlpm.CSVVal&lt;&gt;"",_xlpm.CSVVal
)),"")</f>
        <v/>
      </c>
      <c r="X112" t="str">
        <f>_xlfn.LET(
    _xlpm.MacVal, _xlfn.XLOOKUP($A112, Output_Mac!$A:$A, Output_Mac!AB:AB, ""),
    _xlpm.MyAuditVal, _xlfn.XLOOKUP($A112, My_Audit!$A:$A, My_Audit!N:N, ""),
    _xlfn.TEXTJOIN(", ", TRUE, _xlpm.MyAuditVal, _xlpm.MacVal)
)</f>
        <v/>
      </c>
    </row>
    <row r="113" spans="1:24">
      <c r="A113" s="2" t="str">
        <f>_xlfn.TEXTJOIN("",TRUE,Input!$B$2,ROW(My_Audit!A112))</f>
        <v>X112</v>
      </c>
      <c r="B113" s="2" t="str">
        <f>_xlfn.TEXTJOIN("-",TRUE,"ITD",Input!$A$2,A113)</f>
        <v>ITD-SHR-X112</v>
      </c>
      <c r="C113" s="2" t="str" cm="1">
        <f t="array" ref="C113">IFERROR(_xlfn.LET(
_xlpm.CSVVal,_xlfn.XLOOKUP($A113,CSV!$A:$A,CSV!B:B,""),
_xlpm.MacVal,_xlfn.XLOOKUP($A113,Output_Mac!$A:$A,Output_Mac!B:B,""),
_xlpm.MyAuditVal,_xlfn.XLOOKUP($A113,My_Audit!$A:$A,My_Audit!B:B,""),
_xlfn.IFS(_xlpm.MyAuditVal&lt;&gt;"",UPPER(_xlpm.MyAuditVal),_xlpm.MacVal&lt;&gt;"",_xlpm.MacVal,_xlpm.CSVVal&lt;&gt;"",_xlpm.CSVVal
)),"")</f>
        <v/>
      </c>
      <c r="D113" s="2" t="str" cm="1">
        <f t="array" ref="D113">IFERROR(_xlfn.LET(
_xlpm.CSVVal,_xlfn.XLOOKUP($A113,CSV!$A:$A,CSV!D:D,""),
_xlpm.MacVal,_xlfn.XLOOKUP($A113,Output_Mac!$A:$A,Output_Mac!C:C,""),
_xlpm.MyAuditVal,_xlfn.XLOOKUP($A113,My_Audit!$A:$A,My_Audit!C:C,""),
_xlfn.IFS(_xlpm.MyAuditVal&lt;&gt;"",_xlpm.MyAuditVal,_xlpm.MacVal&lt;&gt;"",_xlpm.MacVal,_xlpm.CSVVal&lt;&gt;"",_xlpm.CSVVal
)),"")</f>
        <v/>
      </c>
      <c r="E113" s="2" t="str">
        <f>_xlfn.XLOOKUP(A113,My_Audit!A:A,My_Audit!D:D,"")&amp;""</f>
        <v/>
      </c>
      <c r="F113" s="2" t="str" cm="1">
        <f t="array" ref="F113">IFERROR(_xlfn.LET(
_xlpm.CSVVal,_xlfn.XLOOKUP($A113,CSV!$A:$A,CSV!F:F,""),
_xlpm.MacVal,_xlfn.XLOOKUP($A113,Output_Mac!$A:$A,Output_Mac!E:E,""),
_xlpm.MyAuditVal,_xlfn.XLOOKUP($A113,My_Audit!$A:$A,My_Audit!E:E,""),
_xlfn.IFS(_xlpm.MyAuditVal&lt;&gt;"",_xlpm.MyAuditVal,_xlpm.MacVal&lt;&gt;"",_xlpm.MacVal,_xlpm.CSVVal&lt;&gt;"",_xlpm.CSVVal
)),"")</f>
        <v/>
      </c>
      <c r="G113" s="2" t="str" cm="1">
        <f t="array" ref="G113">IFERROR(_xlfn.LET(
_xlpm.CSVVal,_xlfn.XLOOKUP($A113,CSV!$A:$A,CSV!G:G,""),
_xlpm.MacVal,_xlfn.XLOOKUP($A113,Output_Mac!$A:$A,Output_Mac!F:F,""),
_xlpm.MyAuditVal,_xlfn.XLOOKUP($A113,My_Audit!$A:$A,My_Audit!F:F,""),
_xlfn.IFS(_xlpm.MyAuditVal&lt;&gt;"",_xlpm.MyAuditVal,_xlpm.MacVal&lt;&gt;"",_xlpm.MacVal,_xlpm.CSVVal&lt;&gt;"",PROPER(_xlpm.CSVVal)
)),"")</f>
        <v/>
      </c>
      <c r="H113" s="2" t="str" cm="1">
        <f t="array" ref="H113">IFERROR(_xlfn.LET(
_xlpm.CSVVal,_xlfn.XLOOKUP($A113,CSV!$A:$A,CSV!H:H,""),
_xlpm.MacVal,_xlfn.XLOOKUP($A113,Output_Mac!$A:$A,Output_Mac!H:H,""),
_xlpm.MyAuditVal,_xlfn.XLOOKUP($A113,My_Audit!$A:$A,My_Audit!G:G,""),
_xlfn.IFS(_xlpm.MyAuditVal&lt;&gt;"",_xlpm.MyAuditVal,_xlpm.MacVal&lt;&gt;"",_xlpm.MacVal,_xlpm.CSVVal&lt;&gt;"",_xlpm.CSVVal
)),"")</f>
        <v/>
      </c>
      <c r="I113" s="2" t="str">
        <f>_xlfn.XLOOKUP(A113,Output_Mac!A:A,Output_Mac!I:I,"")</f>
        <v/>
      </c>
      <c r="J113" s="2" t="str" cm="1">
        <f t="array" ref="J113">IFERROR(_xlfn.LET(
_xlpm.CSVVal,_xlfn.XLOOKUP($A113,CSV!$A:$A,CSV!I:I,""),
_xlpm.MacVal,_xlfn.XLOOKUP($A113,Output_Mac!$A:$A,Output_Mac!J:J,""),
_xlpm.MyAuditVal,_xlfn.XLOOKUP($A113,My_Audit!$A:$A,My_Audit!I:I,""),
_xlfn.IFS(_xlpm.MyAuditVal&lt;&gt;"",UPPER(_xlpm.MyAuditVal),_xlpm.MacVal&lt;&gt;"",_xlpm.MacVal,_xlpm.CSVVal&lt;&gt;"",_xlpm.CSVVal
)),"")</f>
        <v/>
      </c>
      <c r="K113" s="2" t="str" cm="1">
        <f t="array" ref="K113">IFERROR(_xlfn.LET(
_xlpm.CSVVal,_xlfn.XLOOKUP($A113,CSV!$A:$A,CSV!K:K,""),
_xlpm.MacVal,_xlfn.XLOOKUP($A113,Output_Mac!$A:$A,Output_Mac!K:K,""),
_xlpm.MyAuditVal,_xlfn.XLOOKUP($A113,My_Audit!$A:$A,My_Audit!J:J,""),
_xlfn.IFS(_xlpm.MyAuditVal&lt;&gt;"",UPPER(_xlpm.MyAuditVal),_xlpm.MacVal&lt;&gt;"",_xlpm.MacVal,_xlpm.CSVVal&lt;&gt;"",_xlpm.CSVVal
)),"")</f>
        <v/>
      </c>
      <c r="L113" s="2" t="str" cm="1">
        <f t="array" ref="L113">IFERROR(_xlfn.LET(
_xlpm.CSVVal,_xlfn.XLOOKUP($A113,CSV!$A:$A,CSV!P:P,""),
_xlpm.MacVal,_xlfn.XLOOKUP($A113,Output_Mac!$A:$A,Output_Mac!L:L,""),
_xlpm.MyAuditVal,_xlfn.XLOOKUP($A113,My_Audit!$A:$A,My_Audit!K:K,""),
_xlfn.IFS(_xlpm.MyAuditVal&lt;&gt;"",UPPER(_xlpm.MyAuditVal),_xlpm.MacVal&lt;&gt;"",_xlpm.MacVal,_xlpm.CSVVal&lt;&gt;"",_xlpm.CSVVal
)),"")</f>
        <v/>
      </c>
      <c r="M113" s="2" t="str" cm="1">
        <f t="array" ref="M113">IFERROR(_xlfn.LET(
_xlpm.CSVVal,_xlfn.XLOOKUP($A113,CSV!$A:$A,CSV!Q:Q,""),
_xlpm.MacVal,_xlfn.XLOOKUP($A113,Output_Mac!$A:$A,Output_Mac!M:M,""),
_xlpm.MyAuditVal,_xlfn.XLOOKUP($A113,My_Audit!$A:$A,My_Audit!L:L,""),
_xlfn.IFS(_xlpm.MyAuditVal&lt;&gt;"",UPPER(_xlpm.MyAuditVal),_xlpm.MacVal&lt;&gt;"",_xlpm.MacVal,_xlpm.CSVVal&lt;&gt;"",_xlpm.CSVVal
)),"")</f>
        <v/>
      </c>
      <c r="O113" s="2" t="str">
        <f>_xlfn.LET(
    _xlpm.CSVVal, _xlfn.XLOOKUP($A113, CSV!$A:$A, CSV!AC:AC, ""),
    _xlpm.MacVal, _xlfn.XLOOKUP($A113, Output_Mac!$A:$A, Output_Mac!S:S, ""),
    _xlpm.MyAuditVal, _xlfn.XLOOKUP($A113, My_Audit!$A:$A, My_Audit!P:P, ""),
    _xlfn.TEXTJOIN(", ", TRUE, _xlpm.MyAuditVal, _xlpm.MacVal, _xlpm.CSVVal)
)</f>
        <v/>
      </c>
      <c r="P113" s="2" t="str" cm="1">
        <f t="array" ref="P113">IFERROR(_xlfn.LET(
_xlpm.CSVVal,_xlfn.XLOOKUP($A113,CSV!$A:$A,CSV!AD:AD,""),
_xlpm.MacVal,_xlfn.XLOOKUP($A113,Output_Mac!$A:$A,Output_Mac!T:T,""),
_xlpm.MyAuditVal,_xlfn.XLOOKUP($A113,My_Audit!$A:$A,My_Audit!Q:Q,""),
_xlfn.IFS(_xlpm.MyAuditVal&lt;&gt;"",UPPER(_xlpm.MyAuditVal),_xlpm.MacVal&lt;&gt;"",_xlpm.MacVal,_xlpm.CSVVal&lt;&gt;"",_xlpm.CSVVal
)),"No")</f>
        <v>No</v>
      </c>
      <c r="Q113" s="2" t="str" cm="1">
        <f t="array" ref="Q113">IFERROR(_xlfn.LET(
_xlpm.CSVVal,_xlfn.XLOOKUP($A113,CSV!$A:$A,CSV!AE:AE,""),
_xlpm.MacVal,_xlfn.XLOOKUP($A113,Output_Mac!$A:$A,Output_Mac!U:U,""),
_xlpm.MyAuditVal,_xlfn.XLOOKUP($A113,My_Audit!$A:$A,My_Audit!R:R,""),
_xlfn.IFS(_xlpm.MyAuditVal&lt;&gt;"",UPPER(_xlpm.MyAuditVal),_xlpm.MacVal&lt;&gt;"",_xlpm.MacVal,_xlpm.CSVVal&lt;&gt;"",_xlpm.CSVVal
)),"")</f>
        <v/>
      </c>
      <c r="X113" t="str">
        <f>_xlfn.LET(
    _xlpm.MacVal, _xlfn.XLOOKUP($A113, Output_Mac!$A:$A, Output_Mac!AB:AB, ""),
    _xlpm.MyAuditVal, _xlfn.XLOOKUP($A113, My_Audit!$A:$A, My_Audit!N:N, ""),
    _xlfn.TEXTJOIN(", ", TRUE, _xlpm.MyAuditVal, _xlpm.MacVal)
)</f>
        <v/>
      </c>
    </row>
    <row r="114" spans="1:24">
      <c r="A114" s="2" t="str">
        <f>_xlfn.TEXTJOIN("",TRUE,Input!$B$2,ROW(My_Audit!A113))</f>
        <v>X113</v>
      </c>
      <c r="B114" s="2" t="str">
        <f>_xlfn.TEXTJOIN("-",TRUE,"ITD",Input!$A$2,A114)</f>
        <v>ITD-SHR-X113</v>
      </c>
      <c r="C114" s="2" t="str" cm="1">
        <f t="array" ref="C114">IFERROR(_xlfn.LET(
_xlpm.CSVVal,_xlfn.XLOOKUP($A114,CSV!$A:$A,CSV!B:B,""),
_xlpm.MacVal,_xlfn.XLOOKUP($A114,Output_Mac!$A:$A,Output_Mac!B:B,""),
_xlpm.MyAuditVal,_xlfn.XLOOKUP($A114,My_Audit!$A:$A,My_Audit!B:B,""),
_xlfn.IFS(_xlpm.MyAuditVal&lt;&gt;"",UPPER(_xlpm.MyAuditVal),_xlpm.MacVal&lt;&gt;"",_xlpm.MacVal,_xlpm.CSVVal&lt;&gt;"",_xlpm.CSVVal
)),"")</f>
        <v/>
      </c>
      <c r="D114" s="2" t="str" cm="1">
        <f t="array" ref="D114">IFERROR(_xlfn.LET(
_xlpm.CSVVal,_xlfn.XLOOKUP($A114,CSV!$A:$A,CSV!D:D,""),
_xlpm.MacVal,_xlfn.XLOOKUP($A114,Output_Mac!$A:$A,Output_Mac!C:C,""),
_xlpm.MyAuditVal,_xlfn.XLOOKUP($A114,My_Audit!$A:$A,My_Audit!C:C,""),
_xlfn.IFS(_xlpm.MyAuditVal&lt;&gt;"",_xlpm.MyAuditVal,_xlpm.MacVal&lt;&gt;"",_xlpm.MacVal,_xlpm.CSVVal&lt;&gt;"",_xlpm.CSVVal
)),"")</f>
        <v/>
      </c>
      <c r="E114" s="2" t="str">
        <f>_xlfn.XLOOKUP(A114,My_Audit!A:A,My_Audit!D:D,"")&amp;""</f>
        <v/>
      </c>
      <c r="F114" s="2" t="str" cm="1">
        <f t="array" ref="F114">IFERROR(_xlfn.LET(
_xlpm.CSVVal,_xlfn.XLOOKUP($A114,CSV!$A:$A,CSV!F:F,""),
_xlpm.MacVal,_xlfn.XLOOKUP($A114,Output_Mac!$A:$A,Output_Mac!E:E,""),
_xlpm.MyAuditVal,_xlfn.XLOOKUP($A114,My_Audit!$A:$A,My_Audit!E:E,""),
_xlfn.IFS(_xlpm.MyAuditVal&lt;&gt;"",_xlpm.MyAuditVal,_xlpm.MacVal&lt;&gt;"",_xlpm.MacVal,_xlpm.CSVVal&lt;&gt;"",_xlpm.CSVVal
)),"")</f>
        <v/>
      </c>
      <c r="G114" s="2" t="str" cm="1">
        <f t="array" ref="G114">IFERROR(_xlfn.LET(
_xlpm.CSVVal,_xlfn.XLOOKUP($A114,CSV!$A:$A,CSV!G:G,""),
_xlpm.MacVal,_xlfn.XLOOKUP($A114,Output_Mac!$A:$A,Output_Mac!F:F,""),
_xlpm.MyAuditVal,_xlfn.XLOOKUP($A114,My_Audit!$A:$A,My_Audit!F:F,""),
_xlfn.IFS(_xlpm.MyAuditVal&lt;&gt;"",_xlpm.MyAuditVal,_xlpm.MacVal&lt;&gt;"",_xlpm.MacVal,_xlpm.CSVVal&lt;&gt;"",PROPER(_xlpm.CSVVal)
)),"")</f>
        <v/>
      </c>
      <c r="H114" s="2" t="str" cm="1">
        <f t="array" ref="H114">IFERROR(_xlfn.LET(
_xlpm.CSVVal,_xlfn.XLOOKUP($A114,CSV!$A:$A,CSV!H:H,""),
_xlpm.MacVal,_xlfn.XLOOKUP($A114,Output_Mac!$A:$A,Output_Mac!H:H,""),
_xlpm.MyAuditVal,_xlfn.XLOOKUP($A114,My_Audit!$A:$A,My_Audit!G:G,""),
_xlfn.IFS(_xlpm.MyAuditVal&lt;&gt;"",_xlpm.MyAuditVal,_xlpm.MacVal&lt;&gt;"",_xlpm.MacVal,_xlpm.CSVVal&lt;&gt;"",_xlpm.CSVVal
)),"")</f>
        <v/>
      </c>
      <c r="I114" s="2" t="str">
        <f>_xlfn.XLOOKUP(A114,Output_Mac!A:A,Output_Mac!I:I,"")</f>
        <v/>
      </c>
      <c r="J114" s="2" t="str" cm="1">
        <f t="array" ref="J114">IFERROR(_xlfn.LET(
_xlpm.CSVVal,_xlfn.XLOOKUP($A114,CSV!$A:$A,CSV!I:I,""),
_xlpm.MacVal,_xlfn.XLOOKUP($A114,Output_Mac!$A:$A,Output_Mac!J:J,""),
_xlpm.MyAuditVal,_xlfn.XLOOKUP($A114,My_Audit!$A:$A,My_Audit!I:I,""),
_xlfn.IFS(_xlpm.MyAuditVal&lt;&gt;"",UPPER(_xlpm.MyAuditVal),_xlpm.MacVal&lt;&gt;"",_xlpm.MacVal,_xlpm.CSVVal&lt;&gt;"",_xlpm.CSVVal
)),"")</f>
        <v/>
      </c>
      <c r="K114" s="2" t="str" cm="1">
        <f t="array" ref="K114">IFERROR(_xlfn.LET(
_xlpm.CSVVal,_xlfn.XLOOKUP($A114,CSV!$A:$A,CSV!K:K,""),
_xlpm.MacVal,_xlfn.XLOOKUP($A114,Output_Mac!$A:$A,Output_Mac!K:K,""),
_xlpm.MyAuditVal,_xlfn.XLOOKUP($A114,My_Audit!$A:$A,My_Audit!J:J,""),
_xlfn.IFS(_xlpm.MyAuditVal&lt;&gt;"",UPPER(_xlpm.MyAuditVal),_xlpm.MacVal&lt;&gt;"",_xlpm.MacVal,_xlpm.CSVVal&lt;&gt;"",_xlpm.CSVVal
)),"")</f>
        <v/>
      </c>
      <c r="L114" s="2" t="str" cm="1">
        <f t="array" ref="L114">IFERROR(_xlfn.LET(
_xlpm.CSVVal,_xlfn.XLOOKUP($A114,CSV!$A:$A,CSV!P:P,""),
_xlpm.MacVal,_xlfn.XLOOKUP($A114,Output_Mac!$A:$A,Output_Mac!L:L,""),
_xlpm.MyAuditVal,_xlfn.XLOOKUP($A114,My_Audit!$A:$A,My_Audit!K:K,""),
_xlfn.IFS(_xlpm.MyAuditVal&lt;&gt;"",UPPER(_xlpm.MyAuditVal),_xlpm.MacVal&lt;&gt;"",_xlpm.MacVal,_xlpm.CSVVal&lt;&gt;"",_xlpm.CSVVal
)),"")</f>
        <v/>
      </c>
      <c r="M114" s="2" t="str" cm="1">
        <f t="array" ref="M114">IFERROR(_xlfn.LET(
_xlpm.CSVVal,_xlfn.XLOOKUP($A114,CSV!$A:$A,CSV!Q:Q,""),
_xlpm.MacVal,_xlfn.XLOOKUP($A114,Output_Mac!$A:$A,Output_Mac!M:M,""),
_xlpm.MyAuditVal,_xlfn.XLOOKUP($A114,My_Audit!$A:$A,My_Audit!L:L,""),
_xlfn.IFS(_xlpm.MyAuditVal&lt;&gt;"",UPPER(_xlpm.MyAuditVal),_xlpm.MacVal&lt;&gt;"",_xlpm.MacVal,_xlpm.CSVVal&lt;&gt;"",_xlpm.CSVVal
)),"")</f>
        <v/>
      </c>
      <c r="O114" s="2" t="str">
        <f>_xlfn.LET(
    _xlpm.CSVVal, _xlfn.XLOOKUP($A114, CSV!$A:$A, CSV!AC:AC, ""),
    _xlpm.MacVal, _xlfn.XLOOKUP($A114, Output_Mac!$A:$A, Output_Mac!S:S, ""),
    _xlpm.MyAuditVal, _xlfn.XLOOKUP($A114, My_Audit!$A:$A, My_Audit!P:P, ""),
    _xlfn.TEXTJOIN(", ", TRUE, _xlpm.MyAuditVal, _xlpm.MacVal, _xlpm.CSVVal)
)</f>
        <v/>
      </c>
      <c r="P114" s="2" t="str" cm="1">
        <f t="array" ref="P114">IFERROR(_xlfn.LET(
_xlpm.CSVVal,_xlfn.XLOOKUP($A114,CSV!$A:$A,CSV!AD:AD,""),
_xlpm.MacVal,_xlfn.XLOOKUP($A114,Output_Mac!$A:$A,Output_Mac!T:T,""),
_xlpm.MyAuditVal,_xlfn.XLOOKUP($A114,My_Audit!$A:$A,My_Audit!Q:Q,""),
_xlfn.IFS(_xlpm.MyAuditVal&lt;&gt;"",UPPER(_xlpm.MyAuditVal),_xlpm.MacVal&lt;&gt;"",_xlpm.MacVal,_xlpm.CSVVal&lt;&gt;"",_xlpm.CSVVal
)),"No")</f>
        <v>No</v>
      </c>
      <c r="Q114" s="2" t="str" cm="1">
        <f t="array" ref="Q114">IFERROR(_xlfn.LET(
_xlpm.CSVVal,_xlfn.XLOOKUP($A114,CSV!$A:$A,CSV!AE:AE,""),
_xlpm.MacVal,_xlfn.XLOOKUP($A114,Output_Mac!$A:$A,Output_Mac!U:U,""),
_xlpm.MyAuditVal,_xlfn.XLOOKUP($A114,My_Audit!$A:$A,My_Audit!R:R,""),
_xlfn.IFS(_xlpm.MyAuditVal&lt;&gt;"",UPPER(_xlpm.MyAuditVal),_xlpm.MacVal&lt;&gt;"",_xlpm.MacVal,_xlpm.CSVVal&lt;&gt;"",_xlpm.CSVVal
)),"")</f>
        <v/>
      </c>
      <c r="X114" t="str">
        <f>_xlfn.LET(
    _xlpm.MacVal, _xlfn.XLOOKUP($A114, Output_Mac!$A:$A, Output_Mac!AB:AB, ""),
    _xlpm.MyAuditVal, _xlfn.XLOOKUP($A114, My_Audit!$A:$A, My_Audit!N:N, ""),
    _xlfn.TEXTJOIN(", ", TRUE, _xlpm.MyAuditVal, _xlpm.MacVal)
)</f>
        <v/>
      </c>
    </row>
    <row r="115" spans="1:24">
      <c r="A115" s="2" t="str">
        <f>_xlfn.TEXTJOIN("",TRUE,Input!$B$2,ROW(My_Audit!A114))</f>
        <v>X114</v>
      </c>
      <c r="B115" s="2" t="str">
        <f>_xlfn.TEXTJOIN("-",TRUE,"ITD",Input!$A$2,A115)</f>
        <v>ITD-SHR-X114</v>
      </c>
      <c r="C115" s="2" t="str" cm="1">
        <f t="array" ref="C115">IFERROR(_xlfn.LET(
_xlpm.CSVVal,_xlfn.XLOOKUP($A115,CSV!$A:$A,CSV!B:B,""),
_xlpm.MacVal,_xlfn.XLOOKUP($A115,Output_Mac!$A:$A,Output_Mac!B:B,""),
_xlpm.MyAuditVal,_xlfn.XLOOKUP($A115,My_Audit!$A:$A,My_Audit!B:B,""),
_xlfn.IFS(_xlpm.MyAuditVal&lt;&gt;"",UPPER(_xlpm.MyAuditVal),_xlpm.MacVal&lt;&gt;"",_xlpm.MacVal,_xlpm.CSVVal&lt;&gt;"",_xlpm.CSVVal
)),"")</f>
        <v/>
      </c>
      <c r="D115" s="2" t="str" cm="1">
        <f t="array" ref="D115">IFERROR(_xlfn.LET(
_xlpm.CSVVal,_xlfn.XLOOKUP($A115,CSV!$A:$A,CSV!D:D,""),
_xlpm.MacVal,_xlfn.XLOOKUP($A115,Output_Mac!$A:$A,Output_Mac!C:C,""),
_xlpm.MyAuditVal,_xlfn.XLOOKUP($A115,My_Audit!$A:$A,My_Audit!C:C,""),
_xlfn.IFS(_xlpm.MyAuditVal&lt;&gt;"",_xlpm.MyAuditVal,_xlpm.MacVal&lt;&gt;"",_xlpm.MacVal,_xlpm.CSVVal&lt;&gt;"",_xlpm.CSVVal
)),"")</f>
        <v/>
      </c>
      <c r="E115" s="2" t="str">
        <f>_xlfn.XLOOKUP(A115,My_Audit!A:A,My_Audit!D:D,"")&amp;""</f>
        <v/>
      </c>
      <c r="F115" s="2" t="str" cm="1">
        <f t="array" ref="F115">IFERROR(_xlfn.LET(
_xlpm.CSVVal,_xlfn.XLOOKUP($A115,CSV!$A:$A,CSV!F:F,""),
_xlpm.MacVal,_xlfn.XLOOKUP($A115,Output_Mac!$A:$A,Output_Mac!E:E,""),
_xlpm.MyAuditVal,_xlfn.XLOOKUP($A115,My_Audit!$A:$A,My_Audit!E:E,""),
_xlfn.IFS(_xlpm.MyAuditVal&lt;&gt;"",_xlpm.MyAuditVal,_xlpm.MacVal&lt;&gt;"",_xlpm.MacVal,_xlpm.CSVVal&lt;&gt;"",_xlpm.CSVVal
)),"")</f>
        <v/>
      </c>
      <c r="G115" s="2" t="str" cm="1">
        <f t="array" ref="G115">IFERROR(_xlfn.LET(
_xlpm.CSVVal,_xlfn.XLOOKUP($A115,CSV!$A:$A,CSV!G:G,""),
_xlpm.MacVal,_xlfn.XLOOKUP($A115,Output_Mac!$A:$A,Output_Mac!F:F,""),
_xlpm.MyAuditVal,_xlfn.XLOOKUP($A115,My_Audit!$A:$A,My_Audit!F:F,""),
_xlfn.IFS(_xlpm.MyAuditVal&lt;&gt;"",_xlpm.MyAuditVal,_xlpm.MacVal&lt;&gt;"",_xlpm.MacVal,_xlpm.CSVVal&lt;&gt;"",PROPER(_xlpm.CSVVal)
)),"")</f>
        <v/>
      </c>
      <c r="H115" s="2" t="str" cm="1">
        <f t="array" ref="H115">IFERROR(_xlfn.LET(
_xlpm.CSVVal,_xlfn.XLOOKUP($A115,CSV!$A:$A,CSV!H:H,""),
_xlpm.MacVal,_xlfn.XLOOKUP($A115,Output_Mac!$A:$A,Output_Mac!H:H,""),
_xlpm.MyAuditVal,_xlfn.XLOOKUP($A115,My_Audit!$A:$A,My_Audit!G:G,""),
_xlfn.IFS(_xlpm.MyAuditVal&lt;&gt;"",_xlpm.MyAuditVal,_xlpm.MacVal&lt;&gt;"",_xlpm.MacVal,_xlpm.CSVVal&lt;&gt;"",_xlpm.CSVVal
)),"")</f>
        <v/>
      </c>
      <c r="I115" s="2" t="str">
        <f>_xlfn.XLOOKUP(A115,Output_Mac!A:A,Output_Mac!I:I,"")</f>
        <v/>
      </c>
      <c r="J115" s="2" t="str" cm="1">
        <f t="array" ref="J115">IFERROR(_xlfn.LET(
_xlpm.CSVVal,_xlfn.XLOOKUP($A115,CSV!$A:$A,CSV!I:I,""),
_xlpm.MacVal,_xlfn.XLOOKUP($A115,Output_Mac!$A:$A,Output_Mac!J:J,""),
_xlpm.MyAuditVal,_xlfn.XLOOKUP($A115,My_Audit!$A:$A,My_Audit!I:I,""),
_xlfn.IFS(_xlpm.MyAuditVal&lt;&gt;"",UPPER(_xlpm.MyAuditVal),_xlpm.MacVal&lt;&gt;"",_xlpm.MacVal,_xlpm.CSVVal&lt;&gt;"",_xlpm.CSVVal
)),"")</f>
        <v/>
      </c>
      <c r="K115" s="2" t="str" cm="1">
        <f t="array" ref="K115">IFERROR(_xlfn.LET(
_xlpm.CSVVal,_xlfn.XLOOKUP($A115,CSV!$A:$A,CSV!K:K,""),
_xlpm.MacVal,_xlfn.XLOOKUP($A115,Output_Mac!$A:$A,Output_Mac!K:K,""),
_xlpm.MyAuditVal,_xlfn.XLOOKUP($A115,My_Audit!$A:$A,My_Audit!J:J,""),
_xlfn.IFS(_xlpm.MyAuditVal&lt;&gt;"",UPPER(_xlpm.MyAuditVal),_xlpm.MacVal&lt;&gt;"",_xlpm.MacVal,_xlpm.CSVVal&lt;&gt;"",_xlpm.CSVVal
)),"")</f>
        <v/>
      </c>
      <c r="L115" s="2" t="str" cm="1">
        <f t="array" ref="L115">IFERROR(_xlfn.LET(
_xlpm.CSVVal,_xlfn.XLOOKUP($A115,CSV!$A:$A,CSV!P:P,""),
_xlpm.MacVal,_xlfn.XLOOKUP($A115,Output_Mac!$A:$A,Output_Mac!L:L,""),
_xlpm.MyAuditVal,_xlfn.XLOOKUP($A115,My_Audit!$A:$A,My_Audit!K:K,""),
_xlfn.IFS(_xlpm.MyAuditVal&lt;&gt;"",UPPER(_xlpm.MyAuditVal),_xlpm.MacVal&lt;&gt;"",_xlpm.MacVal,_xlpm.CSVVal&lt;&gt;"",_xlpm.CSVVal
)),"")</f>
        <v/>
      </c>
      <c r="M115" s="2" t="str" cm="1">
        <f t="array" ref="M115">IFERROR(_xlfn.LET(
_xlpm.CSVVal,_xlfn.XLOOKUP($A115,CSV!$A:$A,CSV!Q:Q,""),
_xlpm.MacVal,_xlfn.XLOOKUP($A115,Output_Mac!$A:$A,Output_Mac!M:M,""),
_xlpm.MyAuditVal,_xlfn.XLOOKUP($A115,My_Audit!$A:$A,My_Audit!L:L,""),
_xlfn.IFS(_xlpm.MyAuditVal&lt;&gt;"",UPPER(_xlpm.MyAuditVal),_xlpm.MacVal&lt;&gt;"",_xlpm.MacVal,_xlpm.CSVVal&lt;&gt;"",_xlpm.CSVVal
)),"")</f>
        <v/>
      </c>
      <c r="O115" s="2" t="str">
        <f>_xlfn.LET(
    _xlpm.CSVVal, _xlfn.XLOOKUP($A115, CSV!$A:$A, CSV!AC:AC, ""),
    _xlpm.MacVal, _xlfn.XLOOKUP($A115, Output_Mac!$A:$A, Output_Mac!S:S, ""),
    _xlpm.MyAuditVal, _xlfn.XLOOKUP($A115, My_Audit!$A:$A, My_Audit!P:P, ""),
    _xlfn.TEXTJOIN(", ", TRUE, _xlpm.MyAuditVal, _xlpm.MacVal, _xlpm.CSVVal)
)</f>
        <v/>
      </c>
      <c r="P115" s="2" t="str" cm="1">
        <f t="array" ref="P115">IFERROR(_xlfn.LET(
_xlpm.CSVVal,_xlfn.XLOOKUP($A115,CSV!$A:$A,CSV!AD:AD,""),
_xlpm.MacVal,_xlfn.XLOOKUP($A115,Output_Mac!$A:$A,Output_Mac!T:T,""),
_xlpm.MyAuditVal,_xlfn.XLOOKUP($A115,My_Audit!$A:$A,My_Audit!Q:Q,""),
_xlfn.IFS(_xlpm.MyAuditVal&lt;&gt;"",UPPER(_xlpm.MyAuditVal),_xlpm.MacVal&lt;&gt;"",_xlpm.MacVal,_xlpm.CSVVal&lt;&gt;"",_xlpm.CSVVal
)),"No")</f>
        <v>No</v>
      </c>
      <c r="Q115" s="2" t="str" cm="1">
        <f t="array" ref="Q115">IFERROR(_xlfn.LET(
_xlpm.CSVVal,_xlfn.XLOOKUP($A115,CSV!$A:$A,CSV!AE:AE,""),
_xlpm.MacVal,_xlfn.XLOOKUP($A115,Output_Mac!$A:$A,Output_Mac!U:U,""),
_xlpm.MyAuditVal,_xlfn.XLOOKUP($A115,My_Audit!$A:$A,My_Audit!R:R,""),
_xlfn.IFS(_xlpm.MyAuditVal&lt;&gt;"",UPPER(_xlpm.MyAuditVal),_xlpm.MacVal&lt;&gt;"",_xlpm.MacVal,_xlpm.CSVVal&lt;&gt;"",_xlpm.CSVVal
)),"")</f>
        <v/>
      </c>
      <c r="X115" t="str">
        <f>_xlfn.LET(
    _xlpm.MacVal, _xlfn.XLOOKUP($A115, Output_Mac!$A:$A, Output_Mac!AB:AB, ""),
    _xlpm.MyAuditVal, _xlfn.XLOOKUP($A115, My_Audit!$A:$A, My_Audit!N:N, ""),
    _xlfn.TEXTJOIN(", ", TRUE, _xlpm.MyAuditVal, _xlpm.MacVal)
)</f>
        <v/>
      </c>
    </row>
    <row r="116" spans="1:24">
      <c r="A116" s="2" t="str">
        <f>_xlfn.TEXTJOIN("",TRUE,Input!$B$2,ROW(My_Audit!A115))</f>
        <v>X115</v>
      </c>
      <c r="B116" s="2" t="str">
        <f>_xlfn.TEXTJOIN("-",TRUE,"ITD",Input!$A$2,A116)</f>
        <v>ITD-SHR-X115</v>
      </c>
      <c r="C116" s="2" t="str" cm="1">
        <f t="array" ref="C116">IFERROR(_xlfn.LET(
_xlpm.CSVVal,_xlfn.XLOOKUP($A116,CSV!$A:$A,CSV!B:B,""),
_xlpm.MacVal,_xlfn.XLOOKUP($A116,Output_Mac!$A:$A,Output_Mac!B:B,""),
_xlpm.MyAuditVal,_xlfn.XLOOKUP($A116,My_Audit!$A:$A,My_Audit!B:B,""),
_xlfn.IFS(_xlpm.MyAuditVal&lt;&gt;"",UPPER(_xlpm.MyAuditVal),_xlpm.MacVal&lt;&gt;"",_xlpm.MacVal,_xlpm.CSVVal&lt;&gt;"",_xlpm.CSVVal
)),"")</f>
        <v/>
      </c>
      <c r="D116" s="2" t="str" cm="1">
        <f t="array" ref="D116">IFERROR(_xlfn.LET(
_xlpm.CSVVal,_xlfn.XLOOKUP($A116,CSV!$A:$A,CSV!D:D,""),
_xlpm.MacVal,_xlfn.XLOOKUP($A116,Output_Mac!$A:$A,Output_Mac!C:C,""),
_xlpm.MyAuditVal,_xlfn.XLOOKUP($A116,My_Audit!$A:$A,My_Audit!C:C,""),
_xlfn.IFS(_xlpm.MyAuditVal&lt;&gt;"",_xlpm.MyAuditVal,_xlpm.MacVal&lt;&gt;"",_xlpm.MacVal,_xlpm.CSVVal&lt;&gt;"",_xlpm.CSVVal
)),"")</f>
        <v/>
      </c>
      <c r="E116" s="2" t="str">
        <f>_xlfn.XLOOKUP(A116,My_Audit!A:A,My_Audit!D:D,"")&amp;""</f>
        <v/>
      </c>
      <c r="F116" s="2" t="str" cm="1">
        <f t="array" ref="F116">IFERROR(_xlfn.LET(
_xlpm.CSVVal,_xlfn.XLOOKUP($A116,CSV!$A:$A,CSV!F:F,""),
_xlpm.MacVal,_xlfn.XLOOKUP($A116,Output_Mac!$A:$A,Output_Mac!E:E,""),
_xlpm.MyAuditVal,_xlfn.XLOOKUP($A116,My_Audit!$A:$A,My_Audit!E:E,""),
_xlfn.IFS(_xlpm.MyAuditVal&lt;&gt;"",_xlpm.MyAuditVal,_xlpm.MacVal&lt;&gt;"",_xlpm.MacVal,_xlpm.CSVVal&lt;&gt;"",_xlpm.CSVVal
)),"")</f>
        <v/>
      </c>
      <c r="G116" s="2" t="str" cm="1">
        <f t="array" ref="G116">IFERROR(_xlfn.LET(
_xlpm.CSVVal,_xlfn.XLOOKUP($A116,CSV!$A:$A,CSV!G:G,""),
_xlpm.MacVal,_xlfn.XLOOKUP($A116,Output_Mac!$A:$A,Output_Mac!F:F,""),
_xlpm.MyAuditVal,_xlfn.XLOOKUP($A116,My_Audit!$A:$A,My_Audit!F:F,""),
_xlfn.IFS(_xlpm.MyAuditVal&lt;&gt;"",_xlpm.MyAuditVal,_xlpm.MacVal&lt;&gt;"",_xlpm.MacVal,_xlpm.CSVVal&lt;&gt;"",PROPER(_xlpm.CSVVal)
)),"")</f>
        <v/>
      </c>
      <c r="H116" s="2" t="str" cm="1">
        <f t="array" ref="H116">IFERROR(_xlfn.LET(
_xlpm.CSVVal,_xlfn.XLOOKUP($A116,CSV!$A:$A,CSV!H:H,""),
_xlpm.MacVal,_xlfn.XLOOKUP($A116,Output_Mac!$A:$A,Output_Mac!H:H,""),
_xlpm.MyAuditVal,_xlfn.XLOOKUP($A116,My_Audit!$A:$A,My_Audit!G:G,""),
_xlfn.IFS(_xlpm.MyAuditVal&lt;&gt;"",_xlpm.MyAuditVal,_xlpm.MacVal&lt;&gt;"",_xlpm.MacVal,_xlpm.CSVVal&lt;&gt;"",_xlpm.CSVVal
)),"")</f>
        <v/>
      </c>
      <c r="I116" s="2" t="str">
        <f>_xlfn.XLOOKUP(A116,Output_Mac!A:A,Output_Mac!I:I,"")</f>
        <v/>
      </c>
      <c r="J116" s="2" t="str" cm="1">
        <f t="array" ref="J116">IFERROR(_xlfn.LET(
_xlpm.CSVVal,_xlfn.XLOOKUP($A116,CSV!$A:$A,CSV!I:I,""),
_xlpm.MacVal,_xlfn.XLOOKUP($A116,Output_Mac!$A:$A,Output_Mac!J:J,""),
_xlpm.MyAuditVal,_xlfn.XLOOKUP($A116,My_Audit!$A:$A,My_Audit!I:I,""),
_xlfn.IFS(_xlpm.MyAuditVal&lt;&gt;"",UPPER(_xlpm.MyAuditVal),_xlpm.MacVal&lt;&gt;"",_xlpm.MacVal,_xlpm.CSVVal&lt;&gt;"",_xlpm.CSVVal
)),"")</f>
        <v/>
      </c>
      <c r="K116" s="2" t="str" cm="1">
        <f t="array" ref="K116">IFERROR(_xlfn.LET(
_xlpm.CSVVal,_xlfn.XLOOKUP($A116,CSV!$A:$A,CSV!K:K,""),
_xlpm.MacVal,_xlfn.XLOOKUP($A116,Output_Mac!$A:$A,Output_Mac!K:K,""),
_xlpm.MyAuditVal,_xlfn.XLOOKUP($A116,My_Audit!$A:$A,My_Audit!J:J,""),
_xlfn.IFS(_xlpm.MyAuditVal&lt;&gt;"",UPPER(_xlpm.MyAuditVal),_xlpm.MacVal&lt;&gt;"",_xlpm.MacVal,_xlpm.CSVVal&lt;&gt;"",_xlpm.CSVVal
)),"")</f>
        <v/>
      </c>
      <c r="L116" s="2" t="str" cm="1">
        <f t="array" ref="L116">IFERROR(_xlfn.LET(
_xlpm.CSVVal,_xlfn.XLOOKUP($A116,CSV!$A:$A,CSV!P:P,""),
_xlpm.MacVal,_xlfn.XLOOKUP($A116,Output_Mac!$A:$A,Output_Mac!L:L,""),
_xlpm.MyAuditVal,_xlfn.XLOOKUP($A116,My_Audit!$A:$A,My_Audit!K:K,""),
_xlfn.IFS(_xlpm.MyAuditVal&lt;&gt;"",UPPER(_xlpm.MyAuditVal),_xlpm.MacVal&lt;&gt;"",_xlpm.MacVal,_xlpm.CSVVal&lt;&gt;"",_xlpm.CSVVal
)),"")</f>
        <v/>
      </c>
      <c r="M116" s="2" t="str" cm="1">
        <f t="array" ref="M116">IFERROR(_xlfn.LET(
_xlpm.CSVVal,_xlfn.XLOOKUP($A116,CSV!$A:$A,CSV!Q:Q,""),
_xlpm.MacVal,_xlfn.XLOOKUP($A116,Output_Mac!$A:$A,Output_Mac!M:M,""),
_xlpm.MyAuditVal,_xlfn.XLOOKUP($A116,My_Audit!$A:$A,My_Audit!L:L,""),
_xlfn.IFS(_xlpm.MyAuditVal&lt;&gt;"",UPPER(_xlpm.MyAuditVal),_xlpm.MacVal&lt;&gt;"",_xlpm.MacVal,_xlpm.CSVVal&lt;&gt;"",_xlpm.CSVVal
)),"")</f>
        <v/>
      </c>
      <c r="O116" s="2" t="str">
        <f>_xlfn.LET(
    _xlpm.CSVVal, _xlfn.XLOOKUP($A116, CSV!$A:$A, CSV!AC:AC, ""),
    _xlpm.MacVal, _xlfn.XLOOKUP($A116, Output_Mac!$A:$A, Output_Mac!S:S, ""),
    _xlpm.MyAuditVal, _xlfn.XLOOKUP($A116, My_Audit!$A:$A, My_Audit!P:P, ""),
    _xlfn.TEXTJOIN(", ", TRUE, _xlpm.MyAuditVal, _xlpm.MacVal, _xlpm.CSVVal)
)</f>
        <v/>
      </c>
      <c r="P116" s="2" t="str" cm="1">
        <f t="array" ref="P116">IFERROR(_xlfn.LET(
_xlpm.CSVVal,_xlfn.XLOOKUP($A116,CSV!$A:$A,CSV!AD:AD,""),
_xlpm.MacVal,_xlfn.XLOOKUP($A116,Output_Mac!$A:$A,Output_Mac!T:T,""),
_xlpm.MyAuditVal,_xlfn.XLOOKUP($A116,My_Audit!$A:$A,My_Audit!Q:Q,""),
_xlfn.IFS(_xlpm.MyAuditVal&lt;&gt;"",UPPER(_xlpm.MyAuditVal),_xlpm.MacVal&lt;&gt;"",_xlpm.MacVal,_xlpm.CSVVal&lt;&gt;"",_xlpm.CSVVal
)),"No")</f>
        <v>No</v>
      </c>
      <c r="Q116" s="2" t="str" cm="1">
        <f t="array" ref="Q116">IFERROR(_xlfn.LET(
_xlpm.CSVVal,_xlfn.XLOOKUP($A116,CSV!$A:$A,CSV!AE:AE,""),
_xlpm.MacVal,_xlfn.XLOOKUP($A116,Output_Mac!$A:$A,Output_Mac!U:U,""),
_xlpm.MyAuditVal,_xlfn.XLOOKUP($A116,My_Audit!$A:$A,My_Audit!R:R,""),
_xlfn.IFS(_xlpm.MyAuditVal&lt;&gt;"",UPPER(_xlpm.MyAuditVal),_xlpm.MacVal&lt;&gt;"",_xlpm.MacVal,_xlpm.CSVVal&lt;&gt;"",_xlpm.CSVVal
)),"")</f>
        <v/>
      </c>
      <c r="X116" t="str">
        <f>_xlfn.LET(
    _xlpm.MacVal, _xlfn.XLOOKUP($A116, Output_Mac!$A:$A, Output_Mac!AB:AB, ""),
    _xlpm.MyAuditVal, _xlfn.XLOOKUP($A116, My_Audit!$A:$A, My_Audit!N:N, ""),
    _xlfn.TEXTJOIN(", ", TRUE, _xlpm.MyAuditVal, _xlpm.MacVal)
)</f>
        <v/>
      </c>
    </row>
    <row r="117" spans="1:24">
      <c r="A117" s="2" t="str">
        <f>_xlfn.TEXTJOIN("",TRUE,Input!$B$2,ROW(My_Audit!A116))</f>
        <v>X116</v>
      </c>
      <c r="B117" s="2" t="str">
        <f>_xlfn.TEXTJOIN("-",TRUE,"ITD",Input!$A$2,A117)</f>
        <v>ITD-SHR-X116</v>
      </c>
      <c r="C117" s="2" t="str" cm="1">
        <f t="array" ref="C117">IFERROR(_xlfn.LET(
_xlpm.CSVVal,_xlfn.XLOOKUP($A117,CSV!$A:$A,CSV!B:B,""),
_xlpm.MacVal,_xlfn.XLOOKUP($A117,Output_Mac!$A:$A,Output_Mac!B:B,""),
_xlpm.MyAuditVal,_xlfn.XLOOKUP($A117,My_Audit!$A:$A,My_Audit!B:B,""),
_xlfn.IFS(_xlpm.MyAuditVal&lt;&gt;"",UPPER(_xlpm.MyAuditVal),_xlpm.MacVal&lt;&gt;"",_xlpm.MacVal,_xlpm.CSVVal&lt;&gt;"",_xlpm.CSVVal
)),"")</f>
        <v/>
      </c>
      <c r="D117" s="2" t="str" cm="1">
        <f t="array" ref="D117">IFERROR(_xlfn.LET(
_xlpm.CSVVal,_xlfn.XLOOKUP($A117,CSV!$A:$A,CSV!D:D,""),
_xlpm.MacVal,_xlfn.XLOOKUP($A117,Output_Mac!$A:$A,Output_Mac!C:C,""),
_xlpm.MyAuditVal,_xlfn.XLOOKUP($A117,My_Audit!$A:$A,My_Audit!C:C,""),
_xlfn.IFS(_xlpm.MyAuditVal&lt;&gt;"",_xlpm.MyAuditVal,_xlpm.MacVal&lt;&gt;"",_xlpm.MacVal,_xlpm.CSVVal&lt;&gt;"",_xlpm.CSVVal
)),"")</f>
        <v/>
      </c>
      <c r="E117" s="2" t="str">
        <f>_xlfn.XLOOKUP(A117,My_Audit!A:A,My_Audit!D:D,"")&amp;""</f>
        <v/>
      </c>
      <c r="F117" s="2" t="str" cm="1">
        <f t="array" ref="F117">IFERROR(_xlfn.LET(
_xlpm.CSVVal,_xlfn.XLOOKUP($A117,CSV!$A:$A,CSV!F:F,""),
_xlpm.MacVal,_xlfn.XLOOKUP($A117,Output_Mac!$A:$A,Output_Mac!E:E,""),
_xlpm.MyAuditVal,_xlfn.XLOOKUP($A117,My_Audit!$A:$A,My_Audit!E:E,""),
_xlfn.IFS(_xlpm.MyAuditVal&lt;&gt;"",_xlpm.MyAuditVal,_xlpm.MacVal&lt;&gt;"",_xlpm.MacVal,_xlpm.CSVVal&lt;&gt;"",_xlpm.CSVVal
)),"")</f>
        <v/>
      </c>
      <c r="G117" s="2" t="str" cm="1">
        <f t="array" ref="G117">IFERROR(_xlfn.LET(
_xlpm.CSVVal,_xlfn.XLOOKUP($A117,CSV!$A:$A,CSV!G:G,""),
_xlpm.MacVal,_xlfn.XLOOKUP($A117,Output_Mac!$A:$A,Output_Mac!F:F,""),
_xlpm.MyAuditVal,_xlfn.XLOOKUP($A117,My_Audit!$A:$A,My_Audit!F:F,""),
_xlfn.IFS(_xlpm.MyAuditVal&lt;&gt;"",_xlpm.MyAuditVal,_xlpm.MacVal&lt;&gt;"",_xlpm.MacVal,_xlpm.CSVVal&lt;&gt;"",PROPER(_xlpm.CSVVal)
)),"")</f>
        <v/>
      </c>
      <c r="H117" s="2" t="str" cm="1">
        <f t="array" ref="H117">IFERROR(_xlfn.LET(
_xlpm.CSVVal,_xlfn.XLOOKUP($A117,CSV!$A:$A,CSV!H:H,""),
_xlpm.MacVal,_xlfn.XLOOKUP($A117,Output_Mac!$A:$A,Output_Mac!H:H,""),
_xlpm.MyAuditVal,_xlfn.XLOOKUP($A117,My_Audit!$A:$A,My_Audit!G:G,""),
_xlfn.IFS(_xlpm.MyAuditVal&lt;&gt;"",_xlpm.MyAuditVal,_xlpm.MacVal&lt;&gt;"",_xlpm.MacVal,_xlpm.CSVVal&lt;&gt;"",_xlpm.CSVVal
)),"")</f>
        <v/>
      </c>
      <c r="I117" s="2" t="str">
        <f>_xlfn.XLOOKUP(A117,Output_Mac!A:A,Output_Mac!I:I,"")</f>
        <v/>
      </c>
      <c r="J117" s="2" t="str" cm="1">
        <f t="array" ref="J117">IFERROR(_xlfn.LET(
_xlpm.CSVVal,_xlfn.XLOOKUP($A117,CSV!$A:$A,CSV!I:I,""),
_xlpm.MacVal,_xlfn.XLOOKUP($A117,Output_Mac!$A:$A,Output_Mac!J:J,""),
_xlpm.MyAuditVal,_xlfn.XLOOKUP($A117,My_Audit!$A:$A,My_Audit!I:I,""),
_xlfn.IFS(_xlpm.MyAuditVal&lt;&gt;"",UPPER(_xlpm.MyAuditVal),_xlpm.MacVal&lt;&gt;"",_xlpm.MacVal,_xlpm.CSVVal&lt;&gt;"",_xlpm.CSVVal
)),"")</f>
        <v/>
      </c>
      <c r="K117" s="2" t="str" cm="1">
        <f t="array" ref="K117">IFERROR(_xlfn.LET(
_xlpm.CSVVal,_xlfn.XLOOKUP($A117,CSV!$A:$A,CSV!K:K,""),
_xlpm.MacVal,_xlfn.XLOOKUP($A117,Output_Mac!$A:$A,Output_Mac!K:K,""),
_xlpm.MyAuditVal,_xlfn.XLOOKUP($A117,My_Audit!$A:$A,My_Audit!J:J,""),
_xlfn.IFS(_xlpm.MyAuditVal&lt;&gt;"",UPPER(_xlpm.MyAuditVal),_xlpm.MacVal&lt;&gt;"",_xlpm.MacVal,_xlpm.CSVVal&lt;&gt;"",_xlpm.CSVVal
)),"")</f>
        <v/>
      </c>
      <c r="L117" s="2" t="str" cm="1">
        <f t="array" ref="L117">IFERROR(_xlfn.LET(
_xlpm.CSVVal,_xlfn.XLOOKUP($A117,CSV!$A:$A,CSV!P:P,""),
_xlpm.MacVal,_xlfn.XLOOKUP($A117,Output_Mac!$A:$A,Output_Mac!L:L,""),
_xlpm.MyAuditVal,_xlfn.XLOOKUP($A117,My_Audit!$A:$A,My_Audit!K:K,""),
_xlfn.IFS(_xlpm.MyAuditVal&lt;&gt;"",UPPER(_xlpm.MyAuditVal),_xlpm.MacVal&lt;&gt;"",_xlpm.MacVal,_xlpm.CSVVal&lt;&gt;"",_xlpm.CSVVal
)),"")</f>
        <v/>
      </c>
      <c r="M117" s="2" t="str" cm="1">
        <f t="array" ref="M117">IFERROR(_xlfn.LET(
_xlpm.CSVVal,_xlfn.XLOOKUP($A117,CSV!$A:$A,CSV!Q:Q,""),
_xlpm.MacVal,_xlfn.XLOOKUP($A117,Output_Mac!$A:$A,Output_Mac!M:M,""),
_xlpm.MyAuditVal,_xlfn.XLOOKUP($A117,My_Audit!$A:$A,My_Audit!L:L,""),
_xlfn.IFS(_xlpm.MyAuditVal&lt;&gt;"",UPPER(_xlpm.MyAuditVal),_xlpm.MacVal&lt;&gt;"",_xlpm.MacVal,_xlpm.CSVVal&lt;&gt;"",_xlpm.CSVVal
)),"")</f>
        <v/>
      </c>
      <c r="O117" s="2" t="str">
        <f>_xlfn.LET(
    _xlpm.CSVVal, _xlfn.XLOOKUP($A117, CSV!$A:$A, CSV!AC:AC, ""),
    _xlpm.MacVal, _xlfn.XLOOKUP($A117, Output_Mac!$A:$A, Output_Mac!S:S, ""),
    _xlpm.MyAuditVal, _xlfn.XLOOKUP($A117, My_Audit!$A:$A, My_Audit!P:P, ""),
    _xlfn.TEXTJOIN(", ", TRUE, _xlpm.MyAuditVal, _xlpm.MacVal, _xlpm.CSVVal)
)</f>
        <v/>
      </c>
      <c r="P117" s="2" t="str" cm="1">
        <f t="array" ref="P117">IFERROR(_xlfn.LET(
_xlpm.CSVVal,_xlfn.XLOOKUP($A117,CSV!$A:$A,CSV!AD:AD,""),
_xlpm.MacVal,_xlfn.XLOOKUP($A117,Output_Mac!$A:$A,Output_Mac!T:T,""),
_xlpm.MyAuditVal,_xlfn.XLOOKUP($A117,My_Audit!$A:$A,My_Audit!Q:Q,""),
_xlfn.IFS(_xlpm.MyAuditVal&lt;&gt;"",UPPER(_xlpm.MyAuditVal),_xlpm.MacVal&lt;&gt;"",_xlpm.MacVal,_xlpm.CSVVal&lt;&gt;"",_xlpm.CSVVal
)),"No")</f>
        <v>No</v>
      </c>
      <c r="Q117" s="2" t="str" cm="1">
        <f t="array" ref="Q117">IFERROR(_xlfn.LET(
_xlpm.CSVVal,_xlfn.XLOOKUP($A117,CSV!$A:$A,CSV!AE:AE,""),
_xlpm.MacVal,_xlfn.XLOOKUP($A117,Output_Mac!$A:$A,Output_Mac!U:U,""),
_xlpm.MyAuditVal,_xlfn.XLOOKUP($A117,My_Audit!$A:$A,My_Audit!R:R,""),
_xlfn.IFS(_xlpm.MyAuditVal&lt;&gt;"",UPPER(_xlpm.MyAuditVal),_xlpm.MacVal&lt;&gt;"",_xlpm.MacVal,_xlpm.CSVVal&lt;&gt;"",_xlpm.CSVVal
)),"")</f>
        <v/>
      </c>
      <c r="X117" t="str">
        <f>_xlfn.LET(
    _xlpm.MacVal, _xlfn.XLOOKUP($A117, Output_Mac!$A:$A, Output_Mac!AB:AB, ""),
    _xlpm.MyAuditVal, _xlfn.XLOOKUP($A117, My_Audit!$A:$A, My_Audit!N:N, ""),
    _xlfn.TEXTJOIN(", ", TRUE, _xlpm.MyAuditVal, _xlpm.MacVal)
)</f>
        <v/>
      </c>
    </row>
    <row r="118" spans="1:24">
      <c r="A118" s="2" t="str">
        <f>_xlfn.TEXTJOIN("",TRUE,Input!$B$2,ROW(My_Audit!A117))</f>
        <v>X117</v>
      </c>
      <c r="B118" s="2" t="str">
        <f>_xlfn.TEXTJOIN("-",TRUE,"ITD",Input!$A$2,A118)</f>
        <v>ITD-SHR-X117</v>
      </c>
      <c r="C118" s="2" t="str" cm="1">
        <f t="array" ref="C118">IFERROR(_xlfn.LET(
_xlpm.CSVVal,_xlfn.XLOOKUP($A118,CSV!$A:$A,CSV!B:B,""),
_xlpm.MacVal,_xlfn.XLOOKUP($A118,Output_Mac!$A:$A,Output_Mac!B:B,""),
_xlpm.MyAuditVal,_xlfn.XLOOKUP($A118,My_Audit!$A:$A,My_Audit!B:B,""),
_xlfn.IFS(_xlpm.MyAuditVal&lt;&gt;"",UPPER(_xlpm.MyAuditVal),_xlpm.MacVal&lt;&gt;"",_xlpm.MacVal,_xlpm.CSVVal&lt;&gt;"",_xlpm.CSVVal
)),"")</f>
        <v/>
      </c>
      <c r="D118" s="2" t="str" cm="1">
        <f t="array" ref="D118">IFERROR(_xlfn.LET(
_xlpm.CSVVal,_xlfn.XLOOKUP($A118,CSV!$A:$A,CSV!D:D,""),
_xlpm.MacVal,_xlfn.XLOOKUP($A118,Output_Mac!$A:$A,Output_Mac!C:C,""),
_xlpm.MyAuditVal,_xlfn.XLOOKUP($A118,My_Audit!$A:$A,My_Audit!C:C,""),
_xlfn.IFS(_xlpm.MyAuditVal&lt;&gt;"",_xlpm.MyAuditVal,_xlpm.MacVal&lt;&gt;"",_xlpm.MacVal,_xlpm.CSVVal&lt;&gt;"",_xlpm.CSVVal
)),"")</f>
        <v/>
      </c>
      <c r="E118" s="2" t="str">
        <f>_xlfn.XLOOKUP(A118,My_Audit!A:A,My_Audit!D:D,"")&amp;""</f>
        <v/>
      </c>
      <c r="F118" s="2" t="str" cm="1">
        <f t="array" ref="F118">IFERROR(_xlfn.LET(
_xlpm.CSVVal,_xlfn.XLOOKUP($A118,CSV!$A:$A,CSV!F:F,""),
_xlpm.MacVal,_xlfn.XLOOKUP($A118,Output_Mac!$A:$A,Output_Mac!E:E,""),
_xlpm.MyAuditVal,_xlfn.XLOOKUP($A118,My_Audit!$A:$A,My_Audit!E:E,""),
_xlfn.IFS(_xlpm.MyAuditVal&lt;&gt;"",_xlpm.MyAuditVal,_xlpm.MacVal&lt;&gt;"",_xlpm.MacVal,_xlpm.CSVVal&lt;&gt;"",_xlpm.CSVVal
)),"")</f>
        <v/>
      </c>
      <c r="G118" s="2" t="str" cm="1">
        <f t="array" ref="G118">IFERROR(_xlfn.LET(
_xlpm.CSVVal,_xlfn.XLOOKUP($A118,CSV!$A:$A,CSV!G:G,""),
_xlpm.MacVal,_xlfn.XLOOKUP($A118,Output_Mac!$A:$A,Output_Mac!F:F,""),
_xlpm.MyAuditVal,_xlfn.XLOOKUP($A118,My_Audit!$A:$A,My_Audit!F:F,""),
_xlfn.IFS(_xlpm.MyAuditVal&lt;&gt;"",_xlpm.MyAuditVal,_xlpm.MacVal&lt;&gt;"",_xlpm.MacVal,_xlpm.CSVVal&lt;&gt;"",PROPER(_xlpm.CSVVal)
)),"")</f>
        <v/>
      </c>
      <c r="H118" s="2" t="str" cm="1">
        <f t="array" ref="H118">IFERROR(_xlfn.LET(
_xlpm.CSVVal,_xlfn.XLOOKUP($A118,CSV!$A:$A,CSV!H:H,""),
_xlpm.MacVal,_xlfn.XLOOKUP($A118,Output_Mac!$A:$A,Output_Mac!H:H,""),
_xlpm.MyAuditVal,_xlfn.XLOOKUP($A118,My_Audit!$A:$A,My_Audit!G:G,""),
_xlfn.IFS(_xlpm.MyAuditVal&lt;&gt;"",_xlpm.MyAuditVal,_xlpm.MacVal&lt;&gt;"",_xlpm.MacVal,_xlpm.CSVVal&lt;&gt;"",_xlpm.CSVVal
)),"")</f>
        <v/>
      </c>
      <c r="I118" s="2" t="str">
        <f>_xlfn.XLOOKUP(A118,Output_Mac!A:A,Output_Mac!I:I,"")</f>
        <v/>
      </c>
      <c r="J118" s="2" t="str" cm="1">
        <f t="array" ref="J118">IFERROR(_xlfn.LET(
_xlpm.CSVVal,_xlfn.XLOOKUP($A118,CSV!$A:$A,CSV!I:I,""),
_xlpm.MacVal,_xlfn.XLOOKUP($A118,Output_Mac!$A:$A,Output_Mac!J:J,""),
_xlpm.MyAuditVal,_xlfn.XLOOKUP($A118,My_Audit!$A:$A,My_Audit!I:I,""),
_xlfn.IFS(_xlpm.MyAuditVal&lt;&gt;"",UPPER(_xlpm.MyAuditVal),_xlpm.MacVal&lt;&gt;"",_xlpm.MacVal,_xlpm.CSVVal&lt;&gt;"",_xlpm.CSVVal
)),"")</f>
        <v/>
      </c>
      <c r="K118" s="2" t="str" cm="1">
        <f t="array" ref="K118">IFERROR(_xlfn.LET(
_xlpm.CSVVal,_xlfn.XLOOKUP($A118,CSV!$A:$A,CSV!K:K,""),
_xlpm.MacVal,_xlfn.XLOOKUP($A118,Output_Mac!$A:$A,Output_Mac!K:K,""),
_xlpm.MyAuditVal,_xlfn.XLOOKUP($A118,My_Audit!$A:$A,My_Audit!J:J,""),
_xlfn.IFS(_xlpm.MyAuditVal&lt;&gt;"",UPPER(_xlpm.MyAuditVal),_xlpm.MacVal&lt;&gt;"",_xlpm.MacVal,_xlpm.CSVVal&lt;&gt;"",_xlpm.CSVVal
)),"")</f>
        <v/>
      </c>
      <c r="L118" s="2" t="str" cm="1">
        <f t="array" ref="L118">IFERROR(_xlfn.LET(
_xlpm.CSVVal,_xlfn.XLOOKUP($A118,CSV!$A:$A,CSV!P:P,""),
_xlpm.MacVal,_xlfn.XLOOKUP($A118,Output_Mac!$A:$A,Output_Mac!L:L,""),
_xlpm.MyAuditVal,_xlfn.XLOOKUP($A118,My_Audit!$A:$A,My_Audit!K:K,""),
_xlfn.IFS(_xlpm.MyAuditVal&lt;&gt;"",UPPER(_xlpm.MyAuditVal),_xlpm.MacVal&lt;&gt;"",_xlpm.MacVal,_xlpm.CSVVal&lt;&gt;"",_xlpm.CSVVal
)),"")</f>
        <v/>
      </c>
      <c r="M118" s="2" t="str" cm="1">
        <f t="array" ref="M118">IFERROR(_xlfn.LET(
_xlpm.CSVVal,_xlfn.XLOOKUP($A118,CSV!$A:$A,CSV!Q:Q,""),
_xlpm.MacVal,_xlfn.XLOOKUP($A118,Output_Mac!$A:$A,Output_Mac!M:M,""),
_xlpm.MyAuditVal,_xlfn.XLOOKUP($A118,My_Audit!$A:$A,My_Audit!L:L,""),
_xlfn.IFS(_xlpm.MyAuditVal&lt;&gt;"",UPPER(_xlpm.MyAuditVal),_xlpm.MacVal&lt;&gt;"",_xlpm.MacVal,_xlpm.CSVVal&lt;&gt;"",_xlpm.CSVVal
)),"")</f>
        <v/>
      </c>
      <c r="O118" s="2" t="str">
        <f>_xlfn.LET(
    _xlpm.CSVVal, _xlfn.XLOOKUP($A118, CSV!$A:$A, CSV!AC:AC, ""),
    _xlpm.MacVal, _xlfn.XLOOKUP($A118, Output_Mac!$A:$A, Output_Mac!S:S, ""),
    _xlpm.MyAuditVal, _xlfn.XLOOKUP($A118, My_Audit!$A:$A, My_Audit!P:P, ""),
    _xlfn.TEXTJOIN(", ", TRUE, _xlpm.MyAuditVal, _xlpm.MacVal, _xlpm.CSVVal)
)</f>
        <v/>
      </c>
      <c r="P118" s="2" t="str" cm="1">
        <f t="array" ref="P118">IFERROR(_xlfn.LET(
_xlpm.CSVVal,_xlfn.XLOOKUP($A118,CSV!$A:$A,CSV!AD:AD,""),
_xlpm.MacVal,_xlfn.XLOOKUP($A118,Output_Mac!$A:$A,Output_Mac!T:T,""),
_xlpm.MyAuditVal,_xlfn.XLOOKUP($A118,My_Audit!$A:$A,My_Audit!Q:Q,""),
_xlfn.IFS(_xlpm.MyAuditVal&lt;&gt;"",UPPER(_xlpm.MyAuditVal),_xlpm.MacVal&lt;&gt;"",_xlpm.MacVal,_xlpm.CSVVal&lt;&gt;"",_xlpm.CSVVal
)),"No")</f>
        <v>No</v>
      </c>
      <c r="Q118" s="2" t="str" cm="1">
        <f t="array" ref="Q118">IFERROR(_xlfn.LET(
_xlpm.CSVVal,_xlfn.XLOOKUP($A118,CSV!$A:$A,CSV!AE:AE,""),
_xlpm.MacVal,_xlfn.XLOOKUP($A118,Output_Mac!$A:$A,Output_Mac!U:U,""),
_xlpm.MyAuditVal,_xlfn.XLOOKUP($A118,My_Audit!$A:$A,My_Audit!R:R,""),
_xlfn.IFS(_xlpm.MyAuditVal&lt;&gt;"",UPPER(_xlpm.MyAuditVal),_xlpm.MacVal&lt;&gt;"",_xlpm.MacVal,_xlpm.CSVVal&lt;&gt;"",_xlpm.CSVVal
)),"")</f>
        <v/>
      </c>
      <c r="X118" t="str">
        <f>_xlfn.LET(
    _xlpm.MacVal, _xlfn.XLOOKUP($A118, Output_Mac!$A:$A, Output_Mac!AB:AB, ""),
    _xlpm.MyAuditVal, _xlfn.XLOOKUP($A118, My_Audit!$A:$A, My_Audit!N:N, ""),
    _xlfn.TEXTJOIN(", ", TRUE, _xlpm.MyAuditVal, _xlpm.MacVal)
)</f>
        <v/>
      </c>
    </row>
    <row r="119" spans="1:24">
      <c r="A119" s="2" t="str">
        <f>_xlfn.TEXTJOIN("",TRUE,Input!$B$2,ROW(My_Audit!A118))</f>
        <v>X118</v>
      </c>
      <c r="B119" s="2" t="str">
        <f>_xlfn.TEXTJOIN("-",TRUE,"ITD",Input!$A$2,A119)</f>
        <v>ITD-SHR-X118</v>
      </c>
      <c r="C119" s="2" t="str" cm="1">
        <f t="array" ref="C119">IFERROR(_xlfn.LET(
_xlpm.CSVVal,_xlfn.XLOOKUP($A119,CSV!$A:$A,CSV!B:B,""),
_xlpm.MacVal,_xlfn.XLOOKUP($A119,Output_Mac!$A:$A,Output_Mac!B:B,""),
_xlpm.MyAuditVal,_xlfn.XLOOKUP($A119,My_Audit!$A:$A,My_Audit!B:B,""),
_xlfn.IFS(_xlpm.MyAuditVal&lt;&gt;"",UPPER(_xlpm.MyAuditVal),_xlpm.MacVal&lt;&gt;"",_xlpm.MacVal,_xlpm.CSVVal&lt;&gt;"",_xlpm.CSVVal
)),"")</f>
        <v/>
      </c>
      <c r="D119" s="2" t="str" cm="1">
        <f t="array" ref="D119">IFERROR(_xlfn.LET(
_xlpm.CSVVal,_xlfn.XLOOKUP($A119,CSV!$A:$A,CSV!D:D,""),
_xlpm.MacVal,_xlfn.XLOOKUP($A119,Output_Mac!$A:$A,Output_Mac!C:C,""),
_xlpm.MyAuditVal,_xlfn.XLOOKUP($A119,My_Audit!$A:$A,My_Audit!C:C,""),
_xlfn.IFS(_xlpm.MyAuditVal&lt;&gt;"",_xlpm.MyAuditVal,_xlpm.MacVal&lt;&gt;"",_xlpm.MacVal,_xlpm.CSVVal&lt;&gt;"",_xlpm.CSVVal
)),"")</f>
        <v/>
      </c>
      <c r="E119" s="2" t="str">
        <f>_xlfn.XLOOKUP(A119,My_Audit!A:A,My_Audit!D:D,"")&amp;""</f>
        <v/>
      </c>
      <c r="F119" s="2" t="str" cm="1">
        <f t="array" ref="F119">IFERROR(_xlfn.LET(
_xlpm.CSVVal,_xlfn.XLOOKUP($A119,CSV!$A:$A,CSV!F:F,""),
_xlpm.MacVal,_xlfn.XLOOKUP($A119,Output_Mac!$A:$A,Output_Mac!E:E,""),
_xlpm.MyAuditVal,_xlfn.XLOOKUP($A119,My_Audit!$A:$A,My_Audit!E:E,""),
_xlfn.IFS(_xlpm.MyAuditVal&lt;&gt;"",_xlpm.MyAuditVal,_xlpm.MacVal&lt;&gt;"",_xlpm.MacVal,_xlpm.CSVVal&lt;&gt;"",_xlpm.CSVVal
)),"")</f>
        <v/>
      </c>
      <c r="G119" s="2" t="str" cm="1">
        <f t="array" ref="G119">IFERROR(_xlfn.LET(
_xlpm.CSVVal,_xlfn.XLOOKUP($A119,CSV!$A:$A,CSV!G:G,""),
_xlpm.MacVal,_xlfn.XLOOKUP($A119,Output_Mac!$A:$A,Output_Mac!F:F,""),
_xlpm.MyAuditVal,_xlfn.XLOOKUP($A119,My_Audit!$A:$A,My_Audit!F:F,""),
_xlfn.IFS(_xlpm.MyAuditVal&lt;&gt;"",_xlpm.MyAuditVal,_xlpm.MacVal&lt;&gt;"",_xlpm.MacVal,_xlpm.CSVVal&lt;&gt;"",PROPER(_xlpm.CSVVal)
)),"")</f>
        <v/>
      </c>
      <c r="H119" s="2" t="str" cm="1">
        <f t="array" ref="H119">IFERROR(_xlfn.LET(
_xlpm.CSVVal,_xlfn.XLOOKUP($A119,CSV!$A:$A,CSV!H:H,""),
_xlpm.MacVal,_xlfn.XLOOKUP($A119,Output_Mac!$A:$A,Output_Mac!H:H,""),
_xlpm.MyAuditVal,_xlfn.XLOOKUP($A119,My_Audit!$A:$A,My_Audit!G:G,""),
_xlfn.IFS(_xlpm.MyAuditVal&lt;&gt;"",_xlpm.MyAuditVal,_xlpm.MacVal&lt;&gt;"",_xlpm.MacVal,_xlpm.CSVVal&lt;&gt;"",_xlpm.CSVVal
)),"")</f>
        <v/>
      </c>
      <c r="I119" s="2" t="str">
        <f>_xlfn.XLOOKUP(A119,Output_Mac!A:A,Output_Mac!I:I,"")</f>
        <v/>
      </c>
      <c r="J119" s="2" t="str" cm="1">
        <f t="array" ref="J119">IFERROR(_xlfn.LET(
_xlpm.CSVVal,_xlfn.XLOOKUP($A119,CSV!$A:$A,CSV!I:I,""),
_xlpm.MacVal,_xlfn.XLOOKUP($A119,Output_Mac!$A:$A,Output_Mac!J:J,""),
_xlpm.MyAuditVal,_xlfn.XLOOKUP($A119,My_Audit!$A:$A,My_Audit!I:I,""),
_xlfn.IFS(_xlpm.MyAuditVal&lt;&gt;"",UPPER(_xlpm.MyAuditVal),_xlpm.MacVal&lt;&gt;"",_xlpm.MacVal,_xlpm.CSVVal&lt;&gt;"",_xlpm.CSVVal
)),"")</f>
        <v/>
      </c>
      <c r="K119" s="2" t="str" cm="1">
        <f t="array" ref="K119">IFERROR(_xlfn.LET(
_xlpm.CSVVal,_xlfn.XLOOKUP($A119,CSV!$A:$A,CSV!K:K,""),
_xlpm.MacVal,_xlfn.XLOOKUP($A119,Output_Mac!$A:$A,Output_Mac!K:K,""),
_xlpm.MyAuditVal,_xlfn.XLOOKUP($A119,My_Audit!$A:$A,My_Audit!J:J,""),
_xlfn.IFS(_xlpm.MyAuditVal&lt;&gt;"",UPPER(_xlpm.MyAuditVal),_xlpm.MacVal&lt;&gt;"",_xlpm.MacVal,_xlpm.CSVVal&lt;&gt;"",_xlpm.CSVVal
)),"")</f>
        <v/>
      </c>
      <c r="L119" s="2" t="str" cm="1">
        <f t="array" ref="L119">IFERROR(_xlfn.LET(
_xlpm.CSVVal,_xlfn.XLOOKUP($A119,CSV!$A:$A,CSV!P:P,""),
_xlpm.MacVal,_xlfn.XLOOKUP($A119,Output_Mac!$A:$A,Output_Mac!L:L,""),
_xlpm.MyAuditVal,_xlfn.XLOOKUP($A119,My_Audit!$A:$A,My_Audit!K:K,""),
_xlfn.IFS(_xlpm.MyAuditVal&lt;&gt;"",UPPER(_xlpm.MyAuditVal),_xlpm.MacVal&lt;&gt;"",_xlpm.MacVal,_xlpm.CSVVal&lt;&gt;"",_xlpm.CSVVal
)),"")</f>
        <v/>
      </c>
      <c r="M119" s="2" t="str" cm="1">
        <f t="array" ref="M119">IFERROR(_xlfn.LET(
_xlpm.CSVVal,_xlfn.XLOOKUP($A119,CSV!$A:$A,CSV!Q:Q,""),
_xlpm.MacVal,_xlfn.XLOOKUP($A119,Output_Mac!$A:$A,Output_Mac!M:M,""),
_xlpm.MyAuditVal,_xlfn.XLOOKUP($A119,My_Audit!$A:$A,My_Audit!L:L,""),
_xlfn.IFS(_xlpm.MyAuditVal&lt;&gt;"",UPPER(_xlpm.MyAuditVal),_xlpm.MacVal&lt;&gt;"",_xlpm.MacVal,_xlpm.CSVVal&lt;&gt;"",_xlpm.CSVVal
)),"")</f>
        <v/>
      </c>
      <c r="O119" s="2" t="str">
        <f>_xlfn.LET(
    _xlpm.CSVVal, _xlfn.XLOOKUP($A119, CSV!$A:$A, CSV!AC:AC, ""),
    _xlpm.MacVal, _xlfn.XLOOKUP($A119, Output_Mac!$A:$A, Output_Mac!S:S, ""),
    _xlpm.MyAuditVal, _xlfn.XLOOKUP($A119, My_Audit!$A:$A, My_Audit!P:P, ""),
    _xlfn.TEXTJOIN(", ", TRUE, _xlpm.MyAuditVal, _xlpm.MacVal, _xlpm.CSVVal)
)</f>
        <v/>
      </c>
      <c r="P119" s="2" t="str" cm="1">
        <f t="array" ref="P119">IFERROR(_xlfn.LET(
_xlpm.CSVVal,_xlfn.XLOOKUP($A119,CSV!$A:$A,CSV!AD:AD,""),
_xlpm.MacVal,_xlfn.XLOOKUP($A119,Output_Mac!$A:$A,Output_Mac!T:T,""),
_xlpm.MyAuditVal,_xlfn.XLOOKUP($A119,My_Audit!$A:$A,My_Audit!Q:Q,""),
_xlfn.IFS(_xlpm.MyAuditVal&lt;&gt;"",UPPER(_xlpm.MyAuditVal),_xlpm.MacVal&lt;&gt;"",_xlpm.MacVal,_xlpm.CSVVal&lt;&gt;"",_xlpm.CSVVal
)),"No")</f>
        <v>No</v>
      </c>
      <c r="Q119" s="2" t="str" cm="1">
        <f t="array" ref="Q119">IFERROR(_xlfn.LET(
_xlpm.CSVVal,_xlfn.XLOOKUP($A119,CSV!$A:$A,CSV!AE:AE,""),
_xlpm.MacVal,_xlfn.XLOOKUP($A119,Output_Mac!$A:$A,Output_Mac!U:U,""),
_xlpm.MyAuditVal,_xlfn.XLOOKUP($A119,My_Audit!$A:$A,My_Audit!R:R,""),
_xlfn.IFS(_xlpm.MyAuditVal&lt;&gt;"",UPPER(_xlpm.MyAuditVal),_xlpm.MacVal&lt;&gt;"",_xlpm.MacVal,_xlpm.CSVVal&lt;&gt;"",_xlpm.CSVVal
)),"")</f>
        <v/>
      </c>
      <c r="X119" t="str">
        <f>_xlfn.LET(
    _xlpm.MacVal, _xlfn.XLOOKUP($A119, Output_Mac!$A:$A, Output_Mac!AB:AB, ""),
    _xlpm.MyAuditVal, _xlfn.XLOOKUP($A119, My_Audit!$A:$A, My_Audit!N:N, ""),
    _xlfn.TEXTJOIN(", ", TRUE, _xlpm.MyAuditVal, _xlpm.MacVal)
)</f>
        <v/>
      </c>
    </row>
    <row r="120" spans="1:24">
      <c r="A120" s="2" t="str">
        <f>_xlfn.TEXTJOIN("",TRUE,Input!$B$2,ROW(My_Audit!A119))</f>
        <v>X119</v>
      </c>
      <c r="B120" s="2" t="str">
        <f>_xlfn.TEXTJOIN("-",TRUE,"ITD",Input!$A$2,A120)</f>
        <v>ITD-SHR-X119</v>
      </c>
      <c r="C120" s="2" t="str" cm="1">
        <f t="array" ref="C120">IFERROR(_xlfn.LET(
_xlpm.CSVVal,_xlfn.XLOOKUP($A120,CSV!$A:$A,CSV!B:B,""),
_xlpm.MacVal,_xlfn.XLOOKUP($A120,Output_Mac!$A:$A,Output_Mac!B:B,""),
_xlpm.MyAuditVal,_xlfn.XLOOKUP($A120,My_Audit!$A:$A,My_Audit!B:B,""),
_xlfn.IFS(_xlpm.MyAuditVal&lt;&gt;"",UPPER(_xlpm.MyAuditVal),_xlpm.MacVal&lt;&gt;"",_xlpm.MacVal,_xlpm.CSVVal&lt;&gt;"",_xlpm.CSVVal
)),"")</f>
        <v/>
      </c>
      <c r="D120" s="2" t="str" cm="1">
        <f t="array" ref="D120">IFERROR(_xlfn.LET(
_xlpm.CSVVal,_xlfn.XLOOKUP($A120,CSV!$A:$A,CSV!D:D,""),
_xlpm.MacVal,_xlfn.XLOOKUP($A120,Output_Mac!$A:$A,Output_Mac!C:C,""),
_xlpm.MyAuditVal,_xlfn.XLOOKUP($A120,My_Audit!$A:$A,My_Audit!C:C,""),
_xlfn.IFS(_xlpm.MyAuditVal&lt;&gt;"",_xlpm.MyAuditVal,_xlpm.MacVal&lt;&gt;"",_xlpm.MacVal,_xlpm.CSVVal&lt;&gt;"",_xlpm.CSVVal
)),"")</f>
        <v/>
      </c>
      <c r="E120" s="2" t="str">
        <f>_xlfn.XLOOKUP(A120,My_Audit!A:A,My_Audit!D:D,"")&amp;""</f>
        <v/>
      </c>
      <c r="F120" s="2" t="str" cm="1">
        <f t="array" ref="F120">IFERROR(_xlfn.LET(
_xlpm.CSVVal,_xlfn.XLOOKUP($A120,CSV!$A:$A,CSV!F:F,""),
_xlpm.MacVal,_xlfn.XLOOKUP($A120,Output_Mac!$A:$A,Output_Mac!E:E,""),
_xlpm.MyAuditVal,_xlfn.XLOOKUP($A120,My_Audit!$A:$A,My_Audit!E:E,""),
_xlfn.IFS(_xlpm.MyAuditVal&lt;&gt;"",_xlpm.MyAuditVal,_xlpm.MacVal&lt;&gt;"",_xlpm.MacVal,_xlpm.CSVVal&lt;&gt;"",_xlpm.CSVVal
)),"")</f>
        <v/>
      </c>
      <c r="G120" s="2" t="str" cm="1">
        <f t="array" ref="G120">IFERROR(_xlfn.LET(
_xlpm.CSVVal,_xlfn.XLOOKUP($A120,CSV!$A:$A,CSV!G:G,""),
_xlpm.MacVal,_xlfn.XLOOKUP($A120,Output_Mac!$A:$A,Output_Mac!F:F,""),
_xlpm.MyAuditVal,_xlfn.XLOOKUP($A120,My_Audit!$A:$A,My_Audit!F:F,""),
_xlfn.IFS(_xlpm.MyAuditVal&lt;&gt;"",_xlpm.MyAuditVal,_xlpm.MacVal&lt;&gt;"",_xlpm.MacVal,_xlpm.CSVVal&lt;&gt;"",PROPER(_xlpm.CSVVal)
)),"")</f>
        <v/>
      </c>
      <c r="H120" s="2" t="str" cm="1">
        <f t="array" ref="H120">IFERROR(_xlfn.LET(
_xlpm.CSVVal,_xlfn.XLOOKUP($A120,CSV!$A:$A,CSV!H:H,""),
_xlpm.MacVal,_xlfn.XLOOKUP($A120,Output_Mac!$A:$A,Output_Mac!H:H,""),
_xlpm.MyAuditVal,_xlfn.XLOOKUP($A120,My_Audit!$A:$A,My_Audit!G:G,""),
_xlfn.IFS(_xlpm.MyAuditVal&lt;&gt;"",_xlpm.MyAuditVal,_xlpm.MacVal&lt;&gt;"",_xlpm.MacVal,_xlpm.CSVVal&lt;&gt;"",_xlpm.CSVVal
)),"")</f>
        <v/>
      </c>
      <c r="I120" s="2" t="str">
        <f>_xlfn.XLOOKUP(A120,Output_Mac!A:A,Output_Mac!I:I,"")</f>
        <v/>
      </c>
      <c r="J120" s="2" t="str" cm="1">
        <f t="array" ref="J120">IFERROR(_xlfn.LET(
_xlpm.CSVVal,_xlfn.XLOOKUP($A120,CSV!$A:$A,CSV!I:I,""),
_xlpm.MacVal,_xlfn.XLOOKUP($A120,Output_Mac!$A:$A,Output_Mac!J:J,""),
_xlpm.MyAuditVal,_xlfn.XLOOKUP($A120,My_Audit!$A:$A,My_Audit!I:I,""),
_xlfn.IFS(_xlpm.MyAuditVal&lt;&gt;"",UPPER(_xlpm.MyAuditVal),_xlpm.MacVal&lt;&gt;"",_xlpm.MacVal,_xlpm.CSVVal&lt;&gt;"",_xlpm.CSVVal
)),"")</f>
        <v/>
      </c>
      <c r="K120" s="2" t="str" cm="1">
        <f t="array" ref="K120">IFERROR(_xlfn.LET(
_xlpm.CSVVal,_xlfn.XLOOKUP($A120,CSV!$A:$A,CSV!K:K,""),
_xlpm.MacVal,_xlfn.XLOOKUP($A120,Output_Mac!$A:$A,Output_Mac!K:K,""),
_xlpm.MyAuditVal,_xlfn.XLOOKUP($A120,My_Audit!$A:$A,My_Audit!J:J,""),
_xlfn.IFS(_xlpm.MyAuditVal&lt;&gt;"",UPPER(_xlpm.MyAuditVal),_xlpm.MacVal&lt;&gt;"",_xlpm.MacVal,_xlpm.CSVVal&lt;&gt;"",_xlpm.CSVVal
)),"")</f>
        <v/>
      </c>
      <c r="L120" s="2" t="str" cm="1">
        <f t="array" ref="L120">IFERROR(_xlfn.LET(
_xlpm.CSVVal,_xlfn.XLOOKUP($A120,CSV!$A:$A,CSV!P:P,""),
_xlpm.MacVal,_xlfn.XLOOKUP($A120,Output_Mac!$A:$A,Output_Mac!L:L,""),
_xlpm.MyAuditVal,_xlfn.XLOOKUP($A120,My_Audit!$A:$A,My_Audit!K:K,""),
_xlfn.IFS(_xlpm.MyAuditVal&lt;&gt;"",UPPER(_xlpm.MyAuditVal),_xlpm.MacVal&lt;&gt;"",_xlpm.MacVal,_xlpm.CSVVal&lt;&gt;"",_xlpm.CSVVal
)),"")</f>
        <v/>
      </c>
      <c r="M120" s="2" t="str" cm="1">
        <f t="array" ref="M120">IFERROR(_xlfn.LET(
_xlpm.CSVVal,_xlfn.XLOOKUP($A120,CSV!$A:$A,CSV!Q:Q,""),
_xlpm.MacVal,_xlfn.XLOOKUP($A120,Output_Mac!$A:$A,Output_Mac!M:M,""),
_xlpm.MyAuditVal,_xlfn.XLOOKUP($A120,My_Audit!$A:$A,My_Audit!L:L,""),
_xlfn.IFS(_xlpm.MyAuditVal&lt;&gt;"",UPPER(_xlpm.MyAuditVal),_xlpm.MacVal&lt;&gt;"",_xlpm.MacVal,_xlpm.CSVVal&lt;&gt;"",_xlpm.CSVVal
)),"")</f>
        <v/>
      </c>
      <c r="O120" s="2" t="str">
        <f>_xlfn.LET(
    _xlpm.CSVVal, _xlfn.XLOOKUP($A120, CSV!$A:$A, CSV!AC:AC, ""),
    _xlpm.MacVal, _xlfn.XLOOKUP($A120, Output_Mac!$A:$A, Output_Mac!S:S, ""),
    _xlpm.MyAuditVal, _xlfn.XLOOKUP($A120, My_Audit!$A:$A, My_Audit!P:P, ""),
    _xlfn.TEXTJOIN(", ", TRUE, _xlpm.MyAuditVal, _xlpm.MacVal, _xlpm.CSVVal)
)</f>
        <v/>
      </c>
      <c r="P120" s="2" t="str" cm="1">
        <f t="array" ref="P120">IFERROR(_xlfn.LET(
_xlpm.CSVVal,_xlfn.XLOOKUP($A120,CSV!$A:$A,CSV!AD:AD,""),
_xlpm.MacVal,_xlfn.XLOOKUP($A120,Output_Mac!$A:$A,Output_Mac!T:T,""),
_xlpm.MyAuditVal,_xlfn.XLOOKUP($A120,My_Audit!$A:$A,My_Audit!Q:Q,""),
_xlfn.IFS(_xlpm.MyAuditVal&lt;&gt;"",UPPER(_xlpm.MyAuditVal),_xlpm.MacVal&lt;&gt;"",_xlpm.MacVal,_xlpm.CSVVal&lt;&gt;"",_xlpm.CSVVal
)),"No")</f>
        <v>No</v>
      </c>
      <c r="Q120" s="2" t="str" cm="1">
        <f t="array" ref="Q120">IFERROR(_xlfn.LET(
_xlpm.CSVVal,_xlfn.XLOOKUP($A120,CSV!$A:$A,CSV!AE:AE,""),
_xlpm.MacVal,_xlfn.XLOOKUP($A120,Output_Mac!$A:$A,Output_Mac!U:U,""),
_xlpm.MyAuditVal,_xlfn.XLOOKUP($A120,My_Audit!$A:$A,My_Audit!R:R,""),
_xlfn.IFS(_xlpm.MyAuditVal&lt;&gt;"",UPPER(_xlpm.MyAuditVal),_xlpm.MacVal&lt;&gt;"",_xlpm.MacVal,_xlpm.CSVVal&lt;&gt;"",_xlpm.CSVVal
)),"")</f>
        <v/>
      </c>
      <c r="X120" t="str">
        <f>_xlfn.LET(
    _xlpm.MacVal, _xlfn.XLOOKUP($A120, Output_Mac!$A:$A, Output_Mac!AB:AB, ""),
    _xlpm.MyAuditVal, _xlfn.XLOOKUP($A120, My_Audit!$A:$A, My_Audit!N:N, ""),
    _xlfn.TEXTJOIN(", ", TRUE, _xlpm.MyAuditVal, _xlpm.MacVal)
)</f>
        <v/>
      </c>
    </row>
    <row r="121" spans="1:24">
      <c r="A121" s="2" t="str">
        <f>_xlfn.TEXTJOIN("",TRUE,Input!$B$2,ROW(My_Audit!A120))</f>
        <v>X120</v>
      </c>
      <c r="B121" s="2" t="str">
        <f>_xlfn.TEXTJOIN("-",TRUE,"ITD",Input!$A$2,A121)</f>
        <v>ITD-SHR-X120</v>
      </c>
      <c r="C121" s="2" t="str" cm="1">
        <f t="array" ref="C121">IFERROR(_xlfn.LET(
_xlpm.CSVVal,_xlfn.XLOOKUP($A121,CSV!$A:$A,CSV!B:B,""),
_xlpm.MacVal,_xlfn.XLOOKUP($A121,Output_Mac!$A:$A,Output_Mac!B:B,""),
_xlpm.MyAuditVal,_xlfn.XLOOKUP($A121,My_Audit!$A:$A,My_Audit!B:B,""),
_xlfn.IFS(_xlpm.MyAuditVal&lt;&gt;"",UPPER(_xlpm.MyAuditVal),_xlpm.MacVal&lt;&gt;"",_xlpm.MacVal,_xlpm.CSVVal&lt;&gt;"",_xlpm.CSVVal
)),"")</f>
        <v/>
      </c>
      <c r="D121" s="2" t="str" cm="1">
        <f t="array" ref="D121">IFERROR(_xlfn.LET(
_xlpm.CSVVal,_xlfn.XLOOKUP($A121,CSV!$A:$A,CSV!D:D,""),
_xlpm.MacVal,_xlfn.XLOOKUP($A121,Output_Mac!$A:$A,Output_Mac!C:C,""),
_xlpm.MyAuditVal,_xlfn.XLOOKUP($A121,My_Audit!$A:$A,My_Audit!C:C,""),
_xlfn.IFS(_xlpm.MyAuditVal&lt;&gt;"",_xlpm.MyAuditVal,_xlpm.MacVal&lt;&gt;"",_xlpm.MacVal,_xlpm.CSVVal&lt;&gt;"",_xlpm.CSVVal
)),"")</f>
        <v/>
      </c>
      <c r="E121" s="2" t="str">
        <f>_xlfn.XLOOKUP(A121,My_Audit!A:A,My_Audit!D:D,"")&amp;""</f>
        <v/>
      </c>
      <c r="F121" s="2" t="str" cm="1">
        <f t="array" ref="F121">IFERROR(_xlfn.LET(
_xlpm.CSVVal,_xlfn.XLOOKUP($A121,CSV!$A:$A,CSV!F:F,""),
_xlpm.MacVal,_xlfn.XLOOKUP($A121,Output_Mac!$A:$A,Output_Mac!E:E,""),
_xlpm.MyAuditVal,_xlfn.XLOOKUP($A121,My_Audit!$A:$A,My_Audit!E:E,""),
_xlfn.IFS(_xlpm.MyAuditVal&lt;&gt;"",_xlpm.MyAuditVal,_xlpm.MacVal&lt;&gt;"",_xlpm.MacVal,_xlpm.CSVVal&lt;&gt;"",_xlpm.CSVVal
)),"")</f>
        <v/>
      </c>
      <c r="G121" s="2" t="str" cm="1">
        <f t="array" ref="G121">IFERROR(_xlfn.LET(
_xlpm.CSVVal,_xlfn.XLOOKUP($A121,CSV!$A:$A,CSV!G:G,""),
_xlpm.MacVal,_xlfn.XLOOKUP($A121,Output_Mac!$A:$A,Output_Mac!F:F,""),
_xlpm.MyAuditVal,_xlfn.XLOOKUP($A121,My_Audit!$A:$A,My_Audit!F:F,""),
_xlfn.IFS(_xlpm.MyAuditVal&lt;&gt;"",_xlpm.MyAuditVal,_xlpm.MacVal&lt;&gt;"",_xlpm.MacVal,_xlpm.CSVVal&lt;&gt;"",PROPER(_xlpm.CSVVal)
)),"")</f>
        <v/>
      </c>
      <c r="H121" s="2" t="str" cm="1">
        <f t="array" ref="H121">IFERROR(_xlfn.LET(
_xlpm.CSVVal,_xlfn.XLOOKUP($A121,CSV!$A:$A,CSV!H:H,""),
_xlpm.MacVal,_xlfn.XLOOKUP($A121,Output_Mac!$A:$A,Output_Mac!H:H,""),
_xlpm.MyAuditVal,_xlfn.XLOOKUP($A121,My_Audit!$A:$A,My_Audit!G:G,""),
_xlfn.IFS(_xlpm.MyAuditVal&lt;&gt;"",_xlpm.MyAuditVal,_xlpm.MacVal&lt;&gt;"",_xlpm.MacVal,_xlpm.CSVVal&lt;&gt;"",_xlpm.CSVVal
)),"")</f>
        <v/>
      </c>
      <c r="I121" s="2" t="str">
        <f>_xlfn.XLOOKUP(A121,Output_Mac!A:A,Output_Mac!I:I,"")</f>
        <v/>
      </c>
      <c r="J121" s="2" t="str" cm="1">
        <f t="array" ref="J121">IFERROR(_xlfn.LET(
_xlpm.CSVVal,_xlfn.XLOOKUP($A121,CSV!$A:$A,CSV!I:I,""),
_xlpm.MacVal,_xlfn.XLOOKUP($A121,Output_Mac!$A:$A,Output_Mac!J:J,""),
_xlpm.MyAuditVal,_xlfn.XLOOKUP($A121,My_Audit!$A:$A,My_Audit!I:I,""),
_xlfn.IFS(_xlpm.MyAuditVal&lt;&gt;"",UPPER(_xlpm.MyAuditVal),_xlpm.MacVal&lt;&gt;"",_xlpm.MacVal,_xlpm.CSVVal&lt;&gt;"",_xlpm.CSVVal
)),"")</f>
        <v/>
      </c>
      <c r="K121" s="2" t="str" cm="1">
        <f t="array" ref="K121">IFERROR(_xlfn.LET(
_xlpm.CSVVal,_xlfn.XLOOKUP($A121,CSV!$A:$A,CSV!K:K,""),
_xlpm.MacVal,_xlfn.XLOOKUP($A121,Output_Mac!$A:$A,Output_Mac!K:K,""),
_xlpm.MyAuditVal,_xlfn.XLOOKUP($A121,My_Audit!$A:$A,My_Audit!J:J,""),
_xlfn.IFS(_xlpm.MyAuditVal&lt;&gt;"",UPPER(_xlpm.MyAuditVal),_xlpm.MacVal&lt;&gt;"",_xlpm.MacVal,_xlpm.CSVVal&lt;&gt;"",_xlpm.CSVVal
)),"")</f>
        <v/>
      </c>
      <c r="L121" s="2" t="str" cm="1">
        <f t="array" ref="L121">IFERROR(_xlfn.LET(
_xlpm.CSVVal,_xlfn.XLOOKUP($A121,CSV!$A:$A,CSV!P:P,""),
_xlpm.MacVal,_xlfn.XLOOKUP($A121,Output_Mac!$A:$A,Output_Mac!L:L,""),
_xlpm.MyAuditVal,_xlfn.XLOOKUP($A121,My_Audit!$A:$A,My_Audit!K:K,""),
_xlfn.IFS(_xlpm.MyAuditVal&lt;&gt;"",UPPER(_xlpm.MyAuditVal),_xlpm.MacVal&lt;&gt;"",_xlpm.MacVal,_xlpm.CSVVal&lt;&gt;"",_xlpm.CSVVal
)),"")</f>
        <v/>
      </c>
      <c r="M121" s="2" t="str" cm="1">
        <f t="array" ref="M121">IFERROR(_xlfn.LET(
_xlpm.CSVVal,_xlfn.XLOOKUP($A121,CSV!$A:$A,CSV!Q:Q,""),
_xlpm.MacVal,_xlfn.XLOOKUP($A121,Output_Mac!$A:$A,Output_Mac!M:M,""),
_xlpm.MyAuditVal,_xlfn.XLOOKUP($A121,My_Audit!$A:$A,My_Audit!L:L,""),
_xlfn.IFS(_xlpm.MyAuditVal&lt;&gt;"",UPPER(_xlpm.MyAuditVal),_xlpm.MacVal&lt;&gt;"",_xlpm.MacVal,_xlpm.CSVVal&lt;&gt;"",_xlpm.CSVVal
)),"")</f>
        <v/>
      </c>
      <c r="O121" s="2" t="str">
        <f>_xlfn.LET(
    _xlpm.CSVVal, _xlfn.XLOOKUP($A121, CSV!$A:$A, CSV!AC:AC, ""),
    _xlpm.MacVal, _xlfn.XLOOKUP($A121, Output_Mac!$A:$A, Output_Mac!S:S, ""),
    _xlpm.MyAuditVal, _xlfn.XLOOKUP($A121, My_Audit!$A:$A, My_Audit!P:P, ""),
    _xlfn.TEXTJOIN(", ", TRUE, _xlpm.MyAuditVal, _xlpm.MacVal, _xlpm.CSVVal)
)</f>
        <v/>
      </c>
      <c r="P121" s="2" t="str" cm="1">
        <f t="array" ref="P121">IFERROR(_xlfn.LET(
_xlpm.CSVVal,_xlfn.XLOOKUP($A121,CSV!$A:$A,CSV!AD:AD,""),
_xlpm.MacVal,_xlfn.XLOOKUP($A121,Output_Mac!$A:$A,Output_Mac!T:T,""),
_xlpm.MyAuditVal,_xlfn.XLOOKUP($A121,My_Audit!$A:$A,My_Audit!Q:Q,""),
_xlfn.IFS(_xlpm.MyAuditVal&lt;&gt;"",UPPER(_xlpm.MyAuditVal),_xlpm.MacVal&lt;&gt;"",_xlpm.MacVal,_xlpm.CSVVal&lt;&gt;"",_xlpm.CSVVal
)),"No")</f>
        <v>No</v>
      </c>
      <c r="Q121" s="2" t="str" cm="1">
        <f t="array" ref="Q121">IFERROR(_xlfn.LET(
_xlpm.CSVVal,_xlfn.XLOOKUP($A121,CSV!$A:$A,CSV!AE:AE,""),
_xlpm.MacVal,_xlfn.XLOOKUP($A121,Output_Mac!$A:$A,Output_Mac!U:U,""),
_xlpm.MyAuditVal,_xlfn.XLOOKUP($A121,My_Audit!$A:$A,My_Audit!R:R,""),
_xlfn.IFS(_xlpm.MyAuditVal&lt;&gt;"",UPPER(_xlpm.MyAuditVal),_xlpm.MacVal&lt;&gt;"",_xlpm.MacVal,_xlpm.CSVVal&lt;&gt;"",_xlpm.CSVVal
)),"")</f>
        <v/>
      </c>
      <c r="X121" t="str">
        <f>_xlfn.LET(
    _xlpm.MacVal, _xlfn.XLOOKUP($A121, Output_Mac!$A:$A, Output_Mac!AB:AB, ""),
    _xlpm.MyAuditVal, _xlfn.XLOOKUP($A121, My_Audit!$A:$A, My_Audit!N:N, ""),
    _xlfn.TEXTJOIN(", ", TRUE, _xlpm.MyAuditVal, _xlpm.MacVal)
)</f>
        <v/>
      </c>
    </row>
    <row r="122" spans="1:24">
      <c r="A122" s="2" t="str">
        <f>_xlfn.TEXTJOIN("",TRUE,Input!$B$2,ROW(My_Audit!A121))</f>
        <v>X121</v>
      </c>
      <c r="B122" s="2" t="str">
        <f>_xlfn.TEXTJOIN("-",TRUE,"ITD",Input!$A$2,A122)</f>
        <v>ITD-SHR-X121</v>
      </c>
      <c r="C122" s="2" t="str" cm="1">
        <f t="array" ref="C122">IFERROR(_xlfn.LET(
_xlpm.CSVVal,_xlfn.XLOOKUP($A122,CSV!$A:$A,CSV!B:B,""),
_xlpm.MacVal,_xlfn.XLOOKUP($A122,Output_Mac!$A:$A,Output_Mac!B:B,""),
_xlpm.MyAuditVal,_xlfn.XLOOKUP($A122,My_Audit!$A:$A,My_Audit!B:B,""),
_xlfn.IFS(_xlpm.MyAuditVal&lt;&gt;"",UPPER(_xlpm.MyAuditVal),_xlpm.MacVal&lt;&gt;"",_xlpm.MacVal,_xlpm.CSVVal&lt;&gt;"",_xlpm.CSVVal
)),"")</f>
        <v/>
      </c>
      <c r="D122" s="2" t="str" cm="1">
        <f t="array" ref="D122">IFERROR(_xlfn.LET(
_xlpm.CSVVal,_xlfn.XLOOKUP($A122,CSV!$A:$A,CSV!D:D,""),
_xlpm.MacVal,_xlfn.XLOOKUP($A122,Output_Mac!$A:$A,Output_Mac!C:C,""),
_xlpm.MyAuditVal,_xlfn.XLOOKUP($A122,My_Audit!$A:$A,My_Audit!C:C,""),
_xlfn.IFS(_xlpm.MyAuditVal&lt;&gt;"",_xlpm.MyAuditVal,_xlpm.MacVal&lt;&gt;"",_xlpm.MacVal,_xlpm.CSVVal&lt;&gt;"",_xlpm.CSVVal
)),"")</f>
        <v/>
      </c>
      <c r="E122" s="2" t="str">
        <f>_xlfn.XLOOKUP(A122,My_Audit!A:A,My_Audit!D:D,"")&amp;""</f>
        <v/>
      </c>
      <c r="F122" s="2" t="str" cm="1">
        <f t="array" ref="F122">IFERROR(_xlfn.LET(
_xlpm.CSVVal,_xlfn.XLOOKUP($A122,CSV!$A:$A,CSV!F:F,""),
_xlpm.MacVal,_xlfn.XLOOKUP($A122,Output_Mac!$A:$A,Output_Mac!E:E,""),
_xlpm.MyAuditVal,_xlfn.XLOOKUP($A122,My_Audit!$A:$A,My_Audit!E:E,""),
_xlfn.IFS(_xlpm.MyAuditVal&lt;&gt;"",_xlpm.MyAuditVal,_xlpm.MacVal&lt;&gt;"",_xlpm.MacVal,_xlpm.CSVVal&lt;&gt;"",_xlpm.CSVVal
)),"")</f>
        <v/>
      </c>
      <c r="G122" s="2" t="str" cm="1">
        <f t="array" ref="G122">IFERROR(_xlfn.LET(
_xlpm.CSVVal,_xlfn.XLOOKUP($A122,CSV!$A:$A,CSV!G:G,""),
_xlpm.MacVal,_xlfn.XLOOKUP($A122,Output_Mac!$A:$A,Output_Mac!F:F,""),
_xlpm.MyAuditVal,_xlfn.XLOOKUP($A122,My_Audit!$A:$A,My_Audit!F:F,""),
_xlfn.IFS(_xlpm.MyAuditVal&lt;&gt;"",_xlpm.MyAuditVal,_xlpm.MacVal&lt;&gt;"",_xlpm.MacVal,_xlpm.CSVVal&lt;&gt;"",PROPER(_xlpm.CSVVal)
)),"")</f>
        <v/>
      </c>
      <c r="H122" s="2" t="str" cm="1">
        <f t="array" ref="H122">IFERROR(_xlfn.LET(
_xlpm.CSVVal,_xlfn.XLOOKUP($A122,CSV!$A:$A,CSV!H:H,""),
_xlpm.MacVal,_xlfn.XLOOKUP($A122,Output_Mac!$A:$A,Output_Mac!H:H,""),
_xlpm.MyAuditVal,_xlfn.XLOOKUP($A122,My_Audit!$A:$A,My_Audit!G:G,""),
_xlfn.IFS(_xlpm.MyAuditVal&lt;&gt;"",_xlpm.MyAuditVal,_xlpm.MacVal&lt;&gt;"",_xlpm.MacVal,_xlpm.CSVVal&lt;&gt;"",_xlpm.CSVVal
)),"")</f>
        <v/>
      </c>
      <c r="I122" s="2" t="str">
        <f>_xlfn.XLOOKUP(A122,Output_Mac!A:A,Output_Mac!I:I,"")</f>
        <v/>
      </c>
      <c r="J122" s="2" t="str" cm="1">
        <f t="array" ref="J122">IFERROR(_xlfn.LET(
_xlpm.CSVVal,_xlfn.XLOOKUP($A122,CSV!$A:$A,CSV!I:I,""),
_xlpm.MacVal,_xlfn.XLOOKUP($A122,Output_Mac!$A:$A,Output_Mac!J:J,""),
_xlpm.MyAuditVal,_xlfn.XLOOKUP($A122,My_Audit!$A:$A,My_Audit!I:I,""),
_xlfn.IFS(_xlpm.MyAuditVal&lt;&gt;"",UPPER(_xlpm.MyAuditVal),_xlpm.MacVal&lt;&gt;"",_xlpm.MacVal,_xlpm.CSVVal&lt;&gt;"",_xlpm.CSVVal
)),"")</f>
        <v/>
      </c>
      <c r="K122" s="2" t="str" cm="1">
        <f t="array" ref="K122">IFERROR(_xlfn.LET(
_xlpm.CSVVal,_xlfn.XLOOKUP($A122,CSV!$A:$A,CSV!K:K,""),
_xlpm.MacVal,_xlfn.XLOOKUP($A122,Output_Mac!$A:$A,Output_Mac!K:K,""),
_xlpm.MyAuditVal,_xlfn.XLOOKUP($A122,My_Audit!$A:$A,My_Audit!J:J,""),
_xlfn.IFS(_xlpm.MyAuditVal&lt;&gt;"",UPPER(_xlpm.MyAuditVal),_xlpm.MacVal&lt;&gt;"",_xlpm.MacVal,_xlpm.CSVVal&lt;&gt;"",_xlpm.CSVVal
)),"")</f>
        <v/>
      </c>
      <c r="L122" s="2" t="str" cm="1">
        <f t="array" ref="L122">IFERROR(_xlfn.LET(
_xlpm.CSVVal,_xlfn.XLOOKUP($A122,CSV!$A:$A,CSV!P:P,""),
_xlpm.MacVal,_xlfn.XLOOKUP($A122,Output_Mac!$A:$A,Output_Mac!L:L,""),
_xlpm.MyAuditVal,_xlfn.XLOOKUP($A122,My_Audit!$A:$A,My_Audit!K:K,""),
_xlfn.IFS(_xlpm.MyAuditVal&lt;&gt;"",UPPER(_xlpm.MyAuditVal),_xlpm.MacVal&lt;&gt;"",_xlpm.MacVal,_xlpm.CSVVal&lt;&gt;"",_xlpm.CSVVal
)),"")</f>
        <v/>
      </c>
      <c r="M122" s="2" t="str" cm="1">
        <f t="array" ref="M122">IFERROR(_xlfn.LET(
_xlpm.CSVVal,_xlfn.XLOOKUP($A122,CSV!$A:$A,CSV!Q:Q,""),
_xlpm.MacVal,_xlfn.XLOOKUP($A122,Output_Mac!$A:$A,Output_Mac!M:M,""),
_xlpm.MyAuditVal,_xlfn.XLOOKUP($A122,My_Audit!$A:$A,My_Audit!L:L,""),
_xlfn.IFS(_xlpm.MyAuditVal&lt;&gt;"",UPPER(_xlpm.MyAuditVal),_xlpm.MacVal&lt;&gt;"",_xlpm.MacVal,_xlpm.CSVVal&lt;&gt;"",_xlpm.CSVVal
)),"")</f>
        <v/>
      </c>
      <c r="O122" s="2" t="str">
        <f>_xlfn.LET(
    _xlpm.CSVVal, _xlfn.XLOOKUP($A122, CSV!$A:$A, CSV!AC:AC, ""),
    _xlpm.MacVal, _xlfn.XLOOKUP($A122, Output_Mac!$A:$A, Output_Mac!S:S, ""),
    _xlpm.MyAuditVal, _xlfn.XLOOKUP($A122, My_Audit!$A:$A, My_Audit!P:P, ""),
    _xlfn.TEXTJOIN(", ", TRUE, _xlpm.MyAuditVal, _xlpm.MacVal, _xlpm.CSVVal)
)</f>
        <v/>
      </c>
      <c r="P122" s="2" t="str" cm="1">
        <f t="array" ref="P122">IFERROR(_xlfn.LET(
_xlpm.CSVVal,_xlfn.XLOOKUP($A122,CSV!$A:$A,CSV!AD:AD,""),
_xlpm.MacVal,_xlfn.XLOOKUP($A122,Output_Mac!$A:$A,Output_Mac!T:T,""),
_xlpm.MyAuditVal,_xlfn.XLOOKUP($A122,My_Audit!$A:$A,My_Audit!Q:Q,""),
_xlfn.IFS(_xlpm.MyAuditVal&lt;&gt;"",UPPER(_xlpm.MyAuditVal),_xlpm.MacVal&lt;&gt;"",_xlpm.MacVal,_xlpm.CSVVal&lt;&gt;"",_xlpm.CSVVal
)),"No")</f>
        <v>No</v>
      </c>
      <c r="Q122" s="2" t="str" cm="1">
        <f t="array" ref="Q122">IFERROR(_xlfn.LET(
_xlpm.CSVVal,_xlfn.XLOOKUP($A122,CSV!$A:$A,CSV!AE:AE,""),
_xlpm.MacVal,_xlfn.XLOOKUP($A122,Output_Mac!$A:$A,Output_Mac!U:U,""),
_xlpm.MyAuditVal,_xlfn.XLOOKUP($A122,My_Audit!$A:$A,My_Audit!R:R,""),
_xlfn.IFS(_xlpm.MyAuditVal&lt;&gt;"",UPPER(_xlpm.MyAuditVal),_xlpm.MacVal&lt;&gt;"",_xlpm.MacVal,_xlpm.CSVVal&lt;&gt;"",_xlpm.CSVVal
)),"")</f>
        <v/>
      </c>
      <c r="X122" t="str">
        <f>_xlfn.LET(
    _xlpm.MacVal, _xlfn.XLOOKUP($A122, Output_Mac!$A:$A, Output_Mac!AB:AB, ""),
    _xlpm.MyAuditVal, _xlfn.XLOOKUP($A122, My_Audit!$A:$A, My_Audit!N:N, ""),
    _xlfn.TEXTJOIN(", ", TRUE, _xlpm.MyAuditVal, _xlpm.MacVal)
)</f>
        <v/>
      </c>
    </row>
    <row r="123" spans="1:24">
      <c r="A123" s="2" t="str">
        <f>_xlfn.TEXTJOIN("",TRUE,Input!$B$2,ROW(My_Audit!A122))</f>
        <v>X122</v>
      </c>
      <c r="B123" s="2" t="str">
        <f>_xlfn.TEXTJOIN("-",TRUE,"ITD",Input!$A$2,A123)</f>
        <v>ITD-SHR-X122</v>
      </c>
      <c r="C123" s="2" t="str" cm="1">
        <f t="array" ref="C123">IFERROR(_xlfn.LET(
_xlpm.CSVVal,_xlfn.XLOOKUP($A123,CSV!$A:$A,CSV!B:B,""),
_xlpm.MacVal,_xlfn.XLOOKUP($A123,Output_Mac!$A:$A,Output_Mac!B:B,""),
_xlpm.MyAuditVal,_xlfn.XLOOKUP($A123,My_Audit!$A:$A,My_Audit!B:B,""),
_xlfn.IFS(_xlpm.MyAuditVal&lt;&gt;"",UPPER(_xlpm.MyAuditVal),_xlpm.MacVal&lt;&gt;"",_xlpm.MacVal,_xlpm.CSVVal&lt;&gt;"",_xlpm.CSVVal
)),"")</f>
        <v/>
      </c>
      <c r="D123" s="2" t="str" cm="1">
        <f t="array" ref="D123">IFERROR(_xlfn.LET(
_xlpm.CSVVal,_xlfn.XLOOKUP($A123,CSV!$A:$A,CSV!D:D,""),
_xlpm.MacVal,_xlfn.XLOOKUP($A123,Output_Mac!$A:$A,Output_Mac!C:C,""),
_xlpm.MyAuditVal,_xlfn.XLOOKUP($A123,My_Audit!$A:$A,My_Audit!C:C,""),
_xlfn.IFS(_xlpm.MyAuditVal&lt;&gt;"",_xlpm.MyAuditVal,_xlpm.MacVal&lt;&gt;"",_xlpm.MacVal,_xlpm.CSVVal&lt;&gt;"",_xlpm.CSVVal
)),"")</f>
        <v/>
      </c>
      <c r="E123" s="2" t="str">
        <f>_xlfn.XLOOKUP(A123,My_Audit!A:A,My_Audit!D:D,"")&amp;""</f>
        <v/>
      </c>
      <c r="F123" s="2" t="str" cm="1">
        <f t="array" ref="F123">IFERROR(_xlfn.LET(
_xlpm.CSVVal,_xlfn.XLOOKUP($A123,CSV!$A:$A,CSV!F:F,""),
_xlpm.MacVal,_xlfn.XLOOKUP($A123,Output_Mac!$A:$A,Output_Mac!E:E,""),
_xlpm.MyAuditVal,_xlfn.XLOOKUP($A123,My_Audit!$A:$A,My_Audit!E:E,""),
_xlfn.IFS(_xlpm.MyAuditVal&lt;&gt;"",_xlpm.MyAuditVal,_xlpm.MacVal&lt;&gt;"",_xlpm.MacVal,_xlpm.CSVVal&lt;&gt;"",_xlpm.CSVVal
)),"")</f>
        <v/>
      </c>
      <c r="G123" s="2" t="str" cm="1">
        <f t="array" ref="G123">IFERROR(_xlfn.LET(
_xlpm.CSVVal,_xlfn.XLOOKUP($A123,CSV!$A:$A,CSV!G:G,""),
_xlpm.MacVal,_xlfn.XLOOKUP($A123,Output_Mac!$A:$A,Output_Mac!F:F,""),
_xlpm.MyAuditVal,_xlfn.XLOOKUP($A123,My_Audit!$A:$A,My_Audit!F:F,""),
_xlfn.IFS(_xlpm.MyAuditVal&lt;&gt;"",_xlpm.MyAuditVal,_xlpm.MacVal&lt;&gt;"",_xlpm.MacVal,_xlpm.CSVVal&lt;&gt;"",PROPER(_xlpm.CSVVal)
)),"")</f>
        <v/>
      </c>
      <c r="H123" s="2" t="str" cm="1">
        <f t="array" ref="H123">IFERROR(_xlfn.LET(
_xlpm.CSVVal,_xlfn.XLOOKUP($A123,CSV!$A:$A,CSV!H:H,""),
_xlpm.MacVal,_xlfn.XLOOKUP($A123,Output_Mac!$A:$A,Output_Mac!H:H,""),
_xlpm.MyAuditVal,_xlfn.XLOOKUP($A123,My_Audit!$A:$A,My_Audit!G:G,""),
_xlfn.IFS(_xlpm.MyAuditVal&lt;&gt;"",_xlpm.MyAuditVal,_xlpm.MacVal&lt;&gt;"",_xlpm.MacVal,_xlpm.CSVVal&lt;&gt;"",_xlpm.CSVVal
)),"")</f>
        <v/>
      </c>
      <c r="I123" s="2" t="str">
        <f>_xlfn.XLOOKUP(A123,Output_Mac!A:A,Output_Mac!I:I,"")</f>
        <v/>
      </c>
      <c r="J123" s="2" t="str" cm="1">
        <f t="array" ref="J123">IFERROR(_xlfn.LET(
_xlpm.CSVVal,_xlfn.XLOOKUP($A123,CSV!$A:$A,CSV!I:I,""),
_xlpm.MacVal,_xlfn.XLOOKUP($A123,Output_Mac!$A:$A,Output_Mac!J:J,""),
_xlpm.MyAuditVal,_xlfn.XLOOKUP($A123,My_Audit!$A:$A,My_Audit!I:I,""),
_xlfn.IFS(_xlpm.MyAuditVal&lt;&gt;"",UPPER(_xlpm.MyAuditVal),_xlpm.MacVal&lt;&gt;"",_xlpm.MacVal,_xlpm.CSVVal&lt;&gt;"",_xlpm.CSVVal
)),"")</f>
        <v/>
      </c>
      <c r="K123" s="2" t="str" cm="1">
        <f t="array" ref="K123">IFERROR(_xlfn.LET(
_xlpm.CSVVal,_xlfn.XLOOKUP($A123,CSV!$A:$A,CSV!K:K,""),
_xlpm.MacVal,_xlfn.XLOOKUP($A123,Output_Mac!$A:$A,Output_Mac!K:K,""),
_xlpm.MyAuditVal,_xlfn.XLOOKUP($A123,My_Audit!$A:$A,My_Audit!J:J,""),
_xlfn.IFS(_xlpm.MyAuditVal&lt;&gt;"",UPPER(_xlpm.MyAuditVal),_xlpm.MacVal&lt;&gt;"",_xlpm.MacVal,_xlpm.CSVVal&lt;&gt;"",_xlpm.CSVVal
)),"")</f>
        <v/>
      </c>
      <c r="L123" s="2" t="str" cm="1">
        <f t="array" ref="L123">IFERROR(_xlfn.LET(
_xlpm.CSVVal,_xlfn.XLOOKUP($A123,CSV!$A:$A,CSV!P:P,""),
_xlpm.MacVal,_xlfn.XLOOKUP($A123,Output_Mac!$A:$A,Output_Mac!L:L,""),
_xlpm.MyAuditVal,_xlfn.XLOOKUP($A123,My_Audit!$A:$A,My_Audit!K:K,""),
_xlfn.IFS(_xlpm.MyAuditVal&lt;&gt;"",UPPER(_xlpm.MyAuditVal),_xlpm.MacVal&lt;&gt;"",_xlpm.MacVal,_xlpm.CSVVal&lt;&gt;"",_xlpm.CSVVal
)),"")</f>
        <v/>
      </c>
      <c r="M123" s="2" t="str" cm="1">
        <f t="array" ref="M123">IFERROR(_xlfn.LET(
_xlpm.CSVVal,_xlfn.XLOOKUP($A123,CSV!$A:$A,CSV!Q:Q,""),
_xlpm.MacVal,_xlfn.XLOOKUP($A123,Output_Mac!$A:$A,Output_Mac!M:M,""),
_xlpm.MyAuditVal,_xlfn.XLOOKUP($A123,My_Audit!$A:$A,My_Audit!L:L,""),
_xlfn.IFS(_xlpm.MyAuditVal&lt;&gt;"",UPPER(_xlpm.MyAuditVal),_xlpm.MacVal&lt;&gt;"",_xlpm.MacVal,_xlpm.CSVVal&lt;&gt;"",_xlpm.CSVVal
)),"")</f>
        <v/>
      </c>
      <c r="O123" s="2" t="str">
        <f>_xlfn.LET(
    _xlpm.CSVVal, _xlfn.XLOOKUP($A123, CSV!$A:$A, CSV!AC:AC, ""),
    _xlpm.MacVal, _xlfn.XLOOKUP($A123, Output_Mac!$A:$A, Output_Mac!S:S, ""),
    _xlpm.MyAuditVal, _xlfn.XLOOKUP($A123, My_Audit!$A:$A, My_Audit!P:P, ""),
    _xlfn.TEXTJOIN(", ", TRUE, _xlpm.MyAuditVal, _xlpm.MacVal, _xlpm.CSVVal)
)</f>
        <v/>
      </c>
      <c r="P123" s="2" t="str" cm="1">
        <f t="array" ref="P123">IFERROR(_xlfn.LET(
_xlpm.CSVVal,_xlfn.XLOOKUP($A123,CSV!$A:$A,CSV!AD:AD,""),
_xlpm.MacVal,_xlfn.XLOOKUP($A123,Output_Mac!$A:$A,Output_Mac!T:T,""),
_xlpm.MyAuditVal,_xlfn.XLOOKUP($A123,My_Audit!$A:$A,My_Audit!Q:Q,""),
_xlfn.IFS(_xlpm.MyAuditVal&lt;&gt;"",UPPER(_xlpm.MyAuditVal),_xlpm.MacVal&lt;&gt;"",_xlpm.MacVal,_xlpm.CSVVal&lt;&gt;"",_xlpm.CSVVal
)),"No")</f>
        <v>No</v>
      </c>
      <c r="Q123" s="2" t="str" cm="1">
        <f t="array" ref="Q123">IFERROR(_xlfn.LET(
_xlpm.CSVVal,_xlfn.XLOOKUP($A123,CSV!$A:$A,CSV!AE:AE,""),
_xlpm.MacVal,_xlfn.XLOOKUP($A123,Output_Mac!$A:$A,Output_Mac!U:U,""),
_xlpm.MyAuditVal,_xlfn.XLOOKUP($A123,My_Audit!$A:$A,My_Audit!R:R,""),
_xlfn.IFS(_xlpm.MyAuditVal&lt;&gt;"",UPPER(_xlpm.MyAuditVal),_xlpm.MacVal&lt;&gt;"",_xlpm.MacVal,_xlpm.CSVVal&lt;&gt;"",_xlpm.CSVVal
)),"")</f>
        <v/>
      </c>
      <c r="X123" t="str">
        <f>_xlfn.LET(
    _xlpm.MacVal, _xlfn.XLOOKUP($A123, Output_Mac!$A:$A, Output_Mac!AB:AB, ""),
    _xlpm.MyAuditVal, _xlfn.XLOOKUP($A123, My_Audit!$A:$A, My_Audit!N:N, ""),
    _xlfn.TEXTJOIN(", ", TRUE, _xlpm.MyAuditVal, _xlpm.MacVal)
)</f>
        <v/>
      </c>
    </row>
    <row r="124" spans="1:24">
      <c r="A124" s="2" t="str">
        <f>_xlfn.TEXTJOIN("",TRUE,Input!$B$2,ROW(My_Audit!A123))</f>
        <v>X123</v>
      </c>
      <c r="B124" s="2" t="str">
        <f>_xlfn.TEXTJOIN("-",TRUE,"ITD",Input!$A$2,A124)</f>
        <v>ITD-SHR-X123</v>
      </c>
      <c r="C124" s="2" t="str" cm="1">
        <f t="array" ref="C124">IFERROR(_xlfn.LET(
_xlpm.CSVVal,_xlfn.XLOOKUP($A124,CSV!$A:$A,CSV!B:B,""),
_xlpm.MacVal,_xlfn.XLOOKUP($A124,Output_Mac!$A:$A,Output_Mac!B:B,""),
_xlpm.MyAuditVal,_xlfn.XLOOKUP($A124,My_Audit!$A:$A,My_Audit!B:B,""),
_xlfn.IFS(_xlpm.MyAuditVal&lt;&gt;"",UPPER(_xlpm.MyAuditVal),_xlpm.MacVal&lt;&gt;"",_xlpm.MacVal,_xlpm.CSVVal&lt;&gt;"",_xlpm.CSVVal
)),"")</f>
        <v/>
      </c>
      <c r="D124" s="2" t="str" cm="1">
        <f t="array" ref="D124">IFERROR(_xlfn.LET(
_xlpm.CSVVal,_xlfn.XLOOKUP($A124,CSV!$A:$A,CSV!D:D,""),
_xlpm.MacVal,_xlfn.XLOOKUP($A124,Output_Mac!$A:$A,Output_Mac!C:C,""),
_xlpm.MyAuditVal,_xlfn.XLOOKUP($A124,My_Audit!$A:$A,My_Audit!C:C,""),
_xlfn.IFS(_xlpm.MyAuditVal&lt;&gt;"",_xlpm.MyAuditVal,_xlpm.MacVal&lt;&gt;"",_xlpm.MacVal,_xlpm.CSVVal&lt;&gt;"",_xlpm.CSVVal
)),"")</f>
        <v/>
      </c>
      <c r="E124" s="2" t="str">
        <f>_xlfn.XLOOKUP(A124,My_Audit!A:A,My_Audit!D:D,"")&amp;""</f>
        <v/>
      </c>
      <c r="F124" s="2" t="str" cm="1">
        <f t="array" ref="F124">IFERROR(_xlfn.LET(
_xlpm.CSVVal,_xlfn.XLOOKUP($A124,CSV!$A:$A,CSV!F:F,""),
_xlpm.MacVal,_xlfn.XLOOKUP($A124,Output_Mac!$A:$A,Output_Mac!E:E,""),
_xlpm.MyAuditVal,_xlfn.XLOOKUP($A124,My_Audit!$A:$A,My_Audit!E:E,""),
_xlfn.IFS(_xlpm.MyAuditVal&lt;&gt;"",_xlpm.MyAuditVal,_xlpm.MacVal&lt;&gt;"",_xlpm.MacVal,_xlpm.CSVVal&lt;&gt;"",_xlpm.CSVVal
)),"")</f>
        <v/>
      </c>
      <c r="G124" s="2" t="str" cm="1">
        <f t="array" ref="G124">IFERROR(_xlfn.LET(
_xlpm.CSVVal,_xlfn.XLOOKUP($A124,CSV!$A:$A,CSV!G:G,""),
_xlpm.MacVal,_xlfn.XLOOKUP($A124,Output_Mac!$A:$A,Output_Mac!F:F,""),
_xlpm.MyAuditVal,_xlfn.XLOOKUP($A124,My_Audit!$A:$A,My_Audit!F:F,""),
_xlfn.IFS(_xlpm.MyAuditVal&lt;&gt;"",_xlpm.MyAuditVal,_xlpm.MacVal&lt;&gt;"",_xlpm.MacVal,_xlpm.CSVVal&lt;&gt;"",PROPER(_xlpm.CSVVal)
)),"")</f>
        <v/>
      </c>
      <c r="H124" s="2" t="str" cm="1">
        <f t="array" ref="H124">IFERROR(_xlfn.LET(
_xlpm.CSVVal,_xlfn.XLOOKUP($A124,CSV!$A:$A,CSV!H:H,""),
_xlpm.MacVal,_xlfn.XLOOKUP($A124,Output_Mac!$A:$A,Output_Mac!H:H,""),
_xlpm.MyAuditVal,_xlfn.XLOOKUP($A124,My_Audit!$A:$A,My_Audit!G:G,""),
_xlfn.IFS(_xlpm.MyAuditVal&lt;&gt;"",_xlpm.MyAuditVal,_xlpm.MacVal&lt;&gt;"",_xlpm.MacVal,_xlpm.CSVVal&lt;&gt;"",_xlpm.CSVVal
)),"")</f>
        <v/>
      </c>
      <c r="I124" s="2" t="str">
        <f>_xlfn.XLOOKUP(A124,Output_Mac!A:A,Output_Mac!I:I,"")</f>
        <v/>
      </c>
      <c r="J124" s="2" t="str" cm="1">
        <f t="array" ref="J124">IFERROR(_xlfn.LET(
_xlpm.CSVVal,_xlfn.XLOOKUP($A124,CSV!$A:$A,CSV!I:I,""),
_xlpm.MacVal,_xlfn.XLOOKUP($A124,Output_Mac!$A:$A,Output_Mac!J:J,""),
_xlpm.MyAuditVal,_xlfn.XLOOKUP($A124,My_Audit!$A:$A,My_Audit!I:I,""),
_xlfn.IFS(_xlpm.MyAuditVal&lt;&gt;"",UPPER(_xlpm.MyAuditVal),_xlpm.MacVal&lt;&gt;"",_xlpm.MacVal,_xlpm.CSVVal&lt;&gt;"",_xlpm.CSVVal
)),"")</f>
        <v/>
      </c>
      <c r="K124" s="2" t="str" cm="1">
        <f t="array" ref="K124">IFERROR(_xlfn.LET(
_xlpm.CSVVal,_xlfn.XLOOKUP($A124,CSV!$A:$A,CSV!K:K,""),
_xlpm.MacVal,_xlfn.XLOOKUP($A124,Output_Mac!$A:$A,Output_Mac!K:K,""),
_xlpm.MyAuditVal,_xlfn.XLOOKUP($A124,My_Audit!$A:$A,My_Audit!J:J,""),
_xlfn.IFS(_xlpm.MyAuditVal&lt;&gt;"",UPPER(_xlpm.MyAuditVal),_xlpm.MacVal&lt;&gt;"",_xlpm.MacVal,_xlpm.CSVVal&lt;&gt;"",_xlpm.CSVVal
)),"")</f>
        <v/>
      </c>
      <c r="L124" s="2" t="str" cm="1">
        <f t="array" ref="L124">IFERROR(_xlfn.LET(
_xlpm.CSVVal,_xlfn.XLOOKUP($A124,CSV!$A:$A,CSV!P:P,""),
_xlpm.MacVal,_xlfn.XLOOKUP($A124,Output_Mac!$A:$A,Output_Mac!L:L,""),
_xlpm.MyAuditVal,_xlfn.XLOOKUP($A124,My_Audit!$A:$A,My_Audit!K:K,""),
_xlfn.IFS(_xlpm.MyAuditVal&lt;&gt;"",UPPER(_xlpm.MyAuditVal),_xlpm.MacVal&lt;&gt;"",_xlpm.MacVal,_xlpm.CSVVal&lt;&gt;"",_xlpm.CSVVal
)),"")</f>
        <v/>
      </c>
      <c r="M124" s="2" t="str" cm="1">
        <f t="array" ref="M124">IFERROR(_xlfn.LET(
_xlpm.CSVVal,_xlfn.XLOOKUP($A124,CSV!$A:$A,CSV!Q:Q,""),
_xlpm.MacVal,_xlfn.XLOOKUP($A124,Output_Mac!$A:$A,Output_Mac!M:M,""),
_xlpm.MyAuditVal,_xlfn.XLOOKUP($A124,My_Audit!$A:$A,My_Audit!L:L,""),
_xlfn.IFS(_xlpm.MyAuditVal&lt;&gt;"",UPPER(_xlpm.MyAuditVal),_xlpm.MacVal&lt;&gt;"",_xlpm.MacVal,_xlpm.CSVVal&lt;&gt;"",_xlpm.CSVVal
)),"")</f>
        <v/>
      </c>
      <c r="O124" s="2" t="str">
        <f>_xlfn.LET(
    _xlpm.CSVVal, _xlfn.XLOOKUP($A124, CSV!$A:$A, CSV!AC:AC, ""),
    _xlpm.MacVal, _xlfn.XLOOKUP($A124, Output_Mac!$A:$A, Output_Mac!S:S, ""),
    _xlpm.MyAuditVal, _xlfn.XLOOKUP($A124, My_Audit!$A:$A, My_Audit!P:P, ""),
    _xlfn.TEXTJOIN(", ", TRUE, _xlpm.MyAuditVal, _xlpm.MacVal, _xlpm.CSVVal)
)</f>
        <v/>
      </c>
      <c r="P124" s="2" t="str" cm="1">
        <f t="array" ref="P124">IFERROR(_xlfn.LET(
_xlpm.CSVVal,_xlfn.XLOOKUP($A124,CSV!$A:$A,CSV!AD:AD,""),
_xlpm.MacVal,_xlfn.XLOOKUP($A124,Output_Mac!$A:$A,Output_Mac!T:T,""),
_xlpm.MyAuditVal,_xlfn.XLOOKUP($A124,My_Audit!$A:$A,My_Audit!Q:Q,""),
_xlfn.IFS(_xlpm.MyAuditVal&lt;&gt;"",UPPER(_xlpm.MyAuditVal),_xlpm.MacVal&lt;&gt;"",_xlpm.MacVal,_xlpm.CSVVal&lt;&gt;"",_xlpm.CSVVal
)),"No")</f>
        <v>No</v>
      </c>
      <c r="Q124" s="2" t="str" cm="1">
        <f t="array" ref="Q124">IFERROR(_xlfn.LET(
_xlpm.CSVVal,_xlfn.XLOOKUP($A124,CSV!$A:$A,CSV!AE:AE,""),
_xlpm.MacVal,_xlfn.XLOOKUP($A124,Output_Mac!$A:$A,Output_Mac!U:U,""),
_xlpm.MyAuditVal,_xlfn.XLOOKUP($A124,My_Audit!$A:$A,My_Audit!R:R,""),
_xlfn.IFS(_xlpm.MyAuditVal&lt;&gt;"",UPPER(_xlpm.MyAuditVal),_xlpm.MacVal&lt;&gt;"",_xlpm.MacVal,_xlpm.CSVVal&lt;&gt;"",_xlpm.CSVVal
)),"")</f>
        <v/>
      </c>
      <c r="X124" t="str">
        <f>_xlfn.LET(
    _xlpm.MacVal, _xlfn.XLOOKUP($A124, Output_Mac!$A:$A, Output_Mac!AB:AB, ""),
    _xlpm.MyAuditVal, _xlfn.XLOOKUP($A124, My_Audit!$A:$A, My_Audit!N:N, ""),
    _xlfn.TEXTJOIN(", ", TRUE, _xlpm.MyAuditVal, _xlpm.MacVal)
)</f>
        <v/>
      </c>
    </row>
    <row r="125" spans="1:24">
      <c r="A125" s="2" t="str">
        <f>_xlfn.TEXTJOIN("",TRUE,Input!$B$2,ROW(My_Audit!A124))</f>
        <v>X124</v>
      </c>
      <c r="B125" s="2" t="str">
        <f>_xlfn.TEXTJOIN("-",TRUE,"ITD",Input!$A$2,A125)</f>
        <v>ITD-SHR-X124</v>
      </c>
      <c r="C125" s="2" t="str" cm="1">
        <f t="array" ref="C125">IFERROR(_xlfn.LET(
_xlpm.CSVVal,_xlfn.XLOOKUP($A125,CSV!$A:$A,CSV!B:B,""),
_xlpm.MacVal,_xlfn.XLOOKUP($A125,Output_Mac!$A:$A,Output_Mac!B:B,""),
_xlpm.MyAuditVal,_xlfn.XLOOKUP($A125,My_Audit!$A:$A,My_Audit!B:B,""),
_xlfn.IFS(_xlpm.MyAuditVal&lt;&gt;"",UPPER(_xlpm.MyAuditVal),_xlpm.MacVal&lt;&gt;"",_xlpm.MacVal,_xlpm.CSVVal&lt;&gt;"",_xlpm.CSVVal
)),"")</f>
        <v/>
      </c>
      <c r="D125" s="2" t="str" cm="1">
        <f t="array" ref="D125">IFERROR(_xlfn.LET(
_xlpm.CSVVal,_xlfn.XLOOKUP($A125,CSV!$A:$A,CSV!D:D,""),
_xlpm.MacVal,_xlfn.XLOOKUP($A125,Output_Mac!$A:$A,Output_Mac!C:C,""),
_xlpm.MyAuditVal,_xlfn.XLOOKUP($A125,My_Audit!$A:$A,My_Audit!C:C,""),
_xlfn.IFS(_xlpm.MyAuditVal&lt;&gt;"",_xlpm.MyAuditVal,_xlpm.MacVal&lt;&gt;"",_xlpm.MacVal,_xlpm.CSVVal&lt;&gt;"",_xlpm.CSVVal
)),"")</f>
        <v/>
      </c>
      <c r="E125" s="2" t="str">
        <f>_xlfn.XLOOKUP(A125,My_Audit!A:A,My_Audit!D:D,"")&amp;""</f>
        <v/>
      </c>
      <c r="F125" s="2" t="str" cm="1">
        <f t="array" ref="F125">IFERROR(_xlfn.LET(
_xlpm.CSVVal,_xlfn.XLOOKUP($A125,CSV!$A:$A,CSV!F:F,""),
_xlpm.MacVal,_xlfn.XLOOKUP($A125,Output_Mac!$A:$A,Output_Mac!E:E,""),
_xlpm.MyAuditVal,_xlfn.XLOOKUP($A125,My_Audit!$A:$A,My_Audit!E:E,""),
_xlfn.IFS(_xlpm.MyAuditVal&lt;&gt;"",_xlpm.MyAuditVal,_xlpm.MacVal&lt;&gt;"",_xlpm.MacVal,_xlpm.CSVVal&lt;&gt;"",_xlpm.CSVVal
)),"")</f>
        <v/>
      </c>
      <c r="G125" s="2" t="str" cm="1">
        <f t="array" ref="G125">IFERROR(_xlfn.LET(
_xlpm.CSVVal,_xlfn.XLOOKUP($A125,CSV!$A:$A,CSV!G:G,""),
_xlpm.MacVal,_xlfn.XLOOKUP($A125,Output_Mac!$A:$A,Output_Mac!F:F,""),
_xlpm.MyAuditVal,_xlfn.XLOOKUP($A125,My_Audit!$A:$A,My_Audit!F:F,""),
_xlfn.IFS(_xlpm.MyAuditVal&lt;&gt;"",_xlpm.MyAuditVal,_xlpm.MacVal&lt;&gt;"",_xlpm.MacVal,_xlpm.CSVVal&lt;&gt;"",PROPER(_xlpm.CSVVal)
)),"")</f>
        <v/>
      </c>
      <c r="H125" s="2" t="str" cm="1">
        <f t="array" ref="H125">IFERROR(_xlfn.LET(
_xlpm.CSVVal,_xlfn.XLOOKUP($A125,CSV!$A:$A,CSV!H:H,""),
_xlpm.MacVal,_xlfn.XLOOKUP($A125,Output_Mac!$A:$A,Output_Mac!H:H,""),
_xlpm.MyAuditVal,_xlfn.XLOOKUP($A125,My_Audit!$A:$A,My_Audit!G:G,""),
_xlfn.IFS(_xlpm.MyAuditVal&lt;&gt;"",_xlpm.MyAuditVal,_xlpm.MacVal&lt;&gt;"",_xlpm.MacVal,_xlpm.CSVVal&lt;&gt;"",_xlpm.CSVVal
)),"")</f>
        <v/>
      </c>
      <c r="I125" s="2" t="str">
        <f>_xlfn.XLOOKUP(A125,Output_Mac!A:A,Output_Mac!I:I,"")</f>
        <v/>
      </c>
      <c r="J125" s="2" t="str" cm="1">
        <f t="array" ref="J125">IFERROR(_xlfn.LET(
_xlpm.CSVVal,_xlfn.XLOOKUP($A125,CSV!$A:$A,CSV!I:I,""),
_xlpm.MacVal,_xlfn.XLOOKUP($A125,Output_Mac!$A:$A,Output_Mac!J:J,""),
_xlpm.MyAuditVal,_xlfn.XLOOKUP($A125,My_Audit!$A:$A,My_Audit!I:I,""),
_xlfn.IFS(_xlpm.MyAuditVal&lt;&gt;"",UPPER(_xlpm.MyAuditVal),_xlpm.MacVal&lt;&gt;"",_xlpm.MacVal,_xlpm.CSVVal&lt;&gt;"",_xlpm.CSVVal
)),"")</f>
        <v/>
      </c>
      <c r="K125" s="2" t="str" cm="1">
        <f t="array" ref="K125">IFERROR(_xlfn.LET(
_xlpm.CSVVal,_xlfn.XLOOKUP($A125,CSV!$A:$A,CSV!K:K,""),
_xlpm.MacVal,_xlfn.XLOOKUP($A125,Output_Mac!$A:$A,Output_Mac!K:K,""),
_xlpm.MyAuditVal,_xlfn.XLOOKUP($A125,My_Audit!$A:$A,My_Audit!J:J,""),
_xlfn.IFS(_xlpm.MyAuditVal&lt;&gt;"",UPPER(_xlpm.MyAuditVal),_xlpm.MacVal&lt;&gt;"",_xlpm.MacVal,_xlpm.CSVVal&lt;&gt;"",_xlpm.CSVVal
)),"")</f>
        <v/>
      </c>
      <c r="L125" s="2" t="str" cm="1">
        <f t="array" ref="L125">IFERROR(_xlfn.LET(
_xlpm.CSVVal,_xlfn.XLOOKUP($A125,CSV!$A:$A,CSV!P:P,""),
_xlpm.MacVal,_xlfn.XLOOKUP($A125,Output_Mac!$A:$A,Output_Mac!L:L,""),
_xlpm.MyAuditVal,_xlfn.XLOOKUP($A125,My_Audit!$A:$A,My_Audit!K:K,""),
_xlfn.IFS(_xlpm.MyAuditVal&lt;&gt;"",UPPER(_xlpm.MyAuditVal),_xlpm.MacVal&lt;&gt;"",_xlpm.MacVal,_xlpm.CSVVal&lt;&gt;"",_xlpm.CSVVal
)),"")</f>
        <v/>
      </c>
      <c r="M125" s="2" t="str" cm="1">
        <f t="array" ref="M125">IFERROR(_xlfn.LET(
_xlpm.CSVVal,_xlfn.XLOOKUP($A125,CSV!$A:$A,CSV!Q:Q,""),
_xlpm.MacVal,_xlfn.XLOOKUP($A125,Output_Mac!$A:$A,Output_Mac!M:M,""),
_xlpm.MyAuditVal,_xlfn.XLOOKUP($A125,My_Audit!$A:$A,My_Audit!L:L,""),
_xlfn.IFS(_xlpm.MyAuditVal&lt;&gt;"",UPPER(_xlpm.MyAuditVal),_xlpm.MacVal&lt;&gt;"",_xlpm.MacVal,_xlpm.CSVVal&lt;&gt;"",_xlpm.CSVVal
)),"")</f>
        <v/>
      </c>
      <c r="O125" s="2" t="str">
        <f>_xlfn.LET(
    _xlpm.CSVVal, _xlfn.XLOOKUP($A125, CSV!$A:$A, CSV!AC:AC, ""),
    _xlpm.MacVal, _xlfn.XLOOKUP($A125, Output_Mac!$A:$A, Output_Mac!S:S, ""),
    _xlpm.MyAuditVal, _xlfn.XLOOKUP($A125, My_Audit!$A:$A, My_Audit!P:P, ""),
    _xlfn.TEXTJOIN(", ", TRUE, _xlpm.MyAuditVal, _xlpm.MacVal, _xlpm.CSVVal)
)</f>
        <v/>
      </c>
      <c r="P125" s="2" t="str" cm="1">
        <f t="array" ref="P125">IFERROR(_xlfn.LET(
_xlpm.CSVVal,_xlfn.XLOOKUP($A125,CSV!$A:$A,CSV!AD:AD,""),
_xlpm.MacVal,_xlfn.XLOOKUP($A125,Output_Mac!$A:$A,Output_Mac!T:T,""),
_xlpm.MyAuditVal,_xlfn.XLOOKUP($A125,My_Audit!$A:$A,My_Audit!Q:Q,""),
_xlfn.IFS(_xlpm.MyAuditVal&lt;&gt;"",UPPER(_xlpm.MyAuditVal),_xlpm.MacVal&lt;&gt;"",_xlpm.MacVal,_xlpm.CSVVal&lt;&gt;"",_xlpm.CSVVal
)),"No")</f>
        <v>No</v>
      </c>
      <c r="Q125" s="2" t="str" cm="1">
        <f t="array" ref="Q125">IFERROR(_xlfn.LET(
_xlpm.CSVVal,_xlfn.XLOOKUP($A125,CSV!$A:$A,CSV!AE:AE,""),
_xlpm.MacVal,_xlfn.XLOOKUP($A125,Output_Mac!$A:$A,Output_Mac!U:U,""),
_xlpm.MyAuditVal,_xlfn.XLOOKUP($A125,My_Audit!$A:$A,My_Audit!R:R,""),
_xlfn.IFS(_xlpm.MyAuditVal&lt;&gt;"",UPPER(_xlpm.MyAuditVal),_xlpm.MacVal&lt;&gt;"",_xlpm.MacVal,_xlpm.CSVVal&lt;&gt;"",_xlpm.CSVVal
)),"")</f>
        <v/>
      </c>
      <c r="X125" t="str">
        <f>_xlfn.LET(
    _xlpm.MacVal, _xlfn.XLOOKUP($A125, Output_Mac!$A:$A, Output_Mac!AB:AB, ""),
    _xlpm.MyAuditVal, _xlfn.XLOOKUP($A125, My_Audit!$A:$A, My_Audit!N:N, ""),
    _xlfn.TEXTJOIN(", ", TRUE, _xlpm.MyAuditVal, _xlpm.MacVal)
)</f>
        <v/>
      </c>
    </row>
    <row r="126" spans="1:24">
      <c r="A126" s="2" t="str">
        <f>_xlfn.TEXTJOIN("",TRUE,Input!$B$2,ROW(My_Audit!A125))</f>
        <v>X125</v>
      </c>
      <c r="B126" s="2" t="str">
        <f>_xlfn.TEXTJOIN("-",TRUE,"ITD",Input!$A$2,A126)</f>
        <v>ITD-SHR-X125</v>
      </c>
      <c r="C126" s="2" t="str" cm="1">
        <f t="array" ref="C126">IFERROR(_xlfn.LET(
_xlpm.CSVVal,_xlfn.XLOOKUP($A126,CSV!$A:$A,CSV!B:B,""),
_xlpm.MacVal,_xlfn.XLOOKUP($A126,Output_Mac!$A:$A,Output_Mac!B:B,""),
_xlpm.MyAuditVal,_xlfn.XLOOKUP($A126,My_Audit!$A:$A,My_Audit!B:B,""),
_xlfn.IFS(_xlpm.MyAuditVal&lt;&gt;"",UPPER(_xlpm.MyAuditVal),_xlpm.MacVal&lt;&gt;"",_xlpm.MacVal,_xlpm.CSVVal&lt;&gt;"",_xlpm.CSVVal
)),"")</f>
        <v/>
      </c>
      <c r="D126" s="2" t="str" cm="1">
        <f t="array" ref="D126">IFERROR(_xlfn.LET(
_xlpm.CSVVal,_xlfn.XLOOKUP($A126,CSV!$A:$A,CSV!D:D,""),
_xlpm.MacVal,_xlfn.XLOOKUP($A126,Output_Mac!$A:$A,Output_Mac!C:C,""),
_xlpm.MyAuditVal,_xlfn.XLOOKUP($A126,My_Audit!$A:$A,My_Audit!C:C,""),
_xlfn.IFS(_xlpm.MyAuditVal&lt;&gt;"",_xlpm.MyAuditVal,_xlpm.MacVal&lt;&gt;"",_xlpm.MacVal,_xlpm.CSVVal&lt;&gt;"",_xlpm.CSVVal
)),"")</f>
        <v/>
      </c>
      <c r="E126" s="2" t="str">
        <f>_xlfn.XLOOKUP(A126,My_Audit!A:A,My_Audit!D:D,"")&amp;""</f>
        <v/>
      </c>
      <c r="F126" s="2" t="str" cm="1">
        <f t="array" ref="F126">IFERROR(_xlfn.LET(
_xlpm.CSVVal,_xlfn.XLOOKUP($A126,CSV!$A:$A,CSV!F:F,""),
_xlpm.MacVal,_xlfn.XLOOKUP($A126,Output_Mac!$A:$A,Output_Mac!E:E,""),
_xlpm.MyAuditVal,_xlfn.XLOOKUP($A126,My_Audit!$A:$A,My_Audit!E:E,""),
_xlfn.IFS(_xlpm.MyAuditVal&lt;&gt;"",_xlpm.MyAuditVal,_xlpm.MacVal&lt;&gt;"",_xlpm.MacVal,_xlpm.CSVVal&lt;&gt;"",_xlpm.CSVVal
)),"")</f>
        <v/>
      </c>
      <c r="G126" s="2" t="str" cm="1">
        <f t="array" ref="G126">IFERROR(_xlfn.LET(
_xlpm.CSVVal,_xlfn.XLOOKUP($A126,CSV!$A:$A,CSV!G:G,""),
_xlpm.MacVal,_xlfn.XLOOKUP($A126,Output_Mac!$A:$A,Output_Mac!F:F,""),
_xlpm.MyAuditVal,_xlfn.XLOOKUP($A126,My_Audit!$A:$A,My_Audit!F:F,""),
_xlfn.IFS(_xlpm.MyAuditVal&lt;&gt;"",_xlpm.MyAuditVal,_xlpm.MacVal&lt;&gt;"",_xlpm.MacVal,_xlpm.CSVVal&lt;&gt;"",PROPER(_xlpm.CSVVal)
)),"")</f>
        <v/>
      </c>
      <c r="H126" s="2" t="str" cm="1">
        <f t="array" ref="H126">IFERROR(_xlfn.LET(
_xlpm.CSVVal,_xlfn.XLOOKUP($A126,CSV!$A:$A,CSV!H:H,""),
_xlpm.MacVal,_xlfn.XLOOKUP($A126,Output_Mac!$A:$A,Output_Mac!H:H,""),
_xlpm.MyAuditVal,_xlfn.XLOOKUP($A126,My_Audit!$A:$A,My_Audit!G:G,""),
_xlfn.IFS(_xlpm.MyAuditVal&lt;&gt;"",_xlpm.MyAuditVal,_xlpm.MacVal&lt;&gt;"",_xlpm.MacVal,_xlpm.CSVVal&lt;&gt;"",_xlpm.CSVVal
)),"")</f>
        <v/>
      </c>
      <c r="I126" s="2" t="str">
        <f>_xlfn.XLOOKUP(A126,Output_Mac!A:A,Output_Mac!I:I,"")</f>
        <v/>
      </c>
      <c r="J126" s="2" t="str" cm="1">
        <f t="array" ref="J126">IFERROR(_xlfn.LET(
_xlpm.CSVVal,_xlfn.XLOOKUP($A126,CSV!$A:$A,CSV!I:I,""),
_xlpm.MacVal,_xlfn.XLOOKUP($A126,Output_Mac!$A:$A,Output_Mac!J:J,""),
_xlpm.MyAuditVal,_xlfn.XLOOKUP($A126,My_Audit!$A:$A,My_Audit!I:I,""),
_xlfn.IFS(_xlpm.MyAuditVal&lt;&gt;"",UPPER(_xlpm.MyAuditVal),_xlpm.MacVal&lt;&gt;"",_xlpm.MacVal,_xlpm.CSVVal&lt;&gt;"",_xlpm.CSVVal
)),"")</f>
        <v/>
      </c>
      <c r="K126" s="2" t="str" cm="1">
        <f t="array" ref="K126">IFERROR(_xlfn.LET(
_xlpm.CSVVal,_xlfn.XLOOKUP($A126,CSV!$A:$A,CSV!K:K,""),
_xlpm.MacVal,_xlfn.XLOOKUP($A126,Output_Mac!$A:$A,Output_Mac!K:K,""),
_xlpm.MyAuditVal,_xlfn.XLOOKUP($A126,My_Audit!$A:$A,My_Audit!J:J,""),
_xlfn.IFS(_xlpm.MyAuditVal&lt;&gt;"",UPPER(_xlpm.MyAuditVal),_xlpm.MacVal&lt;&gt;"",_xlpm.MacVal,_xlpm.CSVVal&lt;&gt;"",_xlpm.CSVVal
)),"")</f>
        <v/>
      </c>
      <c r="L126" s="2" t="str" cm="1">
        <f t="array" ref="L126">IFERROR(_xlfn.LET(
_xlpm.CSVVal,_xlfn.XLOOKUP($A126,CSV!$A:$A,CSV!P:P,""),
_xlpm.MacVal,_xlfn.XLOOKUP($A126,Output_Mac!$A:$A,Output_Mac!L:L,""),
_xlpm.MyAuditVal,_xlfn.XLOOKUP($A126,My_Audit!$A:$A,My_Audit!K:K,""),
_xlfn.IFS(_xlpm.MyAuditVal&lt;&gt;"",UPPER(_xlpm.MyAuditVal),_xlpm.MacVal&lt;&gt;"",_xlpm.MacVal,_xlpm.CSVVal&lt;&gt;"",_xlpm.CSVVal
)),"")</f>
        <v/>
      </c>
      <c r="M126" s="2" t="str" cm="1">
        <f t="array" ref="M126">IFERROR(_xlfn.LET(
_xlpm.CSVVal,_xlfn.XLOOKUP($A126,CSV!$A:$A,CSV!Q:Q,""),
_xlpm.MacVal,_xlfn.XLOOKUP($A126,Output_Mac!$A:$A,Output_Mac!M:M,""),
_xlpm.MyAuditVal,_xlfn.XLOOKUP($A126,My_Audit!$A:$A,My_Audit!L:L,""),
_xlfn.IFS(_xlpm.MyAuditVal&lt;&gt;"",UPPER(_xlpm.MyAuditVal),_xlpm.MacVal&lt;&gt;"",_xlpm.MacVal,_xlpm.CSVVal&lt;&gt;"",_xlpm.CSVVal
)),"")</f>
        <v/>
      </c>
      <c r="O126" s="2" t="str">
        <f>_xlfn.LET(
    _xlpm.CSVVal, _xlfn.XLOOKUP($A126, CSV!$A:$A, CSV!AC:AC, ""),
    _xlpm.MacVal, _xlfn.XLOOKUP($A126, Output_Mac!$A:$A, Output_Mac!S:S, ""),
    _xlpm.MyAuditVal, _xlfn.XLOOKUP($A126, My_Audit!$A:$A, My_Audit!P:P, ""),
    _xlfn.TEXTJOIN(", ", TRUE, _xlpm.MyAuditVal, _xlpm.MacVal, _xlpm.CSVVal)
)</f>
        <v/>
      </c>
      <c r="P126" s="2" t="str" cm="1">
        <f t="array" ref="P126">IFERROR(_xlfn.LET(
_xlpm.CSVVal,_xlfn.XLOOKUP($A126,CSV!$A:$A,CSV!AD:AD,""),
_xlpm.MacVal,_xlfn.XLOOKUP($A126,Output_Mac!$A:$A,Output_Mac!T:T,""),
_xlpm.MyAuditVal,_xlfn.XLOOKUP($A126,My_Audit!$A:$A,My_Audit!Q:Q,""),
_xlfn.IFS(_xlpm.MyAuditVal&lt;&gt;"",UPPER(_xlpm.MyAuditVal),_xlpm.MacVal&lt;&gt;"",_xlpm.MacVal,_xlpm.CSVVal&lt;&gt;"",_xlpm.CSVVal
)),"No")</f>
        <v>No</v>
      </c>
      <c r="Q126" s="2" t="str" cm="1">
        <f t="array" ref="Q126">IFERROR(_xlfn.LET(
_xlpm.CSVVal,_xlfn.XLOOKUP($A126,CSV!$A:$A,CSV!AE:AE,""),
_xlpm.MacVal,_xlfn.XLOOKUP($A126,Output_Mac!$A:$A,Output_Mac!U:U,""),
_xlpm.MyAuditVal,_xlfn.XLOOKUP($A126,My_Audit!$A:$A,My_Audit!R:R,""),
_xlfn.IFS(_xlpm.MyAuditVal&lt;&gt;"",UPPER(_xlpm.MyAuditVal),_xlpm.MacVal&lt;&gt;"",_xlpm.MacVal,_xlpm.CSVVal&lt;&gt;"",_xlpm.CSVVal
)),"")</f>
        <v/>
      </c>
      <c r="X126" t="str">
        <f>_xlfn.LET(
    _xlpm.MacVal, _xlfn.XLOOKUP($A126, Output_Mac!$A:$A, Output_Mac!AB:AB, ""),
    _xlpm.MyAuditVal, _xlfn.XLOOKUP($A126, My_Audit!$A:$A, My_Audit!N:N, ""),
    _xlfn.TEXTJOIN(", ", TRUE, _xlpm.MyAuditVal, _xlpm.MacVal)
)</f>
        <v/>
      </c>
    </row>
    <row r="127" spans="1:24">
      <c r="A127" s="2" t="str">
        <f>_xlfn.TEXTJOIN("",TRUE,Input!$B$2,ROW(My_Audit!A126))</f>
        <v>X126</v>
      </c>
      <c r="B127" s="2" t="str">
        <f>_xlfn.TEXTJOIN("-",TRUE,"ITD",Input!$A$2,A127)</f>
        <v>ITD-SHR-X126</v>
      </c>
      <c r="C127" s="2" t="str" cm="1">
        <f t="array" ref="C127">IFERROR(_xlfn.LET(
_xlpm.CSVVal,_xlfn.XLOOKUP($A127,CSV!$A:$A,CSV!B:B,""),
_xlpm.MacVal,_xlfn.XLOOKUP($A127,Output_Mac!$A:$A,Output_Mac!B:B,""),
_xlpm.MyAuditVal,_xlfn.XLOOKUP($A127,My_Audit!$A:$A,My_Audit!B:B,""),
_xlfn.IFS(_xlpm.MyAuditVal&lt;&gt;"",UPPER(_xlpm.MyAuditVal),_xlpm.MacVal&lt;&gt;"",_xlpm.MacVal,_xlpm.CSVVal&lt;&gt;"",_xlpm.CSVVal
)),"")</f>
        <v/>
      </c>
      <c r="D127" s="2" t="str" cm="1">
        <f t="array" ref="D127">IFERROR(_xlfn.LET(
_xlpm.CSVVal,_xlfn.XLOOKUP($A127,CSV!$A:$A,CSV!D:D,""),
_xlpm.MacVal,_xlfn.XLOOKUP($A127,Output_Mac!$A:$A,Output_Mac!C:C,""),
_xlpm.MyAuditVal,_xlfn.XLOOKUP($A127,My_Audit!$A:$A,My_Audit!C:C,""),
_xlfn.IFS(_xlpm.MyAuditVal&lt;&gt;"",_xlpm.MyAuditVal,_xlpm.MacVal&lt;&gt;"",_xlpm.MacVal,_xlpm.CSVVal&lt;&gt;"",_xlpm.CSVVal
)),"")</f>
        <v/>
      </c>
      <c r="E127" s="2" t="str">
        <f>_xlfn.XLOOKUP(A127,My_Audit!A:A,My_Audit!D:D,"")&amp;""</f>
        <v/>
      </c>
      <c r="F127" s="2" t="str" cm="1">
        <f t="array" ref="F127">IFERROR(_xlfn.LET(
_xlpm.CSVVal,_xlfn.XLOOKUP($A127,CSV!$A:$A,CSV!F:F,""),
_xlpm.MacVal,_xlfn.XLOOKUP($A127,Output_Mac!$A:$A,Output_Mac!E:E,""),
_xlpm.MyAuditVal,_xlfn.XLOOKUP($A127,My_Audit!$A:$A,My_Audit!E:E,""),
_xlfn.IFS(_xlpm.MyAuditVal&lt;&gt;"",_xlpm.MyAuditVal,_xlpm.MacVal&lt;&gt;"",_xlpm.MacVal,_xlpm.CSVVal&lt;&gt;"",_xlpm.CSVVal
)),"")</f>
        <v/>
      </c>
      <c r="G127" s="2" t="str" cm="1">
        <f t="array" ref="G127">IFERROR(_xlfn.LET(
_xlpm.CSVVal,_xlfn.XLOOKUP($A127,CSV!$A:$A,CSV!G:G,""),
_xlpm.MacVal,_xlfn.XLOOKUP($A127,Output_Mac!$A:$A,Output_Mac!F:F,""),
_xlpm.MyAuditVal,_xlfn.XLOOKUP($A127,My_Audit!$A:$A,My_Audit!F:F,""),
_xlfn.IFS(_xlpm.MyAuditVal&lt;&gt;"",_xlpm.MyAuditVal,_xlpm.MacVal&lt;&gt;"",_xlpm.MacVal,_xlpm.CSVVal&lt;&gt;"",PROPER(_xlpm.CSVVal)
)),"")</f>
        <v/>
      </c>
      <c r="H127" s="2" t="str" cm="1">
        <f t="array" ref="H127">IFERROR(_xlfn.LET(
_xlpm.CSVVal,_xlfn.XLOOKUP($A127,CSV!$A:$A,CSV!H:H,""),
_xlpm.MacVal,_xlfn.XLOOKUP($A127,Output_Mac!$A:$A,Output_Mac!H:H,""),
_xlpm.MyAuditVal,_xlfn.XLOOKUP($A127,My_Audit!$A:$A,My_Audit!G:G,""),
_xlfn.IFS(_xlpm.MyAuditVal&lt;&gt;"",_xlpm.MyAuditVal,_xlpm.MacVal&lt;&gt;"",_xlpm.MacVal,_xlpm.CSVVal&lt;&gt;"",_xlpm.CSVVal
)),"")</f>
        <v/>
      </c>
      <c r="I127" s="2" t="str">
        <f>_xlfn.XLOOKUP(A127,Output_Mac!A:A,Output_Mac!I:I,"")</f>
        <v/>
      </c>
      <c r="J127" s="2" t="str" cm="1">
        <f t="array" ref="J127">IFERROR(_xlfn.LET(
_xlpm.CSVVal,_xlfn.XLOOKUP($A127,CSV!$A:$A,CSV!I:I,""),
_xlpm.MacVal,_xlfn.XLOOKUP($A127,Output_Mac!$A:$A,Output_Mac!J:J,""),
_xlpm.MyAuditVal,_xlfn.XLOOKUP($A127,My_Audit!$A:$A,My_Audit!I:I,""),
_xlfn.IFS(_xlpm.MyAuditVal&lt;&gt;"",UPPER(_xlpm.MyAuditVal),_xlpm.MacVal&lt;&gt;"",_xlpm.MacVal,_xlpm.CSVVal&lt;&gt;"",_xlpm.CSVVal
)),"")</f>
        <v/>
      </c>
      <c r="K127" s="2" t="str" cm="1">
        <f t="array" ref="K127">IFERROR(_xlfn.LET(
_xlpm.CSVVal,_xlfn.XLOOKUP($A127,CSV!$A:$A,CSV!K:K,""),
_xlpm.MacVal,_xlfn.XLOOKUP($A127,Output_Mac!$A:$A,Output_Mac!K:K,""),
_xlpm.MyAuditVal,_xlfn.XLOOKUP($A127,My_Audit!$A:$A,My_Audit!J:J,""),
_xlfn.IFS(_xlpm.MyAuditVal&lt;&gt;"",UPPER(_xlpm.MyAuditVal),_xlpm.MacVal&lt;&gt;"",_xlpm.MacVal,_xlpm.CSVVal&lt;&gt;"",_xlpm.CSVVal
)),"")</f>
        <v/>
      </c>
      <c r="L127" s="2" t="str" cm="1">
        <f t="array" ref="L127">IFERROR(_xlfn.LET(
_xlpm.CSVVal,_xlfn.XLOOKUP($A127,CSV!$A:$A,CSV!P:P,""),
_xlpm.MacVal,_xlfn.XLOOKUP($A127,Output_Mac!$A:$A,Output_Mac!L:L,""),
_xlpm.MyAuditVal,_xlfn.XLOOKUP($A127,My_Audit!$A:$A,My_Audit!K:K,""),
_xlfn.IFS(_xlpm.MyAuditVal&lt;&gt;"",UPPER(_xlpm.MyAuditVal),_xlpm.MacVal&lt;&gt;"",_xlpm.MacVal,_xlpm.CSVVal&lt;&gt;"",_xlpm.CSVVal
)),"")</f>
        <v/>
      </c>
      <c r="M127" s="2" t="str" cm="1">
        <f t="array" ref="M127">IFERROR(_xlfn.LET(
_xlpm.CSVVal,_xlfn.XLOOKUP($A127,CSV!$A:$A,CSV!Q:Q,""),
_xlpm.MacVal,_xlfn.XLOOKUP($A127,Output_Mac!$A:$A,Output_Mac!M:M,""),
_xlpm.MyAuditVal,_xlfn.XLOOKUP($A127,My_Audit!$A:$A,My_Audit!L:L,""),
_xlfn.IFS(_xlpm.MyAuditVal&lt;&gt;"",UPPER(_xlpm.MyAuditVal),_xlpm.MacVal&lt;&gt;"",_xlpm.MacVal,_xlpm.CSVVal&lt;&gt;"",_xlpm.CSVVal
)),"")</f>
        <v/>
      </c>
      <c r="O127" s="2" t="str">
        <f>_xlfn.LET(
    _xlpm.CSVVal, _xlfn.XLOOKUP($A127, CSV!$A:$A, CSV!AC:AC, ""),
    _xlpm.MacVal, _xlfn.XLOOKUP($A127, Output_Mac!$A:$A, Output_Mac!S:S, ""),
    _xlpm.MyAuditVal, _xlfn.XLOOKUP($A127, My_Audit!$A:$A, My_Audit!P:P, ""),
    _xlfn.TEXTJOIN(", ", TRUE, _xlpm.MyAuditVal, _xlpm.MacVal, _xlpm.CSVVal)
)</f>
        <v/>
      </c>
      <c r="P127" s="2" t="str" cm="1">
        <f t="array" ref="P127">IFERROR(_xlfn.LET(
_xlpm.CSVVal,_xlfn.XLOOKUP($A127,CSV!$A:$A,CSV!AD:AD,""),
_xlpm.MacVal,_xlfn.XLOOKUP($A127,Output_Mac!$A:$A,Output_Mac!T:T,""),
_xlpm.MyAuditVal,_xlfn.XLOOKUP($A127,My_Audit!$A:$A,My_Audit!Q:Q,""),
_xlfn.IFS(_xlpm.MyAuditVal&lt;&gt;"",UPPER(_xlpm.MyAuditVal),_xlpm.MacVal&lt;&gt;"",_xlpm.MacVal,_xlpm.CSVVal&lt;&gt;"",_xlpm.CSVVal
)),"No")</f>
        <v>No</v>
      </c>
      <c r="Q127" s="2" t="str" cm="1">
        <f t="array" ref="Q127">IFERROR(_xlfn.LET(
_xlpm.CSVVal,_xlfn.XLOOKUP($A127,CSV!$A:$A,CSV!AE:AE,""),
_xlpm.MacVal,_xlfn.XLOOKUP($A127,Output_Mac!$A:$A,Output_Mac!U:U,""),
_xlpm.MyAuditVal,_xlfn.XLOOKUP($A127,My_Audit!$A:$A,My_Audit!R:R,""),
_xlfn.IFS(_xlpm.MyAuditVal&lt;&gt;"",UPPER(_xlpm.MyAuditVal),_xlpm.MacVal&lt;&gt;"",_xlpm.MacVal,_xlpm.CSVVal&lt;&gt;"",_xlpm.CSVVal
)),"")</f>
        <v/>
      </c>
      <c r="X127" t="str">
        <f>_xlfn.LET(
    _xlpm.MacVal, _xlfn.XLOOKUP($A127, Output_Mac!$A:$A, Output_Mac!AB:AB, ""),
    _xlpm.MyAuditVal, _xlfn.XLOOKUP($A127, My_Audit!$A:$A, My_Audit!N:N, ""),
    _xlfn.TEXTJOIN(", ", TRUE, _xlpm.MyAuditVal, _xlpm.MacVal)
)</f>
        <v/>
      </c>
    </row>
    <row r="128" spans="1:24">
      <c r="A128" s="2" t="str">
        <f>_xlfn.TEXTJOIN("",TRUE,Input!$B$2,ROW(My_Audit!A127))</f>
        <v>X127</v>
      </c>
      <c r="B128" s="2" t="str">
        <f>_xlfn.TEXTJOIN("-",TRUE,"ITD",Input!$A$2,A128)</f>
        <v>ITD-SHR-X127</v>
      </c>
      <c r="C128" s="2" t="str" cm="1">
        <f t="array" ref="C128">IFERROR(_xlfn.LET(
_xlpm.CSVVal,_xlfn.XLOOKUP($A128,CSV!$A:$A,CSV!B:B,""),
_xlpm.MacVal,_xlfn.XLOOKUP($A128,Output_Mac!$A:$A,Output_Mac!B:B,""),
_xlpm.MyAuditVal,_xlfn.XLOOKUP($A128,My_Audit!$A:$A,My_Audit!B:B,""),
_xlfn.IFS(_xlpm.MyAuditVal&lt;&gt;"",UPPER(_xlpm.MyAuditVal),_xlpm.MacVal&lt;&gt;"",_xlpm.MacVal,_xlpm.CSVVal&lt;&gt;"",_xlpm.CSVVal
)),"")</f>
        <v/>
      </c>
      <c r="D128" s="2" t="str" cm="1">
        <f t="array" ref="D128">IFERROR(_xlfn.LET(
_xlpm.CSVVal,_xlfn.XLOOKUP($A128,CSV!$A:$A,CSV!D:D,""),
_xlpm.MacVal,_xlfn.XLOOKUP($A128,Output_Mac!$A:$A,Output_Mac!C:C,""),
_xlpm.MyAuditVal,_xlfn.XLOOKUP($A128,My_Audit!$A:$A,My_Audit!C:C,""),
_xlfn.IFS(_xlpm.MyAuditVal&lt;&gt;"",_xlpm.MyAuditVal,_xlpm.MacVal&lt;&gt;"",_xlpm.MacVal,_xlpm.CSVVal&lt;&gt;"",_xlpm.CSVVal
)),"")</f>
        <v/>
      </c>
      <c r="E128" s="2" t="str">
        <f>_xlfn.XLOOKUP(A128,My_Audit!A:A,My_Audit!D:D,"")&amp;""</f>
        <v/>
      </c>
      <c r="F128" s="2" t="str" cm="1">
        <f t="array" ref="F128">IFERROR(_xlfn.LET(
_xlpm.CSVVal,_xlfn.XLOOKUP($A128,CSV!$A:$A,CSV!F:F,""),
_xlpm.MacVal,_xlfn.XLOOKUP($A128,Output_Mac!$A:$A,Output_Mac!E:E,""),
_xlpm.MyAuditVal,_xlfn.XLOOKUP($A128,My_Audit!$A:$A,My_Audit!E:E,""),
_xlfn.IFS(_xlpm.MyAuditVal&lt;&gt;"",_xlpm.MyAuditVal,_xlpm.MacVal&lt;&gt;"",_xlpm.MacVal,_xlpm.CSVVal&lt;&gt;"",_xlpm.CSVVal
)),"")</f>
        <v/>
      </c>
      <c r="G128" s="2" t="str" cm="1">
        <f t="array" ref="G128">IFERROR(_xlfn.LET(
_xlpm.CSVVal,_xlfn.XLOOKUP($A128,CSV!$A:$A,CSV!G:G,""),
_xlpm.MacVal,_xlfn.XLOOKUP($A128,Output_Mac!$A:$A,Output_Mac!F:F,""),
_xlpm.MyAuditVal,_xlfn.XLOOKUP($A128,My_Audit!$A:$A,My_Audit!F:F,""),
_xlfn.IFS(_xlpm.MyAuditVal&lt;&gt;"",_xlpm.MyAuditVal,_xlpm.MacVal&lt;&gt;"",_xlpm.MacVal,_xlpm.CSVVal&lt;&gt;"",PROPER(_xlpm.CSVVal)
)),"")</f>
        <v/>
      </c>
      <c r="H128" s="2" t="str" cm="1">
        <f t="array" ref="H128">IFERROR(_xlfn.LET(
_xlpm.CSVVal,_xlfn.XLOOKUP($A128,CSV!$A:$A,CSV!H:H,""),
_xlpm.MacVal,_xlfn.XLOOKUP($A128,Output_Mac!$A:$A,Output_Mac!H:H,""),
_xlpm.MyAuditVal,_xlfn.XLOOKUP($A128,My_Audit!$A:$A,My_Audit!G:G,""),
_xlfn.IFS(_xlpm.MyAuditVal&lt;&gt;"",_xlpm.MyAuditVal,_xlpm.MacVal&lt;&gt;"",_xlpm.MacVal,_xlpm.CSVVal&lt;&gt;"",_xlpm.CSVVal
)),"")</f>
        <v/>
      </c>
      <c r="I128" s="2" t="str">
        <f>_xlfn.XLOOKUP(A128,Output_Mac!A:A,Output_Mac!I:I,"")</f>
        <v/>
      </c>
      <c r="J128" s="2" t="str" cm="1">
        <f t="array" ref="J128">IFERROR(_xlfn.LET(
_xlpm.CSVVal,_xlfn.XLOOKUP($A128,CSV!$A:$A,CSV!I:I,""),
_xlpm.MacVal,_xlfn.XLOOKUP($A128,Output_Mac!$A:$A,Output_Mac!J:J,""),
_xlpm.MyAuditVal,_xlfn.XLOOKUP($A128,My_Audit!$A:$A,My_Audit!I:I,""),
_xlfn.IFS(_xlpm.MyAuditVal&lt;&gt;"",UPPER(_xlpm.MyAuditVal),_xlpm.MacVal&lt;&gt;"",_xlpm.MacVal,_xlpm.CSVVal&lt;&gt;"",_xlpm.CSVVal
)),"")</f>
        <v/>
      </c>
      <c r="K128" s="2" t="str" cm="1">
        <f t="array" ref="K128">IFERROR(_xlfn.LET(
_xlpm.CSVVal,_xlfn.XLOOKUP($A128,CSV!$A:$A,CSV!K:K,""),
_xlpm.MacVal,_xlfn.XLOOKUP($A128,Output_Mac!$A:$A,Output_Mac!K:K,""),
_xlpm.MyAuditVal,_xlfn.XLOOKUP($A128,My_Audit!$A:$A,My_Audit!J:J,""),
_xlfn.IFS(_xlpm.MyAuditVal&lt;&gt;"",UPPER(_xlpm.MyAuditVal),_xlpm.MacVal&lt;&gt;"",_xlpm.MacVal,_xlpm.CSVVal&lt;&gt;"",_xlpm.CSVVal
)),"")</f>
        <v/>
      </c>
      <c r="L128" s="2" t="str" cm="1">
        <f t="array" ref="L128">IFERROR(_xlfn.LET(
_xlpm.CSVVal,_xlfn.XLOOKUP($A128,CSV!$A:$A,CSV!P:P,""),
_xlpm.MacVal,_xlfn.XLOOKUP($A128,Output_Mac!$A:$A,Output_Mac!L:L,""),
_xlpm.MyAuditVal,_xlfn.XLOOKUP($A128,My_Audit!$A:$A,My_Audit!K:K,""),
_xlfn.IFS(_xlpm.MyAuditVal&lt;&gt;"",UPPER(_xlpm.MyAuditVal),_xlpm.MacVal&lt;&gt;"",_xlpm.MacVal,_xlpm.CSVVal&lt;&gt;"",_xlpm.CSVVal
)),"")</f>
        <v/>
      </c>
      <c r="M128" s="2" t="str" cm="1">
        <f t="array" ref="M128">IFERROR(_xlfn.LET(
_xlpm.CSVVal,_xlfn.XLOOKUP($A128,CSV!$A:$A,CSV!Q:Q,""),
_xlpm.MacVal,_xlfn.XLOOKUP($A128,Output_Mac!$A:$A,Output_Mac!M:M,""),
_xlpm.MyAuditVal,_xlfn.XLOOKUP($A128,My_Audit!$A:$A,My_Audit!L:L,""),
_xlfn.IFS(_xlpm.MyAuditVal&lt;&gt;"",UPPER(_xlpm.MyAuditVal),_xlpm.MacVal&lt;&gt;"",_xlpm.MacVal,_xlpm.CSVVal&lt;&gt;"",_xlpm.CSVVal
)),"")</f>
        <v/>
      </c>
      <c r="O128" s="2" t="str">
        <f>_xlfn.LET(
    _xlpm.CSVVal, _xlfn.XLOOKUP($A128, CSV!$A:$A, CSV!AC:AC, ""),
    _xlpm.MacVal, _xlfn.XLOOKUP($A128, Output_Mac!$A:$A, Output_Mac!S:S, ""),
    _xlpm.MyAuditVal, _xlfn.XLOOKUP($A128, My_Audit!$A:$A, My_Audit!P:P, ""),
    _xlfn.TEXTJOIN(", ", TRUE, _xlpm.MyAuditVal, _xlpm.MacVal, _xlpm.CSVVal)
)</f>
        <v/>
      </c>
      <c r="P128" s="2" t="str" cm="1">
        <f t="array" ref="P128">IFERROR(_xlfn.LET(
_xlpm.CSVVal,_xlfn.XLOOKUP($A128,CSV!$A:$A,CSV!AD:AD,""),
_xlpm.MacVal,_xlfn.XLOOKUP($A128,Output_Mac!$A:$A,Output_Mac!T:T,""),
_xlpm.MyAuditVal,_xlfn.XLOOKUP($A128,My_Audit!$A:$A,My_Audit!Q:Q,""),
_xlfn.IFS(_xlpm.MyAuditVal&lt;&gt;"",UPPER(_xlpm.MyAuditVal),_xlpm.MacVal&lt;&gt;"",_xlpm.MacVal,_xlpm.CSVVal&lt;&gt;"",_xlpm.CSVVal
)),"No")</f>
        <v>No</v>
      </c>
      <c r="Q128" s="2" t="str" cm="1">
        <f t="array" ref="Q128">IFERROR(_xlfn.LET(
_xlpm.CSVVal,_xlfn.XLOOKUP($A128,CSV!$A:$A,CSV!AE:AE,""),
_xlpm.MacVal,_xlfn.XLOOKUP($A128,Output_Mac!$A:$A,Output_Mac!U:U,""),
_xlpm.MyAuditVal,_xlfn.XLOOKUP($A128,My_Audit!$A:$A,My_Audit!R:R,""),
_xlfn.IFS(_xlpm.MyAuditVal&lt;&gt;"",UPPER(_xlpm.MyAuditVal),_xlpm.MacVal&lt;&gt;"",_xlpm.MacVal,_xlpm.CSVVal&lt;&gt;"",_xlpm.CSVVal
)),"")</f>
        <v/>
      </c>
      <c r="X128" t="str">
        <f>_xlfn.LET(
    _xlpm.MacVal, _xlfn.XLOOKUP($A128, Output_Mac!$A:$A, Output_Mac!AB:AB, ""),
    _xlpm.MyAuditVal, _xlfn.XLOOKUP($A128, My_Audit!$A:$A, My_Audit!N:N, ""),
    _xlfn.TEXTJOIN(", ", TRUE, _xlpm.MyAuditVal, _xlpm.MacVal)
)</f>
        <v/>
      </c>
    </row>
    <row r="129" spans="1:24">
      <c r="A129" s="2" t="str">
        <f>_xlfn.TEXTJOIN("",TRUE,Input!$B$2,ROW(My_Audit!A128))</f>
        <v>X128</v>
      </c>
      <c r="B129" s="2" t="str">
        <f>_xlfn.TEXTJOIN("-",TRUE,"ITD",Input!$A$2,A129)</f>
        <v>ITD-SHR-X128</v>
      </c>
      <c r="C129" s="2" t="str" cm="1">
        <f t="array" ref="C129">IFERROR(_xlfn.LET(
_xlpm.CSVVal,_xlfn.XLOOKUP($A129,CSV!$A:$A,CSV!B:B,""),
_xlpm.MacVal,_xlfn.XLOOKUP($A129,Output_Mac!$A:$A,Output_Mac!B:B,""),
_xlpm.MyAuditVal,_xlfn.XLOOKUP($A129,My_Audit!$A:$A,My_Audit!B:B,""),
_xlfn.IFS(_xlpm.MyAuditVal&lt;&gt;"",UPPER(_xlpm.MyAuditVal),_xlpm.MacVal&lt;&gt;"",_xlpm.MacVal,_xlpm.CSVVal&lt;&gt;"",_xlpm.CSVVal
)),"")</f>
        <v/>
      </c>
      <c r="D129" s="2" t="str" cm="1">
        <f t="array" ref="D129">IFERROR(_xlfn.LET(
_xlpm.CSVVal,_xlfn.XLOOKUP($A129,CSV!$A:$A,CSV!D:D,""),
_xlpm.MacVal,_xlfn.XLOOKUP($A129,Output_Mac!$A:$A,Output_Mac!C:C,""),
_xlpm.MyAuditVal,_xlfn.XLOOKUP($A129,My_Audit!$A:$A,My_Audit!C:C,""),
_xlfn.IFS(_xlpm.MyAuditVal&lt;&gt;"",_xlpm.MyAuditVal,_xlpm.MacVal&lt;&gt;"",_xlpm.MacVal,_xlpm.CSVVal&lt;&gt;"",_xlpm.CSVVal
)),"")</f>
        <v/>
      </c>
      <c r="E129" s="2" t="str">
        <f>_xlfn.XLOOKUP(A129,My_Audit!A:A,My_Audit!D:D,"")&amp;""</f>
        <v/>
      </c>
      <c r="F129" s="2" t="str" cm="1">
        <f t="array" ref="F129">IFERROR(_xlfn.LET(
_xlpm.CSVVal,_xlfn.XLOOKUP($A129,CSV!$A:$A,CSV!F:F,""),
_xlpm.MacVal,_xlfn.XLOOKUP($A129,Output_Mac!$A:$A,Output_Mac!E:E,""),
_xlpm.MyAuditVal,_xlfn.XLOOKUP($A129,My_Audit!$A:$A,My_Audit!E:E,""),
_xlfn.IFS(_xlpm.MyAuditVal&lt;&gt;"",_xlpm.MyAuditVal,_xlpm.MacVal&lt;&gt;"",_xlpm.MacVal,_xlpm.CSVVal&lt;&gt;"",_xlpm.CSVVal
)),"")</f>
        <v/>
      </c>
      <c r="G129" s="2" t="str" cm="1">
        <f t="array" ref="G129">IFERROR(_xlfn.LET(
_xlpm.CSVVal,_xlfn.XLOOKUP($A129,CSV!$A:$A,CSV!G:G,""),
_xlpm.MacVal,_xlfn.XLOOKUP($A129,Output_Mac!$A:$A,Output_Mac!F:F,""),
_xlpm.MyAuditVal,_xlfn.XLOOKUP($A129,My_Audit!$A:$A,My_Audit!F:F,""),
_xlfn.IFS(_xlpm.MyAuditVal&lt;&gt;"",_xlpm.MyAuditVal,_xlpm.MacVal&lt;&gt;"",_xlpm.MacVal,_xlpm.CSVVal&lt;&gt;"",PROPER(_xlpm.CSVVal)
)),"")</f>
        <v/>
      </c>
      <c r="H129" s="2" t="str" cm="1">
        <f t="array" ref="H129">IFERROR(_xlfn.LET(
_xlpm.CSVVal,_xlfn.XLOOKUP($A129,CSV!$A:$A,CSV!H:H,""),
_xlpm.MacVal,_xlfn.XLOOKUP($A129,Output_Mac!$A:$A,Output_Mac!H:H,""),
_xlpm.MyAuditVal,_xlfn.XLOOKUP($A129,My_Audit!$A:$A,My_Audit!G:G,""),
_xlfn.IFS(_xlpm.MyAuditVal&lt;&gt;"",_xlpm.MyAuditVal,_xlpm.MacVal&lt;&gt;"",_xlpm.MacVal,_xlpm.CSVVal&lt;&gt;"",_xlpm.CSVVal
)),"")</f>
        <v/>
      </c>
      <c r="I129" s="2" t="str">
        <f>_xlfn.XLOOKUP(A129,Output_Mac!A:A,Output_Mac!I:I,"")</f>
        <v/>
      </c>
      <c r="J129" s="2" t="str" cm="1">
        <f t="array" ref="J129">IFERROR(_xlfn.LET(
_xlpm.CSVVal,_xlfn.XLOOKUP($A129,CSV!$A:$A,CSV!I:I,""),
_xlpm.MacVal,_xlfn.XLOOKUP($A129,Output_Mac!$A:$A,Output_Mac!J:J,""),
_xlpm.MyAuditVal,_xlfn.XLOOKUP($A129,My_Audit!$A:$A,My_Audit!I:I,""),
_xlfn.IFS(_xlpm.MyAuditVal&lt;&gt;"",UPPER(_xlpm.MyAuditVal),_xlpm.MacVal&lt;&gt;"",_xlpm.MacVal,_xlpm.CSVVal&lt;&gt;"",_xlpm.CSVVal
)),"")</f>
        <v/>
      </c>
      <c r="K129" s="2" t="str" cm="1">
        <f t="array" ref="K129">IFERROR(_xlfn.LET(
_xlpm.CSVVal,_xlfn.XLOOKUP($A129,CSV!$A:$A,CSV!K:K,""),
_xlpm.MacVal,_xlfn.XLOOKUP($A129,Output_Mac!$A:$A,Output_Mac!K:K,""),
_xlpm.MyAuditVal,_xlfn.XLOOKUP($A129,My_Audit!$A:$A,My_Audit!J:J,""),
_xlfn.IFS(_xlpm.MyAuditVal&lt;&gt;"",UPPER(_xlpm.MyAuditVal),_xlpm.MacVal&lt;&gt;"",_xlpm.MacVal,_xlpm.CSVVal&lt;&gt;"",_xlpm.CSVVal
)),"")</f>
        <v/>
      </c>
      <c r="L129" s="2" t="str" cm="1">
        <f t="array" ref="L129">IFERROR(_xlfn.LET(
_xlpm.CSVVal,_xlfn.XLOOKUP($A129,CSV!$A:$A,CSV!P:P,""),
_xlpm.MacVal,_xlfn.XLOOKUP($A129,Output_Mac!$A:$A,Output_Mac!L:L,""),
_xlpm.MyAuditVal,_xlfn.XLOOKUP($A129,My_Audit!$A:$A,My_Audit!K:K,""),
_xlfn.IFS(_xlpm.MyAuditVal&lt;&gt;"",UPPER(_xlpm.MyAuditVal),_xlpm.MacVal&lt;&gt;"",_xlpm.MacVal,_xlpm.CSVVal&lt;&gt;"",_xlpm.CSVVal
)),"")</f>
        <v/>
      </c>
      <c r="M129" s="2" t="str" cm="1">
        <f t="array" ref="M129">IFERROR(_xlfn.LET(
_xlpm.CSVVal,_xlfn.XLOOKUP($A129,CSV!$A:$A,CSV!Q:Q,""),
_xlpm.MacVal,_xlfn.XLOOKUP($A129,Output_Mac!$A:$A,Output_Mac!M:M,""),
_xlpm.MyAuditVal,_xlfn.XLOOKUP($A129,My_Audit!$A:$A,My_Audit!L:L,""),
_xlfn.IFS(_xlpm.MyAuditVal&lt;&gt;"",UPPER(_xlpm.MyAuditVal),_xlpm.MacVal&lt;&gt;"",_xlpm.MacVal,_xlpm.CSVVal&lt;&gt;"",_xlpm.CSVVal
)),"")</f>
        <v/>
      </c>
      <c r="O129" s="2" t="str">
        <f>_xlfn.LET(
    _xlpm.CSVVal, _xlfn.XLOOKUP($A129, CSV!$A:$A, CSV!AC:AC, ""),
    _xlpm.MacVal, _xlfn.XLOOKUP($A129, Output_Mac!$A:$A, Output_Mac!S:S, ""),
    _xlpm.MyAuditVal, _xlfn.XLOOKUP($A129, My_Audit!$A:$A, My_Audit!P:P, ""),
    _xlfn.TEXTJOIN(", ", TRUE, _xlpm.MyAuditVal, _xlpm.MacVal, _xlpm.CSVVal)
)</f>
        <v/>
      </c>
      <c r="P129" s="2" t="str" cm="1">
        <f t="array" ref="P129">IFERROR(_xlfn.LET(
_xlpm.CSVVal,_xlfn.XLOOKUP($A129,CSV!$A:$A,CSV!AD:AD,""),
_xlpm.MacVal,_xlfn.XLOOKUP($A129,Output_Mac!$A:$A,Output_Mac!T:T,""),
_xlpm.MyAuditVal,_xlfn.XLOOKUP($A129,My_Audit!$A:$A,My_Audit!Q:Q,""),
_xlfn.IFS(_xlpm.MyAuditVal&lt;&gt;"",UPPER(_xlpm.MyAuditVal),_xlpm.MacVal&lt;&gt;"",_xlpm.MacVal,_xlpm.CSVVal&lt;&gt;"",_xlpm.CSVVal
)),"No")</f>
        <v>No</v>
      </c>
      <c r="Q129" s="2" t="str" cm="1">
        <f t="array" ref="Q129">IFERROR(_xlfn.LET(
_xlpm.CSVVal,_xlfn.XLOOKUP($A129,CSV!$A:$A,CSV!AE:AE,""),
_xlpm.MacVal,_xlfn.XLOOKUP($A129,Output_Mac!$A:$A,Output_Mac!U:U,""),
_xlpm.MyAuditVal,_xlfn.XLOOKUP($A129,My_Audit!$A:$A,My_Audit!R:R,""),
_xlfn.IFS(_xlpm.MyAuditVal&lt;&gt;"",UPPER(_xlpm.MyAuditVal),_xlpm.MacVal&lt;&gt;"",_xlpm.MacVal,_xlpm.CSVVal&lt;&gt;"",_xlpm.CSVVal
)),"")</f>
        <v/>
      </c>
      <c r="X129" t="str">
        <f>_xlfn.LET(
    _xlpm.MacVal, _xlfn.XLOOKUP($A129, Output_Mac!$A:$A, Output_Mac!AB:AB, ""),
    _xlpm.MyAuditVal, _xlfn.XLOOKUP($A129, My_Audit!$A:$A, My_Audit!N:N, ""),
    _xlfn.TEXTJOIN(", ", TRUE, _xlpm.MyAuditVal, _xlpm.MacVal)
)</f>
        <v/>
      </c>
    </row>
    <row r="130" spans="1:24">
      <c r="A130" s="2" t="str">
        <f>_xlfn.TEXTJOIN("",TRUE,Input!$B$2,ROW(My_Audit!A129))</f>
        <v>X129</v>
      </c>
      <c r="B130" s="2" t="str">
        <f>_xlfn.TEXTJOIN("-",TRUE,"ITD",Input!$A$2,A130)</f>
        <v>ITD-SHR-X129</v>
      </c>
      <c r="C130" s="2" t="str" cm="1">
        <f t="array" ref="C130">IFERROR(_xlfn.LET(
_xlpm.CSVVal,_xlfn.XLOOKUP($A130,CSV!$A:$A,CSV!B:B,""),
_xlpm.MacVal,_xlfn.XLOOKUP($A130,Output_Mac!$A:$A,Output_Mac!B:B,""),
_xlpm.MyAuditVal,_xlfn.XLOOKUP($A130,My_Audit!$A:$A,My_Audit!B:B,""),
_xlfn.IFS(_xlpm.MyAuditVal&lt;&gt;"",UPPER(_xlpm.MyAuditVal),_xlpm.MacVal&lt;&gt;"",_xlpm.MacVal,_xlpm.CSVVal&lt;&gt;"",_xlpm.CSVVal
)),"")</f>
        <v/>
      </c>
      <c r="D130" s="2" t="str" cm="1">
        <f t="array" ref="D130">IFERROR(_xlfn.LET(
_xlpm.CSVVal,_xlfn.XLOOKUP($A130,CSV!$A:$A,CSV!D:D,""),
_xlpm.MacVal,_xlfn.XLOOKUP($A130,Output_Mac!$A:$A,Output_Mac!C:C,""),
_xlpm.MyAuditVal,_xlfn.XLOOKUP($A130,My_Audit!$A:$A,My_Audit!C:C,""),
_xlfn.IFS(_xlpm.MyAuditVal&lt;&gt;"",_xlpm.MyAuditVal,_xlpm.MacVal&lt;&gt;"",_xlpm.MacVal,_xlpm.CSVVal&lt;&gt;"",_xlpm.CSVVal
)),"")</f>
        <v/>
      </c>
      <c r="E130" s="2" t="str">
        <f>_xlfn.XLOOKUP(A130,My_Audit!A:A,My_Audit!D:D,"")&amp;""</f>
        <v/>
      </c>
      <c r="F130" s="2" t="str" cm="1">
        <f t="array" ref="F130">IFERROR(_xlfn.LET(
_xlpm.CSVVal,_xlfn.XLOOKUP($A130,CSV!$A:$A,CSV!F:F,""),
_xlpm.MacVal,_xlfn.XLOOKUP($A130,Output_Mac!$A:$A,Output_Mac!E:E,""),
_xlpm.MyAuditVal,_xlfn.XLOOKUP($A130,My_Audit!$A:$A,My_Audit!E:E,""),
_xlfn.IFS(_xlpm.MyAuditVal&lt;&gt;"",_xlpm.MyAuditVal,_xlpm.MacVal&lt;&gt;"",_xlpm.MacVal,_xlpm.CSVVal&lt;&gt;"",_xlpm.CSVVal
)),"")</f>
        <v/>
      </c>
      <c r="G130" s="2" t="str" cm="1">
        <f t="array" ref="G130">IFERROR(_xlfn.LET(
_xlpm.CSVVal,_xlfn.XLOOKUP($A130,CSV!$A:$A,CSV!G:G,""),
_xlpm.MacVal,_xlfn.XLOOKUP($A130,Output_Mac!$A:$A,Output_Mac!F:F,""),
_xlpm.MyAuditVal,_xlfn.XLOOKUP($A130,My_Audit!$A:$A,My_Audit!F:F,""),
_xlfn.IFS(_xlpm.MyAuditVal&lt;&gt;"",_xlpm.MyAuditVal,_xlpm.MacVal&lt;&gt;"",_xlpm.MacVal,_xlpm.CSVVal&lt;&gt;"",PROPER(_xlpm.CSVVal)
)),"")</f>
        <v/>
      </c>
      <c r="H130" s="2" t="str" cm="1">
        <f t="array" ref="H130">IFERROR(_xlfn.LET(
_xlpm.CSVVal,_xlfn.XLOOKUP($A130,CSV!$A:$A,CSV!H:H,""),
_xlpm.MacVal,_xlfn.XLOOKUP($A130,Output_Mac!$A:$A,Output_Mac!H:H,""),
_xlpm.MyAuditVal,_xlfn.XLOOKUP($A130,My_Audit!$A:$A,My_Audit!G:G,""),
_xlfn.IFS(_xlpm.MyAuditVal&lt;&gt;"",_xlpm.MyAuditVal,_xlpm.MacVal&lt;&gt;"",_xlpm.MacVal,_xlpm.CSVVal&lt;&gt;"",_xlpm.CSVVal
)),"")</f>
        <v/>
      </c>
      <c r="I130" s="2" t="str">
        <f>_xlfn.XLOOKUP(A130,Output_Mac!A:A,Output_Mac!I:I,"")</f>
        <v/>
      </c>
      <c r="J130" s="2" t="str" cm="1">
        <f t="array" ref="J130">IFERROR(_xlfn.LET(
_xlpm.CSVVal,_xlfn.XLOOKUP($A130,CSV!$A:$A,CSV!I:I,""),
_xlpm.MacVal,_xlfn.XLOOKUP($A130,Output_Mac!$A:$A,Output_Mac!J:J,""),
_xlpm.MyAuditVal,_xlfn.XLOOKUP($A130,My_Audit!$A:$A,My_Audit!I:I,""),
_xlfn.IFS(_xlpm.MyAuditVal&lt;&gt;"",UPPER(_xlpm.MyAuditVal),_xlpm.MacVal&lt;&gt;"",_xlpm.MacVal,_xlpm.CSVVal&lt;&gt;"",_xlpm.CSVVal
)),"")</f>
        <v/>
      </c>
      <c r="K130" s="2" t="str" cm="1">
        <f t="array" ref="K130">IFERROR(_xlfn.LET(
_xlpm.CSVVal,_xlfn.XLOOKUP($A130,CSV!$A:$A,CSV!K:K,""),
_xlpm.MacVal,_xlfn.XLOOKUP($A130,Output_Mac!$A:$A,Output_Mac!K:K,""),
_xlpm.MyAuditVal,_xlfn.XLOOKUP($A130,My_Audit!$A:$A,My_Audit!J:J,""),
_xlfn.IFS(_xlpm.MyAuditVal&lt;&gt;"",UPPER(_xlpm.MyAuditVal),_xlpm.MacVal&lt;&gt;"",_xlpm.MacVal,_xlpm.CSVVal&lt;&gt;"",_xlpm.CSVVal
)),"")</f>
        <v/>
      </c>
      <c r="L130" s="2" t="str" cm="1">
        <f t="array" ref="L130">IFERROR(_xlfn.LET(
_xlpm.CSVVal,_xlfn.XLOOKUP($A130,CSV!$A:$A,CSV!P:P,""),
_xlpm.MacVal,_xlfn.XLOOKUP($A130,Output_Mac!$A:$A,Output_Mac!L:L,""),
_xlpm.MyAuditVal,_xlfn.XLOOKUP($A130,My_Audit!$A:$A,My_Audit!K:K,""),
_xlfn.IFS(_xlpm.MyAuditVal&lt;&gt;"",UPPER(_xlpm.MyAuditVal),_xlpm.MacVal&lt;&gt;"",_xlpm.MacVal,_xlpm.CSVVal&lt;&gt;"",_xlpm.CSVVal
)),"")</f>
        <v/>
      </c>
      <c r="M130" s="2" t="str" cm="1">
        <f t="array" ref="M130">IFERROR(_xlfn.LET(
_xlpm.CSVVal,_xlfn.XLOOKUP($A130,CSV!$A:$A,CSV!Q:Q,""),
_xlpm.MacVal,_xlfn.XLOOKUP($A130,Output_Mac!$A:$A,Output_Mac!M:M,""),
_xlpm.MyAuditVal,_xlfn.XLOOKUP($A130,My_Audit!$A:$A,My_Audit!L:L,""),
_xlfn.IFS(_xlpm.MyAuditVal&lt;&gt;"",UPPER(_xlpm.MyAuditVal),_xlpm.MacVal&lt;&gt;"",_xlpm.MacVal,_xlpm.CSVVal&lt;&gt;"",_xlpm.CSVVal
)),"")</f>
        <v/>
      </c>
      <c r="O130" s="2" t="str">
        <f>_xlfn.LET(
    _xlpm.CSVVal, _xlfn.XLOOKUP($A130, CSV!$A:$A, CSV!AC:AC, ""),
    _xlpm.MacVal, _xlfn.XLOOKUP($A130, Output_Mac!$A:$A, Output_Mac!S:S, ""),
    _xlpm.MyAuditVal, _xlfn.XLOOKUP($A130, My_Audit!$A:$A, My_Audit!P:P, ""),
    _xlfn.TEXTJOIN(", ", TRUE, _xlpm.MyAuditVal, _xlpm.MacVal, _xlpm.CSVVal)
)</f>
        <v/>
      </c>
      <c r="P130" s="2" t="str" cm="1">
        <f t="array" ref="P130">IFERROR(_xlfn.LET(
_xlpm.CSVVal,_xlfn.XLOOKUP($A130,CSV!$A:$A,CSV!AD:AD,""),
_xlpm.MacVal,_xlfn.XLOOKUP($A130,Output_Mac!$A:$A,Output_Mac!T:T,""),
_xlpm.MyAuditVal,_xlfn.XLOOKUP($A130,My_Audit!$A:$A,My_Audit!Q:Q,""),
_xlfn.IFS(_xlpm.MyAuditVal&lt;&gt;"",UPPER(_xlpm.MyAuditVal),_xlpm.MacVal&lt;&gt;"",_xlpm.MacVal,_xlpm.CSVVal&lt;&gt;"",_xlpm.CSVVal
)),"No")</f>
        <v>No</v>
      </c>
      <c r="Q130" s="2" t="str" cm="1">
        <f t="array" ref="Q130">IFERROR(_xlfn.LET(
_xlpm.CSVVal,_xlfn.XLOOKUP($A130,CSV!$A:$A,CSV!AE:AE,""),
_xlpm.MacVal,_xlfn.XLOOKUP($A130,Output_Mac!$A:$A,Output_Mac!U:U,""),
_xlpm.MyAuditVal,_xlfn.XLOOKUP($A130,My_Audit!$A:$A,My_Audit!R:R,""),
_xlfn.IFS(_xlpm.MyAuditVal&lt;&gt;"",UPPER(_xlpm.MyAuditVal),_xlpm.MacVal&lt;&gt;"",_xlpm.MacVal,_xlpm.CSVVal&lt;&gt;"",_xlpm.CSVVal
)),"")</f>
        <v/>
      </c>
      <c r="X130" t="str">
        <f>_xlfn.LET(
    _xlpm.MacVal, _xlfn.XLOOKUP($A130, Output_Mac!$A:$A, Output_Mac!AB:AB, ""),
    _xlpm.MyAuditVal, _xlfn.XLOOKUP($A130, My_Audit!$A:$A, My_Audit!N:N, ""),
    _xlfn.TEXTJOIN(", ", TRUE, _xlpm.MyAuditVal, _xlpm.MacVal)
)</f>
        <v/>
      </c>
    </row>
    <row r="131" spans="1:24">
      <c r="A131" s="2" t="str">
        <f>_xlfn.TEXTJOIN("",TRUE,Input!$B$2,ROW(My_Audit!A130))</f>
        <v>X130</v>
      </c>
      <c r="B131" s="2" t="str">
        <f>_xlfn.TEXTJOIN("-",TRUE,"ITD",Input!$A$2,A131)</f>
        <v>ITD-SHR-X130</v>
      </c>
      <c r="C131" s="2" t="str" cm="1">
        <f t="array" ref="C131">IFERROR(_xlfn.LET(
_xlpm.CSVVal,_xlfn.XLOOKUP($A131,CSV!$A:$A,CSV!B:B,""),
_xlpm.MacVal,_xlfn.XLOOKUP($A131,Output_Mac!$A:$A,Output_Mac!B:B,""),
_xlpm.MyAuditVal,_xlfn.XLOOKUP($A131,My_Audit!$A:$A,My_Audit!B:B,""),
_xlfn.IFS(_xlpm.MyAuditVal&lt;&gt;"",UPPER(_xlpm.MyAuditVal),_xlpm.MacVal&lt;&gt;"",_xlpm.MacVal,_xlpm.CSVVal&lt;&gt;"",_xlpm.CSVVal
)),"")</f>
        <v/>
      </c>
      <c r="D131" s="2" t="str" cm="1">
        <f t="array" ref="D131">IFERROR(_xlfn.LET(
_xlpm.CSVVal,_xlfn.XLOOKUP($A131,CSV!$A:$A,CSV!D:D,""),
_xlpm.MacVal,_xlfn.XLOOKUP($A131,Output_Mac!$A:$A,Output_Mac!C:C,""),
_xlpm.MyAuditVal,_xlfn.XLOOKUP($A131,My_Audit!$A:$A,My_Audit!C:C,""),
_xlfn.IFS(_xlpm.MyAuditVal&lt;&gt;"",_xlpm.MyAuditVal,_xlpm.MacVal&lt;&gt;"",_xlpm.MacVal,_xlpm.CSVVal&lt;&gt;"",_xlpm.CSVVal
)),"")</f>
        <v/>
      </c>
      <c r="E131" s="2" t="str">
        <f>_xlfn.XLOOKUP(A131,My_Audit!A:A,My_Audit!D:D,"")&amp;""</f>
        <v/>
      </c>
      <c r="F131" s="2" t="str" cm="1">
        <f t="array" ref="F131">IFERROR(_xlfn.LET(
_xlpm.CSVVal,_xlfn.XLOOKUP($A131,CSV!$A:$A,CSV!F:F,""),
_xlpm.MacVal,_xlfn.XLOOKUP($A131,Output_Mac!$A:$A,Output_Mac!E:E,""),
_xlpm.MyAuditVal,_xlfn.XLOOKUP($A131,My_Audit!$A:$A,My_Audit!E:E,""),
_xlfn.IFS(_xlpm.MyAuditVal&lt;&gt;"",_xlpm.MyAuditVal,_xlpm.MacVal&lt;&gt;"",_xlpm.MacVal,_xlpm.CSVVal&lt;&gt;"",_xlpm.CSVVal
)),"")</f>
        <v/>
      </c>
      <c r="G131" s="2" t="str" cm="1">
        <f t="array" ref="G131">IFERROR(_xlfn.LET(
_xlpm.CSVVal,_xlfn.XLOOKUP($A131,CSV!$A:$A,CSV!G:G,""),
_xlpm.MacVal,_xlfn.XLOOKUP($A131,Output_Mac!$A:$A,Output_Mac!F:F,""),
_xlpm.MyAuditVal,_xlfn.XLOOKUP($A131,My_Audit!$A:$A,My_Audit!F:F,""),
_xlfn.IFS(_xlpm.MyAuditVal&lt;&gt;"",_xlpm.MyAuditVal,_xlpm.MacVal&lt;&gt;"",_xlpm.MacVal,_xlpm.CSVVal&lt;&gt;"",PROPER(_xlpm.CSVVal)
)),"")</f>
        <v/>
      </c>
      <c r="H131" s="2" t="str" cm="1">
        <f t="array" ref="H131">IFERROR(_xlfn.LET(
_xlpm.CSVVal,_xlfn.XLOOKUP($A131,CSV!$A:$A,CSV!H:H,""),
_xlpm.MacVal,_xlfn.XLOOKUP($A131,Output_Mac!$A:$A,Output_Mac!H:H,""),
_xlpm.MyAuditVal,_xlfn.XLOOKUP($A131,My_Audit!$A:$A,My_Audit!G:G,""),
_xlfn.IFS(_xlpm.MyAuditVal&lt;&gt;"",_xlpm.MyAuditVal,_xlpm.MacVal&lt;&gt;"",_xlpm.MacVal,_xlpm.CSVVal&lt;&gt;"",_xlpm.CSVVal
)),"")</f>
        <v/>
      </c>
      <c r="I131" s="2" t="str">
        <f>_xlfn.XLOOKUP(A131,Output_Mac!A:A,Output_Mac!I:I,"")</f>
        <v/>
      </c>
      <c r="J131" s="2" t="str" cm="1">
        <f t="array" ref="J131">IFERROR(_xlfn.LET(
_xlpm.CSVVal,_xlfn.XLOOKUP($A131,CSV!$A:$A,CSV!I:I,""),
_xlpm.MacVal,_xlfn.XLOOKUP($A131,Output_Mac!$A:$A,Output_Mac!J:J,""),
_xlpm.MyAuditVal,_xlfn.XLOOKUP($A131,My_Audit!$A:$A,My_Audit!I:I,""),
_xlfn.IFS(_xlpm.MyAuditVal&lt;&gt;"",UPPER(_xlpm.MyAuditVal),_xlpm.MacVal&lt;&gt;"",_xlpm.MacVal,_xlpm.CSVVal&lt;&gt;"",_xlpm.CSVVal
)),"")</f>
        <v/>
      </c>
      <c r="K131" s="2" t="str" cm="1">
        <f t="array" ref="K131">IFERROR(_xlfn.LET(
_xlpm.CSVVal,_xlfn.XLOOKUP($A131,CSV!$A:$A,CSV!K:K,""),
_xlpm.MacVal,_xlfn.XLOOKUP($A131,Output_Mac!$A:$A,Output_Mac!K:K,""),
_xlpm.MyAuditVal,_xlfn.XLOOKUP($A131,My_Audit!$A:$A,My_Audit!J:J,""),
_xlfn.IFS(_xlpm.MyAuditVal&lt;&gt;"",UPPER(_xlpm.MyAuditVal),_xlpm.MacVal&lt;&gt;"",_xlpm.MacVal,_xlpm.CSVVal&lt;&gt;"",_xlpm.CSVVal
)),"")</f>
        <v/>
      </c>
      <c r="L131" s="2" t="str" cm="1">
        <f t="array" ref="L131">IFERROR(_xlfn.LET(
_xlpm.CSVVal,_xlfn.XLOOKUP($A131,CSV!$A:$A,CSV!P:P,""),
_xlpm.MacVal,_xlfn.XLOOKUP($A131,Output_Mac!$A:$A,Output_Mac!L:L,""),
_xlpm.MyAuditVal,_xlfn.XLOOKUP($A131,My_Audit!$A:$A,My_Audit!K:K,""),
_xlfn.IFS(_xlpm.MyAuditVal&lt;&gt;"",UPPER(_xlpm.MyAuditVal),_xlpm.MacVal&lt;&gt;"",_xlpm.MacVal,_xlpm.CSVVal&lt;&gt;"",_xlpm.CSVVal
)),"")</f>
        <v/>
      </c>
      <c r="M131" s="2" t="str" cm="1">
        <f t="array" ref="M131">IFERROR(_xlfn.LET(
_xlpm.CSVVal,_xlfn.XLOOKUP($A131,CSV!$A:$A,CSV!Q:Q,""),
_xlpm.MacVal,_xlfn.XLOOKUP($A131,Output_Mac!$A:$A,Output_Mac!M:M,""),
_xlpm.MyAuditVal,_xlfn.XLOOKUP($A131,My_Audit!$A:$A,My_Audit!L:L,""),
_xlfn.IFS(_xlpm.MyAuditVal&lt;&gt;"",UPPER(_xlpm.MyAuditVal),_xlpm.MacVal&lt;&gt;"",_xlpm.MacVal,_xlpm.CSVVal&lt;&gt;"",_xlpm.CSVVal
)),"")</f>
        <v/>
      </c>
      <c r="O131" s="2" t="str">
        <f>_xlfn.LET(
    _xlpm.CSVVal, _xlfn.XLOOKUP($A131, CSV!$A:$A, CSV!AC:AC, ""),
    _xlpm.MacVal, _xlfn.XLOOKUP($A131, Output_Mac!$A:$A, Output_Mac!S:S, ""),
    _xlpm.MyAuditVal, _xlfn.XLOOKUP($A131, My_Audit!$A:$A, My_Audit!P:P, ""),
    _xlfn.TEXTJOIN(", ", TRUE, _xlpm.MyAuditVal, _xlpm.MacVal, _xlpm.CSVVal)
)</f>
        <v/>
      </c>
      <c r="P131" s="2" t="str" cm="1">
        <f t="array" ref="P131">IFERROR(_xlfn.LET(
_xlpm.CSVVal,_xlfn.XLOOKUP($A131,CSV!$A:$A,CSV!AD:AD,""),
_xlpm.MacVal,_xlfn.XLOOKUP($A131,Output_Mac!$A:$A,Output_Mac!T:T,""),
_xlpm.MyAuditVal,_xlfn.XLOOKUP($A131,My_Audit!$A:$A,My_Audit!Q:Q,""),
_xlfn.IFS(_xlpm.MyAuditVal&lt;&gt;"",UPPER(_xlpm.MyAuditVal),_xlpm.MacVal&lt;&gt;"",_xlpm.MacVal,_xlpm.CSVVal&lt;&gt;"",_xlpm.CSVVal
)),"No")</f>
        <v>No</v>
      </c>
      <c r="Q131" s="2" t="str" cm="1">
        <f t="array" ref="Q131">IFERROR(_xlfn.LET(
_xlpm.CSVVal,_xlfn.XLOOKUP($A131,CSV!$A:$A,CSV!AE:AE,""),
_xlpm.MacVal,_xlfn.XLOOKUP($A131,Output_Mac!$A:$A,Output_Mac!U:U,""),
_xlpm.MyAuditVal,_xlfn.XLOOKUP($A131,My_Audit!$A:$A,My_Audit!R:R,""),
_xlfn.IFS(_xlpm.MyAuditVal&lt;&gt;"",UPPER(_xlpm.MyAuditVal),_xlpm.MacVal&lt;&gt;"",_xlpm.MacVal,_xlpm.CSVVal&lt;&gt;"",_xlpm.CSVVal
)),"")</f>
        <v/>
      </c>
      <c r="X131" t="str">
        <f>_xlfn.LET(
    _xlpm.MacVal, _xlfn.XLOOKUP($A131, Output_Mac!$A:$A, Output_Mac!AB:AB, ""),
    _xlpm.MyAuditVal, _xlfn.XLOOKUP($A131, My_Audit!$A:$A, My_Audit!N:N, ""),
    _xlfn.TEXTJOIN(", ", TRUE, _xlpm.MyAuditVal, _xlpm.MacVal)
)</f>
        <v/>
      </c>
    </row>
    <row r="132" spans="1:24">
      <c r="A132" s="2" t="str">
        <f>_xlfn.TEXTJOIN("",TRUE,Input!$B$2,ROW(My_Audit!A131))</f>
        <v>X131</v>
      </c>
      <c r="B132" s="2" t="str">
        <f>_xlfn.TEXTJOIN("-",TRUE,"ITD",Input!$A$2,A132)</f>
        <v>ITD-SHR-X131</v>
      </c>
      <c r="C132" s="2" t="str" cm="1">
        <f t="array" ref="C132">IFERROR(_xlfn.LET(
_xlpm.CSVVal,_xlfn.XLOOKUP($A132,CSV!$A:$A,CSV!B:B,""),
_xlpm.MacVal,_xlfn.XLOOKUP($A132,Output_Mac!$A:$A,Output_Mac!B:B,""),
_xlpm.MyAuditVal,_xlfn.XLOOKUP($A132,My_Audit!$A:$A,My_Audit!B:B,""),
_xlfn.IFS(_xlpm.MyAuditVal&lt;&gt;"",UPPER(_xlpm.MyAuditVal),_xlpm.MacVal&lt;&gt;"",_xlpm.MacVal,_xlpm.CSVVal&lt;&gt;"",_xlpm.CSVVal
)),"")</f>
        <v/>
      </c>
      <c r="D132" s="2" t="str" cm="1">
        <f t="array" ref="D132">IFERROR(_xlfn.LET(
_xlpm.CSVVal,_xlfn.XLOOKUP($A132,CSV!$A:$A,CSV!D:D,""),
_xlpm.MacVal,_xlfn.XLOOKUP($A132,Output_Mac!$A:$A,Output_Mac!C:C,""),
_xlpm.MyAuditVal,_xlfn.XLOOKUP($A132,My_Audit!$A:$A,My_Audit!C:C,""),
_xlfn.IFS(_xlpm.MyAuditVal&lt;&gt;"",_xlpm.MyAuditVal,_xlpm.MacVal&lt;&gt;"",_xlpm.MacVal,_xlpm.CSVVal&lt;&gt;"",_xlpm.CSVVal
)),"")</f>
        <v/>
      </c>
      <c r="E132" s="2" t="str">
        <f>_xlfn.XLOOKUP(A132,My_Audit!A:A,My_Audit!D:D,"")&amp;""</f>
        <v/>
      </c>
      <c r="F132" s="2" t="str" cm="1">
        <f t="array" ref="F132">IFERROR(_xlfn.LET(
_xlpm.CSVVal,_xlfn.XLOOKUP($A132,CSV!$A:$A,CSV!F:F,""),
_xlpm.MacVal,_xlfn.XLOOKUP($A132,Output_Mac!$A:$A,Output_Mac!E:E,""),
_xlpm.MyAuditVal,_xlfn.XLOOKUP($A132,My_Audit!$A:$A,My_Audit!E:E,""),
_xlfn.IFS(_xlpm.MyAuditVal&lt;&gt;"",_xlpm.MyAuditVal,_xlpm.MacVal&lt;&gt;"",_xlpm.MacVal,_xlpm.CSVVal&lt;&gt;"",_xlpm.CSVVal
)),"")</f>
        <v/>
      </c>
      <c r="G132" s="2" t="str" cm="1">
        <f t="array" ref="G132">IFERROR(_xlfn.LET(
_xlpm.CSVVal,_xlfn.XLOOKUP($A132,CSV!$A:$A,CSV!G:G,""),
_xlpm.MacVal,_xlfn.XLOOKUP($A132,Output_Mac!$A:$A,Output_Mac!F:F,""),
_xlpm.MyAuditVal,_xlfn.XLOOKUP($A132,My_Audit!$A:$A,My_Audit!F:F,""),
_xlfn.IFS(_xlpm.MyAuditVal&lt;&gt;"",_xlpm.MyAuditVal,_xlpm.MacVal&lt;&gt;"",_xlpm.MacVal,_xlpm.CSVVal&lt;&gt;"",PROPER(_xlpm.CSVVal)
)),"")</f>
        <v/>
      </c>
      <c r="H132" s="2" t="str" cm="1">
        <f t="array" ref="H132">IFERROR(_xlfn.LET(
_xlpm.CSVVal,_xlfn.XLOOKUP($A132,CSV!$A:$A,CSV!H:H,""),
_xlpm.MacVal,_xlfn.XLOOKUP($A132,Output_Mac!$A:$A,Output_Mac!H:H,""),
_xlpm.MyAuditVal,_xlfn.XLOOKUP($A132,My_Audit!$A:$A,My_Audit!G:G,""),
_xlfn.IFS(_xlpm.MyAuditVal&lt;&gt;"",_xlpm.MyAuditVal,_xlpm.MacVal&lt;&gt;"",_xlpm.MacVal,_xlpm.CSVVal&lt;&gt;"",_xlpm.CSVVal
)),"")</f>
        <v/>
      </c>
      <c r="I132" s="2" t="str">
        <f>_xlfn.XLOOKUP(A132,Output_Mac!A:A,Output_Mac!I:I,"")</f>
        <v/>
      </c>
      <c r="J132" s="2" t="str" cm="1">
        <f t="array" ref="J132">IFERROR(_xlfn.LET(
_xlpm.CSVVal,_xlfn.XLOOKUP($A132,CSV!$A:$A,CSV!I:I,""),
_xlpm.MacVal,_xlfn.XLOOKUP($A132,Output_Mac!$A:$A,Output_Mac!J:J,""),
_xlpm.MyAuditVal,_xlfn.XLOOKUP($A132,My_Audit!$A:$A,My_Audit!I:I,""),
_xlfn.IFS(_xlpm.MyAuditVal&lt;&gt;"",UPPER(_xlpm.MyAuditVal),_xlpm.MacVal&lt;&gt;"",_xlpm.MacVal,_xlpm.CSVVal&lt;&gt;"",_xlpm.CSVVal
)),"")</f>
        <v/>
      </c>
      <c r="K132" s="2" t="str" cm="1">
        <f t="array" ref="K132">IFERROR(_xlfn.LET(
_xlpm.CSVVal,_xlfn.XLOOKUP($A132,CSV!$A:$A,CSV!K:K,""),
_xlpm.MacVal,_xlfn.XLOOKUP($A132,Output_Mac!$A:$A,Output_Mac!K:K,""),
_xlpm.MyAuditVal,_xlfn.XLOOKUP($A132,My_Audit!$A:$A,My_Audit!J:J,""),
_xlfn.IFS(_xlpm.MyAuditVal&lt;&gt;"",UPPER(_xlpm.MyAuditVal),_xlpm.MacVal&lt;&gt;"",_xlpm.MacVal,_xlpm.CSVVal&lt;&gt;"",_xlpm.CSVVal
)),"")</f>
        <v/>
      </c>
      <c r="L132" s="2" t="str" cm="1">
        <f t="array" ref="L132">IFERROR(_xlfn.LET(
_xlpm.CSVVal,_xlfn.XLOOKUP($A132,CSV!$A:$A,CSV!P:P,""),
_xlpm.MacVal,_xlfn.XLOOKUP($A132,Output_Mac!$A:$A,Output_Mac!L:L,""),
_xlpm.MyAuditVal,_xlfn.XLOOKUP($A132,My_Audit!$A:$A,My_Audit!K:K,""),
_xlfn.IFS(_xlpm.MyAuditVal&lt;&gt;"",UPPER(_xlpm.MyAuditVal),_xlpm.MacVal&lt;&gt;"",_xlpm.MacVal,_xlpm.CSVVal&lt;&gt;"",_xlpm.CSVVal
)),"")</f>
        <v/>
      </c>
      <c r="M132" s="2" t="str" cm="1">
        <f t="array" ref="M132">IFERROR(_xlfn.LET(
_xlpm.CSVVal,_xlfn.XLOOKUP($A132,CSV!$A:$A,CSV!Q:Q,""),
_xlpm.MacVal,_xlfn.XLOOKUP($A132,Output_Mac!$A:$A,Output_Mac!M:M,""),
_xlpm.MyAuditVal,_xlfn.XLOOKUP($A132,My_Audit!$A:$A,My_Audit!L:L,""),
_xlfn.IFS(_xlpm.MyAuditVal&lt;&gt;"",UPPER(_xlpm.MyAuditVal),_xlpm.MacVal&lt;&gt;"",_xlpm.MacVal,_xlpm.CSVVal&lt;&gt;"",_xlpm.CSVVal
)),"")</f>
        <v/>
      </c>
      <c r="O132" s="2" t="str">
        <f>_xlfn.LET(
    _xlpm.CSVVal, _xlfn.XLOOKUP($A132, CSV!$A:$A, CSV!AC:AC, ""),
    _xlpm.MacVal, _xlfn.XLOOKUP($A132, Output_Mac!$A:$A, Output_Mac!S:S, ""),
    _xlpm.MyAuditVal, _xlfn.XLOOKUP($A132, My_Audit!$A:$A, My_Audit!P:P, ""),
    _xlfn.TEXTJOIN(", ", TRUE, _xlpm.MyAuditVal, _xlpm.MacVal, _xlpm.CSVVal)
)</f>
        <v/>
      </c>
      <c r="P132" s="2" t="str" cm="1">
        <f t="array" ref="P132">IFERROR(_xlfn.LET(
_xlpm.CSVVal,_xlfn.XLOOKUP($A132,CSV!$A:$A,CSV!AD:AD,""),
_xlpm.MacVal,_xlfn.XLOOKUP($A132,Output_Mac!$A:$A,Output_Mac!T:T,""),
_xlpm.MyAuditVal,_xlfn.XLOOKUP($A132,My_Audit!$A:$A,My_Audit!Q:Q,""),
_xlfn.IFS(_xlpm.MyAuditVal&lt;&gt;"",UPPER(_xlpm.MyAuditVal),_xlpm.MacVal&lt;&gt;"",_xlpm.MacVal,_xlpm.CSVVal&lt;&gt;"",_xlpm.CSVVal
)),"No")</f>
        <v>No</v>
      </c>
      <c r="Q132" s="2" t="str" cm="1">
        <f t="array" ref="Q132">IFERROR(_xlfn.LET(
_xlpm.CSVVal,_xlfn.XLOOKUP($A132,CSV!$A:$A,CSV!AE:AE,""),
_xlpm.MacVal,_xlfn.XLOOKUP($A132,Output_Mac!$A:$A,Output_Mac!U:U,""),
_xlpm.MyAuditVal,_xlfn.XLOOKUP($A132,My_Audit!$A:$A,My_Audit!R:R,""),
_xlfn.IFS(_xlpm.MyAuditVal&lt;&gt;"",UPPER(_xlpm.MyAuditVal),_xlpm.MacVal&lt;&gt;"",_xlpm.MacVal,_xlpm.CSVVal&lt;&gt;"",_xlpm.CSVVal
)),"")</f>
        <v/>
      </c>
      <c r="X132" t="str">
        <f>_xlfn.LET(
    _xlpm.MacVal, _xlfn.XLOOKUP($A132, Output_Mac!$A:$A, Output_Mac!AB:AB, ""),
    _xlpm.MyAuditVal, _xlfn.XLOOKUP($A132, My_Audit!$A:$A, My_Audit!N:N, ""),
    _xlfn.TEXTJOIN(", ", TRUE, _xlpm.MyAuditVal, _xlpm.MacVal)
)</f>
        <v/>
      </c>
    </row>
    <row r="133" spans="1:24">
      <c r="A133" s="2" t="str">
        <f>_xlfn.TEXTJOIN("",TRUE,Input!$B$2,ROW(My_Audit!A132))</f>
        <v>X132</v>
      </c>
      <c r="B133" s="2" t="str">
        <f>_xlfn.TEXTJOIN("-",TRUE,"ITD",Input!$A$2,A133)</f>
        <v>ITD-SHR-X132</v>
      </c>
      <c r="C133" s="2" t="str" cm="1">
        <f t="array" ref="C133">IFERROR(_xlfn.LET(
_xlpm.CSVVal,_xlfn.XLOOKUP($A133,CSV!$A:$A,CSV!B:B,""),
_xlpm.MacVal,_xlfn.XLOOKUP($A133,Output_Mac!$A:$A,Output_Mac!B:B,""),
_xlpm.MyAuditVal,_xlfn.XLOOKUP($A133,My_Audit!$A:$A,My_Audit!B:B,""),
_xlfn.IFS(_xlpm.MyAuditVal&lt;&gt;"",UPPER(_xlpm.MyAuditVal),_xlpm.MacVal&lt;&gt;"",_xlpm.MacVal,_xlpm.CSVVal&lt;&gt;"",_xlpm.CSVVal
)),"")</f>
        <v/>
      </c>
      <c r="D133" s="2" t="str" cm="1">
        <f t="array" ref="D133">IFERROR(_xlfn.LET(
_xlpm.CSVVal,_xlfn.XLOOKUP($A133,CSV!$A:$A,CSV!D:D,""),
_xlpm.MacVal,_xlfn.XLOOKUP($A133,Output_Mac!$A:$A,Output_Mac!C:C,""),
_xlpm.MyAuditVal,_xlfn.XLOOKUP($A133,My_Audit!$A:$A,My_Audit!C:C,""),
_xlfn.IFS(_xlpm.MyAuditVal&lt;&gt;"",_xlpm.MyAuditVal,_xlpm.MacVal&lt;&gt;"",_xlpm.MacVal,_xlpm.CSVVal&lt;&gt;"",_xlpm.CSVVal
)),"")</f>
        <v/>
      </c>
      <c r="E133" s="2" t="str">
        <f>_xlfn.XLOOKUP(A133,My_Audit!A:A,My_Audit!D:D,"")&amp;""</f>
        <v/>
      </c>
      <c r="F133" s="2" t="str" cm="1">
        <f t="array" ref="F133">IFERROR(_xlfn.LET(
_xlpm.CSVVal,_xlfn.XLOOKUP($A133,CSV!$A:$A,CSV!F:F,""),
_xlpm.MacVal,_xlfn.XLOOKUP($A133,Output_Mac!$A:$A,Output_Mac!E:E,""),
_xlpm.MyAuditVal,_xlfn.XLOOKUP($A133,My_Audit!$A:$A,My_Audit!E:E,""),
_xlfn.IFS(_xlpm.MyAuditVal&lt;&gt;"",_xlpm.MyAuditVal,_xlpm.MacVal&lt;&gt;"",_xlpm.MacVal,_xlpm.CSVVal&lt;&gt;"",_xlpm.CSVVal
)),"")</f>
        <v/>
      </c>
      <c r="G133" s="2" t="str" cm="1">
        <f t="array" ref="G133">IFERROR(_xlfn.LET(
_xlpm.CSVVal,_xlfn.XLOOKUP($A133,CSV!$A:$A,CSV!G:G,""),
_xlpm.MacVal,_xlfn.XLOOKUP($A133,Output_Mac!$A:$A,Output_Mac!F:F,""),
_xlpm.MyAuditVal,_xlfn.XLOOKUP($A133,My_Audit!$A:$A,My_Audit!F:F,""),
_xlfn.IFS(_xlpm.MyAuditVal&lt;&gt;"",_xlpm.MyAuditVal,_xlpm.MacVal&lt;&gt;"",_xlpm.MacVal,_xlpm.CSVVal&lt;&gt;"",PROPER(_xlpm.CSVVal)
)),"")</f>
        <v/>
      </c>
      <c r="H133" s="2" t="str" cm="1">
        <f t="array" ref="H133">IFERROR(_xlfn.LET(
_xlpm.CSVVal,_xlfn.XLOOKUP($A133,CSV!$A:$A,CSV!H:H,""),
_xlpm.MacVal,_xlfn.XLOOKUP($A133,Output_Mac!$A:$A,Output_Mac!H:H,""),
_xlpm.MyAuditVal,_xlfn.XLOOKUP($A133,My_Audit!$A:$A,My_Audit!G:G,""),
_xlfn.IFS(_xlpm.MyAuditVal&lt;&gt;"",_xlpm.MyAuditVal,_xlpm.MacVal&lt;&gt;"",_xlpm.MacVal,_xlpm.CSVVal&lt;&gt;"",_xlpm.CSVVal
)),"")</f>
        <v/>
      </c>
      <c r="I133" s="2" t="str">
        <f>_xlfn.XLOOKUP(A133,Output_Mac!A:A,Output_Mac!I:I,"")</f>
        <v/>
      </c>
      <c r="J133" s="2" t="str" cm="1">
        <f t="array" ref="J133">IFERROR(_xlfn.LET(
_xlpm.CSVVal,_xlfn.XLOOKUP($A133,CSV!$A:$A,CSV!I:I,""),
_xlpm.MacVal,_xlfn.XLOOKUP($A133,Output_Mac!$A:$A,Output_Mac!J:J,""),
_xlpm.MyAuditVal,_xlfn.XLOOKUP($A133,My_Audit!$A:$A,My_Audit!I:I,""),
_xlfn.IFS(_xlpm.MyAuditVal&lt;&gt;"",UPPER(_xlpm.MyAuditVal),_xlpm.MacVal&lt;&gt;"",_xlpm.MacVal,_xlpm.CSVVal&lt;&gt;"",_xlpm.CSVVal
)),"")</f>
        <v/>
      </c>
      <c r="K133" s="2" t="str" cm="1">
        <f t="array" ref="K133">IFERROR(_xlfn.LET(
_xlpm.CSVVal,_xlfn.XLOOKUP($A133,CSV!$A:$A,CSV!K:K,""),
_xlpm.MacVal,_xlfn.XLOOKUP($A133,Output_Mac!$A:$A,Output_Mac!K:K,""),
_xlpm.MyAuditVal,_xlfn.XLOOKUP($A133,My_Audit!$A:$A,My_Audit!J:J,""),
_xlfn.IFS(_xlpm.MyAuditVal&lt;&gt;"",UPPER(_xlpm.MyAuditVal),_xlpm.MacVal&lt;&gt;"",_xlpm.MacVal,_xlpm.CSVVal&lt;&gt;"",_xlpm.CSVVal
)),"")</f>
        <v/>
      </c>
      <c r="L133" s="2" t="str" cm="1">
        <f t="array" ref="L133">IFERROR(_xlfn.LET(
_xlpm.CSVVal,_xlfn.XLOOKUP($A133,CSV!$A:$A,CSV!P:P,""),
_xlpm.MacVal,_xlfn.XLOOKUP($A133,Output_Mac!$A:$A,Output_Mac!L:L,""),
_xlpm.MyAuditVal,_xlfn.XLOOKUP($A133,My_Audit!$A:$A,My_Audit!K:K,""),
_xlfn.IFS(_xlpm.MyAuditVal&lt;&gt;"",UPPER(_xlpm.MyAuditVal),_xlpm.MacVal&lt;&gt;"",_xlpm.MacVal,_xlpm.CSVVal&lt;&gt;"",_xlpm.CSVVal
)),"")</f>
        <v/>
      </c>
      <c r="M133" s="2" t="str" cm="1">
        <f t="array" ref="M133">IFERROR(_xlfn.LET(
_xlpm.CSVVal,_xlfn.XLOOKUP($A133,CSV!$A:$A,CSV!Q:Q,""),
_xlpm.MacVal,_xlfn.XLOOKUP($A133,Output_Mac!$A:$A,Output_Mac!M:M,""),
_xlpm.MyAuditVal,_xlfn.XLOOKUP($A133,My_Audit!$A:$A,My_Audit!L:L,""),
_xlfn.IFS(_xlpm.MyAuditVal&lt;&gt;"",UPPER(_xlpm.MyAuditVal),_xlpm.MacVal&lt;&gt;"",_xlpm.MacVal,_xlpm.CSVVal&lt;&gt;"",_xlpm.CSVVal
)),"")</f>
        <v/>
      </c>
      <c r="O133" s="2" t="str">
        <f>_xlfn.LET(
    _xlpm.CSVVal, _xlfn.XLOOKUP($A133, CSV!$A:$A, CSV!AC:AC, ""),
    _xlpm.MacVal, _xlfn.XLOOKUP($A133, Output_Mac!$A:$A, Output_Mac!S:S, ""),
    _xlpm.MyAuditVal, _xlfn.XLOOKUP($A133, My_Audit!$A:$A, My_Audit!P:P, ""),
    _xlfn.TEXTJOIN(", ", TRUE, _xlpm.MyAuditVal, _xlpm.MacVal, _xlpm.CSVVal)
)</f>
        <v/>
      </c>
      <c r="P133" s="2" t="str" cm="1">
        <f t="array" ref="P133">IFERROR(_xlfn.LET(
_xlpm.CSVVal,_xlfn.XLOOKUP($A133,CSV!$A:$A,CSV!AD:AD,""),
_xlpm.MacVal,_xlfn.XLOOKUP($A133,Output_Mac!$A:$A,Output_Mac!T:T,""),
_xlpm.MyAuditVal,_xlfn.XLOOKUP($A133,My_Audit!$A:$A,My_Audit!Q:Q,""),
_xlfn.IFS(_xlpm.MyAuditVal&lt;&gt;"",UPPER(_xlpm.MyAuditVal),_xlpm.MacVal&lt;&gt;"",_xlpm.MacVal,_xlpm.CSVVal&lt;&gt;"",_xlpm.CSVVal
)),"No")</f>
        <v>No</v>
      </c>
      <c r="Q133" s="2" t="str" cm="1">
        <f t="array" ref="Q133">IFERROR(_xlfn.LET(
_xlpm.CSVVal,_xlfn.XLOOKUP($A133,CSV!$A:$A,CSV!AE:AE,""),
_xlpm.MacVal,_xlfn.XLOOKUP($A133,Output_Mac!$A:$A,Output_Mac!U:U,""),
_xlpm.MyAuditVal,_xlfn.XLOOKUP($A133,My_Audit!$A:$A,My_Audit!R:R,""),
_xlfn.IFS(_xlpm.MyAuditVal&lt;&gt;"",UPPER(_xlpm.MyAuditVal),_xlpm.MacVal&lt;&gt;"",_xlpm.MacVal,_xlpm.CSVVal&lt;&gt;"",_xlpm.CSVVal
)),"")</f>
        <v/>
      </c>
      <c r="X133" t="str">
        <f>_xlfn.LET(
    _xlpm.MacVal, _xlfn.XLOOKUP($A133, Output_Mac!$A:$A, Output_Mac!AB:AB, ""),
    _xlpm.MyAuditVal, _xlfn.XLOOKUP($A133, My_Audit!$A:$A, My_Audit!N:N, ""),
    _xlfn.TEXTJOIN(", ", TRUE, _xlpm.MyAuditVal, _xlpm.MacVal)
)</f>
        <v/>
      </c>
    </row>
    <row r="134" spans="1:24">
      <c r="A134" s="2" t="str">
        <f>_xlfn.TEXTJOIN("",TRUE,Input!$B$2,ROW(My_Audit!A133))</f>
        <v>X133</v>
      </c>
      <c r="B134" s="2" t="str">
        <f>_xlfn.TEXTJOIN("-",TRUE,"ITD",Input!$A$2,A134)</f>
        <v>ITD-SHR-X133</v>
      </c>
      <c r="C134" s="2" t="str" cm="1">
        <f t="array" ref="C134">IFERROR(_xlfn.LET(
_xlpm.CSVVal,_xlfn.XLOOKUP($A134,CSV!$A:$A,CSV!B:B,""),
_xlpm.MacVal,_xlfn.XLOOKUP($A134,Output_Mac!$A:$A,Output_Mac!B:B,""),
_xlpm.MyAuditVal,_xlfn.XLOOKUP($A134,My_Audit!$A:$A,My_Audit!B:B,""),
_xlfn.IFS(_xlpm.MyAuditVal&lt;&gt;"",UPPER(_xlpm.MyAuditVal),_xlpm.MacVal&lt;&gt;"",_xlpm.MacVal,_xlpm.CSVVal&lt;&gt;"",_xlpm.CSVVal
)),"")</f>
        <v/>
      </c>
      <c r="D134" s="2" t="str" cm="1">
        <f t="array" ref="D134">IFERROR(_xlfn.LET(
_xlpm.CSVVal,_xlfn.XLOOKUP($A134,CSV!$A:$A,CSV!D:D,""),
_xlpm.MacVal,_xlfn.XLOOKUP($A134,Output_Mac!$A:$A,Output_Mac!C:C,""),
_xlpm.MyAuditVal,_xlfn.XLOOKUP($A134,My_Audit!$A:$A,My_Audit!C:C,""),
_xlfn.IFS(_xlpm.MyAuditVal&lt;&gt;"",_xlpm.MyAuditVal,_xlpm.MacVal&lt;&gt;"",_xlpm.MacVal,_xlpm.CSVVal&lt;&gt;"",_xlpm.CSVVal
)),"")</f>
        <v/>
      </c>
      <c r="E134" s="2" t="str">
        <f>_xlfn.XLOOKUP(A134,My_Audit!A:A,My_Audit!D:D,"")&amp;""</f>
        <v/>
      </c>
      <c r="F134" s="2" t="str" cm="1">
        <f t="array" ref="F134">IFERROR(_xlfn.LET(
_xlpm.CSVVal,_xlfn.XLOOKUP($A134,CSV!$A:$A,CSV!F:F,""),
_xlpm.MacVal,_xlfn.XLOOKUP($A134,Output_Mac!$A:$A,Output_Mac!E:E,""),
_xlpm.MyAuditVal,_xlfn.XLOOKUP($A134,My_Audit!$A:$A,My_Audit!E:E,""),
_xlfn.IFS(_xlpm.MyAuditVal&lt;&gt;"",_xlpm.MyAuditVal,_xlpm.MacVal&lt;&gt;"",_xlpm.MacVal,_xlpm.CSVVal&lt;&gt;"",_xlpm.CSVVal
)),"")</f>
        <v/>
      </c>
      <c r="G134" s="2" t="str" cm="1">
        <f t="array" ref="G134">IFERROR(_xlfn.LET(
_xlpm.CSVVal,_xlfn.XLOOKUP($A134,CSV!$A:$A,CSV!G:G,""),
_xlpm.MacVal,_xlfn.XLOOKUP($A134,Output_Mac!$A:$A,Output_Mac!F:F,""),
_xlpm.MyAuditVal,_xlfn.XLOOKUP($A134,My_Audit!$A:$A,My_Audit!F:F,""),
_xlfn.IFS(_xlpm.MyAuditVal&lt;&gt;"",_xlpm.MyAuditVal,_xlpm.MacVal&lt;&gt;"",_xlpm.MacVal,_xlpm.CSVVal&lt;&gt;"",PROPER(_xlpm.CSVVal)
)),"")</f>
        <v/>
      </c>
      <c r="H134" s="2" t="str" cm="1">
        <f t="array" ref="H134">IFERROR(_xlfn.LET(
_xlpm.CSVVal,_xlfn.XLOOKUP($A134,CSV!$A:$A,CSV!H:H,""),
_xlpm.MacVal,_xlfn.XLOOKUP($A134,Output_Mac!$A:$A,Output_Mac!H:H,""),
_xlpm.MyAuditVal,_xlfn.XLOOKUP($A134,My_Audit!$A:$A,My_Audit!G:G,""),
_xlfn.IFS(_xlpm.MyAuditVal&lt;&gt;"",_xlpm.MyAuditVal,_xlpm.MacVal&lt;&gt;"",_xlpm.MacVal,_xlpm.CSVVal&lt;&gt;"",_xlpm.CSVVal
)),"")</f>
        <v/>
      </c>
      <c r="I134" s="2" t="str">
        <f>_xlfn.XLOOKUP(A134,Output_Mac!A:A,Output_Mac!I:I,"")</f>
        <v/>
      </c>
      <c r="J134" s="2" t="str" cm="1">
        <f t="array" ref="J134">IFERROR(_xlfn.LET(
_xlpm.CSVVal,_xlfn.XLOOKUP($A134,CSV!$A:$A,CSV!I:I,""),
_xlpm.MacVal,_xlfn.XLOOKUP($A134,Output_Mac!$A:$A,Output_Mac!J:J,""),
_xlpm.MyAuditVal,_xlfn.XLOOKUP($A134,My_Audit!$A:$A,My_Audit!I:I,""),
_xlfn.IFS(_xlpm.MyAuditVal&lt;&gt;"",UPPER(_xlpm.MyAuditVal),_xlpm.MacVal&lt;&gt;"",_xlpm.MacVal,_xlpm.CSVVal&lt;&gt;"",_xlpm.CSVVal
)),"")</f>
        <v/>
      </c>
      <c r="K134" s="2" t="str" cm="1">
        <f t="array" ref="K134">IFERROR(_xlfn.LET(
_xlpm.CSVVal,_xlfn.XLOOKUP($A134,CSV!$A:$A,CSV!K:K,""),
_xlpm.MacVal,_xlfn.XLOOKUP($A134,Output_Mac!$A:$A,Output_Mac!K:K,""),
_xlpm.MyAuditVal,_xlfn.XLOOKUP($A134,My_Audit!$A:$A,My_Audit!J:J,""),
_xlfn.IFS(_xlpm.MyAuditVal&lt;&gt;"",UPPER(_xlpm.MyAuditVal),_xlpm.MacVal&lt;&gt;"",_xlpm.MacVal,_xlpm.CSVVal&lt;&gt;"",_xlpm.CSVVal
)),"")</f>
        <v/>
      </c>
      <c r="L134" s="2" t="str" cm="1">
        <f t="array" ref="L134">IFERROR(_xlfn.LET(
_xlpm.CSVVal,_xlfn.XLOOKUP($A134,CSV!$A:$A,CSV!P:P,""),
_xlpm.MacVal,_xlfn.XLOOKUP($A134,Output_Mac!$A:$A,Output_Mac!L:L,""),
_xlpm.MyAuditVal,_xlfn.XLOOKUP($A134,My_Audit!$A:$A,My_Audit!K:K,""),
_xlfn.IFS(_xlpm.MyAuditVal&lt;&gt;"",UPPER(_xlpm.MyAuditVal),_xlpm.MacVal&lt;&gt;"",_xlpm.MacVal,_xlpm.CSVVal&lt;&gt;"",_xlpm.CSVVal
)),"")</f>
        <v/>
      </c>
      <c r="M134" s="2" t="str" cm="1">
        <f t="array" ref="M134">IFERROR(_xlfn.LET(
_xlpm.CSVVal,_xlfn.XLOOKUP($A134,CSV!$A:$A,CSV!Q:Q,""),
_xlpm.MacVal,_xlfn.XLOOKUP($A134,Output_Mac!$A:$A,Output_Mac!M:M,""),
_xlpm.MyAuditVal,_xlfn.XLOOKUP($A134,My_Audit!$A:$A,My_Audit!L:L,""),
_xlfn.IFS(_xlpm.MyAuditVal&lt;&gt;"",UPPER(_xlpm.MyAuditVal),_xlpm.MacVal&lt;&gt;"",_xlpm.MacVal,_xlpm.CSVVal&lt;&gt;"",_xlpm.CSVVal
)),"")</f>
        <v/>
      </c>
      <c r="O134" s="2" t="str">
        <f>_xlfn.LET(
    _xlpm.CSVVal, _xlfn.XLOOKUP($A134, CSV!$A:$A, CSV!AC:AC, ""),
    _xlpm.MacVal, _xlfn.XLOOKUP($A134, Output_Mac!$A:$A, Output_Mac!S:S, ""),
    _xlpm.MyAuditVal, _xlfn.XLOOKUP($A134, My_Audit!$A:$A, My_Audit!P:P, ""),
    _xlfn.TEXTJOIN(", ", TRUE, _xlpm.MyAuditVal, _xlpm.MacVal, _xlpm.CSVVal)
)</f>
        <v/>
      </c>
      <c r="P134" s="2" t="str" cm="1">
        <f t="array" ref="P134">IFERROR(_xlfn.LET(
_xlpm.CSVVal,_xlfn.XLOOKUP($A134,CSV!$A:$A,CSV!AD:AD,""),
_xlpm.MacVal,_xlfn.XLOOKUP($A134,Output_Mac!$A:$A,Output_Mac!T:T,""),
_xlpm.MyAuditVal,_xlfn.XLOOKUP($A134,My_Audit!$A:$A,My_Audit!Q:Q,""),
_xlfn.IFS(_xlpm.MyAuditVal&lt;&gt;"",UPPER(_xlpm.MyAuditVal),_xlpm.MacVal&lt;&gt;"",_xlpm.MacVal,_xlpm.CSVVal&lt;&gt;"",_xlpm.CSVVal
)),"No")</f>
        <v>No</v>
      </c>
      <c r="Q134" s="2" t="str" cm="1">
        <f t="array" ref="Q134">IFERROR(_xlfn.LET(
_xlpm.CSVVal,_xlfn.XLOOKUP($A134,CSV!$A:$A,CSV!AE:AE,""),
_xlpm.MacVal,_xlfn.XLOOKUP($A134,Output_Mac!$A:$A,Output_Mac!U:U,""),
_xlpm.MyAuditVal,_xlfn.XLOOKUP($A134,My_Audit!$A:$A,My_Audit!R:R,""),
_xlfn.IFS(_xlpm.MyAuditVal&lt;&gt;"",UPPER(_xlpm.MyAuditVal),_xlpm.MacVal&lt;&gt;"",_xlpm.MacVal,_xlpm.CSVVal&lt;&gt;"",_xlpm.CSVVal
)),"")</f>
        <v/>
      </c>
      <c r="X134" t="str">
        <f>_xlfn.LET(
    _xlpm.MacVal, _xlfn.XLOOKUP($A134, Output_Mac!$A:$A, Output_Mac!AB:AB, ""),
    _xlpm.MyAuditVal, _xlfn.XLOOKUP($A134, My_Audit!$A:$A, My_Audit!N:N, ""),
    _xlfn.TEXTJOIN(", ", TRUE, _xlpm.MyAuditVal, _xlpm.MacVal)
)</f>
        <v/>
      </c>
    </row>
    <row r="135" spans="1:24">
      <c r="A135" s="2" t="str">
        <f>_xlfn.TEXTJOIN("",TRUE,Input!$B$2,ROW(My_Audit!A134))</f>
        <v>X134</v>
      </c>
      <c r="B135" s="2" t="str">
        <f>_xlfn.TEXTJOIN("-",TRUE,"ITD",Input!$A$2,A135)</f>
        <v>ITD-SHR-X134</v>
      </c>
      <c r="C135" s="2" t="str" cm="1">
        <f t="array" ref="C135">IFERROR(_xlfn.LET(
_xlpm.CSVVal,_xlfn.XLOOKUP($A135,CSV!$A:$A,CSV!B:B,""),
_xlpm.MacVal,_xlfn.XLOOKUP($A135,Output_Mac!$A:$A,Output_Mac!B:B,""),
_xlpm.MyAuditVal,_xlfn.XLOOKUP($A135,My_Audit!$A:$A,My_Audit!B:B,""),
_xlfn.IFS(_xlpm.MyAuditVal&lt;&gt;"",UPPER(_xlpm.MyAuditVal),_xlpm.MacVal&lt;&gt;"",_xlpm.MacVal,_xlpm.CSVVal&lt;&gt;"",_xlpm.CSVVal
)),"")</f>
        <v/>
      </c>
      <c r="D135" s="2" t="str" cm="1">
        <f t="array" ref="D135">IFERROR(_xlfn.LET(
_xlpm.CSVVal,_xlfn.XLOOKUP($A135,CSV!$A:$A,CSV!D:D,""),
_xlpm.MacVal,_xlfn.XLOOKUP($A135,Output_Mac!$A:$A,Output_Mac!C:C,""),
_xlpm.MyAuditVal,_xlfn.XLOOKUP($A135,My_Audit!$A:$A,My_Audit!C:C,""),
_xlfn.IFS(_xlpm.MyAuditVal&lt;&gt;"",_xlpm.MyAuditVal,_xlpm.MacVal&lt;&gt;"",_xlpm.MacVal,_xlpm.CSVVal&lt;&gt;"",_xlpm.CSVVal
)),"")</f>
        <v/>
      </c>
      <c r="E135" s="2" t="str">
        <f>_xlfn.XLOOKUP(A135,My_Audit!A:A,My_Audit!D:D,"")&amp;""</f>
        <v/>
      </c>
      <c r="F135" s="2" t="str" cm="1">
        <f t="array" ref="F135">IFERROR(_xlfn.LET(
_xlpm.CSVVal,_xlfn.XLOOKUP($A135,CSV!$A:$A,CSV!F:F,""),
_xlpm.MacVal,_xlfn.XLOOKUP($A135,Output_Mac!$A:$A,Output_Mac!E:E,""),
_xlpm.MyAuditVal,_xlfn.XLOOKUP($A135,My_Audit!$A:$A,My_Audit!E:E,""),
_xlfn.IFS(_xlpm.MyAuditVal&lt;&gt;"",_xlpm.MyAuditVal,_xlpm.MacVal&lt;&gt;"",_xlpm.MacVal,_xlpm.CSVVal&lt;&gt;"",_xlpm.CSVVal
)),"")</f>
        <v/>
      </c>
      <c r="G135" s="2" t="str" cm="1">
        <f t="array" ref="G135">IFERROR(_xlfn.LET(
_xlpm.CSVVal,_xlfn.XLOOKUP($A135,CSV!$A:$A,CSV!G:G,""),
_xlpm.MacVal,_xlfn.XLOOKUP($A135,Output_Mac!$A:$A,Output_Mac!F:F,""),
_xlpm.MyAuditVal,_xlfn.XLOOKUP($A135,My_Audit!$A:$A,My_Audit!F:F,""),
_xlfn.IFS(_xlpm.MyAuditVal&lt;&gt;"",_xlpm.MyAuditVal,_xlpm.MacVal&lt;&gt;"",_xlpm.MacVal,_xlpm.CSVVal&lt;&gt;"",PROPER(_xlpm.CSVVal)
)),"")</f>
        <v/>
      </c>
      <c r="H135" s="2" t="str" cm="1">
        <f t="array" ref="H135">IFERROR(_xlfn.LET(
_xlpm.CSVVal,_xlfn.XLOOKUP($A135,CSV!$A:$A,CSV!H:H,""),
_xlpm.MacVal,_xlfn.XLOOKUP($A135,Output_Mac!$A:$A,Output_Mac!H:H,""),
_xlpm.MyAuditVal,_xlfn.XLOOKUP($A135,My_Audit!$A:$A,My_Audit!G:G,""),
_xlfn.IFS(_xlpm.MyAuditVal&lt;&gt;"",_xlpm.MyAuditVal,_xlpm.MacVal&lt;&gt;"",_xlpm.MacVal,_xlpm.CSVVal&lt;&gt;"",_xlpm.CSVVal
)),"")</f>
        <v/>
      </c>
      <c r="I135" s="2" t="str">
        <f>_xlfn.XLOOKUP(A135,Output_Mac!A:A,Output_Mac!I:I,"")</f>
        <v/>
      </c>
      <c r="J135" s="2" t="str" cm="1">
        <f t="array" ref="J135">IFERROR(_xlfn.LET(
_xlpm.CSVVal,_xlfn.XLOOKUP($A135,CSV!$A:$A,CSV!I:I,""),
_xlpm.MacVal,_xlfn.XLOOKUP($A135,Output_Mac!$A:$A,Output_Mac!J:J,""),
_xlpm.MyAuditVal,_xlfn.XLOOKUP($A135,My_Audit!$A:$A,My_Audit!I:I,""),
_xlfn.IFS(_xlpm.MyAuditVal&lt;&gt;"",UPPER(_xlpm.MyAuditVal),_xlpm.MacVal&lt;&gt;"",_xlpm.MacVal,_xlpm.CSVVal&lt;&gt;"",_xlpm.CSVVal
)),"")</f>
        <v/>
      </c>
      <c r="K135" s="2" t="str" cm="1">
        <f t="array" ref="K135">IFERROR(_xlfn.LET(
_xlpm.CSVVal,_xlfn.XLOOKUP($A135,CSV!$A:$A,CSV!K:K,""),
_xlpm.MacVal,_xlfn.XLOOKUP($A135,Output_Mac!$A:$A,Output_Mac!K:K,""),
_xlpm.MyAuditVal,_xlfn.XLOOKUP($A135,My_Audit!$A:$A,My_Audit!J:J,""),
_xlfn.IFS(_xlpm.MyAuditVal&lt;&gt;"",UPPER(_xlpm.MyAuditVal),_xlpm.MacVal&lt;&gt;"",_xlpm.MacVal,_xlpm.CSVVal&lt;&gt;"",_xlpm.CSVVal
)),"")</f>
        <v/>
      </c>
      <c r="L135" s="2" t="str" cm="1">
        <f t="array" ref="L135">IFERROR(_xlfn.LET(
_xlpm.CSVVal,_xlfn.XLOOKUP($A135,CSV!$A:$A,CSV!P:P,""),
_xlpm.MacVal,_xlfn.XLOOKUP($A135,Output_Mac!$A:$A,Output_Mac!L:L,""),
_xlpm.MyAuditVal,_xlfn.XLOOKUP($A135,My_Audit!$A:$A,My_Audit!K:K,""),
_xlfn.IFS(_xlpm.MyAuditVal&lt;&gt;"",UPPER(_xlpm.MyAuditVal),_xlpm.MacVal&lt;&gt;"",_xlpm.MacVal,_xlpm.CSVVal&lt;&gt;"",_xlpm.CSVVal
)),"")</f>
        <v/>
      </c>
      <c r="M135" s="2" t="str" cm="1">
        <f t="array" ref="M135">IFERROR(_xlfn.LET(
_xlpm.CSVVal,_xlfn.XLOOKUP($A135,CSV!$A:$A,CSV!Q:Q,""),
_xlpm.MacVal,_xlfn.XLOOKUP($A135,Output_Mac!$A:$A,Output_Mac!M:M,""),
_xlpm.MyAuditVal,_xlfn.XLOOKUP($A135,My_Audit!$A:$A,My_Audit!L:L,""),
_xlfn.IFS(_xlpm.MyAuditVal&lt;&gt;"",UPPER(_xlpm.MyAuditVal),_xlpm.MacVal&lt;&gt;"",_xlpm.MacVal,_xlpm.CSVVal&lt;&gt;"",_xlpm.CSVVal
)),"")</f>
        <v/>
      </c>
      <c r="O135" s="2" t="str">
        <f>_xlfn.LET(
    _xlpm.CSVVal, _xlfn.XLOOKUP($A135, CSV!$A:$A, CSV!AC:AC, ""),
    _xlpm.MacVal, _xlfn.XLOOKUP($A135, Output_Mac!$A:$A, Output_Mac!S:S, ""),
    _xlpm.MyAuditVal, _xlfn.XLOOKUP($A135, My_Audit!$A:$A, My_Audit!P:P, ""),
    _xlfn.TEXTJOIN(", ", TRUE, _xlpm.MyAuditVal, _xlpm.MacVal, _xlpm.CSVVal)
)</f>
        <v/>
      </c>
      <c r="P135" s="2" t="str" cm="1">
        <f t="array" ref="P135">IFERROR(_xlfn.LET(
_xlpm.CSVVal,_xlfn.XLOOKUP($A135,CSV!$A:$A,CSV!AD:AD,""),
_xlpm.MacVal,_xlfn.XLOOKUP($A135,Output_Mac!$A:$A,Output_Mac!T:T,""),
_xlpm.MyAuditVal,_xlfn.XLOOKUP($A135,My_Audit!$A:$A,My_Audit!Q:Q,""),
_xlfn.IFS(_xlpm.MyAuditVal&lt;&gt;"",UPPER(_xlpm.MyAuditVal),_xlpm.MacVal&lt;&gt;"",_xlpm.MacVal,_xlpm.CSVVal&lt;&gt;"",_xlpm.CSVVal
)),"No")</f>
        <v>No</v>
      </c>
      <c r="Q135" s="2" t="str" cm="1">
        <f t="array" ref="Q135">IFERROR(_xlfn.LET(
_xlpm.CSVVal,_xlfn.XLOOKUP($A135,CSV!$A:$A,CSV!AE:AE,""),
_xlpm.MacVal,_xlfn.XLOOKUP($A135,Output_Mac!$A:$A,Output_Mac!U:U,""),
_xlpm.MyAuditVal,_xlfn.XLOOKUP($A135,My_Audit!$A:$A,My_Audit!R:R,""),
_xlfn.IFS(_xlpm.MyAuditVal&lt;&gt;"",UPPER(_xlpm.MyAuditVal),_xlpm.MacVal&lt;&gt;"",_xlpm.MacVal,_xlpm.CSVVal&lt;&gt;"",_xlpm.CSVVal
)),"")</f>
        <v/>
      </c>
      <c r="X135" t="str">
        <f>_xlfn.LET(
    _xlpm.MacVal, _xlfn.XLOOKUP($A135, Output_Mac!$A:$A, Output_Mac!AB:AB, ""),
    _xlpm.MyAuditVal, _xlfn.XLOOKUP($A135, My_Audit!$A:$A, My_Audit!N:N, ""),
    _xlfn.TEXTJOIN(", ", TRUE, _xlpm.MyAuditVal, _xlpm.MacVal)
)</f>
        <v/>
      </c>
    </row>
    <row r="136" spans="1:24">
      <c r="A136" s="2" t="str">
        <f>_xlfn.TEXTJOIN("",TRUE,Input!$B$2,ROW(My_Audit!A135))</f>
        <v>X135</v>
      </c>
      <c r="B136" s="2" t="str">
        <f>_xlfn.TEXTJOIN("-",TRUE,"ITD",Input!$A$2,A136)</f>
        <v>ITD-SHR-X135</v>
      </c>
      <c r="C136" s="2" t="str" cm="1">
        <f t="array" ref="C136">IFERROR(_xlfn.LET(
_xlpm.CSVVal,_xlfn.XLOOKUP($A136,CSV!$A:$A,CSV!B:B,""),
_xlpm.MacVal,_xlfn.XLOOKUP($A136,Output_Mac!$A:$A,Output_Mac!B:B,""),
_xlpm.MyAuditVal,_xlfn.XLOOKUP($A136,My_Audit!$A:$A,My_Audit!B:B,""),
_xlfn.IFS(_xlpm.MyAuditVal&lt;&gt;"",UPPER(_xlpm.MyAuditVal),_xlpm.MacVal&lt;&gt;"",_xlpm.MacVal,_xlpm.CSVVal&lt;&gt;"",_xlpm.CSVVal
)),"")</f>
        <v/>
      </c>
      <c r="D136" s="2" t="str" cm="1">
        <f t="array" ref="D136">IFERROR(_xlfn.LET(
_xlpm.CSVVal,_xlfn.XLOOKUP($A136,CSV!$A:$A,CSV!D:D,""),
_xlpm.MacVal,_xlfn.XLOOKUP($A136,Output_Mac!$A:$A,Output_Mac!C:C,""),
_xlpm.MyAuditVal,_xlfn.XLOOKUP($A136,My_Audit!$A:$A,My_Audit!C:C,""),
_xlfn.IFS(_xlpm.MyAuditVal&lt;&gt;"",_xlpm.MyAuditVal,_xlpm.MacVal&lt;&gt;"",_xlpm.MacVal,_xlpm.CSVVal&lt;&gt;"",_xlpm.CSVVal
)),"")</f>
        <v/>
      </c>
      <c r="E136" s="2" t="str">
        <f>_xlfn.XLOOKUP(A136,My_Audit!A:A,My_Audit!D:D,"")&amp;""</f>
        <v/>
      </c>
      <c r="F136" s="2" t="str" cm="1">
        <f t="array" ref="F136">IFERROR(_xlfn.LET(
_xlpm.CSVVal,_xlfn.XLOOKUP($A136,CSV!$A:$A,CSV!F:F,""),
_xlpm.MacVal,_xlfn.XLOOKUP($A136,Output_Mac!$A:$A,Output_Mac!E:E,""),
_xlpm.MyAuditVal,_xlfn.XLOOKUP($A136,My_Audit!$A:$A,My_Audit!E:E,""),
_xlfn.IFS(_xlpm.MyAuditVal&lt;&gt;"",_xlpm.MyAuditVal,_xlpm.MacVal&lt;&gt;"",_xlpm.MacVal,_xlpm.CSVVal&lt;&gt;"",_xlpm.CSVVal
)),"")</f>
        <v/>
      </c>
      <c r="G136" s="2" t="str" cm="1">
        <f t="array" ref="G136">IFERROR(_xlfn.LET(
_xlpm.CSVVal,_xlfn.XLOOKUP($A136,CSV!$A:$A,CSV!G:G,""),
_xlpm.MacVal,_xlfn.XLOOKUP($A136,Output_Mac!$A:$A,Output_Mac!F:F,""),
_xlpm.MyAuditVal,_xlfn.XLOOKUP($A136,My_Audit!$A:$A,My_Audit!F:F,""),
_xlfn.IFS(_xlpm.MyAuditVal&lt;&gt;"",_xlpm.MyAuditVal,_xlpm.MacVal&lt;&gt;"",_xlpm.MacVal,_xlpm.CSVVal&lt;&gt;"",PROPER(_xlpm.CSVVal)
)),"")</f>
        <v/>
      </c>
      <c r="H136" s="2" t="str" cm="1">
        <f t="array" ref="H136">IFERROR(_xlfn.LET(
_xlpm.CSVVal,_xlfn.XLOOKUP($A136,CSV!$A:$A,CSV!H:H,""),
_xlpm.MacVal,_xlfn.XLOOKUP($A136,Output_Mac!$A:$A,Output_Mac!H:H,""),
_xlpm.MyAuditVal,_xlfn.XLOOKUP($A136,My_Audit!$A:$A,My_Audit!G:G,""),
_xlfn.IFS(_xlpm.MyAuditVal&lt;&gt;"",_xlpm.MyAuditVal,_xlpm.MacVal&lt;&gt;"",_xlpm.MacVal,_xlpm.CSVVal&lt;&gt;"",_xlpm.CSVVal
)),"")</f>
        <v/>
      </c>
      <c r="I136" s="2" t="str">
        <f>_xlfn.XLOOKUP(A136,Output_Mac!A:A,Output_Mac!I:I,"")</f>
        <v/>
      </c>
      <c r="J136" s="2" t="str" cm="1">
        <f t="array" ref="J136">IFERROR(_xlfn.LET(
_xlpm.CSVVal,_xlfn.XLOOKUP($A136,CSV!$A:$A,CSV!I:I,""),
_xlpm.MacVal,_xlfn.XLOOKUP($A136,Output_Mac!$A:$A,Output_Mac!J:J,""),
_xlpm.MyAuditVal,_xlfn.XLOOKUP($A136,My_Audit!$A:$A,My_Audit!I:I,""),
_xlfn.IFS(_xlpm.MyAuditVal&lt;&gt;"",UPPER(_xlpm.MyAuditVal),_xlpm.MacVal&lt;&gt;"",_xlpm.MacVal,_xlpm.CSVVal&lt;&gt;"",_xlpm.CSVVal
)),"")</f>
        <v/>
      </c>
      <c r="K136" s="2" t="str" cm="1">
        <f t="array" ref="K136">IFERROR(_xlfn.LET(
_xlpm.CSVVal,_xlfn.XLOOKUP($A136,CSV!$A:$A,CSV!K:K,""),
_xlpm.MacVal,_xlfn.XLOOKUP($A136,Output_Mac!$A:$A,Output_Mac!K:K,""),
_xlpm.MyAuditVal,_xlfn.XLOOKUP($A136,My_Audit!$A:$A,My_Audit!J:J,""),
_xlfn.IFS(_xlpm.MyAuditVal&lt;&gt;"",UPPER(_xlpm.MyAuditVal),_xlpm.MacVal&lt;&gt;"",_xlpm.MacVal,_xlpm.CSVVal&lt;&gt;"",_xlpm.CSVVal
)),"")</f>
        <v/>
      </c>
      <c r="L136" s="2" t="str" cm="1">
        <f t="array" ref="L136">IFERROR(_xlfn.LET(
_xlpm.CSVVal,_xlfn.XLOOKUP($A136,CSV!$A:$A,CSV!P:P,""),
_xlpm.MacVal,_xlfn.XLOOKUP($A136,Output_Mac!$A:$A,Output_Mac!L:L,""),
_xlpm.MyAuditVal,_xlfn.XLOOKUP($A136,My_Audit!$A:$A,My_Audit!K:K,""),
_xlfn.IFS(_xlpm.MyAuditVal&lt;&gt;"",UPPER(_xlpm.MyAuditVal),_xlpm.MacVal&lt;&gt;"",_xlpm.MacVal,_xlpm.CSVVal&lt;&gt;"",_xlpm.CSVVal
)),"")</f>
        <v/>
      </c>
      <c r="M136" s="2" t="str" cm="1">
        <f t="array" ref="M136">IFERROR(_xlfn.LET(
_xlpm.CSVVal,_xlfn.XLOOKUP($A136,CSV!$A:$A,CSV!Q:Q,""),
_xlpm.MacVal,_xlfn.XLOOKUP($A136,Output_Mac!$A:$A,Output_Mac!M:M,""),
_xlpm.MyAuditVal,_xlfn.XLOOKUP($A136,My_Audit!$A:$A,My_Audit!L:L,""),
_xlfn.IFS(_xlpm.MyAuditVal&lt;&gt;"",UPPER(_xlpm.MyAuditVal),_xlpm.MacVal&lt;&gt;"",_xlpm.MacVal,_xlpm.CSVVal&lt;&gt;"",_xlpm.CSVVal
)),"")</f>
        <v/>
      </c>
      <c r="O136" s="2" t="str">
        <f>_xlfn.LET(
    _xlpm.CSVVal, _xlfn.XLOOKUP($A136, CSV!$A:$A, CSV!AC:AC, ""),
    _xlpm.MacVal, _xlfn.XLOOKUP($A136, Output_Mac!$A:$A, Output_Mac!S:S, ""),
    _xlpm.MyAuditVal, _xlfn.XLOOKUP($A136, My_Audit!$A:$A, My_Audit!P:P, ""),
    _xlfn.TEXTJOIN(", ", TRUE, _xlpm.MyAuditVal, _xlpm.MacVal, _xlpm.CSVVal)
)</f>
        <v/>
      </c>
      <c r="P136" s="2" t="str" cm="1">
        <f t="array" ref="P136">IFERROR(_xlfn.LET(
_xlpm.CSVVal,_xlfn.XLOOKUP($A136,CSV!$A:$A,CSV!AD:AD,""),
_xlpm.MacVal,_xlfn.XLOOKUP($A136,Output_Mac!$A:$A,Output_Mac!T:T,""),
_xlpm.MyAuditVal,_xlfn.XLOOKUP($A136,My_Audit!$A:$A,My_Audit!Q:Q,""),
_xlfn.IFS(_xlpm.MyAuditVal&lt;&gt;"",UPPER(_xlpm.MyAuditVal),_xlpm.MacVal&lt;&gt;"",_xlpm.MacVal,_xlpm.CSVVal&lt;&gt;"",_xlpm.CSVVal
)),"No")</f>
        <v>No</v>
      </c>
      <c r="Q136" s="2" t="str" cm="1">
        <f t="array" ref="Q136">IFERROR(_xlfn.LET(
_xlpm.CSVVal,_xlfn.XLOOKUP($A136,CSV!$A:$A,CSV!AE:AE,""),
_xlpm.MacVal,_xlfn.XLOOKUP($A136,Output_Mac!$A:$A,Output_Mac!U:U,""),
_xlpm.MyAuditVal,_xlfn.XLOOKUP($A136,My_Audit!$A:$A,My_Audit!R:R,""),
_xlfn.IFS(_xlpm.MyAuditVal&lt;&gt;"",UPPER(_xlpm.MyAuditVal),_xlpm.MacVal&lt;&gt;"",_xlpm.MacVal,_xlpm.CSVVal&lt;&gt;"",_xlpm.CSVVal
)),"")</f>
        <v/>
      </c>
      <c r="X136" t="str">
        <f>_xlfn.LET(
    _xlpm.MacVal, _xlfn.XLOOKUP($A136, Output_Mac!$A:$A, Output_Mac!AB:AB, ""),
    _xlpm.MyAuditVal, _xlfn.XLOOKUP($A136, My_Audit!$A:$A, My_Audit!N:N, ""),
    _xlfn.TEXTJOIN(", ", TRUE, _xlpm.MyAuditVal, _xlpm.MacVal)
)</f>
        <v/>
      </c>
    </row>
    <row r="137" spans="1:24">
      <c r="A137" s="2" t="str">
        <f>_xlfn.TEXTJOIN("",TRUE,Input!$B$2,ROW(My_Audit!A136))</f>
        <v>X136</v>
      </c>
      <c r="B137" s="2" t="str">
        <f>_xlfn.TEXTJOIN("-",TRUE,"ITD",Input!$A$2,A137)</f>
        <v>ITD-SHR-X136</v>
      </c>
      <c r="C137" s="2" t="str" cm="1">
        <f t="array" ref="C137">IFERROR(_xlfn.LET(
_xlpm.CSVVal,_xlfn.XLOOKUP($A137,CSV!$A:$A,CSV!B:B,""),
_xlpm.MacVal,_xlfn.XLOOKUP($A137,Output_Mac!$A:$A,Output_Mac!B:B,""),
_xlpm.MyAuditVal,_xlfn.XLOOKUP($A137,My_Audit!$A:$A,My_Audit!B:B,""),
_xlfn.IFS(_xlpm.MyAuditVal&lt;&gt;"",UPPER(_xlpm.MyAuditVal),_xlpm.MacVal&lt;&gt;"",_xlpm.MacVal,_xlpm.CSVVal&lt;&gt;"",_xlpm.CSVVal
)),"")</f>
        <v/>
      </c>
      <c r="D137" s="2" t="str" cm="1">
        <f t="array" ref="D137">IFERROR(_xlfn.LET(
_xlpm.CSVVal,_xlfn.XLOOKUP($A137,CSV!$A:$A,CSV!D:D,""),
_xlpm.MacVal,_xlfn.XLOOKUP($A137,Output_Mac!$A:$A,Output_Mac!C:C,""),
_xlpm.MyAuditVal,_xlfn.XLOOKUP($A137,My_Audit!$A:$A,My_Audit!C:C,""),
_xlfn.IFS(_xlpm.MyAuditVal&lt;&gt;"",_xlpm.MyAuditVal,_xlpm.MacVal&lt;&gt;"",_xlpm.MacVal,_xlpm.CSVVal&lt;&gt;"",_xlpm.CSVVal
)),"")</f>
        <v/>
      </c>
      <c r="E137" s="2" t="str">
        <f>_xlfn.XLOOKUP(A137,My_Audit!A:A,My_Audit!D:D,"")&amp;""</f>
        <v/>
      </c>
      <c r="F137" s="2" t="str" cm="1">
        <f t="array" ref="F137">IFERROR(_xlfn.LET(
_xlpm.CSVVal,_xlfn.XLOOKUP($A137,CSV!$A:$A,CSV!F:F,""),
_xlpm.MacVal,_xlfn.XLOOKUP($A137,Output_Mac!$A:$A,Output_Mac!E:E,""),
_xlpm.MyAuditVal,_xlfn.XLOOKUP($A137,My_Audit!$A:$A,My_Audit!E:E,""),
_xlfn.IFS(_xlpm.MyAuditVal&lt;&gt;"",_xlpm.MyAuditVal,_xlpm.MacVal&lt;&gt;"",_xlpm.MacVal,_xlpm.CSVVal&lt;&gt;"",_xlpm.CSVVal
)),"")</f>
        <v/>
      </c>
      <c r="G137" s="2" t="str" cm="1">
        <f t="array" ref="G137">IFERROR(_xlfn.LET(
_xlpm.CSVVal,_xlfn.XLOOKUP($A137,CSV!$A:$A,CSV!G:G,""),
_xlpm.MacVal,_xlfn.XLOOKUP($A137,Output_Mac!$A:$A,Output_Mac!F:F,""),
_xlpm.MyAuditVal,_xlfn.XLOOKUP($A137,My_Audit!$A:$A,My_Audit!F:F,""),
_xlfn.IFS(_xlpm.MyAuditVal&lt;&gt;"",_xlpm.MyAuditVal,_xlpm.MacVal&lt;&gt;"",_xlpm.MacVal,_xlpm.CSVVal&lt;&gt;"",PROPER(_xlpm.CSVVal)
)),"")</f>
        <v/>
      </c>
      <c r="H137" s="2" t="str" cm="1">
        <f t="array" ref="H137">IFERROR(_xlfn.LET(
_xlpm.CSVVal,_xlfn.XLOOKUP($A137,CSV!$A:$A,CSV!H:H,""),
_xlpm.MacVal,_xlfn.XLOOKUP($A137,Output_Mac!$A:$A,Output_Mac!H:H,""),
_xlpm.MyAuditVal,_xlfn.XLOOKUP($A137,My_Audit!$A:$A,My_Audit!G:G,""),
_xlfn.IFS(_xlpm.MyAuditVal&lt;&gt;"",_xlpm.MyAuditVal,_xlpm.MacVal&lt;&gt;"",_xlpm.MacVal,_xlpm.CSVVal&lt;&gt;"",_xlpm.CSVVal
)),"")</f>
        <v/>
      </c>
      <c r="I137" s="2" t="str">
        <f>_xlfn.XLOOKUP(A137,Output_Mac!A:A,Output_Mac!I:I,"")</f>
        <v/>
      </c>
      <c r="J137" s="2" t="str" cm="1">
        <f t="array" ref="J137">IFERROR(_xlfn.LET(
_xlpm.CSVVal,_xlfn.XLOOKUP($A137,CSV!$A:$A,CSV!I:I,""),
_xlpm.MacVal,_xlfn.XLOOKUP($A137,Output_Mac!$A:$A,Output_Mac!J:J,""),
_xlpm.MyAuditVal,_xlfn.XLOOKUP($A137,My_Audit!$A:$A,My_Audit!I:I,""),
_xlfn.IFS(_xlpm.MyAuditVal&lt;&gt;"",UPPER(_xlpm.MyAuditVal),_xlpm.MacVal&lt;&gt;"",_xlpm.MacVal,_xlpm.CSVVal&lt;&gt;"",_xlpm.CSVVal
)),"")</f>
        <v/>
      </c>
      <c r="K137" s="2" t="str" cm="1">
        <f t="array" ref="K137">IFERROR(_xlfn.LET(
_xlpm.CSVVal,_xlfn.XLOOKUP($A137,CSV!$A:$A,CSV!K:K,""),
_xlpm.MacVal,_xlfn.XLOOKUP($A137,Output_Mac!$A:$A,Output_Mac!K:K,""),
_xlpm.MyAuditVal,_xlfn.XLOOKUP($A137,My_Audit!$A:$A,My_Audit!J:J,""),
_xlfn.IFS(_xlpm.MyAuditVal&lt;&gt;"",UPPER(_xlpm.MyAuditVal),_xlpm.MacVal&lt;&gt;"",_xlpm.MacVal,_xlpm.CSVVal&lt;&gt;"",_xlpm.CSVVal
)),"")</f>
        <v/>
      </c>
      <c r="L137" s="2" t="str" cm="1">
        <f t="array" ref="L137">IFERROR(_xlfn.LET(
_xlpm.CSVVal,_xlfn.XLOOKUP($A137,CSV!$A:$A,CSV!P:P,""),
_xlpm.MacVal,_xlfn.XLOOKUP($A137,Output_Mac!$A:$A,Output_Mac!L:L,""),
_xlpm.MyAuditVal,_xlfn.XLOOKUP($A137,My_Audit!$A:$A,My_Audit!K:K,""),
_xlfn.IFS(_xlpm.MyAuditVal&lt;&gt;"",UPPER(_xlpm.MyAuditVal),_xlpm.MacVal&lt;&gt;"",_xlpm.MacVal,_xlpm.CSVVal&lt;&gt;"",_xlpm.CSVVal
)),"")</f>
        <v/>
      </c>
      <c r="M137" s="2" t="str" cm="1">
        <f t="array" ref="M137">IFERROR(_xlfn.LET(
_xlpm.CSVVal,_xlfn.XLOOKUP($A137,CSV!$A:$A,CSV!Q:Q,""),
_xlpm.MacVal,_xlfn.XLOOKUP($A137,Output_Mac!$A:$A,Output_Mac!M:M,""),
_xlpm.MyAuditVal,_xlfn.XLOOKUP($A137,My_Audit!$A:$A,My_Audit!L:L,""),
_xlfn.IFS(_xlpm.MyAuditVal&lt;&gt;"",UPPER(_xlpm.MyAuditVal),_xlpm.MacVal&lt;&gt;"",_xlpm.MacVal,_xlpm.CSVVal&lt;&gt;"",_xlpm.CSVVal
)),"")</f>
        <v/>
      </c>
      <c r="O137" s="2" t="str">
        <f>_xlfn.LET(
    _xlpm.CSVVal, _xlfn.XLOOKUP($A137, CSV!$A:$A, CSV!AC:AC, ""),
    _xlpm.MacVal, _xlfn.XLOOKUP($A137, Output_Mac!$A:$A, Output_Mac!S:S, ""),
    _xlpm.MyAuditVal, _xlfn.XLOOKUP($A137, My_Audit!$A:$A, My_Audit!P:P, ""),
    _xlfn.TEXTJOIN(", ", TRUE, _xlpm.MyAuditVal, _xlpm.MacVal, _xlpm.CSVVal)
)</f>
        <v/>
      </c>
      <c r="P137" s="2" t="str" cm="1">
        <f t="array" ref="P137">IFERROR(_xlfn.LET(
_xlpm.CSVVal,_xlfn.XLOOKUP($A137,CSV!$A:$A,CSV!AD:AD,""),
_xlpm.MacVal,_xlfn.XLOOKUP($A137,Output_Mac!$A:$A,Output_Mac!T:T,""),
_xlpm.MyAuditVal,_xlfn.XLOOKUP($A137,My_Audit!$A:$A,My_Audit!Q:Q,""),
_xlfn.IFS(_xlpm.MyAuditVal&lt;&gt;"",UPPER(_xlpm.MyAuditVal),_xlpm.MacVal&lt;&gt;"",_xlpm.MacVal,_xlpm.CSVVal&lt;&gt;"",_xlpm.CSVVal
)),"No")</f>
        <v>No</v>
      </c>
      <c r="Q137" s="2" t="str" cm="1">
        <f t="array" ref="Q137">IFERROR(_xlfn.LET(
_xlpm.CSVVal,_xlfn.XLOOKUP($A137,CSV!$A:$A,CSV!AE:AE,""),
_xlpm.MacVal,_xlfn.XLOOKUP($A137,Output_Mac!$A:$A,Output_Mac!U:U,""),
_xlpm.MyAuditVal,_xlfn.XLOOKUP($A137,My_Audit!$A:$A,My_Audit!R:R,""),
_xlfn.IFS(_xlpm.MyAuditVal&lt;&gt;"",UPPER(_xlpm.MyAuditVal),_xlpm.MacVal&lt;&gt;"",_xlpm.MacVal,_xlpm.CSVVal&lt;&gt;"",_xlpm.CSVVal
)),"")</f>
        <v/>
      </c>
      <c r="X137" t="str">
        <f>_xlfn.LET(
    _xlpm.MacVal, _xlfn.XLOOKUP($A137, Output_Mac!$A:$A, Output_Mac!AB:AB, ""),
    _xlpm.MyAuditVal, _xlfn.XLOOKUP($A137, My_Audit!$A:$A, My_Audit!N:N, ""),
    _xlfn.TEXTJOIN(", ", TRUE, _xlpm.MyAuditVal, _xlpm.MacVal)
)</f>
        <v/>
      </c>
    </row>
    <row r="138" spans="1:24">
      <c r="A138" s="2" t="str">
        <f>_xlfn.TEXTJOIN("",TRUE,Input!$B$2,ROW(My_Audit!A137))</f>
        <v>X137</v>
      </c>
      <c r="B138" s="2" t="str">
        <f>_xlfn.TEXTJOIN("-",TRUE,"ITD",Input!$A$2,A138)</f>
        <v>ITD-SHR-X137</v>
      </c>
      <c r="C138" s="2" t="str" cm="1">
        <f t="array" ref="C138">IFERROR(_xlfn.LET(
_xlpm.CSVVal,_xlfn.XLOOKUP($A138,CSV!$A:$A,CSV!B:B,""),
_xlpm.MacVal,_xlfn.XLOOKUP($A138,Output_Mac!$A:$A,Output_Mac!B:B,""),
_xlpm.MyAuditVal,_xlfn.XLOOKUP($A138,My_Audit!$A:$A,My_Audit!B:B,""),
_xlfn.IFS(_xlpm.MyAuditVal&lt;&gt;"",UPPER(_xlpm.MyAuditVal),_xlpm.MacVal&lt;&gt;"",_xlpm.MacVal,_xlpm.CSVVal&lt;&gt;"",_xlpm.CSVVal
)),"")</f>
        <v/>
      </c>
      <c r="D138" s="2" t="str" cm="1">
        <f t="array" ref="D138">IFERROR(_xlfn.LET(
_xlpm.CSVVal,_xlfn.XLOOKUP($A138,CSV!$A:$A,CSV!D:D,""),
_xlpm.MacVal,_xlfn.XLOOKUP($A138,Output_Mac!$A:$A,Output_Mac!C:C,""),
_xlpm.MyAuditVal,_xlfn.XLOOKUP($A138,My_Audit!$A:$A,My_Audit!C:C,""),
_xlfn.IFS(_xlpm.MyAuditVal&lt;&gt;"",_xlpm.MyAuditVal,_xlpm.MacVal&lt;&gt;"",_xlpm.MacVal,_xlpm.CSVVal&lt;&gt;"",_xlpm.CSVVal
)),"")</f>
        <v/>
      </c>
      <c r="E138" s="2" t="str">
        <f>_xlfn.XLOOKUP(A138,My_Audit!A:A,My_Audit!D:D,"")&amp;""</f>
        <v/>
      </c>
      <c r="F138" s="2" t="str" cm="1">
        <f t="array" ref="F138">IFERROR(_xlfn.LET(
_xlpm.CSVVal,_xlfn.XLOOKUP($A138,CSV!$A:$A,CSV!F:F,""),
_xlpm.MacVal,_xlfn.XLOOKUP($A138,Output_Mac!$A:$A,Output_Mac!E:E,""),
_xlpm.MyAuditVal,_xlfn.XLOOKUP($A138,My_Audit!$A:$A,My_Audit!E:E,""),
_xlfn.IFS(_xlpm.MyAuditVal&lt;&gt;"",_xlpm.MyAuditVal,_xlpm.MacVal&lt;&gt;"",_xlpm.MacVal,_xlpm.CSVVal&lt;&gt;"",_xlpm.CSVVal
)),"")</f>
        <v/>
      </c>
      <c r="G138" s="2" t="str" cm="1">
        <f t="array" ref="G138">IFERROR(_xlfn.LET(
_xlpm.CSVVal,_xlfn.XLOOKUP($A138,CSV!$A:$A,CSV!G:G,""),
_xlpm.MacVal,_xlfn.XLOOKUP($A138,Output_Mac!$A:$A,Output_Mac!F:F,""),
_xlpm.MyAuditVal,_xlfn.XLOOKUP($A138,My_Audit!$A:$A,My_Audit!F:F,""),
_xlfn.IFS(_xlpm.MyAuditVal&lt;&gt;"",_xlpm.MyAuditVal,_xlpm.MacVal&lt;&gt;"",_xlpm.MacVal,_xlpm.CSVVal&lt;&gt;"",PROPER(_xlpm.CSVVal)
)),"")</f>
        <v/>
      </c>
      <c r="H138" s="2" t="str" cm="1">
        <f t="array" ref="H138">IFERROR(_xlfn.LET(
_xlpm.CSVVal,_xlfn.XLOOKUP($A138,CSV!$A:$A,CSV!H:H,""),
_xlpm.MacVal,_xlfn.XLOOKUP($A138,Output_Mac!$A:$A,Output_Mac!H:H,""),
_xlpm.MyAuditVal,_xlfn.XLOOKUP($A138,My_Audit!$A:$A,My_Audit!G:G,""),
_xlfn.IFS(_xlpm.MyAuditVal&lt;&gt;"",_xlpm.MyAuditVal,_xlpm.MacVal&lt;&gt;"",_xlpm.MacVal,_xlpm.CSVVal&lt;&gt;"",_xlpm.CSVVal
)),"")</f>
        <v/>
      </c>
      <c r="I138" s="2" t="str">
        <f>_xlfn.XLOOKUP(A138,Output_Mac!A:A,Output_Mac!I:I,"")</f>
        <v/>
      </c>
      <c r="J138" s="2" t="str" cm="1">
        <f t="array" ref="J138">IFERROR(_xlfn.LET(
_xlpm.CSVVal,_xlfn.XLOOKUP($A138,CSV!$A:$A,CSV!I:I,""),
_xlpm.MacVal,_xlfn.XLOOKUP($A138,Output_Mac!$A:$A,Output_Mac!J:J,""),
_xlpm.MyAuditVal,_xlfn.XLOOKUP($A138,My_Audit!$A:$A,My_Audit!I:I,""),
_xlfn.IFS(_xlpm.MyAuditVal&lt;&gt;"",UPPER(_xlpm.MyAuditVal),_xlpm.MacVal&lt;&gt;"",_xlpm.MacVal,_xlpm.CSVVal&lt;&gt;"",_xlpm.CSVVal
)),"")</f>
        <v/>
      </c>
      <c r="K138" s="2" t="str" cm="1">
        <f t="array" ref="K138">IFERROR(_xlfn.LET(
_xlpm.CSVVal,_xlfn.XLOOKUP($A138,CSV!$A:$A,CSV!K:K,""),
_xlpm.MacVal,_xlfn.XLOOKUP($A138,Output_Mac!$A:$A,Output_Mac!K:K,""),
_xlpm.MyAuditVal,_xlfn.XLOOKUP($A138,My_Audit!$A:$A,My_Audit!J:J,""),
_xlfn.IFS(_xlpm.MyAuditVal&lt;&gt;"",UPPER(_xlpm.MyAuditVal),_xlpm.MacVal&lt;&gt;"",_xlpm.MacVal,_xlpm.CSVVal&lt;&gt;"",_xlpm.CSVVal
)),"")</f>
        <v/>
      </c>
      <c r="L138" s="2" t="str" cm="1">
        <f t="array" ref="L138">IFERROR(_xlfn.LET(
_xlpm.CSVVal,_xlfn.XLOOKUP($A138,CSV!$A:$A,CSV!P:P,""),
_xlpm.MacVal,_xlfn.XLOOKUP($A138,Output_Mac!$A:$A,Output_Mac!L:L,""),
_xlpm.MyAuditVal,_xlfn.XLOOKUP($A138,My_Audit!$A:$A,My_Audit!K:K,""),
_xlfn.IFS(_xlpm.MyAuditVal&lt;&gt;"",UPPER(_xlpm.MyAuditVal),_xlpm.MacVal&lt;&gt;"",_xlpm.MacVal,_xlpm.CSVVal&lt;&gt;"",_xlpm.CSVVal
)),"")</f>
        <v/>
      </c>
      <c r="M138" s="2" t="str" cm="1">
        <f t="array" ref="M138">IFERROR(_xlfn.LET(
_xlpm.CSVVal,_xlfn.XLOOKUP($A138,CSV!$A:$A,CSV!Q:Q,""),
_xlpm.MacVal,_xlfn.XLOOKUP($A138,Output_Mac!$A:$A,Output_Mac!M:M,""),
_xlpm.MyAuditVal,_xlfn.XLOOKUP($A138,My_Audit!$A:$A,My_Audit!L:L,""),
_xlfn.IFS(_xlpm.MyAuditVal&lt;&gt;"",UPPER(_xlpm.MyAuditVal),_xlpm.MacVal&lt;&gt;"",_xlpm.MacVal,_xlpm.CSVVal&lt;&gt;"",_xlpm.CSVVal
)),"")</f>
        <v/>
      </c>
      <c r="O138" s="2" t="str">
        <f>_xlfn.LET(
    _xlpm.CSVVal, _xlfn.XLOOKUP($A138, CSV!$A:$A, CSV!AC:AC, ""),
    _xlpm.MacVal, _xlfn.XLOOKUP($A138, Output_Mac!$A:$A, Output_Mac!S:S, ""),
    _xlpm.MyAuditVal, _xlfn.XLOOKUP($A138, My_Audit!$A:$A, My_Audit!P:P, ""),
    _xlfn.TEXTJOIN(", ", TRUE, _xlpm.MyAuditVal, _xlpm.MacVal, _xlpm.CSVVal)
)</f>
        <v/>
      </c>
      <c r="P138" s="2" t="str" cm="1">
        <f t="array" ref="P138">IFERROR(_xlfn.LET(
_xlpm.CSVVal,_xlfn.XLOOKUP($A138,CSV!$A:$A,CSV!AD:AD,""),
_xlpm.MacVal,_xlfn.XLOOKUP($A138,Output_Mac!$A:$A,Output_Mac!T:T,""),
_xlpm.MyAuditVal,_xlfn.XLOOKUP($A138,My_Audit!$A:$A,My_Audit!Q:Q,""),
_xlfn.IFS(_xlpm.MyAuditVal&lt;&gt;"",UPPER(_xlpm.MyAuditVal),_xlpm.MacVal&lt;&gt;"",_xlpm.MacVal,_xlpm.CSVVal&lt;&gt;"",_xlpm.CSVVal
)),"No")</f>
        <v>No</v>
      </c>
      <c r="Q138" s="2" t="str" cm="1">
        <f t="array" ref="Q138">IFERROR(_xlfn.LET(
_xlpm.CSVVal,_xlfn.XLOOKUP($A138,CSV!$A:$A,CSV!AE:AE,""),
_xlpm.MacVal,_xlfn.XLOOKUP($A138,Output_Mac!$A:$A,Output_Mac!U:U,""),
_xlpm.MyAuditVal,_xlfn.XLOOKUP($A138,My_Audit!$A:$A,My_Audit!R:R,""),
_xlfn.IFS(_xlpm.MyAuditVal&lt;&gt;"",UPPER(_xlpm.MyAuditVal),_xlpm.MacVal&lt;&gt;"",_xlpm.MacVal,_xlpm.CSVVal&lt;&gt;"",_xlpm.CSVVal
)),"")</f>
        <v/>
      </c>
      <c r="X138" t="str">
        <f>_xlfn.LET(
    _xlpm.MacVal, _xlfn.XLOOKUP($A138, Output_Mac!$A:$A, Output_Mac!AB:AB, ""),
    _xlpm.MyAuditVal, _xlfn.XLOOKUP($A138, My_Audit!$A:$A, My_Audit!N:N, ""),
    _xlfn.TEXTJOIN(", ", TRUE, _xlpm.MyAuditVal, _xlpm.MacVal)
)</f>
        <v/>
      </c>
    </row>
    <row r="139" spans="1:24">
      <c r="A139" s="2" t="str">
        <f>_xlfn.TEXTJOIN("",TRUE,Input!$B$2,ROW(My_Audit!A138))</f>
        <v>X138</v>
      </c>
      <c r="B139" s="2" t="str">
        <f>_xlfn.TEXTJOIN("-",TRUE,"ITD",Input!$A$2,A139)</f>
        <v>ITD-SHR-X138</v>
      </c>
      <c r="C139" s="2" t="str" cm="1">
        <f t="array" ref="C139">IFERROR(_xlfn.LET(
_xlpm.CSVVal,_xlfn.XLOOKUP($A139,CSV!$A:$A,CSV!B:B,""),
_xlpm.MacVal,_xlfn.XLOOKUP($A139,Output_Mac!$A:$A,Output_Mac!B:B,""),
_xlpm.MyAuditVal,_xlfn.XLOOKUP($A139,My_Audit!$A:$A,My_Audit!B:B,""),
_xlfn.IFS(_xlpm.MyAuditVal&lt;&gt;"",UPPER(_xlpm.MyAuditVal),_xlpm.MacVal&lt;&gt;"",_xlpm.MacVal,_xlpm.CSVVal&lt;&gt;"",_xlpm.CSVVal
)),"")</f>
        <v/>
      </c>
      <c r="D139" s="2" t="str" cm="1">
        <f t="array" ref="D139">IFERROR(_xlfn.LET(
_xlpm.CSVVal,_xlfn.XLOOKUP($A139,CSV!$A:$A,CSV!D:D,""),
_xlpm.MacVal,_xlfn.XLOOKUP($A139,Output_Mac!$A:$A,Output_Mac!C:C,""),
_xlpm.MyAuditVal,_xlfn.XLOOKUP($A139,My_Audit!$A:$A,My_Audit!C:C,""),
_xlfn.IFS(_xlpm.MyAuditVal&lt;&gt;"",_xlpm.MyAuditVal,_xlpm.MacVal&lt;&gt;"",_xlpm.MacVal,_xlpm.CSVVal&lt;&gt;"",_xlpm.CSVVal
)),"")</f>
        <v/>
      </c>
      <c r="E139" s="2" t="str">
        <f>_xlfn.XLOOKUP(A139,My_Audit!A:A,My_Audit!D:D,"")&amp;""</f>
        <v/>
      </c>
      <c r="F139" s="2" t="str" cm="1">
        <f t="array" ref="F139">IFERROR(_xlfn.LET(
_xlpm.CSVVal,_xlfn.XLOOKUP($A139,CSV!$A:$A,CSV!F:F,""),
_xlpm.MacVal,_xlfn.XLOOKUP($A139,Output_Mac!$A:$A,Output_Mac!E:E,""),
_xlpm.MyAuditVal,_xlfn.XLOOKUP($A139,My_Audit!$A:$A,My_Audit!E:E,""),
_xlfn.IFS(_xlpm.MyAuditVal&lt;&gt;"",_xlpm.MyAuditVal,_xlpm.MacVal&lt;&gt;"",_xlpm.MacVal,_xlpm.CSVVal&lt;&gt;"",_xlpm.CSVVal
)),"")</f>
        <v/>
      </c>
      <c r="G139" s="2" t="str" cm="1">
        <f t="array" ref="G139">IFERROR(_xlfn.LET(
_xlpm.CSVVal,_xlfn.XLOOKUP($A139,CSV!$A:$A,CSV!G:G,""),
_xlpm.MacVal,_xlfn.XLOOKUP($A139,Output_Mac!$A:$A,Output_Mac!F:F,""),
_xlpm.MyAuditVal,_xlfn.XLOOKUP($A139,My_Audit!$A:$A,My_Audit!F:F,""),
_xlfn.IFS(_xlpm.MyAuditVal&lt;&gt;"",_xlpm.MyAuditVal,_xlpm.MacVal&lt;&gt;"",_xlpm.MacVal,_xlpm.CSVVal&lt;&gt;"",PROPER(_xlpm.CSVVal)
)),"")</f>
        <v/>
      </c>
      <c r="H139" s="2" t="str" cm="1">
        <f t="array" ref="H139">IFERROR(_xlfn.LET(
_xlpm.CSVVal,_xlfn.XLOOKUP($A139,CSV!$A:$A,CSV!H:H,""),
_xlpm.MacVal,_xlfn.XLOOKUP($A139,Output_Mac!$A:$A,Output_Mac!H:H,""),
_xlpm.MyAuditVal,_xlfn.XLOOKUP($A139,My_Audit!$A:$A,My_Audit!G:G,""),
_xlfn.IFS(_xlpm.MyAuditVal&lt;&gt;"",_xlpm.MyAuditVal,_xlpm.MacVal&lt;&gt;"",_xlpm.MacVal,_xlpm.CSVVal&lt;&gt;"",_xlpm.CSVVal
)),"")</f>
        <v/>
      </c>
      <c r="I139" s="2" t="str">
        <f>_xlfn.XLOOKUP(A139,Output_Mac!A:A,Output_Mac!I:I,"")</f>
        <v/>
      </c>
      <c r="J139" s="2" t="str" cm="1">
        <f t="array" ref="J139">IFERROR(_xlfn.LET(
_xlpm.CSVVal,_xlfn.XLOOKUP($A139,CSV!$A:$A,CSV!I:I,""),
_xlpm.MacVal,_xlfn.XLOOKUP($A139,Output_Mac!$A:$A,Output_Mac!J:J,""),
_xlpm.MyAuditVal,_xlfn.XLOOKUP($A139,My_Audit!$A:$A,My_Audit!I:I,""),
_xlfn.IFS(_xlpm.MyAuditVal&lt;&gt;"",UPPER(_xlpm.MyAuditVal),_xlpm.MacVal&lt;&gt;"",_xlpm.MacVal,_xlpm.CSVVal&lt;&gt;"",_xlpm.CSVVal
)),"")</f>
        <v/>
      </c>
      <c r="K139" s="2" t="str" cm="1">
        <f t="array" ref="K139">IFERROR(_xlfn.LET(
_xlpm.CSVVal,_xlfn.XLOOKUP($A139,CSV!$A:$A,CSV!K:K,""),
_xlpm.MacVal,_xlfn.XLOOKUP($A139,Output_Mac!$A:$A,Output_Mac!K:K,""),
_xlpm.MyAuditVal,_xlfn.XLOOKUP($A139,My_Audit!$A:$A,My_Audit!J:J,""),
_xlfn.IFS(_xlpm.MyAuditVal&lt;&gt;"",UPPER(_xlpm.MyAuditVal),_xlpm.MacVal&lt;&gt;"",_xlpm.MacVal,_xlpm.CSVVal&lt;&gt;"",_xlpm.CSVVal
)),"")</f>
        <v/>
      </c>
      <c r="L139" s="2" t="str" cm="1">
        <f t="array" ref="L139">IFERROR(_xlfn.LET(
_xlpm.CSVVal,_xlfn.XLOOKUP($A139,CSV!$A:$A,CSV!P:P,""),
_xlpm.MacVal,_xlfn.XLOOKUP($A139,Output_Mac!$A:$A,Output_Mac!L:L,""),
_xlpm.MyAuditVal,_xlfn.XLOOKUP($A139,My_Audit!$A:$A,My_Audit!K:K,""),
_xlfn.IFS(_xlpm.MyAuditVal&lt;&gt;"",UPPER(_xlpm.MyAuditVal),_xlpm.MacVal&lt;&gt;"",_xlpm.MacVal,_xlpm.CSVVal&lt;&gt;"",_xlpm.CSVVal
)),"")</f>
        <v/>
      </c>
      <c r="M139" s="2" t="str" cm="1">
        <f t="array" ref="M139">IFERROR(_xlfn.LET(
_xlpm.CSVVal,_xlfn.XLOOKUP($A139,CSV!$A:$A,CSV!Q:Q,""),
_xlpm.MacVal,_xlfn.XLOOKUP($A139,Output_Mac!$A:$A,Output_Mac!M:M,""),
_xlpm.MyAuditVal,_xlfn.XLOOKUP($A139,My_Audit!$A:$A,My_Audit!L:L,""),
_xlfn.IFS(_xlpm.MyAuditVal&lt;&gt;"",UPPER(_xlpm.MyAuditVal),_xlpm.MacVal&lt;&gt;"",_xlpm.MacVal,_xlpm.CSVVal&lt;&gt;"",_xlpm.CSVVal
)),"")</f>
        <v/>
      </c>
      <c r="O139" s="2" t="str">
        <f>_xlfn.LET(
    _xlpm.CSVVal, _xlfn.XLOOKUP($A139, CSV!$A:$A, CSV!AC:AC, ""),
    _xlpm.MacVal, _xlfn.XLOOKUP($A139, Output_Mac!$A:$A, Output_Mac!S:S, ""),
    _xlpm.MyAuditVal, _xlfn.XLOOKUP($A139, My_Audit!$A:$A, My_Audit!P:P, ""),
    _xlfn.TEXTJOIN(", ", TRUE, _xlpm.MyAuditVal, _xlpm.MacVal, _xlpm.CSVVal)
)</f>
        <v/>
      </c>
      <c r="P139" s="2" t="str" cm="1">
        <f t="array" ref="P139">IFERROR(_xlfn.LET(
_xlpm.CSVVal,_xlfn.XLOOKUP($A139,CSV!$A:$A,CSV!AD:AD,""),
_xlpm.MacVal,_xlfn.XLOOKUP($A139,Output_Mac!$A:$A,Output_Mac!T:T,""),
_xlpm.MyAuditVal,_xlfn.XLOOKUP($A139,My_Audit!$A:$A,My_Audit!Q:Q,""),
_xlfn.IFS(_xlpm.MyAuditVal&lt;&gt;"",UPPER(_xlpm.MyAuditVal),_xlpm.MacVal&lt;&gt;"",_xlpm.MacVal,_xlpm.CSVVal&lt;&gt;"",_xlpm.CSVVal
)),"No")</f>
        <v>No</v>
      </c>
      <c r="Q139" s="2" t="str" cm="1">
        <f t="array" ref="Q139">IFERROR(_xlfn.LET(
_xlpm.CSVVal,_xlfn.XLOOKUP($A139,CSV!$A:$A,CSV!AE:AE,""),
_xlpm.MacVal,_xlfn.XLOOKUP($A139,Output_Mac!$A:$A,Output_Mac!U:U,""),
_xlpm.MyAuditVal,_xlfn.XLOOKUP($A139,My_Audit!$A:$A,My_Audit!R:R,""),
_xlfn.IFS(_xlpm.MyAuditVal&lt;&gt;"",UPPER(_xlpm.MyAuditVal),_xlpm.MacVal&lt;&gt;"",_xlpm.MacVal,_xlpm.CSVVal&lt;&gt;"",_xlpm.CSVVal
)),"")</f>
        <v/>
      </c>
      <c r="X139" t="str">
        <f>_xlfn.LET(
    _xlpm.MacVal, _xlfn.XLOOKUP($A139, Output_Mac!$A:$A, Output_Mac!AB:AB, ""),
    _xlpm.MyAuditVal, _xlfn.XLOOKUP($A139, My_Audit!$A:$A, My_Audit!N:N, ""),
    _xlfn.TEXTJOIN(", ", TRUE, _xlpm.MyAuditVal, _xlpm.MacVal)
)</f>
        <v/>
      </c>
    </row>
    <row r="140" spans="1:24">
      <c r="A140" s="2" t="str">
        <f>_xlfn.TEXTJOIN("",TRUE,Input!$B$2,ROW(My_Audit!A139))</f>
        <v>X139</v>
      </c>
      <c r="B140" s="2" t="str">
        <f>_xlfn.TEXTJOIN("-",TRUE,"ITD",Input!$A$2,A140)</f>
        <v>ITD-SHR-X139</v>
      </c>
      <c r="C140" s="2" t="str" cm="1">
        <f t="array" ref="C140">IFERROR(_xlfn.LET(
_xlpm.CSVVal,_xlfn.XLOOKUP($A140,CSV!$A:$A,CSV!B:B,""),
_xlpm.MacVal,_xlfn.XLOOKUP($A140,Output_Mac!$A:$A,Output_Mac!B:B,""),
_xlpm.MyAuditVal,_xlfn.XLOOKUP($A140,My_Audit!$A:$A,My_Audit!B:B,""),
_xlfn.IFS(_xlpm.MyAuditVal&lt;&gt;"",UPPER(_xlpm.MyAuditVal),_xlpm.MacVal&lt;&gt;"",_xlpm.MacVal,_xlpm.CSVVal&lt;&gt;"",_xlpm.CSVVal
)),"")</f>
        <v/>
      </c>
      <c r="D140" s="2" t="str" cm="1">
        <f t="array" ref="D140">IFERROR(_xlfn.LET(
_xlpm.CSVVal,_xlfn.XLOOKUP($A140,CSV!$A:$A,CSV!D:D,""),
_xlpm.MacVal,_xlfn.XLOOKUP($A140,Output_Mac!$A:$A,Output_Mac!C:C,""),
_xlpm.MyAuditVal,_xlfn.XLOOKUP($A140,My_Audit!$A:$A,My_Audit!C:C,""),
_xlfn.IFS(_xlpm.MyAuditVal&lt;&gt;"",_xlpm.MyAuditVal,_xlpm.MacVal&lt;&gt;"",_xlpm.MacVal,_xlpm.CSVVal&lt;&gt;"",_xlpm.CSVVal
)),"")</f>
        <v/>
      </c>
      <c r="E140" s="2" t="str">
        <f>_xlfn.XLOOKUP(A140,My_Audit!A:A,My_Audit!D:D,"")&amp;""</f>
        <v/>
      </c>
      <c r="F140" s="2" t="str" cm="1">
        <f t="array" ref="F140">IFERROR(_xlfn.LET(
_xlpm.CSVVal,_xlfn.XLOOKUP($A140,CSV!$A:$A,CSV!F:F,""),
_xlpm.MacVal,_xlfn.XLOOKUP($A140,Output_Mac!$A:$A,Output_Mac!E:E,""),
_xlpm.MyAuditVal,_xlfn.XLOOKUP($A140,My_Audit!$A:$A,My_Audit!E:E,""),
_xlfn.IFS(_xlpm.MyAuditVal&lt;&gt;"",_xlpm.MyAuditVal,_xlpm.MacVal&lt;&gt;"",_xlpm.MacVal,_xlpm.CSVVal&lt;&gt;"",_xlpm.CSVVal
)),"")</f>
        <v/>
      </c>
      <c r="G140" s="2" t="str" cm="1">
        <f t="array" ref="G140">IFERROR(_xlfn.LET(
_xlpm.CSVVal,_xlfn.XLOOKUP($A140,CSV!$A:$A,CSV!G:G,""),
_xlpm.MacVal,_xlfn.XLOOKUP($A140,Output_Mac!$A:$A,Output_Mac!F:F,""),
_xlpm.MyAuditVal,_xlfn.XLOOKUP($A140,My_Audit!$A:$A,My_Audit!F:F,""),
_xlfn.IFS(_xlpm.MyAuditVal&lt;&gt;"",_xlpm.MyAuditVal,_xlpm.MacVal&lt;&gt;"",_xlpm.MacVal,_xlpm.CSVVal&lt;&gt;"",PROPER(_xlpm.CSVVal)
)),"")</f>
        <v/>
      </c>
      <c r="H140" s="2" t="str" cm="1">
        <f t="array" ref="H140">IFERROR(_xlfn.LET(
_xlpm.CSVVal,_xlfn.XLOOKUP($A140,CSV!$A:$A,CSV!H:H,""),
_xlpm.MacVal,_xlfn.XLOOKUP($A140,Output_Mac!$A:$A,Output_Mac!H:H,""),
_xlpm.MyAuditVal,_xlfn.XLOOKUP($A140,My_Audit!$A:$A,My_Audit!G:G,""),
_xlfn.IFS(_xlpm.MyAuditVal&lt;&gt;"",_xlpm.MyAuditVal,_xlpm.MacVal&lt;&gt;"",_xlpm.MacVal,_xlpm.CSVVal&lt;&gt;"",_xlpm.CSVVal
)),"")</f>
        <v/>
      </c>
      <c r="I140" s="2" t="str">
        <f>_xlfn.XLOOKUP(A140,Output_Mac!A:A,Output_Mac!I:I,"")</f>
        <v/>
      </c>
      <c r="J140" s="2" t="str" cm="1">
        <f t="array" ref="J140">IFERROR(_xlfn.LET(
_xlpm.CSVVal,_xlfn.XLOOKUP($A140,CSV!$A:$A,CSV!I:I,""),
_xlpm.MacVal,_xlfn.XLOOKUP($A140,Output_Mac!$A:$A,Output_Mac!J:J,""),
_xlpm.MyAuditVal,_xlfn.XLOOKUP($A140,My_Audit!$A:$A,My_Audit!I:I,""),
_xlfn.IFS(_xlpm.MyAuditVal&lt;&gt;"",UPPER(_xlpm.MyAuditVal),_xlpm.MacVal&lt;&gt;"",_xlpm.MacVal,_xlpm.CSVVal&lt;&gt;"",_xlpm.CSVVal
)),"")</f>
        <v/>
      </c>
      <c r="K140" s="2" t="str" cm="1">
        <f t="array" ref="K140">IFERROR(_xlfn.LET(
_xlpm.CSVVal,_xlfn.XLOOKUP($A140,CSV!$A:$A,CSV!K:K,""),
_xlpm.MacVal,_xlfn.XLOOKUP($A140,Output_Mac!$A:$A,Output_Mac!K:K,""),
_xlpm.MyAuditVal,_xlfn.XLOOKUP($A140,My_Audit!$A:$A,My_Audit!J:J,""),
_xlfn.IFS(_xlpm.MyAuditVal&lt;&gt;"",UPPER(_xlpm.MyAuditVal),_xlpm.MacVal&lt;&gt;"",_xlpm.MacVal,_xlpm.CSVVal&lt;&gt;"",_xlpm.CSVVal
)),"")</f>
        <v/>
      </c>
      <c r="L140" s="2" t="str" cm="1">
        <f t="array" ref="L140">IFERROR(_xlfn.LET(
_xlpm.CSVVal,_xlfn.XLOOKUP($A140,CSV!$A:$A,CSV!P:P,""),
_xlpm.MacVal,_xlfn.XLOOKUP($A140,Output_Mac!$A:$A,Output_Mac!L:L,""),
_xlpm.MyAuditVal,_xlfn.XLOOKUP($A140,My_Audit!$A:$A,My_Audit!K:K,""),
_xlfn.IFS(_xlpm.MyAuditVal&lt;&gt;"",UPPER(_xlpm.MyAuditVal),_xlpm.MacVal&lt;&gt;"",_xlpm.MacVal,_xlpm.CSVVal&lt;&gt;"",_xlpm.CSVVal
)),"")</f>
        <v/>
      </c>
      <c r="M140" s="2" t="str" cm="1">
        <f t="array" ref="M140">IFERROR(_xlfn.LET(
_xlpm.CSVVal,_xlfn.XLOOKUP($A140,CSV!$A:$A,CSV!Q:Q,""),
_xlpm.MacVal,_xlfn.XLOOKUP($A140,Output_Mac!$A:$A,Output_Mac!M:M,""),
_xlpm.MyAuditVal,_xlfn.XLOOKUP($A140,My_Audit!$A:$A,My_Audit!L:L,""),
_xlfn.IFS(_xlpm.MyAuditVal&lt;&gt;"",UPPER(_xlpm.MyAuditVal),_xlpm.MacVal&lt;&gt;"",_xlpm.MacVal,_xlpm.CSVVal&lt;&gt;"",_xlpm.CSVVal
)),"")</f>
        <v/>
      </c>
      <c r="O140" s="2" t="str">
        <f>_xlfn.LET(
    _xlpm.CSVVal, _xlfn.XLOOKUP($A140, CSV!$A:$A, CSV!AC:AC, ""),
    _xlpm.MacVal, _xlfn.XLOOKUP($A140, Output_Mac!$A:$A, Output_Mac!S:S, ""),
    _xlpm.MyAuditVal, _xlfn.XLOOKUP($A140, My_Audit!$A:$A, My_Audit!P:P, ""),
    _xlfn.TEXTJOIN(", ", TRUE, _xlpm.MyAuditVal, _xlpm.MacVal, _xlpm.CSVVal)
)</f>
        <v/>
      </c>
      <c r="P140" s="2" t="str" cm="1">
        <f t="array" ref="P140">IFERROR(_xlfn.LET(
_xlpm.CSVVal,_xlfn.XLOOKUP($A140,CSV!$A:$A,CSV!AD:AD,""),
_xlpm.MacVal,_xlfn.XLOOKUP($A140,Output_Mac!$A:$A,Output_Mac!T:T,""),
_xlpm.MyAuditVal,_xlfn.XLOOKUP($A140,My_Audit!$A:$A,My_Audit!Q:Q,""),
_xlfn.IFS(_xlpm.MyAuditVal&lt;&gt;"",UPPER(_xlpm.MyAuditVal),_xlpm.MacVal&lt;&gt;"",_xlpm.MacVal,_xlpm.CSVVal&lt;&gt;"",_xlpm.CSVVal
)),"No")</f>
        <v>No</v>
      </c>
      <c r="Q140" s="2" t="str" cm="1">
        <f t="array" ref="Q140">IFERROR(_xlfn.LET(
_xlpm.CSVVal,_xlfn.XLOOKUP($A140,CSV!$A:$A,CSV!AE:AE,""),
_xlpm.MacVal,_xlfn.XLOOKUP($A140,Output_Mac!$A:$A,Output_Mac!U:U,""),
_xlpm.MyAuditVal,_xlfn.XLOOKUP($A140,My_Audit!$A:$A,My_Audit!R:R,""),
_xlfn.IFS(_xlpm.MyAuditVal&lt;&gt;"",UPPER(_xlpm.MyAuditVal),_xlpm.MacVal&lt;&gt;"",_xlpm.MacVal,_xlpm.CSVVal&lt;&gt;"",_xlpm.CSVVal
)),"")</f>
        <v/>
      </c>
      <c r="X140" t="str">
        <f>_xlfn.LET(
    _xlpm.MacVal, _xlfn.XLOOKUP($A140, Output_Mac!$A:$A, Output_Mac!AB:AB, ""),
    _xlpm.MyAuditVal, _xlfn.XLOOKUP($A140, My_Audit!$A:$A, My_Audit!N:N, ""),
    _xlfn.TEXTJOIN(", ", TRUE, _xlpm.MyAuditVal, _xlpm.MacVal)
)</f>
        <v/>
      </c>
    </row>
    <row r="141" spans="1:24">
      <c r="A141" s="2" t="str">
        <f>_xlfn.TEXTJOIN("",TRUE,Input!$B$2,ROW(My_Audit!A140))</f>
        <v>X140</v>
      </c>
      <c r="B141" s="2" t="str">
        <f>_xlfn.TEXTJOIN("-",TRUE,"ITD",Input!$A$2,A141)</f>
        <v>ITD-SHR-X140</v>
      </c>
      <c r="C141" s="2" t="str" cm="1">
        <f t="array" ref="C141">IFERROR(_xlfn.LET(
_xlpm.CSVVal,_xlfn.XLOOKUP($A141,CSV!$A:$A,CSV!B:B,""),
_xlpm.MacVal,_xlfn.XLOOKUP($A141,Output_Mac!$A:$A,Output_Mac!B:B,""),
_xlpm.MyAuditVal,_xlfn.XLOOKUP($A141,My_Audit!$A:$A,My_Audit!B:B,""),
_xlfn.IFS(_xlpm.MyAuditVal&lt;&gt;"",UPPER(_xlpm.MyAuditVal),_xlpm.MacVal&lt;&gt;"",_xlpm.MacVal,_xlpm.CSVVal&lt;&gt;"",_xlpm.CSVVal
)),"")</f>
        <v/>
      </c>
      <c r="D141" s="2" t="str" cm="1">
        <f t="array" ref="D141">IFERROR(_xlfn.LET(
_xlpm.CSVVal,_xlfn.XLOOKUP($A141,CSV!$A:$A,CSV!D:D,""),
_xlpm.MacVal,_xlfn.XLOOKUP($A141,Output_Mac!$A:$A,Output_Mac!C:C,""),
_xlpm.MyAuditVal,_xlfn.XLOOKUP($A141,My_Audit!$A:$A,My_Audit!C:C,""),
_xlfn.IFS(_xlpm.MyAuditVal&lt;&gt;"",_xlpm.MyAuditVal,_xlpm.MacVal&lt;&gt;"",_xlpm.MacVal,_xlpm.CSVVal&lt;&gt;"",_xlpm.CSVVal
)),"")</f>
        <v/>
      </c>
      <c r="E141" s="2" t="str">
        <f>_xlfn.XLOOKUP(A141,My_Audit!A:A,My_Audit!D:D,"")&amp;""</f>
        <v/>
      </c>
      <c r="F141" s="2" t="str" cm="1">
        <f t="array" ref="F141">IFERROR(_xlfn.LET(
_xlpm.CSVVal,_xlfn.XLOOKUP($A141,CSV!$A:$A,CSV!F:F,""),
_xlpm.MacVal,_xlfn.XLOOKUP($A141,Output_Mac!$A:$A,Output_Mac!E:E,""),
_xlpm.MyAuditVal,_xlfn.XLOOKUP($A141,My_Audit!$A:$A,My_Audit!E:E,""),
_xlfn.IFS(_xlpm.MyAuditVal&lt;&gt;"",_xlpm.MyAuditVal,_xlpm.MacVal&lt;&gt;"",_xlpm.MacVal,_xlpm.CSVVal&lt;&gt;"",_xlpm.CSVVal
)),"")</f>
        <v/>
      </c>
      <c r="G141" s="2" t="str" cm="1">
        <f t="array" ref="G141">IFERROR(_xlfn.LET(
_xlpm.CSVVal,_xlfn.XLOOKUP($A141,CSV!$A:$A,CSV!G:G,""),
_xlpm.MacVal,_xlfn.XLOOKUP($A141,Output_Mac!$A:$A,Output_Mac!F:F,""),
_xlpm.MyAuditVal,_xlfn.XLOOKUP($A141,My_Audit!$A:$A,My_Audit!F:F,""),
_xlfn.IFS(_xlpm.MyAuditVal&lt;&gt;"",_xlpm.MyAuditVal,_xlpm.MacVal&lt;&gt;"",_xlpm.MacVal,_xlpm.CSVVal&lt;&gt;"",PROPER(_xlpm.CSVVal)
)),"")</f>
        <v/>
      </c>
      <c r="H141" s="2" t="str" cm="1">
        <f t="array" ref="H141">IFERROR(_xlfn.LET(
_xlpm.CSVVal,_xlfn.XLOOKUP($A141,CSV!$A:$A,CSV!H:H,""),
_xlpm.MacVal,_xlfn.XLOOKUP($A141,Output_Mac!$A:$A,Output_Mac!H:H,""),
_xlpm.MyAuditVal,_xlfn.XLOOKUP($A141,My_Audit!$A:$A,My_Audit!G:G,""),
_xlfn.IFS(_xlpm.MyAuditVal&lt;&gt;"",_xlpm.MyAuditVal,_xlpm.MacVal&lt;&gt;"",_xlpm.MacVal,_xlpm.CSVVal&lt;&gt;"",_xlpm.CSVVal
)),"")</f>
        <v/>
      </c>
      <c r="I141" s="2" t="str">
        <f>_xlfn.XLOOKUP(A141,Output_Mac!A:A,Output_Mac!I:I,"")</f>
        <v/>
      </c>
      <c r="J141" s="2" t="str" cm="1">
        <f t="array" ref="J141">IFERROR(_xlfn.LET(
_xlpm.CSVVal,_xlfn.XLOOKUP($A141,CSV!$A:$A,CSV!I:I,""),
_xlpm.MacVal,_xlfn.XLOOKUP($A141,Output_Mac!$A:$A,Output_Mac!J:J,""),
_xlpm.MyAuditVal,_xlfn.XLOOKUP($A141,My_Audit!$A:$A,My_Audit!I:I,""),
_xlfn.IFS(_xlpm.MyAuditVal&lt;&gt;"",UPPER(_xlpm.MyAuditVal),_xlpm.MacVal&lt;&gt;"",_xlpm.MacVal,_xlpm.CSVVal&lt;&gt;"",_xlpm.CSVVal
)),"")</f>
        <v/>
      </c>
      <c r="K141" s="2" t="str" cm="1">
        <f t="array" ref="K141">IFERROR(_xlfn.LET(
_xlpm.CSVVal,_xlfn.XLOOKUP($A141,CSV!$A:$A,CSV!K:K,""),
_xlpm.MacVal,_xlfn.XLOOKUP($A141,Output_Mac!$A:$A,Output_Mac!K:K,""),
_xlpm.MyAuditVal,_xlfn.XLOOKUP($A141,My_Audit!$A:$A,My_Audit!J:J,""),
_xlfn.IFS(_xlpm.MyAuditVal&lt;&gt;"",UPPER(_xlpm.MyAuditVal),_xlpm.MacVal&lt;&gt;"",_xlpm.MacVal,_xlpm.CSVVal&lt;&gt;"",_xlpm.CSVVal
)),"")</f>
        <v/>
      </c>
      <c r="L141" s="2" t="str" cm="1">
        <f t="array" ref="L141">IFERROR(_xlfn.LET(
_xlpm.CSVVal,_xlfn.XLOOKUP($A141,CSV!$A:$A,CSV!P:P,""),
_xlpm.MacVal,_xlfn.XLOOKUP($A141,Output_Mac!$A:$A,Output_Mac!L:L,""),
_xlpm.MyAuditVal,_xlfn.XLOOKUP($A141,My_Audit!$A:$A,My_Audit!K:K,""),
_xlfn.IFS(_xlpm.MyAuditVal&lt;&gt;"",UPPER(_xlpm.MyAuditVal),_xlpm.MacVal&lt;&gt;"",_xlpm.MacVal,_xlpm.CSVVal&lt;&gt;"",_xlpm.CSVVal
)),"")</f>
        <v/>
      </c>
      <c r="M141" s="2" t="str" cm="1">
        <f t="array" ref="M141">IFERROR(_xlfn.LET(
_xlpm.CSVVal,_xlfn.XLOOKUP($A141,CSV!$A:$A,CSV!Q:Q,""),
_xlpm.MacVal,_xlfn.XLOOKUP($A141,Output_Mac!$A:$A,Output_Mac!M:M,""),
_xlpm.MyAuditVal,_xlfn.XLOOKUP($A141,My_Audit!$A:$A,My_Audit!L:L,""),
_xlfn.IFS(_xlpm.MyAuditVal&lt;&gt;"",UPPER(_xlpm.MyAuditVal),_xlpm.MacVal&lt;&gt;"",_xlpm.MacVal,_xlpm.CSVVal&lt;&gt;"",_xlpm.CSVVal
)),"")</f>
        <v/>
      </c>
      <c r="O141" s="2" t="str">
        <f>_xlfn.LET(
    _xlpm.CSVVal, _xlfn.XLOOKUP($A141, CSV!$A:$A, CSV!AC:AC, ""),
    _xlpm.MacVal, _xlfn.XLOOKUP($A141, Output_Mac!$A:$A, Output_Mac!S:S, ""),
    _xlpm.MyAuditVal, _xlfn.XLOOKUP($A141, My_Audit!$A:$A, My_Audit!P:P, ""),
    _xlfn.TEXTJOIN(", ", TRUE, _xlpm.MyAuditVal, _xlpm.MacVal, _xlpm.CSVVal)
)</f>
        <v/>
      </c>
      <c r="P141" s="2" t="str" cm="1">
        <f t="array" ref="P141">IFERROR(_xlfn.LET(
_xlpm.CSVVal,_xlfn.XLOOKUP($A141,CSV!$A:$A,CSV!AD:AD,""),
_xlpm.MacVal,_xlfn.XLOOKUP($A141,Output_Mac!$A:$A,Output_Mac!T:T,""),
_xlpm.MyAuditVal,_xlfn.XLOOKUP($A141,My_Audit!$A:$A,My_Audit!Q:Q,""),
_xlfn.IFS(_xlpm.MyAuditVal&lt;&gt;"",UPPER(_xlpm.MyAuditVal),_xlpm.MacVal&lt;&gt;"",_xlpm.MacVal,_xlpm.CSVVal&lt;&gt;"",_xlpm.CSVVal
)),"No")</f>
        <v>No</v>
      </c>
      <c r="Q141" s="2" t="str" cm="1">
        <f t="array" ref="Q141">IFERROR(_xlfn.LET(
_xlpm.CSVVal,_xlfn.XLOOKUP($A141,CSV!$A:$A,CSV!AE:AE,""),
_xlpm.MacVal,_xlfn.XLOOKUP($A141,Output_Mac!$A:$A,Output_Mac!U:U,""),
_xlpm.MyAuditVal,_xlfn.XLOOKUP($A141,My_Audit!$A:$A,My_Audit!R:R,""),
_xlfn.IFS(_xlpm.MyAuditVal&lt;&gt;"",UPPER(_xlpm.MyAuditVal),_xlpm.MacVal&lt;&gt;"",_xlpm.MacVal,_xlpm.CSVVal&lt;&gt;"",_xlpm.CSVVal
)),"")</f>
        <v/>
      </c>
      <c r="X141" t="str">
        <f>_xlfn.LET(
    _xlpm.MacVal, _xlfn.XLOOKUP($A141, Output_Mac!$A:$A, Output_Mac!AB:AB, ""),
    _xlpm.MyAuditVal, _xlfn.XLOOKUP($A141, My_Audit!$A:$A, My_Audit!N:N, ""),
    _xlfn.TEXTJOIN(", ", TRUE, _xlpm.MyAuditVal, _xlpm.MacVal)
)</f>
        <v/>
      </c>
    </row>
    <row r="142" spans="1:24">
      <c r="A142" s="2" t="str">
        <f>_xlfn.TEXTJOIN("",TRUE,Input!$B$2,ROW(My_Audit!A141))</f>
        <v>X141</v>
      </c>
      <c r="B142" s="2" t="str">
        <f>_xlfn.TEXTJOIN("-",TRUE,"ITD",Input!$A$2,A142)</f>
        <v>ITD-SHR-X141</v>
      </c>
      <c r="C142" s="2" t="str" cm="1">
        <f t="array" ref="C142">IFERROR(_xlfn.LET(
_xlpm.CSVVal,_xlfn.XLOOKUP($A142,CSV!$A:$A,CSV!B:B,""),
_xlpm.MacVal,_xlfn.XLOOKUP($A142,Output_Mac!$A:$A,Output_Mac!B:B,""),
_xlpm.MyAuditVal,_xlfn.XLOOKUP($A142,My_Audit!$A:$A,My_Audit!B:B,""),
_xlfn.IFS(_xlpm.MyAuditVal&lt;&gt;"",UPPER(_xlpm.MyAuditVal),_xlpm.MacVal&lt;&gt;"",_xlpm.MacVal,_xlpm.CSVVal&lt;&gt;"",_xlpm.CSVVal
)),"")</f>
        <v/>
      </c>
      <c r="D142" s="2" t="str" cm="1">
        <f t="array" ref="D142">IFERROR(_xlfn.LET(
_xlpm.CSVVal,_xlfn.XLOOKUP($A142,CSV!$A:$A,CSV!D:D,""),
_xlpm.MacVal,_xlfn.XLOOKUP($A142,Output_Mac!$A:$A,Output_Mac!C:C,""),
_xlpm.MyAuditVal,_xlfn.XLOOKUP($A142,My_Audit!$A:$A,My_Audit!C:C,""),
_xlfn.IFS(_xlpm.MyAuditVal&lt;&gt;"",_xlpm.MyAuditVal,_xlpm.MacVal&lt;&gt;"",_xlpm.MacVal,_xlpm.CSVVal&lt;&gt;"",_xlpm.CSVVal
)),"")</f>
        <v/>
      </c>
      <c r="E142" s="2" t="str">
        <f>_xlfn.XLOOKUP(A142,My_Audit!A:A,My_Audit!D:D,"")&amp;""</f>
        <v/>
      </c>
      <c r="F142" s="2" t="str" cm="1">
        <f t="array" ref="F142">IFERROR(_xlfn.LET(
_xlpm.CSVVal,_xlfn.XLOOKUP($A142,CSV!$A:$A,CSV!F:F,""),
_xlpm.MacVal,_xlfn.XLOOKUP($A142,Output_Mac!$A:$A,Output_Mac!E:E,""),
_xlpm.MyAuditVal,_xlfn.XLOOKUP($A142,My_Audit!$A:$A,My_Audit!E:E,""),
_xlfn.IFS(_xlpm.MyAuditVal&lt;&gt;"",_xlpm.MyAuditVal,_xlpm.MacVal&lt;&gt;"",_xlpm.MacVal,_xlpm.CSVVal&lt;&gt;"",_xlpm.CSVVal
)),"")</f>
        <v/>
      </c>
      <c r="G142" s="2" t="str" cm="1">
        <f t="array" ref="G142">IFERROR(_xlfn.LET(
_xlpm.CSVVal,_xlfn.XLOOKUP($A142,CSV!$A:$A,CSV!G:G,""),
_xlpm.MacVal,_xlfn.XLOOKUP($A142,Output_Mac!$A:$A,Output_Mac!F:F,""),
_xlpm.MyAuditVal,_xlfn.XLOOKUP($A142,My_Audit!$A:$A,My_Audit!F:F,""),
_xlfn.IFS(_xlpm.MyAuditVal&lt;&gt;"",_xlpm.MyAuditVal,_xlpm.MacVal&lt;&gt;"",_xlpm.MacVal,_xlpm.CSVVal&lt;&gt;"",PROPER(_xlpm.CSVVal)
)),"")</f>
        <v/>
      </c>
      <c r="H142" s="2" t="str" cm="1">
        <f t="array" ref="H142">IFERROR(_xlfn.LET(
_xlpm.CSVVal,_xlfn.XLOOKUP($A142,CSV!$A:$A,CSV!H:H,""),
_xlpm.MacVal,_xlfn.XLOOKUP($A142,Output_Mac!$A:$A,Output_Mac!H:H,""),
_xlpm.MyAuditVal,_xlfn.XLOOKUP($A142,My_Audit!$A:$A,My_Audit!G:G,""),
_xlfn.IFS(_xlpm.MyAuditVal&lt;&gt;"",_xlpm.MyAuditVal,_xlpm.MacVal&lt;&gt;"",_xlpm.MacVal,_xlpm.CSVVal&lt;&gt;"",_xlpm.CSVVal
)),"")</f>
        <v/>
      </c>
      <c r="I142" s="2" t="str">
        <f>_xlfn.XLOOKUP(A142,Output_Mac!A:A,Output_Mac!I:I,"")</f>
        <v/>
      </c>
      <c r="J142" s="2" t="str" cm="1">
        <f t="array" ref="J142">IFERROR(_xlfn.LET(
_xlpm.CSVVal,_xlfn.XLOOKUP($A142,CSV!$A:$A,CSV!I:I,""),
_xlpm.MacVal,_xlfn.XLOOKUP($A142,Output_Mac!$A:$A,Output_Mac!J:J,""),
_xlpm.MyAuditVal,_xlfn.XLOOKUP($A142,My_Audit!$A:$A,My_Audit!I:I,""),
_xlfn.IFS(_xlpm.MyAuditVal&lt;&gt;"",UPPER(_xlpm.MyAuditVal),_xlpm.MacVal&lt;&gt;"",_xlpm.MacVal,_xlpm.CSVVal&lt;&gt;"",_xlpm.CSVVal
)),"")</f>
        <v/>
      </c>
      <c r="K142" s="2" t="str" cm="1">
        <f t="array" ref="K142">IFERROR(_xlfn.LET(
_xlpm.CSVVal,_xlfn.XLOOKUP($A142,CSV!$A:$A,CSV!K:K,""),
_xlpm.MacVal,_xlfn.XLOOKUP($A142,Output_Mac!$A:$A,Output_Mac!K:K,""),
_xlpm.MyAuditVal,_xlfn.XLOOKUP($A142,My_Audit!$A:$A,My_Audit!J:J,""),
_xlfn.IFS(_xlpm.MyAuditVal&lt;&gt;"",UPPER(_xlpm.MyAuditVal),_xlpm.MacVal&lt;&gt;"",_xlpm.MacVal,_xlpm.CSVVal&lt;&gt;"",_xlpm.CSVVal
)),"")</f>
        <v/>
      </c>
      <c r="L142" s="2" t="str" cm="1">
        <f t="array" ref="L142">IFERROR(_xlfn.LET(
_xlpm.CSVVal,_xlfn.XLOOKUP($A142,CSV!$A:$A,CSV!P:P,""),
_xlpm.MacVal,_xlfn.XLOOKUP($A142,Output_Mac!$A:$A,Output_Mac!L:L,""),
_xlpm.MyAuditVal,_xlfn.XLOOKUP($A142,My_Audit!$A:$A,My_Audit!K:K,""),
_xlfn.IFS(_xlpm.MyAuditVal&lt;&gt;"",UPPER(_xlpm.MyAuditVal),_xlpm.MacVal&lt;&gt;"",_xlpm.MacVal,_xlpm.CSVVal&lt;&gt;"",_xlpm.CSVVal
)),"")</f>
        <v/>
      </c>
      <c r="M142" s="2" t="str" cm="1">
        <f t="array" ref="M142">IFERROR(_xlfn.LET(
_xlpm.CSVVal,_xlfn.XLOOKUP($A142,CSV!$A:$A,CSV!Q:Q,""),
_xlpm.MacVal,_xlfn.XLOOKUP($A142,Output_Mac!$A:$A,Output_Mac!M:M,""),
_xlpm.MyAuditVal,_xlfn.XLOOKUP($A142,My_Audit!$A:$A,My_Audit!L:L,""),
_xlfn.IFS(_xlpm.MyAuditVal&lt;&gt;"",UPPER(_xlpm.MyAuditVal),_xlpm.MacVal&lt;&gt;"",_xlpm.MacVal,_xlpm.CSVVal&lt;&gt;"",_xlpm.CSVVal
)),"")</f>
        <v/>
      </c>
      <c r="O142" s="2" t="str">
        <f>_xlfn.LET(
    _xlpm.CSVVal, _xlfn.XLOOKUP($A142, CSV!$A:$A, CSV!AC:AC, ""),
    _xlpm.MacVal, _xlfn.XLOOKUP($A142, Output_Mac!$A:$A, Output_Mac!S:S, ""),
    _xlpm.MyAuditVal, _xlfn.XLOOKUP($A142, My_Audit!$A:$A, My_Audit!P:P, ""),
    _xlfn.TEXTJOIN(", ", TRUE, _xlpm.MyAuditVal, _xlpm.MacVal, _xlpm.CSVVal)
)</f>
        <v/>
      </c>
      <c r="P142" s="2" t="str" cm="1">
        <f t="array" ref="P142">IFERROR(_xlfn.LET(
_xlpm.CSVVal,_xlfn.XLOOKUP($A142,CSV!$A:$A,CSV!AD:AD,""),
_xlpm.MacVal,_xlfn.XLOOKUP($A142,Output_Mac!$A:$A,Output_Mac!T:T,""),
_xlpm.MyAuditVal,_xlfn.XLOOKUP($A142,My_Audit!$A:$A,My_Audit!Q:Q,""),
_xlfn.IFS(_xlpm.MyAuditVal&lt;&gt;"",UPPER(_xlpm.MyAuditVal),_xlpm.MacVal&lt;&gt;"",_xlpm.MacVal,_xlpm.CSVVal&lt;&gt;"",_xlpm.CSVVal
)),"No")</f>
        <v>No</v>
      </c>
      <c r="Q142" s="2" t="str" cm="1">
        <f t="array" ref="Q142">IFERROR(_xlfn.LET(
_xlpm.CSVVal,_xlfn.XLOOKUP($A142,CSV!$A:$A,CSV!AE:AE,""),
_xlpm.MacVal,_xlfn.XLOOKUP($A142,Output_Mac!$A:$A,Output_Mac!U:U,""),
_xlpm.MyAuditVal,_xlfn.XLOOKUP($A142,My_Audit!$A:$A,My_Audit!R:R,""),
_xlfn.IFS(_xlpm.MyAuditVal&lt;&gt;"",UPPER(_xlpm.MyAuditVal),_xlpm.MacVal&lt;&gt;"",_xlpm.MacVal,_xlpm.CSVVal&lt;&gt;"",_xlpm.CSVVal
)),"")</f>
        <v/>
      </c>
      <c r="X142" t="str">
        <f>_xlfn.LET(
    _xlpm.MacVal, _xlfn.XLOOKUP($A142, Output_Mac!$A:$A, Output_Mac!AB:AB, ""),
    _xlpm.MyAuditVal, _xlfn.XLOOKUP($A142, My_Audit!$A:$A, My_Audit!N:N, ""),
    _xlfn.TEXTJOIN(", ", TRUE, _xlpm.MyAuditVal, _xlpm.MacVal)
)</f>
        <v/>
      </c>
    </row>
    <row r="143" spans="1:24">
      <c r="A143" s="2" t="str">
        <f>_xlfn.TEXTJOIN("",TRUE,Input!$B$2,ROW(My_Audit!A142))</f>
        <v>X142</v>
      </c>
      <c r="B143" s="2" t="str">
        <f>_xlfn.TEXTJOIN("-",TRUE,"ITD",Input!$A$2,A143)</f>
        <v>ITD-SHR-X142</v>
      </c>
      <c r="C143" s="2" t="str" cm="1">
        <f t="array" ref="C143">IFERROR(_xlfn.LET(
_xlpm.CSVVal,_xlfn.XLOOKUP($A143,CSV!$A:$A,CSV!B:B,""),
_xlpm.MacVal,_xlfn.XLOOKUP($A143,Output_Mac!$A:$A,Output_Mac!B:B,""),
_xlpm.MyAuditVal,_xlfn.XLOOKUP($A143,My_Audit!$A:$A,My_Audit!B:B,""),
_xlfn.IFS(_xlpm.MyAuditVal&lt;&gt;"",UPPER(_xlpm.MyAuditVal),_xlpm.MacVal&lt;&gt;"",_xlpm.MacVal,_xlpm.CSVVal&lt;&gt;"",_xlpm.CSVVal
)),"")</f>
        <v/>
      </c>
      <c r="D143" s="2" t="str" cm="1">
        <f t="array" ref="D143">IFERROR(_xlfn.LET(
_xlpm.CSVVal,_xlfn.XLOOKUP($A143,CSV!$A:$A,CSV!D:D,""),
_xlpm.MacVal,_xlfn.XLOOKUP($A143,Output_Mac!$A:$A,Output_Mac!C:C,""),
_xlpm.MyAuditVal,_xlfn.XLOOKUP($A143,My_Audit!$A:$A,My_Audit!C:C,""),
_xlfn.IFS(_xlpm.MyAuditVal&lt;&gt;"",_xlpm.MyAuditVal,_xlpm.MacVal&lt;&gt;"",_xlpm.MacVal,_xlpm.CSVVal&lt;&gt;"",_xlpm.CSVVal
)),"")</f>
        <v/>
      </c>
      <c r="E143" s="2" t="str">
        <f>_xlfn.XLOOKUP(A143,My_Audit!A:A,My_Audit!D:D,"")&amp;""</f>
        <v/>
      </c>
      <c r="F143" s="2" t="str" cm="1">
        <f t="array" ref="F143">IFERROR(_xlfn.LET(
_xlpm.CSVVal,_xlfn.XLOOKUP($A143,CSV!$A:$A,CSV!F:F,""),
_xlpm.MacVal,_xlfn.XLOOKUP($A143,Output_Mac!$A:$A,Output_Mac!E:E,""),
_xlpm.MyAuditVal,_xlfn.XLOOKUP($A143,My_Audit!$A:$A,My_Audit!E:E,""),
_xlfn.IFS(_xlpm.MyAuditVal&lt;&gt;"",_xlpm.MyAuditVal,_xlpm.MacVal&lt;&gt;"",_xlpm.MacVal,_xlpm.CSVVal&lt;&gt;"",_xlpm.CSVVal
)),"")</f>
        <v/>
      </c>
      <c r="G143" s="2" t="str" cm="1">
        <f t="array" ref="G143">IFERROR(_xlfn.LET(
_xlpm.CSVVal,_xlfn.XLOOKUP($A143,CSV!$A:$A,CSV!G:G,""),
_xlpm.MacVal,_xlfn.XLOOKUP($A143,Output_Mac!$A:$A,Output_Mac!F:F,""),
_xlpm.MyAuditVal,_xlfn.XLOOKUP($A143,My_Audit!$A:$A,My_Audit!F:F,""),
_xlfn.IFS(_xlpm.MyAuditVal&lt;&gt;"",_xlpm.MyAuditVal,_xlpm.MacVal&lt;&gt;"",_xlpm.MacVal,_xlpm.CSVVal&lt;&gt;"",PROPER(_xlpm.CSVVal)
)),"")</f>
        <v/>
      </c>
      <c r="H143" s="2" t="str" cm="1">
        <f t="array" ref="H143">IFERROR(_xlfn.LET(
_xlpm.CSVVal,_xlfn.XLOOKUP($A143,CSV!$A:$A,CSV!H:H,""),
_xlpm.MacVal,_xlfn.XLOOKUP($A143,Output_Mac!$A:$A,Output_Mac!H:H,""),
_xlpm.MyAuditVal,_xlfn.XLOOKUP($A143,My_Audit!$A:$A,My_Audit!G:G,""),
_xlfn.IFS(_xlpm.MyAuditVal&lt;&gt;"",_xlpm.MyAuditVal,_xlpm.MacVal&lt;&gt;"",_xlpm.MacVal,_xlpm.CSVVal&lt;&gt;"",_xlpm.CSVVal
)),"")</f>
        <v/>
      </c>
      <c r="I143" s="2" t="str">
        <f>_xlfn.XLOOKUP(A143,Output_Mac!A:A,Output_Mac!I:I,"")</f>
        <v/>
      </c>
      <c r="J143" s="2" t="str" cm="1">
        <f t="array" ref="J143">IFERROR(_xlfn.LET(
_xlpm.CSVVal,_xlfn.XLOOKUP($A143,CSV!$A:$A,CSV!I:I,""),
_xlpm.MacVal,_xlfn.XLOOKUP($A143,Output_Mac!$A:$A,Output_Mac!J:J,""),
_xlpm.MyAuditVal,_xlfn.XLOOKUP($A143,My_Audit!$A:$A,My_Audit!I:I,""),
_xlfn.IFS(_xlpm.MyAuditVal&lt;&gt;"",UPPER(_xlpm.MyAuditVal),_xlpm.MacVal&lt;&gt;"",_xlpm.MacVal,_xlpm.CSVVal&lt;&gt;"",_xlpm.CSVVal
)),"")</f>
        <v/>
      </c>
      <c r="K143" s="2" t="str" cm="1">
        <f t="array" ref="K143">IFERROR(_xlfn.LET(
_xlpm.CSVVal,_xlfn.XLOOKUP($A143,CSV!$A:$A,CSV!K:K,""),
_xlpm.MacVal,_xlfn.XLOOKUP($A143,Output_Mac!$A:$A,Output_Mac!K:K,""),
_xlpm.MyAuditVal,_xlfn.XLOOKUP($A143,My_Audit!$A:$A,My_Audit!J:J,""),
_xlfn.IFS(_xlpm.MyAuditVal&lt;&gt;"",UPPER(_xlpm.MyAuditVal),_xlpm.MacVal&lt;&gt;"",_xlpm.MacVal,_xlpm.CSVVal&lt;&gt;"",_xlpm.CSVVal
)),"")</f>
        <v/>
      </c>
      <c r="L143" s="2" t="str" cm="1">
        <f t="array" ref="L143">IFERROR(_xlfn.LET(
_xlpm.CSVVal,_xlfn.XLOOKUP($A143,CSV!$A:$A,CSV!P:P,""),
_xlpm.MacVal,_xlfn.XLOOKUP($A143,Output_Mac!$A:$A,Output_Mac!L:L,""),
_xlpm.MyAuditVal,_xlfn.XLOOKUP($A143,My_Audit!$A:$A,My_Audit!K:K,""),
_xlfn.IFS(_xlpm.MyAuditVal&lt;&gt;"",UPPER(_xlpm.MyAuditVal),_xlpm.MacVal&lt;&gt;"",_xlpm.MacVal,_xlpm.CSVVal&lt;&gt;"",_xlpm.CSVVal
)),"")</f>
        <v/>
      </c>
      <c r="M143" s="2" t="str" cm="1">
        <f t="array" ref="M143">IFERROR(_xlfn.LET(
_xlpm.CSVVal,_xlfn.XLOOKUP($A143,CSV!$A:$A,CSV!Q:Q,""),
_xlpm.MacVal,_xlfn.XLOOKUP($A143,Output_Mac!$A:$A,Output_Mac!M:M,""),
_xlpm.MyAuditVal,_xlfn.XLOOKUP($A143,My_Audit!$A:$A,My_Audit!L:L,""),
_xlfn.IFS(_xlpm.MyAuditVal&lt;&gt;"",UPPER(_xlpm.MyAuditVal),_xlpm.MacVal&lt;&gt;"",_xlpm.MacVal,_xlpm.CSVVal&lt;&gt;"",_xlpm.CSVVal
)),"")</f>
        <v/>
      </c>
      <c r="O143" s="2" t="str">
        <f>_xlfn.LET(
    _xlpm.CSVVal, _xlfn.XLOOKUP($A143, CSV!$A:$A, CSV!AC:AC, ""),
    _xlpm.MacVal, _xlfn.XLOOKUP($A143, Output_Mac!$A:$A, Output_Mac!S:S, ""),
    _xlpm.MyAuditVal, _xlfn.XLOOKUP($A143, My_Audit!$A:$A, My_Audit!P:P, ""),
    _xlfn.TEXTJOIN(", ", TRUE, _xlpm.MyAuditVal, _xlpm.MacVal, _xlpm.CSVVal)
)</f>
        <v/>
      </c>
      <c r="P143" s="2" t="str" cm="1">
        <f t="array" ref="P143">IFERROR(_xlfn.LET(
_xlpm.CSVVal,_xlfn.XLOOKUP($A143,CSV!$A:$A,CSV!AD:AD,""),
_xlpm.MacVal,_xlfn.XLOOKUP($A143,Output_Mac!$A:$A,Output_Mac!T:T,""),
_xlpm.MyAuditVal,_xlfn.XLOOKUP($A143,My_Audit!$A:$A,My_Audit!Q:Q,""),
_xlfn.IFS(_xlpm.MyAuditVal&lt;&gt;"",UPPER(_xlpm.MyAuditVal),_xlpm.MacVal&lt;&gt;"",_xlpm.MacVal,_xlpm.CSVVal&lt;&gt;"",_xlpm.CSVVal
)),"No")</f>
        <v>No</v>
      </c>
      <c r="Q143" s="2" t="str" cm="1">
        <f t="array" ref="Q143">IFERROR(_xlfn.LET(
_xlpm.CSVVal,_xlfn.XLOOKUP($A143,CSV!$A:$A,CSV!AE:AE,""),
_xlpm.MacVal,_xlfn.XLOOKUP($A143,Output_Mac!$A:$A,Output_Mac!U:U,""),
_xlpm.MyAuditVal,_xlfn.XLOOKUP($A143,My_Audit!$A:$A,My_Audit!R:R,""),
_xlfn.IFS(_xlpm.MyAuditVal&lt;&gt;"",UPPER(_xlpm.MyAuditVal),_xlpm.MacVal&lt;&gt;"",_xlpm.MacVal,_xlpm.CSVVal&lt;&gt;"",_xlpm.CSVVal
)),"")</f>
        <v/>
      </c>
      <c r="X143" t="str">
        <f>_xlfn.LET(
    _xlpm.MacVal, _xlfn.XLOOKUP($A143, Output_Mac!$A:$A, Output_Mac!AB:AB, ""),
    _xlpm.MyAuditVal, _xlfn.XLOOKUP($A143, My_Audit!$A:$A, My_Audit!N:N, ""),
    _xlfn.TEXTJOIN(", ", TRUE, _xlpm.MyAuditVal, _xlpm.MacVal)
)</f>
        <v/>
      </c>
    </row>
    <row r="144" spans="1:24">
      <c r="A144" s="2" t="str">
        <f>_xlfn.TEXTJOIN("",TRUE,Input!$B$2,ROW(My_Audit!A143))</f>
        <v>X143</v>
      </c>
      <c r="B144" s="2" t="str">
        <f>_xlfn.TEXTJOIN("-",TRUE,"ITD",Input!$A$2,A144)</f>
        <v>ITD-SHR-X143</v>
      </c>
      <c r="C144" s="2" t="str" cm="1">
        <f t="array" ref="C144">IFERROR(_xlfn.LET(
_xlpm.CSVVal,_xlfn.XLOOKUP($A144,CSV!$A:$A,CSV!B:B,""),
_xlpm.MacVal,_xlfn.XLOOKUP($A144,Output_Mac!$A:$A,Output_Mac!B:B,""),
_xlpm.MyAuditVal,_xlfn.XLOOKUP($A144,My_Audit!$A:$A,My_Audit!B:B,""),
_xlfn.IFS(_xlpm.MyAuditVal&lt;&gt;"",UPPER(_xlpm.MyAuditVal),_xlpm.MacVal&lt;&gt;"",_xlpm.MacVal,_xlpm.CSVVal&lt;&gt;"",_xlpm.CSVVal
)),"")</f>
        <v/>
      </c>
      <c r="D144" s="2" t="str" cm="1">
        <f t="array" ref="D144">IFERROR(_xlfn.LET(
_xlpm.CSVVal,_xlfn.XLOOKUP($A144,CSV!$A:$A,CSV!D:D,""),
_xlpm.MacVal,_xlfn.XLOOKUP($A144,Output_Mac!$A:$A,Output_Mac!C:C,""),
_xlpm.MyAuditVal,_xlfn.XLOOKUP($A144,My_Audit!$A:$A,My_Audit!C:C,""),
_xlfn.IFS(_xlpm.MyAuditVal&lt;&gt;"",_xlpm.MyAuditVal,_xlpm.MacVal&lt;&gt;"",_xlpm.MacVal,_xlpm.CSVVal&lt;&gt;"",_xlpm.CSVVal
)),"")</f>
        <v/>
      </c>
      <c r="E144" s="2" t="str">
        <f>_xlfn.XLOOKUP(A144,My_Audit!A:A,My_Audit!D:D,"")&amp;""</f>
        <v/>
      </c>
      <c r="F144" s="2" t="str" cm="1">
        <f t="array" ref="F144">IFERROR(_xlfn.LET(
_xlpm.CSVVal,_xlfn.XLOOKUP($A144,CSV!$A:$A,CSV!F:F,""),
_xlpm.MacVal,_xlfn.XLOOKUP($A144,Output_Mac!$A:$A,Output_Mac!E:E,""),
_xlpm.MyAuditVal,_xlfn.XLOOKUP($A144,My_Audit!$A:$A,My_Audit!E:E,""),
_xlfn.IFS(_xlpm.MyAuditVal&lt;&gt;"",_xlpm.MyAuditVal,_xlpm.MacVal&lt;&gt;"",_xlpm.MacVal,_xlpm.CSVVal&lt;&gt;"",_xlpm.CSVVal
)),"")</f>
        <v/>
      </c>
      <c r="G144" s="2" t="str" cm="1">
        <f t="array" ref="G144">IFERROR(_xlfn.LET(
_xlpm.CSVVal,_xlfn.XLOOKUP($A144,CSV!$A:$A,CSV!G:G,""),
_xlpm.MacVal,_xlfn.XLOOKUP($A144,Output_Mac!$A:$A,Output_Mac!F:F,""),
_xlpm.MyAuditVal,_xlfn.XLOOKUP($A144,My_Audit!$A:$A,My_Audit!F:F,""),
_xlfn.IFS(_xlpm.MyAuditVal&lt;&gt;"",_xlpm.MyAuditVal,_xlpm.MacVal&lt;&gt;"",_xlpm.MacVal,_xlpm.CSVVal&lt;&gt;"",PROPER(_xlpm.CSVVal)
)),"")</f>
        <v/>
      </c>
      <c r="H144" s="2" t="str" cm="1">
        <f t="array" ref="H144">IFERROR(_xlfn.LET(
_xlpm.CSVVal,_xlfn.XLOOKUP($A144,CSV!$A:$A,CSV!H:H,""),
_xlpm.MacVal,_xlfn.XLOOKUP($A144,Output_Mac!$A:$A,Output_Mac!H:H,""),
_xlpm.MyAuditVal,_xlfn.XLOOKUP($A144,My_Audit!$A:$A,My_Audit!G:G,""),
_xlfn.IFS(_xlpm.MyAuditVal&lt;&gt;"",_xlpm.MyAuditVal,_xlpm.MacVal&lt;&gt;"",_xlpm.MacVal,_xlpm.CSVVal&lt;&gt;"",_xlpm.CSVVal
)),"")</f>
        <v/>
      </c>
      <c r="I144" s="2" t="str">
        <f>_xlfn.XLOOKUP(A144,Output_Mac!A:A,Output_Mac!I:I,"")</f>
        <v/>
      </c>
      <c r="J144" s="2" t="str" cm="1">
        <f t="array" ref="J144">IFERROR(_xlfn.LET(
_xlpm.CSVVal,_xlfn.XLOOKUP($A144,CSV!$A:$A,CSV!I:I,""),
_xlpm.MacVal,_xlfn.XLOOKUP($A144,Output_Mac!$A:$A,Output_Mac!J:J,""),
_xlpm.MyAuditVal,_xlfn.XLOOKUP($A144,My_Audit!$A:$A,My_Audit!I:I,""),
_xlfn.IFS(_xlpm.MyAuditVal&lt;&gt;"",UPPER(_xlpm.MyAuditVal),_xlpm.MacVal&lt;&gt;"",_xlpm.MacVal,_xlpm.CSVVal&lt;&gt;"",_xlpm.CSVVal
)),"")</f>
        <v/>
      </c>
      <c r="K144" s="2" t="str" cm="1">
        <f t="array" ref="K144">IFERROR(_xlfn.LET(
_xlpm.CSVVal,_xlfn.XLOOKUP($A144,CSV!$A:$A,CSV!K:K,""),
_xlpm.MacVal,_xlfn.XLOOKUP($A144,Output_Mac!$A:$A,Output_Mac!K:K,""),
_xlpm.MyAuditVal,_xlfn.XLOOKUP($A144,My_Audit!$A:$A,My_Audit!J:J,""),
_xlfn.IFS(_xlpm.MyAuditVal&lt;&gt;"",UPPER(_xlpm.MyAuditVal),_xlpm.MacVal&lt;&gt;"",_xlpm.MacVal,_xlpm.CSVVal&lt;&gt;"",_xlpm.CSVVal
)),"")</f>
        <v/>
      </c>
      <c r="L144" s="2" t="str" cm="1">
        <f t="array" ref="L144">IFERROR(_xlfn.LET(
_xlpm.CSVVal,_xlfn.XLOOKUP($A144,CSV!$A:$A,CSV!P:P,""),
_xlpm.MacVal,_xlfn.XLOOKUP($A144,Output_Mac!$A:$A,Output_Mac!L:L,""),
_xlpm.MyAuditVal,_xlfn.XLOOKUP($A144,My_Audit!$A:$A,My_Audit!K:K,""),
_xlfn.IFS(_xlpm.MyAuditVal&lt;&gt;"",UPPER(_xlpm.MyAuditVal),_xlpm.MacVal&lt;&gt;"",_xlpm.MacVal,_xlpm.CSVVal&lt;&gt;"",_xlpm.CSVVal
)),"")</f>
        <v/>
      </c>
      <c r="M144" s="2" t="str" cm="1">
        <f t="array" ref="M144">IFERROR(_xlfn.LET(
_xlpm.CSVVal,_xlfn.XLOOKUP($A144,CSV!$A:$A,CSV!Q:Q,""),
_xlpm.MacVal,_xlfn.XLOOKUP($A144,Output_Mac!$A:$A,Output_Mac!M:M,""),
_xlpm.MyAuditVal,_xlfn.XLOOKUP($A144,My_Audit!$A:$A,My_Audit!L:L,""),
_xlfn.IFS(_xlpm.MyAuditVal&lt;&gt;"",UPPER(_xlpm.MyAuditVal),_xlpm.MacVal&lt;&gt;"",_xlpm.MacVal,_xlpm.CSVVal&lt;&gt;"",_xlpm.CSVVal
)),"")</f>
        <v/>
      </c>
      <c r="O144" s="2" t="str">
        <f>_xlfn.LET(
    _xlpm.CSVVal, _xlfn.XLOOKUP($A144, CSV!$A:$A, CSV!AC:AC, ""),
    _xlpm.MacVal, _xlfn.XLOOKUP($A144, Output_Mac!$A:$A, Output_Mac!S:S, ""),
    _xlpm.MyAuditVal, _xlfn.XLOOKUP($A144, My_Audit!$A:$A, My_Audit!P:P, ""),
    _xlfn.TEXTJOIN(", ", TRUE, _xlpm.MyAuditVal, _xlpm.MacVal, _xlpm.CSVVal)
)</f>
        <v/>
      </c>
      <c r="P144" s="2" t="str" cm="1">
        <f t="array" ref="P144">IFERROR(_xlfn.LET(
_xlpm.CSVVal,_xlfn.XLOOKUP($A144,CSV!$A:$A,CSV!AD:AD,""),
_xlpm.MacVal,_xlfn.XLOOKUP($A144,Output_Mac!$A:$A,Output_Mac!T:T,""),
_xlpm.MyAuditVal,_xlfn.XLOOKUP($A144,My_Audit!$A:$A,My_Audit!Q:Q,""),
_xlfn.IFS(_xlpm.MyAuditVal&lt;&gt;"",UPPER(_xlpm.MyAuditVal),_xlpm.MacVal&lt;&gt;"",_xlpm.MacVal,_xlpm.CSVVal&lt;&gt;"",_xlpm.CSVVal
)),"No")</f>
        <v>No</v>
      </c>
      <c r="Q144" s="2" t="str" cm="1">
        <f t="array" ref="Q144">IFERROR(_xlfn.LET(
_xlpm.CSVVal,_xlfn.XLOOKUP($A144,CSV!$A:$A,CSV!AE:AE,""),
_xlpm.MacVal,_xlfn.XLOOKUP($A144,Output_Mac!$A:$A,Output_Mac!U:U,""),
_xlpm.MyAuditVal,_xlfn.XLOOKUP($A144,My_Audit!$A:$A,My_Audit!R:R,""),
_xlfn.IFS(_xlpm.MyAuditVal&lt;&gt;"",UPPER(_xlpm.MyAuditVal),_xlpm.MacVal&lt;&gt;"",_xlpm.MacVal,_xlpm.CSVVal&lt;&gt;"",_xlpm.CSVVal
)),"")</f>
        <v/>
      </c>
      <c r="X144" t="str">
        <f>_xlfn.LET(
    _xlpm.MacVal, _xlfn.XLOOKUP($A144, Output_Mac!$A:$A, Output_Mac!AB:AB, ""),
    _xlpm.MyAuditVal, _xlfn.XLOOKUP($A144, My_Audit!$A:$A, My_Audit!N:N, ""),
    _xlfn.TEXTJOIN(", ", TRUE, _xlpm.MyAuditVal, _xlpm.MacVal)
)</f>
        <v/>
      </c>
    </row>
    <row r="145" spans="1:24">
      <c r="A145" s="2" t="str">
        <f>_xlfn.TEXTJOIN("",TRUE,Input!$B$2,ROW(My_Audit!A144))</f>
        <v>X144</v>
      </c>
      <c r="B145" s="2" t="str">
        <f>_xlfn.TEXTJOIN("-",TRUE,"ITD",Input!$A$2,A145)</f>
        <v>ITD-SHR-X144</v>
      </c>
      <c r="C145" s="2" t="str" cm="1">
        <f t="array" ref="C145">IFERROR(_xlfn.LET(
_xlpm.CSVVal,_xlfn.XLOOKUP($A145,CSV!$A:$A,CSV!B:B,""),
_xlpm.MacVal,_xlfn.XLOOKUP($A145,Output_Mac!$A:$A,Output_Mac!B:B,""),
_xlpm.MyAuditVal,_xlfn.XLOOKUP($A145,My_Audit!$A:$A,My_Audit!B:B,""),
_xlfn.IFS(_xlpm.MyAuditVal&lt;&gt;"",UPPER(_xlpm.MyAuditVal),_xlpm.MacVal&lt;&gt;"",_xlpm.MacVal,_xlpm.CSVVal&lt;&gt;"",_xlpm.CSVVal
)),"")</f>
        <v/>
      </c>
      <c r="D145" s="2" t="str" cm="1">
        <f t="array" ref="D145">IFERROR(_xlfn.LET(
_xlpm.CSVVal,_xlfn.XLOOKUP($A145,CSV!$A:$A,CSV!D:D,""),
_xlpm.MacVal,_xlfn.XLOOKUP($A145,Output_Mac!$A:$A,Output_Mac!C:C,""),
_xlpm.MyAuditVal,_xlfn.XLOOKUP($A145,My_Audit!$A:$A,My_Audit!C:C,""),
_xlfn.IFS(_xlpm.MyAuditVal&lt;&gt;"",_xlpm.MyAuditVal,_xlpm.MacVal&lt;&gt;"",_xlpm.MacVal,_xlpm.CSVVal&lt;&gt;"",_xlpm.CSVVal
)),"")</f>
        <v/>
      </c>
      <c r="E145" s="2" t="str">
        <f>_xlfn.XLOOKUP(A145,My_Audit!A:A,My_Audit!D:D,"")&amp;""</f>
        <v/>
      </c>
      <c r="F145" s="2" t="str" cm="1">
        <f t="array" ref="F145">IFERROR(_xlfn.LET(
_xlpm.CSVVal,_xlfn.XLOOKUP($A145,CSV!$A:$A,CSV!F:F,""),
_xlpm.MacVal,_xlfn.XLOOKUP($A145,Output_Mac!$A:$A,Output_Mac!E:E,""),
_xlpm.MyAuditVal,_xlfn.XLOOKUP($A145,My_Audit!$A:$A,My_Audit!E:E,""),
_xlfn.IFS(_xlpm.MyAuditVal&lt;&gt;"",_xlpm.MyAuditVal,_xlpm.MacVal&lt;&gt;"",_xlpm.MacVal,_xlpm.CSVVal&lt;&gt;"",_xlpm.CSVVal
)),"")</f>
        <v/>
      </c>
      <c r="G145" s="2" t="str" cm="1">
        <f t="array" ref="G145">IFERROR(_xlfn.LET(
_xlpm.CSVVal,_xlfn.XLOOKUP($A145,CSV!$A:$A,CSV!G:G,""),
_xlpm.MacVal,_xlfn.XLOOKUP($A145,Output_Mac!$A:$A,Output_Mac!F:F,""),
_xlpm.MyAuditVal,_xlfn.XLOOKUP($A145,My_Audit!$A:$A,My_Audit!F:F,""),
_xlfn.IFS(_xlpm.MyAuditVal&lt;&gt;"",_xlpm.MyAuditVal,_xlpm.MacVal&lt;&gt;"",_xlpm.MacVal,_xlpm.CSVVal&lt;&gt;"",PROPER(_xlpm.CSVVal)
)),"")</f>
        <v/>
      </c>
      <c r="H145" s="2" t="str" cm="1">
        <f t="array" ref="H145">IFERROR(_xlfn.LET(
_xlpm.CSVVal,_xlfn.XLOOKUP($A145,CSV!$A:$A,CSV!H:H,""),
_xlpm.MacVal,_xlfn.XLOOKUP($A145,Output_Mac!$A:$A,Output_Mac!H:H,""),
_xlpm.MyAuditVal,_xlfn.XLOOKUP($A145,My_Audit!$A:$A,My_Audit!G:G,""),
_xlfn.IFS(_xlpm.MyAuditVal&lt;&gt;"",_xlpm.MyAuditVal,_xlpm.MacVal&lt;&gt;"",_xlpm.MacVal,_xlpm.CSVVal&lt;&gt;"",_xlpm.CSVVal
)),"")</f>
        <v/>
      </c>
      <c r="I145" s="2" t="str">
        <f>_xlfn.XLOOKUP(A145,Output_Mac!A:A,Output_Mac!I:I,"")</f>
        <v/>
      </c>
      <c r="J145" s="2" t="str" cm="1">
        <f t="array" ref="J145">IFERROR(_xlfn.LET(
_xlpm.CSVVal,_xlfn.XLOOKUP($A145,CSV!$A:$A,CSV!I:I,""),
_xlpm.MacVal,_xlfn.XLOOKUP($A145,Output_Mac!$A:$A,Output_Mac!J:J,""),
_xlpm.MyAuditVal,_xlfn.XLOOKUP($A145,My_Audit!$A:$A,My_Audit!I:I,""),
_xlfn.IFS(_xlpm.MyAuditVal&lt;&gt;"",UPPER(_xlpm.MyAuditVal),_xlpm.MacVal&lt;&gt;"",_xlpm.MacVal,_xlpm.CSVVal&lt;&gt;"",_xlpm.CSVVal
)),"")</f>
        <v/>
      </c>
      <c r="K145" s="2" t="str" cm="1">
        <f t="array" ref="K145">IFERROR(_xlfn.LET(
_xlpm.CSVVal,_xlfn.XLOOKUP($A145,CSV!$A:$A,CSV!K:K,""),
_xlpm.MacVal,_xlfn.XLOOKUP($A145,Output_Mac!$A:$A,Output_Mac!K:K,""),
_xlpm.MyAuditVal,_xlfn.XLOOKUP($A145,My_Audit!$A:$A,My_Audit!J:J,""),
_xlfn.IFS(_xlpm.MyAuditVal&lt;&gt;"",UPPER(_xlpm.MyAuditVal),_xlpm.MacVal&lt;&gt;"",_xlpm.MacVal,_xlpm.CSVVal&lt;&gt;"",_xlpm.CSVVal
)),"")</f>
        <v/>
      </c>
      <c r="L145" s="2" t="str" cm="1">
        <f t="array" ref="L145">IFERROR(_xlfn.LET(
_xlpm.CSVVal,_xlfn.XLOOKUP($A145,CSV!$A:$A,CSV!P:P,""),
_xlpm.MacVal,_xlfn.XLOOKUP($A145,Output_Mac!$A:$A,Output_Mac!L:L,""),
_xlpm.MyAuditVal,_xlfn.XLOOKUP($A145,My_Audit!$A:$A,My_Audit!K:K,""),
_xlfn.IFS(_xlpm.MyAuditVal&lt;&gt;"",UPPER(_xlpm.MyAuditVal),_xlpm.MacVal&lt;&gt;"",_xlpm.MacVal,_xlpm.CSVVal&lt;&gt;"",_xlpm.CSVVal
)),"")</f>
        <v/>
      </c>
      <c r="M145" s="2" t="str" cm="1">
        <f t="array" ref="M145">IFERROR(_xlfn.LET(
_xlpm.CSVVal,_xlfn.XLOOKUP($A145,CSV!$A:$A,CSV!Q:Q,""),
_xlpm.MacVal,_xlfn.XLOOKUP($A145,Output_Mac!$A:$A,Output_Mac!M:M,""),
_xlpm.MyAuditVal,_xlfn.XLOOKUP($A145,My_Audit!$A:$A,My_Audit!L:L,""),
_xlfn.IFS(_xlpm.MyAuditVal&lt;&gt;"",UPPER(_xlpm.MyAuditVal),_xlpm.MacVal&lt;&gt;"",_xlpm.MacVal,_xlpm.CSVVal&lt;&gt;"",_xlpm.CSVVal
)),"")</f>
        <v/>
      </c>
      <c r="O145" s="2" t="str">
        <f>_xlfn.LET(
    _xlpm.CSVVal, _xlfn.XLOOKUP($A145, CSV!$A:$A, CSV!AC:AC, ""),
    _xlpm.MacVal, _xlfn.XLOOKUP($A145, Output_Mac!$A:$A, Output_Mac!S:S, ""),
    _xlpm.MyAuditVal, _xlfn.XLOOKUP($A145, My_Audit!$A:$A, My_Audit!P:P, ""),
    _xlfn.TEXTJOIN(", ", TRUE, _xlpm.MyAuditVal, _xlpm.MacVal, _xlpm.CSVVal)
)</f>
        <v/>
      </c>
      <c r="P145" s="2" t="str" cm="1">
        <f t="array" ref="P145">IFERROR(_xlfn.LET(
_xlpm.CSVVal,_xlfn.XLOOKUP($A145,CSV!$A:$A,CSV!AD:AD,""),
_xlpm.MacVal,_xlfn.XLOOKUP($A145,Output_Mac!$A:$A,Output_Mac!T:T,""),
_xlpm.MyAuditVal,_xlfn.XLOOKUP($A145,My_Audit!$A:$A,My_Audit!Q:Q,""),
_xlfn.IFS(_xlpm.MyAuditVal&lt;&gt;"",UPPER(_xlpm.MyAuditVal),_xlpm.MacVal&lt;&gt;"",_xlpm.MacVal,_xlpm.CSVVal&lt;&gt;"",_xlpm.CSVVal
)),"No")</f>
        <v>No</v>
      </c>
      <c r="Q145" s="2" t="str" cm="1">
        <f t="array" ref="Q145">IFERROR(_xlfn.LET(
_xlpm.CSVVal,_xlfn.XLOOKUP($A145,CSV!$A:$A,CSV!AE:AE,""),
_xlpm.MacVal,_xlfn.XLOOKUP($A145,Output_Mac!$A:$A,Output_Mac!U:U,""),
_xlpm.MyAuditVal,_xlfn.XLOOKUP($A145,My_Audit!$A:$A,My_Audit!R:R,""),
_xlfn.IFS(_xlpm.MyAuditVal&lt;&gt;"",UPPER(_xlpm.MyAuditVal),_xlpm.MacVal&lt;&gt;"",_xlpm.MacVal,_xlpm.CSVVal&lt;&gt;"",_xlpm.CSVVal
)),"")</f>
        <v/>
      </c>
      <c r="X145" t="str">
        <f>_xlfn.LET(
    _xlpm.MacVal, _xlfn.XLOOKUP($A145, Output_Mac!$A:$A, Output_Mac!AB:AB, ""),
    _xlpm.MyAuditVal, _xlfn.XLOOKUP($A145, My_Audit!$A:$A, My_Audit!N:N, ""),
    _xlfn.TEXTJOIN(", ", TRUE, _xlpm.MyAuditVal, _xlpm.MacVal)
)</f>
        <v/>
      </c>
    </row>
    <row r="146" spans="1:24">
      <c r="A146" s="2" t="str">
        <f>_xlfn.TEXTJOIN("",TRUE,Input!$B$2,ROW(My_Audit!A145))</f>
        <v>X145</v>
      </c>
      <c r="B146" s="2" t="str">
        <f>_xlfn.TEXTJOIN("-",TRUE,"ITD",Input!$A$2,A146)</f>
        <v>ITD-SHR-X145</v>
      </c>
      <c r="C146" s="2" t="str" cm="1">
        <f t="array" ref="C146">IFERROR(_xlfn.LET(
_xlpm.CSVVal,_xlfn.XLOOKUP($A146,CSV!$A:$A,CSV!B:B,""),
_xlpm.MacVal,_xlfn.XLOOKUP($A146,Output_Mac!$A:$A,Output_Mac!B:B,""),
_xlpm.MyAuditVal,_xlfn.XLOOKUP($A146,My_Audit!$A:$A,My_Audit!B:B,""),
_xlfn.IFS(_xlpm.MyAuditVal&lt;&gt;"",UPPER(_xlpm.MyAuditVal),_xlpm.MacVal&lt;&gt;"",_xlpm.MacVal,_xlpm.CSVVal&lt;&gt;"",_xlpm.CSVVal
)),"")</f>
        <v/>
      </c>
      <c r="D146" s="2" t="str" cm="1">
        <f t="array" ref="D146">IFERROR(_xlfn.LET(
_xlpm.CSVVal,_xlfn.XLOOKUP($A146,CSV!$A:$A,CSV!D:D,""),
_xlpm.MacVal,_xlfn.XLOOKUP($A146,Output_Mac!$A:$A,Output_Mac!C:C,""),
_xlpm.MyAuditVal,_xlfn.XLOOKUP($A146,My_Audit!$A:$A,My_Audit!C:C,""),
_xlfn.IFS(_xlpm.MyAuditVal&lt;&gt;"",_xlpm.MyAuditVal,_xlpm.MacVal&lt;&gt;"",_xlpm.MacVal,_xlpm.CSVVal&lt;&gt;"",_xlpm.CSVVal
)),"")</f>
        <v/>
      </c>
      <c r="E146" s="2" t="str">
        <f>_xlfn.XLOOKUP(A146,My_Audit!A:A,My_Audit!D:D,"")&amp;""</f>
        <v/>
      </c>
      <c r="F146" s="2" t="str" cm="1">
        <f t="array" ref="F146">IFERROR(_xlfn.LET(
_xlpm.CSVVal,_xlfn.XLOOKUP($A146,CSV!$A:$A,CSV!F:F,""),
_xlpm.MacVal,_xlfn.XLOOKUP($A146,Output_Mac!$A:$A,Output_Mac!E:E,""),
_xlpm.MyAuditVal,_xlfn.XLOOKUP($A146,My_Audit!$A:$A,My_Audit!E:E,""),
_xlfn.IFS(_xlpm.MyAuditVal&lt;&gt;"",_xlpm.MyAuditVal,_xlpm.MacVal&lt;&gt;"",_xlpm.MacVal,_xlpm.CSVVal&lt;&gt;"",_xlpm.CSVVal
)),"")</f>
        <v/>
      </c>
      <c r="G146" s="2" t="str" cm="1">
        <f t="array" ref="G146">IFERROR(_xlfn.LET(
_xlpm.CSVVal,_xlfn.XLOOKUP($A146,CSV!$A:$A,CSV!G:G,""),
_xlpm.MacVal,_xlfn.XLOOKUP($A146,Output_Mac!$A:$A,Output_Mac!F:F,""),
_xlpm.MyAuditVal,_xlfn.XLOOKUP($A146,My_Audit!$A:$A,My_Audit!F:F,""),
_xlfn.IFS(_xlpm.MyAuditVal&lt;&gt;"",_xlpm.MyAuditVal,_xlpm.MacVal&lt;&gt;"",_xlpm.MacVal,_xlpm.CSVVal&lt;&gt;"",PROPER(_xlpm.CSVVal)
)),"")</f>
        <v/>
      </c>
      <c r="H146" s="2" t="str" cm="1">
        <f t="array" ref="H146">IFERROR(_xlfn.LET(
_xlpm.CSVVal,_xlfn.XLOOKUP($A146,CSV!$A:$A,CSV!H:H,""),
_xlpm.MacVal,_xlfn.XLOOKUP($A146,Output_Mac!$A:$A,Output_Mac!H:H,""),
_xlpm.MyAuditVal,_xlfn.XLOOKUP($A146,My_Audit!$A:$A,My_Audit!G:G,""),
_xlfn.IFS(_xlpm.MyAuditVal&lt;&gt;"",_xlpm.MyAuditVal,_xlpm.MacVal&lt;&gt;"",_xlpm.MacVal,_xlpm.CSVVal&lt;&gt;"",_xlpm.CSVVal
)),"")</f>
        <v/>
      </c>
      <c r="I146" s="2" t="str">
        <f>_xlfn.XLOOKUP(A146,Output_Mac!A:A,Output_Mac!I:I,"")</f>
        <v/>
      </c>
      <c r="J146" s="2" t="str" cm="1">
        <f t="array" ref="J146">IFERROR(_xlfn.LET(
_xlpm.CSVVal,_xlfn.XLOOKUP($A146,CSV!$A:$A,CSV!I:I,""),
_xlpm.MacVal,_xlfn.XLOOKUP($A146,Output_Mac!$A:$A,Output_Mac!J:J,""),
_xlpm.MyAuditVal,_xlfn.XLOOKUP($A146,My_Audit!$A:$A,My_Audit!I:I,""),
_xlfn.IFS(_xlpm.MyAuditVal&lt;&gt;"",UPPER(_xlpm.MyAuditVal),_xlpm.MacVal&lt;&gt;"",_xlpm.MacVal,_xlpm.CSVVal&lt;&gt;"",_xlpm.CSVVal
)),"")</f>
        <v/>
      </c>
      <c r="K146" s="2" t="str" cm="1">
        <f t="array" ref="K146">IFERROR(_xlfn.LET(
_xlpm.CSVVal,_xlfn.XLOOKUP($A146,CSV!$A:$A,CSV!K:K,""),
_xlpm.MacVal,_xlfn.XLOOKUP($A146,Output_Mac!$A:$A,Output_Mac!K:K,""),
_xlpm.MyAuditVal,_xlfn.XLOOKUP($A146,My_Audit!$A:$A,My_Audit!J:J,""),
_xlfn.IFS(_xlpm.MyAuditVal&lt;&gt;"",UPPER(_xlpm.MyAuditVal),_xlpm.MacVal&lt;&gt;"",_xlpm.MacVal,_xlpm.CSVVal&lt;&gt;"",_xlpm.CSVVal
)),"")</f>
        <v/>
      </c>
      <c r="L146" s="2" t="str" cm="1">
        <f t="array" ref="L146">IFERROR(_xlfn.LET(
_xlpm.CSVVal,_xlfn.XLOOKUP($A146,CSV!$A:$A,CSV!P:P,""),
_xlpm.MacVal,_xlfn.XLOOKUP($A146,Output_Mac!$A:$A,Output_Mac!L:L,""),
_xlpm.MyAuditVal,_xlfn.XLOOKUP($A146,My_Audit!$A:$A,My_Audit!K:K,""),
_xlfn.IFS(_xlpm.MyAuditVal&lt;&gt;"",UPPER(_xlpm.MyAuditVal),_xlpm.MacVal&lt;&gt;"",_xlpm.MacVal,_xlpm.CSVVal&lt;&gt;"",_xlpm.CSVVal
)),"")</f>
        <v/>
      </c>
      <c r="M146" s="2" t="str" cm="1">
        <f t="array" ref="M146">IFERROR(_xlfn.LET(
_xlpm.CSVVal,_xlfn.XLOOKUP($A146,CSV!$A:$A,CSV!Q:Q,""),
_xlpm.MacVal,_xlfn.XLOOKUP($A146,Output_Mac!$A:$A,Output_Mac!M:M,""),
_xlpm.MyAuditVal,_xlfn.XLOOKUP($A146,My_Audit!$A:$A,My_Audit!L:L,""),
_xlfn.IFS(_xlpm.MyAuditVal&lt;&gt;"",UPPER(_xlpm.MyAuditVal),_xlpm.MacVal&lt;&gt;"",_xlpm.MacVal,_xlpm.CSVVal&lt;&gt;"",_xlpm.CSVVal
)),"")</f>
        <v/>
      </c>
      <c r="O146" s="2" t="str">
        <f>_xlfn.LET(
    _xlpm.CSVVal, _xlfn.XLOOKUP($A146, CSV!$A:$A, CSV!AC:AC, ""),
    _xlpm.MacVal, _xlfn.XLOOKUP($A146, Output_Mac!$A:$A, Output_Mac!S:S, ""),
    _xlpm.MyAuditVal, _xlfn.XLOOKUP($A146, My_Audit!$A:$A, My_Audit!P:P, ""),
    _xlfn.TEXTJOIN(", ", TRUE, _xlpm.MyAuditVal, _xlpm.MacVal, _xlpm.CSVVal)
)</f>
        <v/>
      </c>
      <c r="P146" s="2" t="str" cm="1">
        <f t="array" ref="P146">IFERROR(_xlfn.LET(
_xlpm.CSVVal,_xlfn.XLOOKUP($A146,CSV!$A:$A,CSV!AD:AD,""),
_xlpm.MacVal,_xlfn.XLOOKUP($A146,Output_Mac!$A:$A,Output_Mac!T:T,""),
_xlpm.MyAuditVal,_xlfn.XLOOKUP($A146,My_Audit!$A:$A,My_Audit!Q:Q,""),
_xlfn.IFS(_xlpm.MyAuditVal&lt;&gt;"",UPPER(_xlpm.MyAuditVal),_xlpm.MacVal&lt;&gt;"",_xlpm.MacVal,_xlpm.CSVVal&lt;&gt;"",_xlpm.CSVVal
)),"No")</f>
        <v>No</v>
      </c>
      <c r="Q146" s="2" t="str" cm="1">
        <f t="array" ref="Q146">IFERROR(_xlfn.LET(
_xlpm.CSVVal,_xlfn.XLOOKUP($A146,CSV!$A:$A,CSV!AE:AE,""),
_xlpm.MacVal,_xlfn.XLOOKUP($A146,Output_Mac!$A:$A,Output_Mac!U:U,""),
_xlpm.MyAuditVal,_xlfn.XLOOKUP($A146,My_Audit!$A:$A,My_Audit!R:R,""),
_xlfn.IFS(_xlpm.MyAuditVal&lt;&gt;"",UPPER(_xlpm.MyAuditVal),_xlpm.MacVal&lt;&gt;"",_xlpm.MacVal,_xlpm.CSVVal&lt;&gt;"",_xlpm.CSVVal
)),"")</f>
        <v/>
      </c>
      <c r="X146" t="str">
        <f>_xlfn.LET(
    _xlpm.MacVal, _xlfn.XLOOKUP($A146, Output_Mac!$A:$A, Output_Mac!AB:AB, ""),
    _xlpm.MyAuditVal, _xlfn.XLOOKUP($A146, My_Audit!$A:$A, My_Audit!N:N, ""),
    _xlfn.TEXTJOIN(", ", TRUE, _xlpm.MyAuditVal, _xlpm.MacVal)
)</f>
        <v/>
      </c>
    </row>
    <row r="147" spans="1:24">
      <c r="A147" s="2" t="str">
        <f>_xlfn.TEXTJOIN("",TRUE,Input!$B$2,ROW(My_Audit!A146))</f>
        <v>X146</v>
      </c>
      <c r="B147" s="2" t="str">
        <f>_xlfn.TEXTJOIN("-",TRUE,"ITD",Input!$A$2,A147)</f>
        <v>ITD-SHR-X146</v>
      </c>
      <c r="C147" s="2" t="str" cm="1">
        <f t="array" ref="C147">IFERROR(_xlfn.LET(
_xlpm.CSVVal,_xlfn.XLOOKUP($A147,CSV!$A:$A,CSV!B:B,""),
_xlpm.MacVal,_xlfn.XLOOKUP($A147,Output_Mac!$A:$A,Output_Mac!B:B,""),
_xlpm.MyAuditVal,_xlfn.XLOOKUP($A147,My_Audit!$A:$A,My_Audit!B:B,""),
_xlfn.IFS(_xlpm.MyAuditVal&lt;&gt;"",UPPER(_xlpm.MyAuditVal),_xlpm.MacVal&lt;&gt;"",_xlpm.MacVal,_xlpm.CSVVal&lt;&gt;"",_xlpm.CSVVal
)),"")</f>
        <v/>
      </c>
      <c r="D147" s="2" t="str" cm="1">
        <f t="array" ref="D147">IFERROR(_xlfn.LET(
_xlpm.CSVVal,_xlfn.XLOOKUP($A147,CSV!$A:$A,CSV!D:D,""),
_xlpm.MacVal,_xlfn.XLOOKUP($A147,Output_Mac!$A:$A,Output_Mac!C:C,""),
_xlpm.MyAuditVal,_xlfn.XLOOKUP($A147,My_Audit!$A:$A,My_Audit!C:C,""),
_xlfn.IFS(_xlpm.MyAuditVal&lt;&gt;"",_xlpm.MyAuditVal,_xlpm.MacVal&lt;&gt;"",_xlpm.MacVal,_xlpm.CSVVal&lt;&gt;"",_xlpm.CSVVal
)),"")</f>
        <v/>
      </c>
      <c r="E147" s="2" t="str">
        <f>_xlfn.XLOOKUP(A147,My_Audit!A:A,My_Audit!D:D,"")&amp;""</f>
        <v/>
      </c>
      <c r="F147" s="2" t="str" cm="1">
        <f t="array" ref="F147">IFERROR(_xlfn.LET(
_xlpm.CSVVal,_xlfn.XLOOKUP($A147,CSV!$A:$A,CSV!F:F,""),
_xlpm.MacVal,_xlfn.XLOOKUP($A147,Output_Mac!$A:$A,Output_Mac!E:E,""),
_xlpm.MyAuditVal,_xlfn.XLOOKUP($A147,My_Audit!$A:$A,My_Audit!E:E,""),
_xlfn.IFS(_xlpm.MyAuditVal&lt;&gt;"",_xlpm.MyAuditVal,_xlpm.MacVal&lt;&gt;"",_xlpm.MacVal,_xlpm.CSVVal&lt;&gt;"",_xlpm.CSVVal
)),"")</f>
        <v/>
      </c>
      <c r="G147" s="2" t="str" cm="1">
        <f t="array" ref="G147">IFERROR(_xlfn.LET(
_xlpm.CSVVal,_xlfn.XLOOKUP($A147,CSV!$A:$A,CSV!G:G,""),
_xlpm.MacVal,_xlfn.XLOOKUP($A147,Output_Mac!$A:$A,Output_Mac!F:F,""),
_xlpm.MyAuditVal,_xlfn.XLOOKUP($A147,My_Audit!$A:$A,My_Audit!F:F,""),
_xlfn.IFS(_xlpm.MyAuditVal&lt;&gt;"",_xlpm.MyAuditVal,_xlpm.MacVal&lt;&gt;"",_xlpm.MacVal,_xlpm.CSVVal&lt;&gt;"",PROPER(_xlpm.CSVVal)
)),"")</f>
        <v/>
      </c>
      <c r="H147" s="2" t="str" cm="1">
        <f t="array" ref="H147">IFERROR(_xlfn.LET(
_xlpm.CSVVal,_xlfn.XLOOKUP($A147,CSV!$A:$A,CSV!H:H,""),
_xlpm.MacVal,_xlfn.XLOOKUP($A147,Output_Mac!$A:$A,Output_Mac!H:H,""),
_xlpm.MyAuditVal,_xlfn.XLOOKUP($A147,My_Audit!$A:$A,My_Audit!G:G,""),
_xlfn.IFS(_xlpm.MyAuditVal&lt;&gt;"",_xlpm.MyAuditVal,_xlpm.MacVal&lt;&gt;"",_xlpm.MacVal,_xlpm.CSVVal&lt;&gt;"",_xlpm.CSVVal
)),"")</f>
        <v/>
      </c>
      <c r="I147" s="2" t="str">
        <f>_xlfn.XLOOKUP(A147,Output_Mac!A:A,Output_Mac!I:I,"")</f>
        <v/>
      </c>
      <c r="J147" s="2" t="str" cm="1">
        <f t="array" ref="J147">IFERROR(_xlfn.LET(
_xlpm.CSVVal,_xlfn.XLOOKUP($A147,CSV!$A:$A,CSV!I:I,""),
_xlpm.MacVal,_xlfn.XLOOKUP($A147,Output_Mac!$A:$A,Output_Mac!J:J,""),
_xlpm.MyAuditVal,_xlfn.XLOOKUP($A147,My_Audit!$A:$A,My_Audit!I:I,""),
_xlfn.IFS(_xlpm.MyAuditVal&lt;&gt;"",UPPER(_xlpm.MyAuditVal),_xlpm.MacVal&lt;&gt;"",_xlpm.MacVal,_xlpm.CSVVal&lt;&gt;"",_xlpm.CSVVal
)),"")</f>
        <v/>
      </c>
      <c r="K147" s="2" t="str" cm="1">
        <f t="array" ref="K147">IFERROR(_xlfn.LET(
_xlpm.CSVVal,_xlfn.XLOOKUP($A147,CSV!$A:$A,CSV!K:K,""),
_xlpm.MacVal,_xlfn.XLOOKUP($A147,Output_Mac!$A:$A,Output_Mac!K:K,""),
_xlpm.MyAuditVal,_xlfn.XLOOKUP($A147,My_Audit!$A:$A,My_Audit!J:J,""),
_xlfn.IFS(_xlpm.MyAuditVal&lt;&gt;"",UPPER(_xlpm.MyAuditVal),_xlpm.MacVal&lt;&gt;"",_xlpm.MacVal,_xlpm.CSVVal&lt;&gt;"",_xlpm.CSVVal
)),"")</f>
        <v/>
      </c>
      <c r="L147" s="2" t="str" cm="1">
        <f t="array" ref="L147">IFERROR(_xlfn.LET(
_xlpm.CSVVal,_xlfn.XLOOKUP($A147,CSV!$A:$A,CSV!P:P,""),
_xlpm.MacVal,_xlfn.XLOOKUP($A147,Output_Mac!$A:$A,Output_Mac!L:L,""),
_xlpm.MyAuditVal,_xlfn.XLOOKUP($A147,My_Audit!$A:$A,My_Audit!K:K,""),
_xlfn.IFS(_xlpm.MyAuditVal&lt;&gt;"",UPPER(_xlpm.MyAuditVal),_xlpm.MacVal&lt;&gt;"",_xlpm.MacVal,_xlpm.CSVVal&lt;&gt;"",_xlpm.CSVVal
)),"")</f>
        <v/>
      </c>
      <c r="M147" s="2" t="str" cm="1">
        <f t="array" ref="M147">IFERROR(_xlfn.LET(
_xlpm.CSVVal,_xlfn.XLOOKUP($A147,CSV!$A:$A,CSV!Q:Q,""),
_xlpm.MacVal,_xlfn.XLOOKUP($A147,Output_Mac!$A:$A,Output_Mac!M:M,""),
_xlpm.MyAuditVal,_xlfn.XLOOKUP($A147,My_Audit!$A:$A,My_Audit!L:L,""),
_xlfn.IFS(_xlpm.MyAuditVal&lt;&gt;"",UPPER(_xlpm.MyAuditVal),_xlpm.MacVal&lt;&gt;"",_xlpm.MacVal,_xlpm.CSVVal&lt;&gt;"",_xlpm.CSVVal
)),"")</f>
        <v/>
      </c>
      <c r="O147" s="2" t="str">
        <f>_xlfn.LET(
    _xlpm.CSVVal, _xlfn.XLOOKUP($A147, CSV!$A:$A, CSV!AC:AC, ""),
    _xlpm.MacVal, _xlfn.XLOOKUP($A147, Output_Mac!$A:$A, Output_Mac!S:S, ""),
    _xlpm.MyAuditVal, _xlfn.XLOOKUP($A147, My_Audit!$A:$A, My_Audit!P:P, ""),
    _xlfn.TEXTJOIN(", ", TRUE, _xlpm.MyAuditVal, _xlpm.MacVal, _xlpm.CSVVal)
)</f>
        <v/>
      </c>
      <c r="P147" s="2" t="str" cm="1">
        <f t="array" ref="P147">IFERROR(_xlfn.LET(
_xlpm.CSVVal,_xlfn.XLOOKUP($A147,CSV!$A:$A,CSV!AD:AD,""),
_xlpm.MacVal,_xlfn.XLOOKUP($A147,Output_Mac!$A:$A,Output_Mac!T:T,""),
_xlpm.MyAuditVal,_xlfn.XLOOKUP($A147,My_Audit!$A:$A,My_Audit!Q:Q,""),
_xlfn.IFS(_xlpm.MyAuditVal&lt;&gt;"",UPPER(_xlpm.MyAuditVal),_xlpm.MacVal&lt;&gt;"",_xlpm.MacVal,_xlpm.CSVVal&lt;&gt;"",_xlpm.CSVVal
)),"No")</f>
        <v>No</v>
      </c>
      <c r="Q147" s="2" t="str" cm="1">
        <f t="array" ref="Q147">IFERROR(_xlfn.LET(
_xlpm.CSVVal,_xlfn.XLOOKUP($A147,CSV!$A:$A,CSV!AE:AE,""),
_xlpm.MacVal,_xlfn.XLOOKUP($A147,Output_Mac!$A:$A,Output_Mac!U:U,""),
_xlpm.MyAuditVal,_xlfn.XLOOKUP($A147,My_Audit!$A:$A,My_Audit!R:R,""),
_xlfn.IFS(_xlpm.MyAuditVal&lt;&gt;"",UPPER(_xlpm.MyAuditVal),_xlpm.MacVal&lt;&gt;"",_xlpm.MacVal,_xlpm.CSVVal&lt;&gt;"",_xlpm.CSVVal
)),"")</f>
        <v/>
      </c>
      <c r="X147" t="str">
        <f>_xlfn.LET(
    _xlpm.MacVal, _xlfn.XLOOKUP($A147, Output_Mac!$A:$A, Output_Mac!AB:AB, ""),
    _xlpm.MyAuditVal, _xlfn.XLOOKUP($A147, My_Audit!$A:$A, My_Audit!N:N, ""),
    _xlfn.TEXTJOIN(", ", TRUE, _xlpm.MyAuditVal, _xlpm.MacVal)
)</f>
        <v/>
      </c>
    </row>
    <row r="148" spans="1:24">
      <c r="A148" s="2" t="str">
        <f>_xlfn.TEXTJOIN("",TRUE,Input!$B$2,ROW(My_Audit!A147))</f>
        <v>X147</v>
      </c>
      <c r="B148" s="2" t="str">
        <f>_xlfn.TEXTJOIN("-",TRUE,"ITD",Input!$A$2,A148)</f>
        <v>ITD-SHR-X147</v>
      </c>
      <c r="C148" s="2" t="str" cm="1">
        <f t="array" ref="C148">IFERROR(_xlfn.LET(
_xlpm.CSVVal,_xlfn.XLOOKUP($A148,CSV!$A:$A,CSV!B:B,""),
_xlpm.MacVal,_xlfn.XLOOKUP($A148,Output_Mac!$A:$A,Output_Mac!B:B,""),
_xlpm.MyAuditVal,_xlfn.XLOOKUP($A148,My_Audit!$A:$A,My_Audit!B:B,""),
_xlfn.IFS(_xlpm.MyAuditVal&lt;&gt;"",UPPER(_xlpm.MyAuditVal),_xlpm.MacVal&lt;&gt;"",_xlpm.MacVal,_xlpm.CSVVal&lt;&gt;"",_xlpm.CSVVal
)),"")</f>
        <v/>
      </c>
      <c r="D148" s="2" t="str" cm="1">
        <f t="array" ref="D148">IFERROR(_xlfn.LET(
_xlpm.CSVVal,_xlfn.XLOOKUP($A148,CSV!$A:$A,CSV!D:D,""),
_xlpm.MacVal,_xlfn.XLOOKUP($A148,Output_Mac!$A:$A,Output_Mac!C:C,""),
_xlpm.MyAuditVal,_xlfn.XLOOKUP($A148,My_Audit!$A:$A,My_Audit!C:C,""),
_xlfn.IFS(_xlpm.MyAuditVal&lt;&gt;"",_xlpm.MyAuditVal,_xlpm.MacVal&lt;&gt;"",_xlpm.MacVal,_xlpm.CSVVal&lt;&gt;"",_xlpm.CSVVal
)),"")</f>
        <v/>
      </c>
      <c r="E148" s="2" t="str">
        <f>_xlfn.XLOOKUP(A148,My_Audit!A:A,My_Audit!D:D,"")&amp;""</f>
        <v/>
      </c>
      <c r="F148" s="2" t="str" cm="1">
        <f t="array" ref="F148">IFERROR(_xlfn.LET(
_xlpm.CSVVal,_xlfn.XLOOKUP($A148,CSV!$A:$A,CSV!F:F,""),
_xlpm.MacVal,_xlfn.XLOOKUP($A148,Output_Mac!$A:$A,Output_Mac!E:E,""),
_xlpm.MyAuditVal,_xlfn.XLOOKUP($A148,My_Audit!$A:$A,My_Audit!E:E,""),
_xlfn.IFS(_xlpm.MyAuditVal&lt;&gt;"",_xlpm.MyAuditVal,_xlpm.MacVal&lt;&gt;"",_xlpm.MacVal,_xlpm.CSVVal&lt;&gt;"",_xlpm.CSVVal
)),"")</f>
        <v/>
      </c>
      <c r="G148" s="2" t="str" cm="1">
        <f t="array" ref="G148">IFERROR(_xlfn.LET(
_xlpm.CSVVal,_xlfn.XLOOKUP($A148,CSV!$A:$A,CSV!G:G,""),
_xlpm.MacVal,_xlfn.XLOOKUP($A148,Output_Mac!$A:$A,Output_Mac!F:F,""),
_xlpm.MyAuditVal,_xlfn.XLOOKUP($A148,My_Audit!$A:$A,My_Audit!F:F,""),
_xlfn.IFS(_xlpm.MyAuditVal&lt;&gt;"",_xlpm.MyAuditVal,_xlpm.MacVal&lt;&gt;"",_xlpm.MacVal,_xlpm.CSVVal&lt;&gt;"",PROPER(_xlpm.CSVVal)
)),"")</f>
        <v/>
      </c>
      <c r="H148" s="2" t="str" cm="1">
        <f t="array" ref="H148">IFERROR(_xlfn.LET(
_xlpm.CSVVal,_xlfn.XLOOKUP($A148,CSV!$A:$A,CSV!H:H,""),
_xlpm.MacVal,_xlfn.XLOOKUP($A148,Output_Mac!$A:$A,Output_Mac!H:H,""),
_xlpm.MyAuditVal,_xlfn.XLOOKUP($A148,My_Audit!$A:$A,My_Audit!G:G,""),
_xlfn.IFS(_xlpm.MyAuditVal&lt;&gt;"",_xlpm.MyAuditVal,_xlpm.MacVal&lt;&gt;"",_xlpm.MacVal,_xlpm.CSVVal&lt;&gt;"",_xlpm.CSVVal
)),"")</f>
        <v/>
      </c>
      <c r="I148" s="2" t="str">
        <f>_xlfn.XLOOKUP(A148,Output_Mac!A:A,Output_Mac!I:I,"")</f>
        <v/>
      </c>
      <c r="J148" s="2" t="str" cm="1">
        <f t="array" ref="J148">IFERROR(_xlfn.LET(
_xlpm.CSVVal,_xlfn.XLOOKUP($A148,CSV!$A:$A,CSV!I:I,""),
_xlpm.MacVal,_xlfn.XLOOKUP($A148,Output_Mac!$A:$A,Output_Mac!J:J,""),
_xlpm.MyAuditVal,_xlfn.XLOOKUP($A148,My_Audit!$A:$A,My_Audit!I:I,""),
_xlfn.IFS(_xlpm.MyAuditVal&lt;&gt;"",UPPER(_xlpm.MyAuditVal),_xlpm.MacVal&lt;&gt;"",_xlpm.MacVal,_xlpm.CSVVal&lt;&gt;"",_xlpm.CSVVal
)),"")</f>
        <v/>
      </c>
      <c r="K148" s="2" t="str" cm="1">
        <f t="array" ref="K148">IFERROR(_xlfn.LET(
_xlpm.CSVVal,_xlfn.XLOOKUP($A148,CSV!$A:$A,CSV!K:K,""),
_xlpm.MacVal,_xlfn.XLOOKUP($A148,Output_Mac!$A:$A,Output_Mac!K:K,""),
_xlpm.MyAuditVal,_xlfn.XLOOKUP($A148,My_Audit!$A:$A,My_Audit!J:J,""),
_xlfn.IFS(_xlpm.MyAuditVal&lt;&gt;"",UPPER(_xlpm.MyAuditVal),_xlpm.MacVal&lt;&gt;"",_xlpm.MacVal,_xlpm.CSVVal&lt;&gt;"",_xlpm.CSVVal
)),"")</f>
        <v/>
      </c>
      <c r="L148" s="2" t="str" cm="1">
        <f t="array" ref="L148">IFERROR(_xlfn.LET(
_xlpm.CSVVal,_xlfn.XLOOKUP($A148,CSV!$A:$A,CSV!P:P,""),
_xlpm.MacVal,_xlfn.XLOOKUP($A148,Output_Mac!$A:$A,Output_Mac!L:L,""),
_xlpm.MyAuditVal,_xlfn.XLOOKUP($A148,My_Audit!$A:$A,My_Audit!K:K,""),
_xlfn.IFS(_xlpm.MyAuditVal&lt;&gt;"",UPPER(_xlpm.MyAuditVal),_xlpm.MacVal&lt;&gt;"",_xlpm.MacVal,_xlpm.CSVVal&lt;&gt;"",_xlpm.CSVVal
)),"")</f>
        <v/>
      </c>
      <c r="M148" s="2" t="str" cm="1">
        <f t="array" ref="M148">IFERROR(_xlfn.LET(
_xlpm.CSVVal,_xlfn.XLOOKUP($A148,CSV!$A:$A,CSV!Q:Q,""),
_xlpm.MacVal,_xlfn.XLOOKUP($A148,Output_Mac!$A:$A,Output_Mac!M:M,""),
_xlpm.MyAuditVal,_xlfn.XLOOKUP($A148,My_Audit!$A:$A,My_Audit!L:L,""),
_xlfn.IFS(_xlpm.MyAuditVal&lt;&gt;"",UPPER(_xlpm.MyAuditVal),_xlpm.MacVal&lt;&gt;"",_xlpm.MacVal,_xlpm.CSVVal&lt;&gt;"",_xlpm.CSVVal
)),"")</f>
        <v/>
      </c>
      <c r="O148" s="2" t="str">
        <f>_xlfn.LET(
    _xlpm.CSVVal, _xlfn.XLOOKUP($A148, CSV!$A:$A, CSV!AC:AC, ""),
    _xlpm.MacVal, _xlfn.XLOOKUP($A148, Output_Mac!$A:$A, Output_Mac!S:S, ""),
    _xlpm.MyAuditVal, _xlfn.XLOOKUP($A148, My_Audit!$A:$A, My_Audit!P:P, ""),
    _xlfn.TEXTJOIN(", ", TRUE, _xlpm.MyAuditVal, _xlpm.MacVal, _xlpm.CSVVal)
)</f>
        <v/>
      </c>
      <c r="P148" s="2" t="str" cm="1">
        <f t="array" ref="P148">IFERROR(_xlfn.LET(
_xlpm.CSVVal,_xlfn.XLOOKUP($A148,CSV!$A:$A,CSV!AD:AD,""),
_xlpm.MacVal,_xlfn.XLOOKUP($A148,Output_Mac!$A:$A,Output_Mac!T:T,""),
_xlpm.MyAuditVal,_xlfn.XLOOKUP($A148,My_Audit!$A:$A,My_Audit!Q:Q,""),
_xlfn.IFS(_xlpm.MyAuditVal&lt;&gt;"",UPPER(_xlpm.MyAuditVal),_xlpm.MacVal&lt;&gt;"",_xlpm.MacVal,_xlpm.CSVVal&lt;&gt;"",_xlpm.CSVVal
)),"No")</f>
        <v>No</v>
      </c>
      <c r="Q148" s="2" t="str" cm="1">
        <f t="array" ref="Q148">IFERROR(_xlfn.LET(
_xlpm.CSVVal,_xlfn.XLOOKUP($A148,CSV!$A:$A,CSV!AE:AE,""),
_xlpm.MacVal,_xlfn.XLOOKUP($A148,Output_Mac!$A:$A,Output_Mac!U:U,""),
_xlpm.MyAuditVal,_xlfn.XLOOKUP($A148,My_Audit!$A:$A,My_Audit!R:R,""),
_xlfn.IFS(_xlpm.MyAuditVal&lt;&gt;"",UPPER(_xlpm.MyAuditVal),_xlpm.MacVal&lt;&gt;"",_xlpm.MacVal,_xlpm.CSVVal&lt;&gt;"",_xlpm.CSVVal
)),"")</f>
        <v/>
      </c>
      <c r="X148" t="str">
        <f>_xlfn.LET(
    _xlpm.MacVal, _xlfn.XLOOKUP($A148, Output_Mac!$A:$A, Output_Mac!AB:AB, ""),
    _xlpm.MyAuditVal, _xlfn.XLOOKUP($A148, My_Audit!$A:$A, My_Audit!N:N, ""),
    _xlfn.TEXTJOIN(", ", TRUE, _xlpm.MyAuditVal, _xlpm.MacVal)
)</f>
        <v/>
      </c>
    </row>
    <row r="149" spans="1:24">
      <c r="A149" s="2" t="str">
        <f>_xlfn.TEXTJOIN("",TRUE,Input!$B$2,ROW(My_Audit!A148))</f>
        <v>X148</v>
      </c>
      <c r="B149" s="2" t="str">
        <f>_xlfn.TEXTJOIN("-",TRUE,"ITD",Input!$A$2,A149)</f>
        <v>ITD-SHR-X148</v>
      </c>
      <c r="C149" s="2" t="str" cm="1">
        <f t="array" ref="C149">IFERROR(_xlfn.LET(
_xlpm.CSVVal,_xlfn.XLOOKUP($A149,CSV!$A:$A,CSV!B:B,""),
_xlpm.MacVal,_xlfn.XLOOKUP($A149,Output_Mac!$A:$A,Output_Mac!B:B,""),
_xlpm.MyAuditVal,_xlfn.XLOOKUP($A149,My_Audit!$A:$A,My_Audit!B:B,""),
_xlfn.IFS(_xlpm.MyAuditVal&lt;&gt;"",UPPER(_xlpm.MyAuditVal),_xlpm.MacVal&lt;&gt;"",_xlpm.MacVal,_xlpm.CSVVal&lt;&gt;"",_xlpm.CSVVal
)),"")</f>
        <v/>
      </c>
      <c r="D149" s="2" t="str" cm="1">
        <f t="array" ref="D149">IFERROR(_xlfn.LET(
_xlpm.CSVVal,_xlfn.XLOOKUP($A149,CSV!$A:$A,CSV!D:D,""),
_xlpm.MacVal,_xlfn.XLOOKUP($A149,Output_Mac!$A:$A,Output_Mac!C:C,""),
_xlpm.MyAuditVal,_xlfn.XLOOKUP($A149,My_Audit!$A:$A,My_Audit!C:C,""),
_xlfn.IFS(_xlpm.MyAuditVal&lt;&gt;"",_xlpm.MyAuditVal,_xlpm.MacVal&lt;&gt;"",_xlpm.MacVal,_xlpm.CSVVal&lt;&gt;"",_xlpm.CSVVal
)),"")</f>
        <v/>
      </c>
      <c r="E149" s="2" t="str">
        <f>_xlfn.XLOOKUP(A149,My_Audit!A:A,My_Audit!D:D,"")&amp;""</f>
        <v/>
      </c>
      <c r="F149" s="2" t="str" cm="1">
        <f t="array" ref="F149">IFERROR(_xlfn.LET(
_xlpm.CSVVal,_xlfn.XLOOKUP($A149,CSV!$A:$A,CSV!F:F,""),
_xlpm.MacVal,_xlfn.XLOOKUP($A149,Output_Mac!$A:$A,Output_Mac!E:E,""),
_xlpm.MyAuditVal,_xlfn.XLOOKUP($A149,My_Audit!$A:$A,My_Audit!E:E,""),
_xlfn.IFS(_xlpm.MyAuditVal&lt;&gt;"",_xlpm.MyAuditVal,_xlpm.MacVal&lt;&gt;"",_xlpm.MacVal,_xlpm.CSVVal&lt;&gt;"",_xlpm.CSVVal
)),"")</f>
        <v/>
      </c>
      <c r="G149" s="2" t="str" cm="1">
        <f t="array" ref="G149">IFERROR(_xlfn.LET(
_xlpm.CSVVal,_xlfn.XLOOKUP($A149,CSV!$A:$A,CSV!G:G,""),
_xlpm.MacVal,_xlfn.XLOOKUP($A149,Output_Mac!$A:$A,Output_Mac!F:F,""),
_xlpm.MyAuditVal,_xlfn.XLOOKUP($A149,My_Audit!$A:$A,My_Audit!F:F,""),
_xlfn.IFS(_xlpm.MyAuditVal&lt;&gt;"",_xlpm.MyAuditVal,_xlpm.MacVal&lt;&gt;"",_xlpm.MacVal,_xlpm.CSVVal&lt;&gt;"",PROPER(_xlpm.CSVVal)
)),"")</f>
        <v/>
      </c>
      <c r="H149" s="2" t="str" cm="1">
        <f t="array" ref="H149">IFERROR(_xlfn.LET(
_xlpm.CSVVal,_xlfn.XLOOKUP($A149,CSV!$A:$A,CSV!H:H,""),
_xlpm.MacVal,_xlfn.XLOOKUP($A149,Output_Mac!$A:$A,Output_Mac!H:H,""),
_xlpm.MyAuditVal,_xlfn.XLOOKUP($A149,My_Audit!$A:$A,My_Audit!G:G,""),
_xlfn.IFS(_xlpm.MyAuditVal&lt;&gt;"",_xlpm.MyAuditVal,_xlpm.MacVal&lt;&gt;"",_xlpm.MacVal,_xlpm.CSVVal&lt;&gt;"",_xlpm.CSVVal
)),"")</f>
        <v/>
      </c>
      <c r="I149" s="2" t="str">
        <f>_xlfn.XLOOKUP(A149,Output_Mac!A:A,Output_Mac!I:I,"")</f>
        <v/>
      </c>
      <c r="J149" s="2" t="str" cm="1">
        <f t="array" ref="J149">IFERROR(_xlfn.LET(
_xlpm.CSVVal,_xlfn.XLOOKUP($A149,CSV!$A:$A,CSV!I:I,""),
_xlpm.MacVal,_xlfn.XLOOKUP($A149,Output_Mac!$A:$A,Output_Mac!J:J,""),
_xlpm.MyAuditVal,_xlfn.XLOOKUP($A149,My_Audit!$A:$A,My_Audit!I:I,""),
_xlfn.IFS(_xlpm.MyAuditVal&lt;&gt;"",UPPER(_xlpm.MyAuditVal),_xlpm.MacVal&lt;&gt;"",_xlpm.MacVal,_xlpm.CSVVal&lt;&gt;"",_xlpm.CSVVal
)),"")</f>
        <v/>
      </c>
      <c r="K149" s="2" t="str" cm="1">
        <f t="array" ref="K149">IFERROR(_xlfn.LET(
_xlpm.CSVVal,_xlfn.XLOOKUP($A149,CSV!$A:$A,CSV!K:K,""),
_xlpm.MacVal,_xlfn.XLOOKUP($A149,Output_Mac!$A:$A,Output_Mac!K:K,""),
_xlpm.MyAuditVal,_xlfn.XLOOKUP($A149,My_Audit!$A:$A,My_Audit!J:J,""),
_xlfn.IFS(_xlpm.MyAuditVal&lt;&gt;"",UPPER(_xlpm.MyAuditVal),_xlpm.MacVal&lt;&gt;"",_xlpm.MacVal,_xlpm.CSVVal&lt;&gt;"",_xlpm.CSVVal
)),"")</f>
        <v/>
      </c>
      <c r="L149" s="2" t="str" cm="1">
        <f t="array" ref="L149">IFERROR(_xlfn.LET(
_xlpm.CSVVal,_xlfn.XLOOKUP($A149,CSV!$A:$A,CSV!P:P,""),
_xlpm.MacVal,_xlfn.XLOOKUP($A149,Output_Mac!$A:$A,Output_Mac!L:L,""),
_xlpm.MyAuditVal,_xlfn.XLOOKUP($A149,My_Audit!$A:$A,My_Audit!K:K,""),
_xlfn.IFS(_xlpm.MyAuditVal&lt;&gt;"",UPPER(_xlpm.MyAuditVal),_xlpm.MacVal&lt;&gt;"",_xlpm.MacVal,_xlpm.CSVVal&lt;&gt;"",_xlpm.CSVVal
)),"")</f>
        <v/>
      </c>
      <c r="M149" s="2" t="str" cm="1">
        <f t="array" ref="M149">IFERROR(_xlfn.LET(
_xlpm.CSVVal,_xlfn.XLOOKUP($A149,CSV!$A:$A,CSV!Q:Q,""),
_xlpm.MacVal,_xlfn.XLOOKUP($A149,Output_Mac!$A:$A,Output_Mac!M:M,""),
_xlpm.MyAuditVal,_xlfn.XLOOKUP($A149,My_Audit!$A:$A,My_Audit!L:L,""),
_xlfn.IFS(_xlpm.MyAuditVal&lt;&gt;"",UPPER(_xlpm.MyAuditVal),_xlpm.MacVal&lt;&gt;"",_xlpm.MacVal,_xlpm.CSVVal&lt;&gt;"",_xlpm.CSVVal
)),"")</f>
        <v/>
      </c>
      <c r="O149" s="2" t="str">
        <f>_xlfn.LET(
    _xlpm.CSVVal, _xlfn.XLOOKUP($A149, CSV!$A:$A, CSV!AC:AC, ""),
    _xlpm.MacVal, _xlfn.XLOOKUP($A149, Output_Mac!$A:$A, Output_Mac!S:S, ""),
    _xlpm.MyAuditVal, _xlfn.XLOOKUP($A149, My_Audit!$A:$A, My_Audit!P:P, ""),
    _xlfn.TEXTJOIN(", ", TRUE, _xlpm.MyAuditVal, _xlpm.MacVal, _xlpm.CSVVal)
)</f>
        <v/>
      </c>
      <c r="P149" s="2" t="str" cm="1">
        <f t="array" ref="P149">IFERROR(_xlfn.LET(
_xlpm.CSVVal,_xlfn.XLOOKUP($A149,CSV!$A:$A,CSV!AD:AD,""),
_xlpm.MacVal,_xlfn.XLOOKUP($A149,Output_Mac!$A:$A,Output_Mac!T:T,""),
_xlpm.MyAuditVal,_xlfn.XLOOKUP($A149,My_Audit!$A:$A,My_Audit!Q:Q,""),
_xlfn.IFS(_xlpm.MyAuditVal&lt;&gt;"",UPPER(_xlpm.MyAuditVal),_xlpm.MacVal&lt;&gt;"",_xlpm.MacVal,_xlpm.CSVVal&lt;&gt;"",_xlpm.CSVVal
)),"No")</f>
        <v>No</v>
      </c>
      <c r="Q149" s="2" t="str" cm="1">
        <f t="array" ref="Q149">IFERROR(_xlfn.LET(
_xlpm.CSVVal,_xlfn.XLOOKUP($A149,CSV!$A:$A,CSV!AE:AE,""),
_xlpm.MacVal,_xlfn.XLOOKUP($A149,Output_Mac!$A:$A,Output_Mac!U:U,""),
_xlpm.MyAuditVal,_xlfn.XLOOKUP($A149,My_Audit!$A:$A,My_Audit!R:R,""),
_xlfn.IFS(_xlpm.MyAuditVal&lt;&gt;"",UPPER(_xlpm.MyAuditVal),_xlpm.MacVal&lt;&gt;"",_xlpm.MacVal,_xlpm.CSVVal&lt;&gt;"",_xlpm.CSVVal
)),"")</f>
        <v/>
      </c>
      <c r="X149" t="str">
        <f>_xlfn.LET(
    _xlpm.MacVal, _xlfn.XLOOKUP($A149, Output_Mac!$A:$A, Output_Mac!AB:AB, ""),
    _xlpm.MyAuditVal, _xlfn.XLOOKUP($A149, My_Audit!$A:$A, My_Audit!N:N, ""),
    _xlfn.TEXTJOIN(", ", TRUE, _xlpm.MyAuditVal, _xlpm.MacVal)
)</f>
        <v/>
      </c>
    </row>
    <row r="150" spans="1:24">
      <c r="A150" s="2" t="str">
        <f>_xlfn.TEXTJOIN("",TRUE,Input!$B$2,ROW(My_Audit!A149))</f>
        <v>X149</v>
      </c>
      <c r="B150" s="2" t="str">
        <f>_xlfn.TEXTJOIN("-",TRUE,"ITD",Input!$A$2,A150)</f>
        <v>ITD-SHR-X149</v>
      </c>
      <c r="C150" s="2" t="str" cm="1">
        <f t="array" ref="C150">IFERROR(_xlfn.LET(
_xlpm.CSVVal,_xlfn.XLOOKUP($A150,CSV!$A:$A,CSV!B:B,""),
_xlpm.MacVal,_xlfn.XLOOKUP($A150,Output_Mac!$A:$A,Output_Mac!B:B,""),
_xlpm.MyAuditVal,_xlfn.XLOOKUP($A150,My_Audit!$A:$A,My_Audit!B:B,""),
_xlfn.IFS(_xlpm.MyAuditVal&lt;&gt;"",UPPER(_xlpm.MyAuditVal),_xlpm.MacVal&lt;&gt;"",_xlpm.MacVal,_xlpm.CSVVal&lt;&gt;"",_xlpm.CSVVal
)),"")</f>
        <v/>
      </c>
      <c r="D150" s="2" t="str" cm="1">
        <f t="array" ref="D150">IFERROR(_xlfn.LET(
_xlpm.CSVVal,_xlfn.XLOOKUP($A150,CSV!$A:$A,CSV!D:D,""),
_xlpm.MacVal,_xlfn.XLOOKUP($A150,Output_Mac!$A:$A,Output_Mac!C:C,""),
_xlpm.MyAuditVal,_xlfn.XLOOKUP($A150,My_Audit!$A:$A,My_Audit!C:C,""),
_xlfn.IFS(_xlpm.MyAuditVal&lt;&gt;"",_xlpm.MyAuditVal,_xlpm.MacVal&lt;&gt;"",_xlpm.MacVal,_xlpm.CSVVal&lt;&gt;"",_xlpm.CSVVal
)),"")</f>
        <v/>
      </c>
      <c r="E150" s="2" t="str">
        <f>_xlfn.XLOOKUP(A150,My_Audit!A:A,My_Audit!D:D,"")&amp;""</f>
        <v/>
      </c>
      <c r="F150" s="2" t="str" cm="1">
        <f t="array" ref="F150">IFERROR(_xlfn.LET(
_xlpm.CSVVal,_xlfn.XLOOKUP($A150,CSV!$A:$A,CSV!F:F,""),
_xlpm.MacVal,_xlfn.XLOOKUP($A150,Output_Mac!$A:$A,Output_Mac!E:E,""),
_xlpm.MyAuditVal,_xlfn.XLOOKUP($A150,My_Audit!$A:$A,My_Audit!E:E,""),
_xlfn.IFS(_xlpm.MyAuditVal&lt;&gt;"",_xlpm.MyAuditVal,_xlpm.MacVal&lt;&gt;"",_xlpm.MacVal,_xlpm.CSVVal&lt;&gt;"",_xlpm.CSVVal
)),"")</f>
        <v/>
      </c>
      <c r="G150" s="2" t="str" cm="1">
        <f t="array" ref="G150">IFERROR(_xlfn.LET(
_xlpm.CSVVal,_xlfn.XLOOKUP($A150,CSV!$A:$A,CSV!G:G,""),
_xlpm.MacVal,_xlfn.XLOOKUP($A150,Output_Mac!$A:$A,Output_Mac!F:F,""),
_xlpm.MyAuditVal,_xlfn.XLOOKUP($A150,My_Audit!$A:$A,My_Audit!F:F,""),
_xlfn.IFS(_xlpm.MyAuditVal&lt;&gt;"",_xlpm.MyAuditVal,_xlpm.MacVal&lt;&gt;"",_xlpm.MacVal,_xlpm.CSVVal&lt;&gt;"",PROPER(_xlpm.CSVVal)
)),"")</f>
        <v/>
      </c>
      <c r="H150" s="2" t="str" cm="1">
        <f t="array" ref="H150">IFERROR(_xlfn.LET(
_xlpm.CSVVal,_xlfn.XLOOKUP($A150,CSV!$A:$A,CSV!H:H,""),
_xlpm.MacVal,_xlfn.XLOOKUP($A150,Output_Mac!$A:$A,Output_Mac!H:H,""),
_xlpm.MyAuditVal,_xlfn.XLOOKUP($A150,My_Audit!$A:$A,My_Audit!G:G,""),
_xlfn.IFS(_xlpm.MyAuditVal&lt;&gt;"",_xlpm.MyAuditVal,_xlpm.MacVal&lt;&gt;"",_xlpm.MacVal,_xlpm.CSVVal&lt;&gt;"",_xlpm.CSVVal
)),"")</f>
        <v/>
      </c>
      <c r="I150" s="2" t="str">
        <f>_xlfn.XLOOKUP(A150,Output_Mac!A:A,Output_Mac!I:I,"")</f>
        <v/>
      </c>
      <c r="J150" s="2" t="str" cm="1">
        <f t="array" ref="J150">IFERROR(_xlfn.LET(
_xlpm.CSVVal,_xlfn.XLOOKUP($A150,CSV!$A:$A,CSV!I:I,""),
_xlpm.MacVal,_xlfn.XLOOKUP($A150,Output_Mac!$A:$A,Output_Mac!J:J,""),
_xlpm.MyAuditVal,_xlfn.XLOOKUP($A150,My_Audit!$A:$A,My_Audit!I:I,""),
_xlfn.IFS(_xlpm.MyAuditVal&lt;&gt;"",UPPER(_xlpm.MyAuditVal),_xlpm.MacVal&lt;&gt;"",_xlpm.MacVal,_xlpm.CSVVal&lt;&gt;"",_xlpm.CSVVal
)),"")</f>
        <v/>
      </c>
      <c r="K150" s="2" t="str" cm="1">
        <f t="array" ref="K150">IFERROR(_xlfn.LET(
_xlpm.CSVVal,_xlfn.XLOOKUP($A150,CSV!$A:$A,CSV!K:K,""),
_xlpm.MacVal,_xlfn.XLOOKUP($A150,Output_Mac!$A:$A,Output_Mac!K:K,""),
_xlpm.MyAuditVal,_xlfn.XLOOKUP($A150,My_Audit!$A:$A,My_Audit!J:J,""),
_xlfn.IFS(_xlpm.MyAuditVal&lt;&gt;"",UPPER(_xlpm.MyAuditVal),_xlpm.MacVal&lt;&gt;"",_xlpm.MacVal,_xlpm.CSVVal&lt;&gt;"",_xlpm.CSVVal
)),"")</f>
        <v/>
      </c>
      <c r="L150" s="2" t="str" cm="1">
        <f t="array" ref="L150">IFERROR(_xlfn.LET(
_xlpm.CSVVal,_xlfn.XLOOKUP($A150,CSV!$A:$A,CSV!P:P,""),
_xlpm.MacVal,_xlfn.XLOOKUP($A150,Output_Mac!$A:$A,Output_Mac!L:L,""),
_xlpm.MyAuditVal,_xlfn.XLOOKUP($A150,My_Audit!$A:$A,My_Audit!K:K,""),
_xlfn.IFS(_xlpm.MyAuditVal&lt;&gt;"",UPPER(_xlpm.MyAuditVal),_xlpm.MacVal&lt;&gt;"",_xlpm.MacVal,_xlpm.CSVVal&lt;&gt;"",_xlpm.CSVVal
)),"")</f>
        <v/>
      </c>
      <c r="M150" s="2" t="str" cm="1">
        <f t="array" ref="M150">IFERROR(_xlfn.LET(
_xlpm.CSVVal,_xlfn.XLOOKUP($A150,CSV!$A:$A,CSV!Q:Q,""),
_xlpm.MacVal,_xlfn.XLOOKUP($A150,Output_Mac!$A:$A,Output_Mac!M:M,""),
_xlpm.MyAuditVal,_xlfn.XLOOKUP($A150,My_Audit!$A:$A,My_Audit!L:L,""),
_xlfn.IFS(_xlpm.MyAuditVal&lt;&gt;"",UPPER(_xlpm.MyAuditVal),_xlpm.MacVal&lt;&gt;"",_xlpm.MacVal,_xlpm.CSVVal&lt;&gt;"",_xlpm.CSVVal
)),"")</f>
        <v/>
      </c>
      <c r="O150" s="2" t="str">
        <f>_xlfn.LET(
    _xlpm.CSVVal, _xlfn.XLOOKUP($A150, CSV!$A:$A, CSV!AC:AC, ""),
    _xlpm.MacVal, _xlfn.XLOOKUP($A150, Output_Mac!$A:$A, Output_Mac!S:S, ""),
    _xlpm.MyAuditVal, _xlfn.XLOOKUP($A150, My_Audit!$A:$A, My_Audit!P:P, ""),
    _xlfn.TEXTJOIN(", ", TRUE, _xlpm.MyAuditVal, _xlpm.MacVal, _xlpm.CSVVal)
)</f>
        <v/>
      </c>
      <c r="P150" s="2" t="str" cm="1">
        <f t="array" ref="P150">IFERROR(_xlfn.LET(
_xlpm.CSVVal,_xlfn.XLOOKUP($A150,CSV!$A:$A,CSV!AD:AD,""),
_xlpm.MacVal,_xlfn.XLOOKUP($A150,Output_Mac!$A:$A,Output_Mac!T:T,""),
_xlpm.MyAuditVal,_xlfn.XLOOKUP($A150,My_Audit!$A:$A,My_Audit!Q:Q,""),
_xlfn.IFS(_xlpm.MyAuditVal&lt;&gt;"",UPPER(_xlpm.MyAuditVal),_xlpm.MacVal&lt;&gt;"",_xlpm.MacVal,_xlpm.CSVVal&lt;&gt;"",_xlpm.CSVVal
)),"No")</f>
        <v>No</v>
      </c>
      <c r="Q150" s="2" t="str" cm="1">
        <f t="array" ref="Q150">IFERROR(_xlfn.LET(
_xlpm.CSVVal,_xlfn.XLOOKUP($A150,CSV!$A:$A,CSV!AE:AE,""),
_xlpm.MacVal,_xlfn.XLOOKUP($A150,Output_Mac!$A:$A,Output_Mac!U:U,""),
_xlpm.MyAuditVal,_xlfn.XLOOKUP($A150,My_Audit!$A:$A,My_Audit!R:R,""),
_xlfn.IFS(_xlpm.MyAuditVal&lt;&gt;"",UPPER(_xlpm.MyAuditVal),_xlpm.MacVal&lt;&gt;"",_xlpm.MacVal,_xlpm.CSVVal&lt;&gt;"",_xlpm.CSVVal
)),"")</f>
        <v/>
      </c>
      <c r="X150" t="str">
        <f>_xlfn.LET(
    _xlpm.MacVal, _xlfn.XLOOKUP($A150, Output_Mac!$A:$A, Output_Mac!AB:AB, ""),
    _xlpm.MyAuditVal, _xlfn.XLOOKUP($A150, My_Audit!$A:$A, My_Audit!N:N, ""),
    _xlfn.TEXTJOIN(", ", TRUE, _xlpm.MyAuditVal, _xlpm.MacVal)
)</f>
        <v/>
      </c>
    </row>
    <row r="151" spans="1:24">
      <c r="A151" s="2" t="str">
        <f>_xlfn.TEXTJOIN("",TRUE,Input!$B$2,ROW(My_Audit!A150))</f>
        <v>X150</v>
      </c>
      <c r="B151" s="2" t="str">
        <f>_xlfn.TEXTJOIN("-",TRUE,"ITD",Input!$A$2,A151)</f>
        <v>ITD-SHR-X150</v>
      </c>
      <c r="C151" s="2" t="str" cm="1">
        <f t="array" ref="C151">IFERROR(_xlfn.LET(
_xlpm.CSVVal,_xlfn.XLOOKUP($A151,CSV!$A:$A,CSV!B:B,""),
_xlpm.MacVal,_xlfn.XLOOKUP($A151,Output_Mac!$A:$A,Output_Mac!B:B,""),
_xlpm.MyAuditVal,_xlfn.XLOOKUP($A151,My_Audit!$A:$A,My_Audit!B:B,""),
_xlfn.IFS(_xlpm.MyAuditVal&lt;&gt;"",UPPER(_xlpm.MyAuditVal),_xlpm.MacVal&lt;&gt;"",_xlpm.MacVal,_xlpm.CSVVal&lt;&gt;"",_xlpm.CSVVal
)),"")</f>
        <v/>
      </c>
      <c r="D151" s="2" t="str" cm="1">
        <f t="array" ref="D151">IFERROR(_xlfn.LET(
_xlpm.CSVVal,_xlfn.XLOOKUP($A151,CSV!$A:$A,CSV!D:D,""),
_xlpm.MacVal,_xlfn.XLOOKUP($A151,Output_Mac!$A:$A,Output_Mac!C:C,""),
_xlpm.MyAuditVal,_xlfn.XLOOKUP($A151,My_Audit!$A:$A,My_Audit!C:C,""),
_xlfn.IFS(_xlpm.MyAuditVal&lt;&gt;"",_xlpm.MyAuditVal,_xlpm.MacVal&lt;&gt;"",_xlpm.MacVal,_xlpm.CSVVal&lt;&gt;"",_xlpm.CSVVal
)),"")</f>
        <v/>
      </c>
      <c r="E151" s="2" t="str">
        <f>_xlfn.XLOOKUP(A151,My_Audit!A:A,My_Audit!D:D,"")&amp;""</f>
        <v/>
      </c>
      <c r="F151" s="2" t="str" cm="1">
        <f t="array" ref="F151">IFERROR(_xlfn.LET(
_xlpm.CSVVal,_xlfn.XLOOKUP($A151,CSV!$A:$A,CSV!F:F,""),
_xlpm.MacVal,_xlfn.XLOOKUP($A151,Output_Mac!$A:$A,Output_Mac!E:E,""),
_xlpm.MyAuditVal,_xlfn.XLOOKUP($A151,My_Audit!$A:$A,My_Audit!E:E,""),
_xlfn.IFS(_xlpm.MyAuditVal&lt;&gt;"",_xlpm.MyAuditVal,_xlpm.MacVal&lt;&gt;"",_xlpm.MacVal,_xlpm.CSVVal&lt;&gt;"",_xlpm.CSVVal
)),"")</f>
        <v/>
      </c>
      <c r="G151" s="2" t="str" cm="1">
        <f t="array" ref="G151">IFERROR(_xlfn.LET(
_xlpm.CSVVal,_xlfn.XLOOKUP($A151,CSV!$A:$A,CSV!G:G,""),
_xlpm.MacVal,_xlfn.XLOOKUP($A151,Output_Mac!$A:$A,Output_Mac!F:F,""),
_xlpm.MyAuditVal,_xlfn.XLOOKUP($A151,My_Audit!$A:$A,My_Audit!F:F,""),
_xlfn.IFS(_xlpm.MyAuditVal&lt;&gt;"",_xlpm.MyAuditVal,_xlpm.MacVal&lt;&gt;"",_xlpm.MacVal,_xlpm.CSVVal&lt;&gt;"",PROPER(_xlpm.CSVVal)
)),"")</f>
        <v/>
      </c>
      <c r="H151" s="2" t="str" cm="1">
        <f t="array" ref="H151">IFERROR(_xlfn.LET(
_xlpm.CSVVal,_xlfn.XLOOKUP($A151,CSV!$A:$A,CSV!H:H,""),
_xlpm.MacVal,_xlfn.XLOOKUP($A151,Output_Mac!$A:$A,Output_Mac!H:H,""),
_xlpm.MyAuditVal,_xlfn.XLOOKUP($A151,My_Audit!$A:$A,My_Audit!G:G,""),
_xlfn.IFS(_xlpm.MyAuditVal&lt;&gt;"",_xlpm.MyAuditVal,_xlpm.MacVal&lt;&gt;"",_xlpm.MacVal,_xlpm.CSVVal&lt;&gt;"",_xlpm.CSVVal
)),"")</f>
        <v/>
      </c>
      <c r="I151" s="2" t="str">
        <f>_xlfn.XLOOKUP(A151,Output_Mac!A:A,Output_Mac!I:I,"")</f>
        <v/>
      </c>
      <c r="J151" s="2" t="str" cm="1">
        <f t="array" ref="J151">IFERROR(_xlfn.LET(
_xlpm.CSVVal,_xlfn.XLOOKUP($A151,CSV!$A:$A,CSV!I:I,""),
_xlpm.MacVal,_xlfn.XLOOKUP($A151,Output_Mac!$A:$A,Output_Mac!J:J,""),
_xlpm.MyAuditVal,_xlfn.XLOOKUP($A151,My_Audit!$A:$A,My_Audit!I:I,""),
_xlfn.IFS(_xlpm.MyAuditVal&lt;&gt;"",UPPER(_xlpm.MyAuditVal),_xlpm.MacVal&lt;&gt;"",_xlpm.MacVal,_xlpm.CSVVal&lt;&gt;"",_xlpm.CSVVal
)),"")</f>
        <v/>
      </c>
      <c r="K151" s="2" t="str" cm="1">
        <f t="array" ref="K151">IFERROR(_xlfn.LET(
_xlpm.CSVVal,_xlfn.XLOOKUP($A151,CSV!$A:$A,CSV!K:K,""),
_xlpm.MacVal,_xlfn.XLOOKUP($A151,Output_Mac!$A:$A,Output_Mac!K:K,""),
_xlpm.MyAuditVal,_xlfn.XLOOKUP($A151,My_Audit!$A:$A,My_Audit!J:J,""),
_xlfn.IFS(_xlpm.MyAuditVal&lt;&gt;"",UPPER(_xlpm.MyAuditVal),_xlpm.MacVal&lt;&gt;"",_xlpm.MacVal,_xlpm.CSVVal&lt;&gt;"",_xlpm.CSVVal
)),"")</f>
        <v/>
      </c>
      <c r="L151" s="2" t="str" cm="1">
        <f t="array" ref="L151">IFERROR(_xlfn.LET(
_xlpm.CSVVal,_xlfn.XLOOKUP($A151,CSV!$A:$A,CSV!P:P,""),
_xlpm.MacVal,_xlfn.XLOOKUP($A151,Output_Mac!$A:$A,Output_Mac!L:L,""),
_xlpm.MyAuditVal,_xlfn.XLOOKUP($A151,My_Audit!$A:$A,My_Audit!K:K,""),
_xlfn.IFS(_xlpm.MyAuditVal&lt;&gt;"",UPPER(_xlpm.MyAuditVal),_xlpm.MacVal&lt;&gt;"",_xlpm.MacVal,_xlpm.CSVVal&lt;&gt;"",_xlpm.CSVVal
)),"")</f>
        <v/>
      </c>
      <c r="M151" s="2" t="str" cm="1">
        <f t="array" ref="M151">IFERROR(_xlfn.LET(
_xlpm.CSVVal,_xlfn.XLOOKUP($A151,CSV!$A:$A,CSV!Q:Q,""),
_xlpm.MacVal,_xlfn.XLOOKUP($A151,Output_Mac!$A:$A,Output_Mac!M:M,""),
_xlpm.MyAuditVal,_xlfn.XLOOKUP($A151,My_Audit!$A:$A,My_Audit!L:L,""),
_xlfn.IFS(_xlpm.MyAuditVal&lt;&gt;"",UPPER(_xlpm.MyAuditVal),_xlpm.MacVal&lt;&gt;"",_xlpm.MacVal,_xlpm.CSVVal&lt;&gt;"",_xlpm.CSVVal
)),"")</f>
        <v/>
      </c>
      <c r="O151" s="2" t="str">
        <f>_xlfn.LET(
    _xlpm.CSVVal, _xlfn.XLOOKUP($A151, CSV!$A:$A, CSV!AC:AC, ""),
    _xlpm.MacVal, _xlfn.XLOOKUP($A151, Output_Mac!$A:$A, Output_Mac!S:S, ""),
    _xlpm.MyAuditVal, _xlfn.XLOOKUP($A151, My_Audit!$A:$A, My_Audit!P:P, ""),
    _xlfn.TEXTJOIN(", ", TRUE, _xlpm.MyAuditVal, _xlpm.MacVal, _xlpm.CSVVal)
)</f>
        <v/>
      </c>
      <c r="P151" s="2" t="str" cm="1">
        <f t="array" ref="P151">IFERROR(_xlfn.LET(
_xlpm.CSVVal,_xlfn.XLOOKUP($A151,CSV!$A:$A,CSV!AD:AD,""),
_xlpm.MacVal,_xlfn.XLOOKUP($A151,Output_Mac!$A:$A,Output_Mac!T:T,""),
_xlpm.MyAuditVal,_xlfn.XLOOKUP($A151,My_Audit!$A:$A,My_Audit!Q:Q,""),
_xlfn.IFS(_xlpm.MyAuditVal&lt;&gt;"",UPPER(_xlpm.MyAuditVal),_xlpm.MacVal&lt;&gt;"",_xlpm.MacVal,_xlpm.CSVVal&lt;&gt;"",_xlpm.CSVVal
)),"No")</f>
        <v>No</v>
      </c>
      <c r="Q151" s="2" t="str" cm="1">
        <f t="array" ref="Q151">IFERROR(_xlfn.LET(
_xlpm.CSVVal,_xlfn.XLOOKUP($A151,CSV!$A:$A,CSV!AE:AE,""),
_xlpm.MacVal,_xlfn.XLOOKUP($A151,Output_Mac!$A:$A,Output_Mac!U:U,""),
_xlpm.MyAuditVal,_xlfn.XLOOKUP($A151,My_Audit!$A:$A,My_Audit!R:R,""),
_xlfn.IFS(_xlpm.MyAuditVal&lt;&gt;"",UPPER(_xlpm.MyAuditVal),_xlpm.MacVal&lt;&gt;"",_xlpm.MacVal,_xlpm.CSVVal&lt;&gt;"",_xlpm.CSVVal
)),"")</f>
        <v/>
      </c>
      <c r="X151" t="str">
        <f>_xlfn.LET(
    _xlpm.MacVal, _xlfn.XLOOKUP($A151, Output_Mac!$A:$A, Output_Mac!AB:AB, ""),
    _xlpm.MyAuditVal, _xlfn.XLOOKUP($A151, My_Audit!$A:$A, My_Audit!N:N, ""),
    _xlfn.TEXTJOIN(", ", TRUE, _xlpm.MyAuditVal, _xlpm.MacVal)
)</f>
        <v/>
      </c>
    </row>
    <row r="152" spans="1:24">
      <c r="A152" s="2" t="str">
        <f>_xlfn.TEXTJOIN("",TRUE,Input!$B$2,ROW(My_Audit!A151))</f>
        <v>X151</v>
      </c>
      <c r="B152" s="2" t="str">
        <f>_xlfn.TEXTJOIN("-",TRUE,"ITD",Input!$A$2,A152)</f>
        <v>ITD-SHR-X151</v>
      </c>
      <c r="C152" s="2" t="str" cm="1">
        <f t="array" ref="C152">IFERROR(_xlfn.LET(
_xlpm.CSVVal,_xlfn.XLOOKUP($A152,CSV!$A:$A,CSV!B:B,""),
_xlpm.MacVal,_xlfn.XLOOKUP($A152,Output_Mac!$A:$A,Output_Mac!B:B,""),
_xlpm.MyAuditVal,_xlfn.XLOOKUP($A152,My_Audit!$A:$A,My_Audit!B:B,""),
_xlfn.IFS(_xlpm.MyAuditVal&lt;&gt;"",UPPER(_xlpm.MyAuditVal),_xlpm.MacVal&lt;&gt;"",_xlpm.MacVal,_xlpm.CSVVal&lt;&gt;"",_xlpm.CSVVal
)),"")</f>
        <v/>
      </c>
      <c r="D152" s="2" t="str" cm="1">
        <f t="array" ref="D152">IFERROR(_xlfn.LET(
_xlpm.CSVVal,_xlfn.XLOOKUP($A152,CSV!$A:$A,CSV!D:D,""),
_xlpm.MacVal,_xlfn.XLOOKUP($A152,Output_Mac!$A:$A,Output_Mac!C:C,""),
_xlpm.MyAuditVal,_xlfn.XLOOKUP($A152,My_Audit!$A:$A,My_Audit!C:C,""),
_xlfn.IFS(_xlpm.MyAuditVal&lt;&gt;"",_xlpm.MyAuditVal,_xlpm.MacVal&lt;&gt;"",_xlpm.MacVal,_xlpm.CSVVal&lt;&gt;"",_xlpm.CSVVal
)),"")</f>
        <v/>
      </c>
      <c r="E152" s="2" t="str">
        <f>_xlfn.XLOOKUP(A152,My_Audit!A:A,My_Audit!D:D,"")&amp;""</f>
        <v/>
      </c>
      <c r="F152" s="2" t="str" cm="1">
        <f t="array" ref="F152">IFERROR(_xlfn.LET(
_xlpm.CSVVal,_xlfn.XLOOKUP($A152,CSV!$A:$A,CSV!F:F,""),
_xlpm.MacVal,_xlfn.XLOOKUP($A152,Output_Mac!$A:$A,Output_Mac!E:E,""),
_xlpm.MyAuditVal,_xlfn.XLOOKUP($A152,My_Audit!$A:$A,My_Audit!E:E,""),
_xlfn.IFS(_xlpm.MyAuditVal&lt;&gt;"",_xlpm.MyAuditVal,_xlpm.MacVal&lt;&gt;"",_xlpm.MacVal,_xlpm.CSVVal&lt;&gt;"",_xlpm.CSVVal
)),"")</f>
        <v/>
      </c>
      <c r="G152" s="2" t="str" cm="1">
        <f t="array" ref="G152">IFERROR(_xlfn.LET(
_xlpm.CSVVal,_xlfn.XLOOKUP($A152,CSV!$A:$A,CSV!G:G,""),
_xlpm.MacVal,_xlfn.XLOOKUP($A152,Output_Mac!$A:$A,Output_Mac!F:F,""),
_xlpm.MyAuditVal,_xlfn.XLOOKUP($A152,My_Audit!$A:$A,My_Audit!F:F,""),
_xlfn.IFS(_xlpm.MyAuditVal&lt;&gt;"",_xlpm.MyAuditVal,_xlpm.MacVal&lt;&gt;"",_xlpm.MacVal,_xlpm.CSVVal&lt;&gt;"",PROPER(_xlpm.CSVVal)
)),"")</f>
        <v/>
      </c>
      <c r="H152" s="2" t="str" cm="1">
        <f t="array" ref="H152">IFERROR(_xlfn.LET(
_xlpm.CSVVal,_xlfn.XLOOKUP($A152,CSV!$A:$A,CSV!H:H,""),
_xlpm.MacVal,_xlfn.XLOOKUP($A152,Output_Mac!$A:$A,Output_Mac!H:H,""),
_xlpm.MyAuditVal,_xlfn.XLOOKUP($A152,My_Audit!$A:$A,My_Audit!G:G,""),
_xlfn.IFS(_xlpm.MyAuditVal&lt;&gt;"",_xlpm.MyAuditVal,_xlpm.MacVal&lt;&gt;"",_xlpm.MacVal,_xlpm.CSVVal&lt;&gt;"",_xlpm.CSVVal
)),"")</f>
        <v/>
      </c>
      <c r="I152" s="2" t="str">
        <f>_xlfn.XLOOKUP(A152,Output_Mac!A:A,Output_Mac!I:I,"")</f>
        <v/>
      </c>
      <c r="J152" s="2" t="str" cm="1">
        <f t="array" ref="J152">IFERROR(_xlfn.LET(
_xlpm.CSVVal,_xlfn.XLOOKUP($A152,CSV!$A:$A,CSV!I:I,""),
_xlpm.MacVal,_xlfn.XLOOKUP($A152,Output_Mac!$A:$A,Output_Mac!J:J,""),
_xlpm.MyAuditVal,_xlfn.XLOOKUP($A152,My_Audit!$A:$A,My_Audit!I:I,""),
_xlfn.IFS(_xlpm.MyAuditVal&lt;&gt;"",UPPER(_xlpm.MyAuditVal),_xlpm.MacVal&lt;&gt;"",_xlpm.MacVal,_xlpm.CSVVal&lt;&gt;"",_xlpm.CSVVal
)),"")</f>
        <v/>
      </c>
      <c r="K152" s="2" t="str" cm="1">
        <f t="array" ref="K152">IFERROR(_xlfn.LET(
_xlpm.CSVVal,_xlfn.XLOOKUP($A152,CSV!$A:$A,CSV!K:K,""),
_xlpm.MacVal,_xlfn.XLOOKUP($A152,Output_Mac!$A:$A,Output_Mac!K:K,""),
_xlpm.MyAuditVal,_xlfn.XLOOKUP($A152,My_Audit!$A:$A,My_Audit!J:J,""),
_xlfn.IFS(_xlpm.MyAuditVal&lt;&gt;"",UPPER(_xlpm.MyAuditVal),_xlpm.MacVal&lt;&gt;"",_xlpm.MacVal,_xlpm.CSVVal&lt;&gt;"",_xlpm.CSVVal
)),"")</f>
        <v/>
      </c>
      <c r="L152" s="2" t="str" cm="1">
        <f t="array" ref="L152">IFERROR(_xlfn.LET(
_xlpm.CSVVal,_xlfn.XLOOKUP($A152,CSV!$A:$A,CSV!P:P,""),
_xlpm.MacVal,_xlfn.XLOOKUP($A152,Output_Mac!$A:$A,Output_Mac!L:L,""),
_xlpm.MyAuditVal,_xlfn.XLOOKUP($A152,My_Audit!$A:$A,My_Audit!K:K,""),
_xlfn.IFS(_xlpm.MyAuditVal&lt;&gt;"",UPPER(_xlpm.MyAuditVal),_xlpm.MacVal&lt;&gt;"",_xlpm.MacVal,_xlpm.CSVVal&lt;&gt;"",_xlpm.CSVVal
)),"")</f>
        <v/>
      </c>
      <c r="M152" s="2" t="str" cm="1">
        <f t="array" ref="M152">IFERROR(_xlfn.LET(
_xlpm.CSVVal,_xlfn.XLOOKUP($A152,CSV!$A:$A,CSV!Q:Q,""),
_xlpm.MacVal,_xlfn.XLOOKUP($A152,Output_Mac!$A:$A,Output_Mac!M:M,""),
_xlpm.MyAuditVal,_xlfn.XLOOKUP($A152,My_Audit!$A:$A,My_Audit!L:L,""),
_xlfn.IFS(_xlpm.MyAuditVal&lt;&gt;"",UPPER(_xlpm.MyAuditVal),_xlpm.MacVal&lt;&gt;"",_xlpm.MacVal,_xlpm.CSVVal&lt;&gt;"",_xlpm.CSVVal
)),"")</f>
        <v/>
      </c>
      <c r="O152" s="2" t="str">
        <f>_xlfn.LET(
    _xlpm.CSVVal, _xlfn.XLOOKUP($A152, CSV!$A:$A, CSV!AC:AC, ""),
    _xlpm.MacVal, _xlfn.XLOOKUP($A152, Output_Mac!$A:$A, Output_Mac!S:S, ""),
    _xlpm.MyAuditVal, _xlfn.XLOOKUP($A152, My_Audit!$A:$A, My_Audit!P:P, ""),
    _xlfn.TEXTJOIN(", ", TRUE, _xlpm.MyAuditVal, _xlpm.MacVal, _xlpm.CSVVal)
)</f>
        <v/>
      </c>
      <c r="P152" s="2" t="str" cm="1">
        <f t="array" ref="P152">IFERROR(_xlfn.LET(
_xlpm.CSVVal,_xlfn.XLOOKUP($A152,CSV!$A:$A,CSV!AD:AD,""),
_xlpm.MacVal,_xlfn.XLOOKUP($A152,Output_Mac!$A:$A,Output_Mac!T:T,""),
_xlpm.MyAuditVal,_xlfn.XLOOKUP($A152,My_Audit!$A:$A,My_Audit!Q:Q,""),
_xlfn.IFS(_xlpm.MyAuditVal&lt;&gt;"",UPPER(_xlpm.MyAuditVal),_xlpm.MacVal&lt;&gt;"",_xlpm.MacVal,_xlpm.CSVVal&lt;&gt;"",_xlpm.CSVVal
)),"No")</f>
        <v>No</v>
      </c>
      <c r="Q152" s="2" t="str" cm="1">
        <f t="array" ref="Q152">IFERROR(_xlfn.LET(
_xlpm.CSVVal,_xlfn.XLOOKUP($A152,CSV!$A:$A,CSV!AE:AE,""),
_xlpm.MacVal,_xlfn.XLOOKUP($A152,Output_Mac!$A:$A,Output_Mac!U:U,""),
_xlpm.MyAuditVal,_xlfn.XLOOKUP($A152,My_Audit!$A:$A,My_Audit!R:R,""),
_xlfn.IFS(_xlpm.MyAuditVal&lt;&gt;"",UPPER(_xlpm.MyAuditVal),_xlpm.MacVal&lt;&gt;"",_xlpm.MacVal,_xlpm.CSVVal&lt;&gt;"",_xlpm.CSVVal
)),"")</f>
        <v/>
      </c>
      <c r="X152" t="str">
        <f>_xlfn.LET(
    _xlpm.MacVal, _xlfn.XLOOKUP($A152, Output_Mac!$A:$A, Output_Mac!AB:AB, ""),
    _xlpm.MyAuditVal, _xlfn.XLOOKUP($A152, My_Audit!$A:$A, My_Audit!N:N, ""),
    _xlfn.TEXTJOIN(", ", TRUE, _xlpm.MyAuditVal, _xlpm.MacVal)
)</f>
        <v/>
      </c>
    </row>
    <row r="153" spans="1:24">
      <c r="A153" s="2" t="str">
        <f>_xlfn.TEXTJOIN("",TRUE,Input!$B$2,ROW(My_Audit!A152))</f>
        <v>X152</v>
      </c>
      <c r="B153" s="2" t="str">
        <f>_xlfn.TEXTJOIN("-",TRUE,"ITD",Input!$A$2,A153)</f>
        <v>ITD-SHR-X152</v>
      </c>
      <c r="C153" s="2" t="str" cm="1">
        <f t="array" ref="C153">IFERROR(_xlfn.LET(
_xlpm.CSVVal,_xlfn.XLOOKUP($A153,CSV!$A:$A,CSV!B:B,""),
_xlpm.MacVal,_xlfn.XLOOKUP($A153,Output_Mac!$A:$A,Output_Mac!B:B,""),
_xlpm.MyAuditVal,_xlfn.XLOOKUP($A153,My_Audit!$A:$A,My_Audit!B:B,""),
_xlfn.IFS(_xlpm.MyAuditVal&lt;&gt;"",UPPER(_xlpm.MyAuditVal),_xlpm.MacVal&lt;&gt;"",_xlpm.MacVal,_xlpm.CSVVal&lt;&gt;"",_xlpm.CSVVal
)),"")</f>
        <v/>
      </c>
      <c r="D153" s="2" t="str" cm="1">
        <f t="array" ref="D153">IFERROR(_xlfn.LET(
_xlpm.CSVVal,_xlfn.XLOOKUP($A153,CSV!$A:$A,CSV!D:D,""),
_xlpm.MacVal,_xlfn.XLOOKUP($A153,Output_Mac!$A:$A,Output_Mac!C:C,""),
_xlpm.MyAuditVal,_xlfn.XLOOKUP($A153,My_Audit!$A:$A,My_Audit!C:C,""),
_xlfn.IFS(_xlpm.MyAuditVal&lt;&gt;"",_xlpm.MyAuditVal,_xlpm.MacVal&lt;&gt;"",_xlpm.MacVal,_xlpm.CSVVal&lt;&gt;"",_xlpm.CSVVal
)),"")</f>
        <v/>
      </c>
      <c r="E153" s="2" t="str">
        <f>_xlfn.XLOOKUP(A153,My_Audit!A:A,My_Audit!D:D,"")&amp;""</f>
        <v/>
      </c>
      <c r="F153" s="2" t="str" cm="1">
        <f t="array" ref="F153">IFERROR(_xlfn.LET(
_xlpm.CSVVal,_xlfn.XLOOKUP($A153,CSV!$A:$A,CSV!F:F,""),
_xlpm.MacVal,_xlfn.XLOOKUP($A153,Output_Mac!$A:$A,Output_Mac!E:E,""),
_xlpm.MyAuditVal,_xlfn.XLOOKUP($A153,My_Audit!$A:$A,My_Audit!E:E,""),
_xlfn.IFS(_xlpm.MyAuditVal&lt;&gt;"",_xlpm.MyAuditVal,_xlpm.MacVal&lt;&gt;"",_xlpm.MacVal,_xlpm.CSVVal&lt;&gt;"",_xlpm.CSVVal
)),"")</f>
        <v/>
      </c>
      <c r="G153" s="2" t="str" cm="1">
        <f t="array" ref="G153">IFERROR(_xlfn.LET(
_xlpm.CSVVal,_xlfn.XLOOKUP($A153,CSV!$A:$A,CSV!G:G,""),
_xlpm.MacVal,_xlfn.XLOOKUP($A153,Output_Mac!$A:$A,Output_Mac!F:F,""),
_xlpm.MyAuditVal,_xlfn.XLOOKUP($A153,My_Audit!$A:$A,My_Audit!F:F,""),
_xlfn.IFS(_xlpm.MyAuditVal&lt;&gt;"",_xlpm.MyAuditVal,_xlpm.MacVal&lt;&gt;"",_xlpm.MacVal,_xlpm.CSVVal&lt;&gt;"",PROPER(_xlpm.CSVVal)
)),"")</f>
        <v/>
      </c>
      <c r="H153" s="2" t="str" cm="1">
        <f t="array" ref="H153">IFERROR(_xlfn.LET(
_xlpm.CSVVal,_xlfn.XLOOKUP($A153,CSV!$A:$A,CSV!H:H,""),
_xlpm.MacVal,_xlfn.XLOOKUP($A153,Output_Mac!$A:$A,Output_Mac!H:H,""),
_xlpm.MyAuditVal,_xlfn.XLOOKUP($A153,My_Audit!$A:$A,My_Audit!G:G,""),
_xlfn.IFS(_xlpm.MyAuditVal&lt;&gt;"",_xlpm.MyAuditVal,_xlpm.MacVal&lt;&gt;"",_xlpm.MacVal,_xlpm.CSVVal&lt;&gt;"",_xlpm.CSVVal
)),"")</f>
        <v/>
      </c>
      <c r="I153" s="2" t="str">
        <f>_xlfn.XLOOKUP(A153,Output_Mac!A:A,Output_Mac!I:I,"")</f>
        <v/>
      </c>
      <c r="J153" s="2" t="str" cm="1">
        <f t="array" ref="J153">IFERROR(_xlfn.LET(
_xlpm.CSVVal,_xlfn.XLOOKUP($A153,CSV!$A:$A,CSV!I:I,""),
_xlpm.MacVal,_xlfn.XLOOKUP($A153,Output_Mac!$A:$A,Output_Mac!J:J,""),
_xlpm.MyAuditVal,_xlfn.XLOOKUP($A153,My_Audit!$A:$A,My_Audit!I:I,""),
_xlfn.IFS(_xlpm.MyAuditVal&lt;&gt;"",UPPER(_xlpm.MyAuditVal),_xlpm.MacVal&lt;&gt;"",_xlpm.MacVal,_xlpm.CSVVal&lt;&gt;"",_xlpm.CSVVal
)),"")</f>
        <v/>
      </c>
      <c r="K153" s="2" t="str" cm="1">
        <f t="array" ref="K153">IFERROR(_xlfn.LET(
_xlpm.CSVVal,_xlfn.XLOOKUP($A153,CSV!$A:$A,CSV!K:K,""),
_xlpm.MacVal,_xlfn.XLOOKUP($A153,Output_Mac!$A:$A,Output_Mac!K:K,""),
_xlpm.MyAuditVal,_xlfn.XLOOKUP($A153,My_Audit!$A:$A,My_Audit!J:J,""),
_xlfn.IFS(_xlpm.MyAuditVal&lt;&gt;"",UPPER(_xlpm.MyAuditVal),_xlpm.MacVal&lt;&gt;"",_xlpm.MacVal,_xlpm.CSVVal&lt;&gt;"",_xlpm.CSVVal
)),"")</f>
        <v/>
      </c>
      <c r="L153" s="2" t="str" cm="1">
        <f t="array" ref="L153">IFERROR(_xlfn.LET(
_xlpm.CSVVal,_xlfn.XLOOKUP($A153,CSV!$A:$A,CSV!P:P,""),
_xlpm.MacVal,_xlfn.XLOOKUP($A153,Output_Mac!$A:$A,Output_Mac!L:L,""),
_xlpm.MyAuditVal,_xlfn.XLOOKUP($A153,My_Audit!$A:$A,My_Audit!K:K,""),
_xlfn.IFS(_xlpm.MyAuditVal&lt;&gt;"",UPPER(_xlpm.MyAuditVal),_xlpm.MacVal&lt;&gt;"",_xlpm.MacVal,_xlpm.CSVVal&lt;&gt;"",_xlpm.CSVVal
)),"")</f>
        <v/>
      </c>
      <c r="M153" s="2" t="str" cm="1">
        <f t="array" ref="M153">IFERROR(_xlfn.LET(
_xlpm.CSVVal,_xlfn.XLOOKUP($A153,CSV!$A:$A,CSV!Q:Q,""),
_xlpm.MacVal,_xlfn.XLOOKUP($A153,Output_Mac!$A:$A,Output_Mac!M:M,""),
_xlpm.MyAuditVal,_xlfn.XLOOKUP($A153,My_Audit!$A:$A,My_Audit!L:L,""),
_xlfn.IFS(_xlpm.MyAuditVal&lt;&gt;"",UPPER(_xlpm.MyAuditVal),_xlpm.MacVal&lt;&gt;"",_xlpm.MacVal,_xlpm.CSVVal&lt;&gt;"",_xlpm.CSVVal
)),"")</f>
        <v/>
      </c>
      <c r="O153" s="2" t="str">
        <f>_xlfn.LET(
    _xlpm.CSVVal, _xlfn.XLOOKUP($A153, CSV!$A:$A, CSV!AC:AC, ""),
    _xlpm.MacVal, _xlfn.XLOOKUP($A153, Output_Mac!$A:$A, Output_Mac!S:S, ""),
    _xlpm.MyAuditVal, _xlfn.XLOOKUP($A153, My_Audit!$A:$A, My_Audit!P:P, ""),
    _xlfn.TEXTJOIN(", ", TRUE, _xlpm.MyAuditVal, _xlpm.MacVal, _xlpm.CSVVal)
)</f>
        <v/>
      </c>
      <c r="P153" s="2" t="str" cm="1">
        <f t="array" ref="P153">IFERROR(_xlfn.LET(
_xlpm.CSVVal,_xlfn.XLOOKUP($A153,CSV!$A:$A,CSV!AD:AD,""),
_xlpm.MacVal,_xlfn.XLOOKUP($A153,Output_Mac!$A:$A,Output_Mac!T:T,""),
_xlpm.MyAuditVal,_xlfn.XLOOKUP($A153,My_Audit!$A:$A,My_Audit!Q:Q,""),
_xlfn.IFS(_xlpm.MyAuditVal&lt;&gt;"",UPPER(_xlpm.MyAuditVal),_xlpm.MacVal&lt;&gt;"",_xlpm.MacVal,_xlpm.CSVVal&lt;&gt;"",_xlpm.CSVVal
)),"No")</f>
        <v>No</v>
      </c>
      <c r="Q153" s="2" t="str" cm="1">
        <f t="array" ref="Q153">IFERROR(_xlfn.LET(
_xlpm.CSVVal,_xlfn.XLOOKUP($A153,CSV!$A:$A,CSV!AE:AE,""),
_xlpm.MacVal,_xlfn.XLOOKUP($A153,Output_Mac!$A:$A,Output_Mac!U:U,""),
_xlpm.MyAuditVal,_xlfn.XLOOKUP($A153,My_Audit!$A:$A,My_Audit!R:R,""),
_xlfn.IFS(_xlpm.MyAuditVal&lt;&gt;"",UPPER(_xlpm.MyAuditVal),_xlpm.MacVal&lt;&gt;"",_xlpm.MacVal,_xlpm.CSVVal&lt;&gt;"",_xlpm.CSVVal
)),"")</f>
        <v/>
      </c>
      <c r="X153" t="str">
        <f>_xlfn.LET(
    _xlpm.MacVal, _xlfn.XLOOKUP($A153, Output_Mac!$A:$A, Output_Mac!AB:AB, ""),
    _xlpm.MyAuditVal, _xlfn.XLOOKUP($A153, My_Audit!$A:$A, My_Audit!N:N, ""),
    _xlfn.TEXTJOIN(", ", TRUE, _xlpm.MyAuditVal, _xlpm.MacVal)
)</f>
        <v/>
      </c>
    </row>
    <row r="154" spans="1:24">
      <c r="A154" s="2" t="str">
        <f>_xlfn.TEXTJOIN("",TRUE,Input!$B$2,ROW(My_Audit!A153))</f>
        <v>X153</v>
      </c>
      <c r="B154" s="2" t="str">
        <f>_xlfn.TEXTJOIN("-",TRUE,"ITD",Input!$A$2,A154)</f>
        <v>ITD-SHR-X153</v>
      </c>
      <c r="C154" s="2" t="str" cm="1">
        <f t="array" ref="C154">IFERROR(_xlfn.LET(
_xlpm.CSVVal,_xlfn.XLOOKUP($A154,CSV!$A:$A,CSV!B:B,""),
_xlpm.MacVal,_xlfn.XLOOKUP($A154,Output_Mac!$A:$A,Output_Mac!B:B,""),
_xlpm.MyAuditVal,_xlfn.XLOOKUP($A154,My_Audit!$A:$A,My_Audit!B:B,""),
_xlfn.IFS(_xlpm.MyAuditVal&lt;&gt;"",UPPER(_xlpm.MyAuditVal),_xlpm.MacVal&lt;&gt;"",_xlpm.MacVal,_xlpm.CSVVal&lt;&gt;"",_xlpm.CSVVal
)),"")</f>
        <v/>
      </c>
      <c r="D154" s="2" t="str" cm="1">
        <f t="array" ref="D154">IFERROR(_xlfn.LET(
_xlpm.CSVVal,_xlfn.XLOOKUP($A154,CSV!$A:$A,CSV!D:D,""),
_xlpm.MacVal,_xlfn.XLOOKUP($A154,Output_Mac!$A:$A,Output_Mac!C:C,""),
_xlpm.MyAuditVal,_xlfn.XLOOKUP($A154,My_Audit!$A:$A,My_Audit!C:C,""),
_xlfn.IFS(_xlpm.MyAuditVal&lt;&gt;"",_xlpm.MyAuditVal,_xlpm.MacVal&lt;&gt;"",_xlpm.MacVal,_xlpm.CSVVal&lt;&gt;"",_xlpm.CSVVal
)),"")</f>
        <v/>
      </c>
      <c r="E154" s="2" t="str">
        <f>_xlfn.XLOOKUP(A154,My_Audit!A:A,My_Audit!D:D,"")&amp;""</f>
        <v/>
      </c>
      <c r="F154" s="2" t="str" cm="1">
        <f t="array" ref="F154">IFERROR(_xlfn.LET(
_xlpm.CSVVal,_xlfn.XLOOKUP($A154,CSV!$A:$A,CSV!F:F,""),
_xlpm.MacVal,_xlfn.XLOOKUP($A154,Output_Mac!$A:$A,Output_Mac!E:E,""),
_xlpm.MyAuditVal,_xlfn.XLOOKUP($A154,My_Audit!$A:$A,My_Audit!E:E,""),
_xlfn.IFS(_xlpm.MyAuditVal&lt;&gt;"",_xlpm.MyAuditVal,_xlpm.MacVal&lt;&gt;"",_xlpm.MacVal,_xlpm.CSVVal&lt;&gt;"",_xlpm.CSVVal
)),"")</f>
        <v/>
      </c>
      <c r="G154" s="2" t="str" cm="1">
        <f t="array" ref="G154">IFERROR(_xlfn.LET(
_xlpm.CSVVal,_xlfn.XLOOKUP($A154,CSV!$A:$A,CSV!G:G,""),
_xlpm.MacVal,_xlfn.XLOOKUP($A154,Output_Mac!$A:$A,Output_Mac!F:F,""),
_xlpm.MyAuditVal,_xlfn.XLOOKUP($A154,My_Audit!$A:$A,My_Audit!F:F,""),
_xlfn.IFS(_xlpm.MyAuditVal&lt;&gt;"",_xlpm.MyAuditVal,_xlpm.MacVal&lt;&gt;"",_xlpm.MacVal,_xlpm.CSVVal&lt;&gt;"",PROPER(_xlpm.CSVVal)
)),"")</f>
        <v/>
      </c>
      <c r="H154" s="2" t="str" cm="1">
        <f t="array" ref="H154">IFERROR(_xlfn.LET(
_xlpm.CSVVal,_xlfn.XLOOKUP($A154,CSV!$A:$A,CSV!H:H,""),
_xlpm.MacVal,_xlfn.XLOOKUP($A154,Output_Mac!$A:$A,Output_Mac!H:H,""),
_xlpm.MyAuditVal,_xlfn.XLOOKUP($A154,My_Audit!$A:$A,My_Audit!G:G,""),
_xlfn.IFS(_xlpm.MyAuditVal&lt;&gt;"",_xlpm.MyAuditVal,_xlpm.MacVal&lt;&gt;"",_xlpm.MacVal,_xlpm.CSVVal&lt;&gt;"",_xlpm.CSVVal
)),"")</f>
        <v/>
      </c>
      <c r="I154" s="2" t="str">
        <f>_xlfn.XLOOKUP(A154,Output_Mac!A:A,Output_Mac!I:I,"")</f>
        <v/>
      </c>
      <c r="J154" s="2" t="str" cm="1">
        <f t="array" ref="J154">IFERROR(_xlfn.LET(
_xlpm.CSVVal,_xlfn.XLOOKUP($A154,CSV!$A:$A,CSV!I:I,""),
_xlpm.MacVal,_xlfn.XLOOKUP($A154,Output_Mac!$A:$A,Output_Mac!J:J,""),
_xlpm.MyAuditVal,_xlfn.XLOOKUP($A154,My_Audit!$A:$A,My_Audit!I:I,""),
_xlfn.IFS(_xlpm.MyAuditVal&lt;&gt;"",UPPER(_xlpm.MyAuditVal),_xlpm.MacVal&lt;&gt;"",_xlpm.MacVal,_xlpm.CSVVal&lt;&gt;"",_xlpm.CSVVal
)),"")</f>
        <v/>
      </c>
      <c r="K154" s="2" t="str" cm="1">
        <f t="array" ref="K154">IFERROR(_xlfn.LET(
_xlpm.CSVVal,_xlfn.XLOOKUP($A154,CSV!$A:$A,CSV!K:K,""),
_xlpm.MacVal,_xlfn.XLOOKUP($A154,Output_Mac!$A:$A,Output_Mac!K:K,""),
_xlpm.MyAuditVal,_xlfn.XLOOKUP($A154,My_Audit!$A:$A,My_Audit!J:J,""),
_xlfn.IFS(_xlpm.MyAuditVal&lt;&gt;"",UPPER(_xlpm.MyAuditVal),_xlpm.MacVal&lt;&gt;"",_xlpm.MacVal,_xlpm.CSVVal&lt;&gt;"",_xlpm.CSVVal
)),"")</f>
        <v/>
      </c>
      <c r="L154" s="2" t="str" cm="1">
        <f t="array" ref="L154">IFERROR(_xlfn.LET(
_xlpm.CSVVal,_xlfn.XLOOKUP($A154,CSV!$A:$A,CSV!P:P,""),
_xlpm.MacVal,_xlfn.XLOOKUP($A154,Output_Mac!$A:$A,Output_Mac!L:L,""),
_xlpm.MyAuditVal,_xlfn.XLOOKUP($A154,My_Audit!$A:$A,My_Audit!K:K,""),
_xlfn.IFS(_xlpm.MyAuditVal&lt;&gt;"",UPPER(_xlpm.MyAuditVal),_xlpm.MacVal&lt;&gt;"",_xlpm.MacVal,_xlpm.CSVVal&lt;&gt;"",_xlpm.CSVVal
)),"")</f>
        <v/>
      </c>
      <c r="M154" s="2" t="str" cm="1">
        <f t="array" ref="M154">IFERROR(_xlfn.LET(
_xlpm.CSVVal,_xlfn.XLOOKUP($A154,CSV!$A:$A,CSV!Q:Q,""),
_xlpm.MacVal,_xlfn.XLOOKUP($A154,Output_Mac!$A:$A,Output_Mac!M:M,""),
_xlpm.MyAuditVal,_xlfn.XLOOKUP($A154,My_Audit!$A:$A,My_Audit!L:L,""),
_xlfn.IFS(_xlpm.MyAuditVal&lt;&gt;"",UPPER(_xlpm.MyAuditVal),_xlpm.MacVal&lt;&gt;"",_xlpm.MacVal,_xlpm.CSVVal&lt;&gt;"",_xlpm.CSVVal
)),"")</f>
        <v/>
      </c>
      <c r="O154" s="2" t="str">
        <f>_xlfn.LET(
    _xlpm.CSVVal, _xlfn.XLOOKUP($A154, CSV!$A:$A, CSV!AC:AC, ""),
    _xlpm.MacVal, _xlfn.XLOOKUP($A154, Output_Mac!$A:$A, Output_Mac!S:S, ""),
    _xlpm.MyAuditVal, _xlfn.XLOOKUP($A154, My_Audit!$A:$A, My_Audit!P:P, ""),
    _xlfn.TEXTJOIN(", ", TRUE, _xlpm.MyAuditVal, _xlpm.MacVal, _xlpm.CSVVal)
)</f>
        <v/>
      </c>
      <c r="P154" s="2" t="str" cm="1">
        <f t="array" ref="P154">IFERROR(_xlfn.LET(
_xlpm.CSVVal,_xlfn.XLOOKUP($A154,CSV!$A:$A,CSV!AD:AD,""),
_xlpm.MacVal,_xlfn.XLOOKUP($A154,Output_Mac!$A:$A,Output_Mac!T:T,""),
_xlpm.MyAuditVal,_xlfn.XLOOKUP($A154,My_Audit!$A:$A,My_Audit!Q:Q,""),
_xlfn.IFS(_xlpm.MyAuditVal&lt;&gt;"",UPPER(_xlpm.MyAuditVal),_xlpm.MacVal&lt;&gt;"",_xlpm.MacVal,_xlpm.CSVVal&lt;&gt;"",_xlpm.CSVVal
)),"No")</f>
        <v>No</v>
      </c>
      <c r="Q154" s="2" t="str" cm="1">
        <f t="array" ref="Q154">IFERROR(_xlfn.LET(
_xlpm.CSVVal,_xlfn.XLOOKUP($A154,CSV!$A:$A,CSV!AE:AE,""),
_xlpm.MacVal,_xlfn.XLOOKUP($A154,Output_Mac!$A:$A,Output_Mac!U:U,""),
_xlpm.MyAuditVal,_xlfn.XLOOKUP($A154,My_Audit!$A:$A,My_Audit!R:R,""),
_xlfn.IFS(_xlpm.MyAuditVal&lt;&gt;"",UPPER(_xlpm.MyAuditVal),_xlpm.MacVal&lt;&gt;"",_xlpm.MacVal,_xlpm.CSVVal&lt;&gt;"",_xlpm.CSVVal
)),"")</f>
        <v/>
      </c>
      <c r="X154" t="str">
        <f>_xlfn.LET(
    _xlpm.MacVal, _xlfn.XLOOKUP($A154, Output_Mac!$A:$A, Output_Mac!AB:AB, ""),
    _xlpm.MyAuditVal, _xlfn.XLOOKUP($A154, My_Audit!$A:$A, My_Audit!N:N, ""),
    _xlfn.TEXTJOIN(", ", TRUE, _xlpm.MyAuditVal, _xlpm.MacVal)
)</f>
        <v/>
      </c>
    </row>
    <row r="155" spans="1:24">
      <c r="A155" s="2" t="str">
        <f>_xlfn.TEXTJOIN("",TRUE,Input!$B$2,ROW(My_Audit!A154))</f>
        <v>X154</v>
      </c>
      <c r="B155" s="2" t="str">
        <f>_xlfn.TEXTJOIN("-",TRUE,"ITD",Input!$A$2,A155)</f>
        <v>ITD-SHR-X154</v>
      </c>
      <c r="C155" s="2" t="str" cm="1">
        <f t="array" ref="C155">IFERROR(_xlfn.LET(
_xlpm.CSVVal,_xlfn.XLOOKUP($A155,CSV!$A:$A,CSV!B:B,""),
_xlpm.MacVal,_xlfn.XLOOKUP($A155,Output_Mac!$A:$A,Output_Mac!B:B,""),
_xlpm.MyAuditVal,_xlfn.XLOOKUP($A155,My_Audit!$A:$A,My_Audit!B:B,""),
_xlfn.IFS(_xlpm.MyAuditVal&lt;&gt;"",UPPER(_xlpm.MyAuditVal),_xlpm.MacVal&lt;&gt;"",_xlpm.MacVal,_xlpm.CSVVal&lt;&gt;"",_xlpm.CSVVal
)),"")</f>
        <v/>
      </c>
      <c r="D155" s="2" t="str" cm="1">
        <f t="array" ref="D155">IFERROR(_xlfn.LET(
_xlpm.CSVVal,_xlfn.XLOOKUP($A155,CSV!$A:$A,CSV!D:D,""),
_xlpm.MacVal,_xlfn.XLOOKUP($A155,Output_Mac!$A:$A,Output_Mac!C:C,""),
_xlpm.MyAuditVal,_xlfn.XLOOKUP($A155,My_Audit!$A:$A,My_Audit!C:C,""),
_xlfn.IFS(_xlpm.MyAuditVal&lt;&gt;"",_xlpm.MyAuditVal,_xlpm.MacVal&lt;&gt;"",_xlpm.MacVal,_xlpm.CSVVal&lt;&gt;"",_xlpm.CSVVal
)),"")</f>
        <v/>
      </c>
      <c r="E155" s="2" t="str">
        <f>_xlfn.XLOOKUP(A155,My_Audit!A:A,My_Audit!D:D,"")&amp;""</f>
        <v/>
      </c>
      <c r="F155" s="2" t="str" cm="1">
        <f t="array" ref="F155">IFERROR(_xlfn.LET(
_xlpm.CSVVal,_xlfn.XLOOKUP($A155,CSV!$A:$A,CSV!F:F,""),
_xlpm.MacVal,_xlfn.XLOOKUP($A155,Output_Mac!$A:$A,Output_Mac!E:E,""),
_xlpm.MyAuditVal,_xlfn.XLOOKUP($A155,My_Audit!$A:$A,My_Audit!E:E,""),
_xlfn.IFS(_xlpm.MyAuditVal&lt;&gt;"",_xlpm.MyAuditVal,_xlpm.MacVal&lt;&gt;"",_xlpm.MacVal,_xlpm.CSVVal&lt;&gt;"",_xlpm.CSVVal
)),"")</f>
        <v/>
      </c>
      <c r="G155" s="2" t="str" cm="1">
        <f t="array" ref="G155">IFERROR(_xlfn.LET(
_xlpm.CSVVal,_xlfn.XLOOKUP($A155,CSV!$A:$A,CSV!G:G,""),
_xlpm.MacVal,_xlfn.XLOOKUP($A155,Output_Mac!$A:$A,Output_Mac!F:F,""),
_xlpm.MyAuditVal,_xlfn.XLOOKUP($A155,My_Audit!$A:$A,My_Audit!F:F,""),
_xlfn.IFS(_xlpm.MyAuditVal&lt;&gt;"",_xlpm.MyAuditVal,_xlpm.MacVal&lt;&gt;"",_xlpm.MacVal,_xlpm.CSVVal&lt;&gt;"",PROPER(_xlpm.CSVVal)
)),"")</f>
        <v/>
      </c>
      <c r="H155" s="2" t="str" cm="1">
        <f t="array" ref="H155">IFERROR(_xlfn.LET(
_xlpm.CSVVal,_xlfn.XLOOKUP($A155,CSV!$A:$A,CSV!H:H,""),
_xlpm.MacVal,_xlfn.XLOOKUP($A155,Output_Mac!$A:$A,Output_Mac!H:H,""),
_xlpm.MyAuditVal,_xlfn.XLOOKUP($A155,My_Audit!$A:$A,My_Audit!G:G,""),
_xlfn.IFS(_xlpm.MyAuditVal&lt;&gt;"",_xlpm.MyAuditVal,_xlpm.MacVal&lt;&gt;"",_xlpm.MacVal,_xlpm.CSVVal&lt;&gt;"",_xlpm.CSVVal
)),"")</f>
        <v/>
      </c>
      <c r="I155" s="2" t="str">
        <f>_xlfn.XLOOKUP(A155,Output_Mac!A:A,Output_Mac!I:I,"")</f>
        <v/>
      </c>
      <c r="J155" s="2" t="str" cm="1">
        <f t="array" ref="J155">IFERROR(_xlfn.LET(
_xlpm.CSVVal,_xlfn.XLOOKUP($A155,CSV!$A:$A,CSV!I:I,""),
_xlpm.MacVal,_xlfn.XLOOKUP($A155,Output_Mac!$A:$A,Output_Mac!J:J,""),
_xlpm.MyAuditVal,_xlfn.XLOOKUP($A155,My_Audit!$A:$A,My_Audit!I:I,""),
_xlfn.IFS(_xlpm.MyAuditVal&lt;&gt;"",UPPER(_xlpm.MyAuditVal),_xlpm.MacVal&lt;&gt;"",_xlpm.MacVal,_xlpm.CSVVal&lt;&gt;"",_xlpm.CSVVal
)),"")</f>
        <v/>
      </c>
      <c r="K155" s="2" t="str" cm="1">
        <f t="array" ref="K155">IFERROR(_xlfn.LET(
_xlpm.CSVVal,_xlfn.XLOOKUP($A155,CSV!$A:$A,CSV!K:K,""),
_xlpm.MacVal,_xlfn.XLOOKUP($A155,Output_Mac!$A:$A,Output_Mac!K:K,""),
_xlpm.MyAuditVal,_xlfn.XLOOKUP($A155,My_Audit!$A:$A,My_Audit!J:J,""),
_xlfn.IFS(_xlpm.MyAuditVal&lt;&gt;"",UPPER(_xlpm.MyAuditVal),_xlpm.MacVal&lt;&gt;"",_xlpm.MacVal,_xlpm.CSVVal&lt;&gt;"",_xlpm.CSVVal
)),"")</f>
        <v/>
      </c>
      <c r="L155" s="2" t="str" cm="1">
        <f t="array" ref="L155">IFERROR(_xlfn.LET(
_xlpm.CSVVal,_xlfn.XLOOKUP($A155,CSV!$A:$A,CSV!P:P,""),
_xlpm.MacVal,_xlfn.XLOOKUP($A155,Output_Mac!$A:$A,Output_Mac!L:L,""),
_xlpm.MyAuditVal,_xlfn.XLOOKUP($A155,My_Audit!$A:$A,My_Audit!K:K,""),
_xlfn.IFS(_xlpm.MyAuditVal&lt;&gt;"",UPPER(_xlpm.MyAuditVal),_xlpm.MacVal&lt;&gt;"",_xlpm.MacVal,_xlpm.CSVVal&lt;&gt;"",_xlpm.CSVVal
)),"")</f>
        <v/>
      </c>
      <c r="M155" s="2" t="str" cm="1">
        <f t="array" ref="M155">IFERROR(_xlfn.LET(
_xlpm.CSVVal,_xlfn.XLOOKUP($A155,CSV!$A:$A,CSV!Q:Q,""),
_xlpm.MacVal,_xlfn.XLOOKUP($A155,Output_Mac!$A:$A,Output_Mac!M:M,""),
_xlpm.MyAuditVal,_xlfn.XLOOKUP($A155,My_Audit!$A:$A,My_Audit!L:L,""),
_xlfn.IFS(_xlpm.MyAuditVal&lt;&gt;"",UPPER(_xlpm.MyAuditVal),_xlpm.MacVal&lt;&gt;"",_xlpm.MacVal,_xlpm.CSVVal&lt;&gt;"",_xlpm.CSVVal
)),"")</f>
        <v/>
      </c>
      <c r="O155" s="2" t="str">
        <f>_xlfn.LET(
    _xlpm.CSVVal, _xlfn.XLOOKUP($A155, CSV!$A:$A, CSV!AC:AC, ""),
    _xlpm.MacVal, _xlfn.XLOOKUP($A155, Output_Mac!$A:$A, Output_Mac!S:S, ""),
    _xlpm.MyAuditVal, _xlfn.XLOOKUP($A155, My_Audit!$A:$A, My_Audit!P:P, ""),
    _xlfn.TEXTJOIN(", ", TRUE, _xlpm.MyAuditVal, _xlpm.MacVal, _xlpm.CSVVal)
)</f>
        <v/>
      </c>
      <c r="P155" s="2" t="str" cm="1">
        <f t="array" ref="P155">IFERROR(_xlfn.LET(
_xlpm.CSVVal,_xlfn.XLOOKUP($A155,CSV!$A:$A,CSV!AD:AD,""),
_xlpm.MacVal,_xlfn.XLOOKUP($A155,Output_Mac!$A:$A,Output_Mac!T:T,""),
_xlpm.MyAuditVal,_xlfn.XLOOKUP($A155,My_Audit!$A:$A,My_Audit!Q:Q,""),
_xlfn.IFS(_xlpm.MyAuditVal&lt;&gt;"",UPPER(_xlpm.MyAuditVal),_xlpm.MacVal&lt;&gt;"",_xlpm.MacVal,_xlpm.CSVVal&lt;&gt;"",_xlpm.CSVVal
)),"No")</f>
        <v>No</v>
      </c>
      <c r="Q155" s="2" t="str" cm="1">
        <f t="array" ref="Q155">IFERROR(_xlfn.LET(
_xlpm.CSVVal,_xlfn.XLOOKUP($A155,CSV!$A:$A,CSV!AE:AE,""),
_xlpm.MacVal,_xlfn.XLOOKUP($A155,Output_Mac!$A:$A,Output_Mac!U:U,""),
_xlpm.MyAuditVal,_xlfn.XLOOKUP($A155,My_Audit!$A:$A,My_Audit!R:R,""),
_xlfn.IFS(_xlpm.MyAuditVal&lt;&gt;"",UPPER(_xlpm.MyAuditVal),_xlpm.MacVal&lt;&gt;"",_xlpm.MacVal,_xlpm.CSVVal&lt;&gt;"",_xlpm.CSVVal
)),"")</f>
        <v/>
      </c>
      <c r="X155" t="str">
        <f>_xlfn.LET(
    _xlpm.MacVal, _xlfn.XLOOKUP($A155, Output_Mac!$A:$A, Output_Mac!AB:AB, ""),
    _xlpm.MyAuditVal, _xlfn.XLOOKUP($A155, My_Audit!$A:$A, My_Audit!N:N, ""),
    _xlfn.TEXTJOIN(", ", TRUE, _xlpm.MyAuditVal, _xlpm.MacVal)
)</f>
        <v/>
      </c>
    </row>
    <row r="156" spans="1:24">
      <c r="A156" s="2" t="str">
        <f>_xlfn.TEXTJOIN("",TRUE,Input!$B$2,ROW(My_Audit!A155))</f>
        <v>X155</v>
      </c>
      <c r="B156" s="2" t="str">
        <f>_xlfn.TEXTJOIN("-",TRUE,"ITD",Input!$A$2,A156)</f>
        <v>ITD-SHR-X155</v>
      </c>
      <c r="C156" s="2" t="str" cm="1">
        <f t="array" ref="C156">IFERROR(_xlfn.LET(
_xlpm.CSVVal,_xlfn.XLOOKUP($A156,CSV!$A:$A,CSV!B:B,""),
_xlpm.MacVal,_xlfn.XLOOKUP($A156,Output_Mac!$A:$A,Output_Mac!B:B,""),
_xlpm.MyAuditVal,_xlfn.XLOOKUP($A156,My_Audit!$A:$A,My_Audit!B:B,""),
_xlfn.IFS(_xlpm.MyAuditVal&lt;&gt;"",UPPER(_xlpm.MyAuditVal),_xlpm.MacVal&lt;&gt;"",_xlpm.MacVal,_xlpm.CSVVal&lt;&gt;"",_xlpm.CSVVal
)),"")</f>
        <v/>
      </c>
      <c r="D156" s="2" t="str" cm="1">
        <f t="array" ref="D156">IFERROR(_xlfn.LET(
_xlpm.CSVVal,_xlfn.XLOOKUP($A156,CSV!$A:$A,CSV!D:D,""),
_xlpm.MacVal,_xlfn.XLOOKUP($A156,Output_Mac!$A:$A,Output_Mac!C:C,""),
_xlpm.MyAuditVal,_xlfn.XLOOKUP($A156,My_Audit!$A:$A,My_Audit!C:C,""),
_xlfn.IFS(_xlpm.MyAuditVal&lt;&gt;"",_xlpm.MyAuditVal,_xlpm.MacVal&lt;&gt;"",_xlpm.MacVal,_xlpm.CSVVal&lt;&gt;"",_xlpm.CSVVal
)),"")</f>
        <v/>
      </c>
      <c r="E156" s="2" t="str">
        <f>_xlfn.XLOOKUP(A156,My_Audit!A:A,My_Audit!D:D,"")&amp;""</f>
        <v/>
      </c>
      <c r="F156" s="2" t="str" cm="1">
        <f t="array" ref="F156">IFERROR(_xlfn.LET(
_xlpm.CSVVal,_xlfn.XLOOKUP($A156,CSV!$A:$A,CSV!F:F,""),
_xlpm.MacVal,_xlfn.XLOOKUP($A156,Output_Mac!$A:$A,Output_Mac!E:E,""),
_xlpm.MyAuditVal,_xlfn.XLOOKUP($A156,My_Audit!$A:$A,My_Audit!E:E,""),
_xlfn.IFS(_xlpm.MyAuditVal&lt;&gt;"",_xlpm.MyAuditVal,_xlpm.MacVal&lt;&gt;"",_xlpm.MacVal,_xlpm.CSVVal&lt;&gt;"",_xlpm.CSVVal
)),"")</f>
        <v/>
      </c>
      <c r="G156" s="2" t="str" cm="1">
        <f t="array" ref="G156">IFERROR(_xlfn.LET(
_xlpm.CSVVal,_xlfn.XLOOKUP($A156,CSV!$A:$A,CSV!G:G,""),
_xlpm.MacVal,_xlfn.XLOOKUP($A156,Output_Mac!$A:$A,Output_Mac!F:F,""),
_xlpm.MyAuditVal,_xlfn.XLOOKUP($A156,My_Audit!$A:$A,My_Audit!F:F,""),
_xlfn.IFS(_xlpm.MyAuditVal&lt;&gt;"",_xlpm.MyAuditVal,_xlpm.MacVal&lt;&gt;"",_xlpm.MacVal,_xlpm.CSVVal&lt;&gt;"",PROPER(_xlpm.CSVVal)
)),"")</f>
        <v/>
      </c>
      <c r="H156" s="2" t="str" cm="1">
        <f t="array" ref="H156">IFERROR(_xlfn.LET(
_xlpm.CSVVal,_xlfn.XLOOKUP($A156,CSV!$A:$A,CSV!H:H,""),
_xlpm.MacVal,_xlfn.XLOOKUP($A156,Output_Mac!$A:$A,Output_Mac!H:H,""),
_xlpm.MyAuditVal,_xlfn.XLOOKUP($A156,My_Audit!$A:$A,My_Audit!G:G,""),
_xlfn.IFS(_xlpm.MyAuditVal&lt;&gt;"",_xlpm.MyAuditVal,_xlpm.MacVal&lt;&gt;"",_xlpm.MacVal,_xlpm.CSVVal&lt;&gt;"",_xlpm.CSVVal
)),"")</f>
        <v/>
      </c>
      <c r="I156" s="2" t="str">
        <f>_xlfn.XLOOKUP(A156,Output_Mac!A:A,Output_Mac!I:I,"")</f>
        <v/>
      </c>
      <c r="J156" s="2" t="str" cm="1">
        <f t="array" ref="J156">IFERROR(_xlfn.LET(
_xlpm.CSVVal,_xlfn.XLOOKUP($A156,CSV!$A:$A,CSV!I:I,""),
_xlpm.MacVal,_xlfn.XLOOKUP($A156,Output_Mac!$A:$A,Output_Mac!J:J,""),
_xlpm.MyAuditVal,_xlfn.XLOOKUP($A156,My_Audit!$A:$A,My_Audit!I:I,""),
_xlfn.IFS(_xlpm.MyAuditVal&lt;&gt;"",UPPER(_xlpm.MyAuditVal),_xlpm.MacVal&lt;&gt;"",_xlpm.MacVal,_xlpm.CSVVal&lt;&gt;"",_xlpm.CSVVal
)),"")</f>
        <v/>
      </c>
      <c r="K156" s="2" t="str" cm="1">
        <f t="array" ref="K156">IFERROR(_xlfn.LET(
_xlpm.CSVVal,_xlfn.XLOOKUP($A156,CSV!$A:$A,CSV!K:K,""),
_xlpm.MacVal,_xlfn.XLOOKUP($A156,Output_Mac!$A:$A,Output_Mac!K:K,""),
_xlpm.MyAuditVal,_xlfn.XLOOKUP($A156,My_Audit!$A:$A,My_Audit!J:J,""),
_xlfn.IFS(_xlpm.MyAuditVal&lt;&gt;"",UPPER(_xlpm.MyAuditVal),_xlpm.MacVal&lt;&gt;"",_xlpm.MacVal,_xlpm.CSVVal&lt;&gt;"",_xlpm.CSVVal
)),"")</f>
        <v/>
      </c>
      <c r="L156" s="2" t="str" cm="1">
        <f t="array" ref="L156">IFERROR(_xlfn.LET(
_xlpm.CSVVal,_xlfn.XLOOKUP($A156,CSV!$A:$A,CSV!P:P,""),
_xlpm.MacVal,_xlfn.XLOOKUP($A156,Output_Mac!$A:$A,Output_Mac!L:L,""),
_xlpm.MyAuditVal,_xlfn.XLOOKUP($A156,My_Audit!$A:$A,My_Audit!K:K,""),
_xlfn.IFS(_xlpm.MyAuditVal&lt;&gt;"",UPPER(_xlpm.MyAuditVal),_xlpm.MacVal&lt;&gt;"",_xlpm.MacVal,_xlpm.CSVVal&lt;&gt;"",_xlpm.CSVVal
)),"")</f>
        <v/>
      </c>
      <c r="M156" s="2" t="str" cm="1">
        <f t="array" ref="M156">IFERROR(_xlfn.LET(
_xlpm.CSVVal,_xlfn.XLOOKUP($A156,CSV!$A:$A,CSV!Q:Q,""),
_xlpm.MacVal,_xlfn.XLOOKUP($A156,Output_Mac!$A:$A,Output_Mac!M:M,""),
_xlpm.MyAuditVal,_xlfn.XLOOKUP($A156,My_Audit!$A:$A,My_Audit!L:L,""),
_xlfn.IFS(_xlpm.MyAuditVal&lt;&gt;"",UPPER(_xlpm.MyAuditVal),_xlpm.MacVal&lt;&gt;"",_xlpm.MacVal,_xlpm.CSVVal&lt;&gt;"",_xlpm.CSVVal
)),"")</f>
        <v/>
      </c>
      <c r="O156" s="2" t="str">
        <f>_xlfn.LET(
    _xlpm.CSVVal, _xlfn.XLOOKUP($A156, CSV!$A:$A, CSV!AC:AC, ""),
    _xlpm.MacVal, _xlfn.XLOOKUP($A156, Output_Mac!$A:$A, Output_Mac!S:S, ""),
    _xlpm.MyAuditVal, _xlfn.XLOOKUP($A156, My_Audit!$A:$A, My_Audit!P:P, ""),
    _xlfn.TEXTJOIN(", ", TRUE, _xlpm.MyAuditVal, _xlpm.MacVal, _xlpm.CSVVal)
)</f>
        <v/>
      </c>
      <c r="P156" s="2" t="str" cm="1">
        <f t="array" ref="P156">IFERROR(_xlfn.LET(
_xlpm.CSVVal,_xlfn.XLOOKUP($A156,CSV!$A:$A,CSV!AD:AD,""),
_xlpm.MacVal,_xlfn.XLOOKUP($A156,Output_Mac!$A:$A,Output_Mac!T:T,""),
_xlpm.MyAuditVal,_xlfn.XLOOKUP($A156,My_Audit!$A:$A,My_Audit!Q:Q,""),
_xlfn.IFS(_xlpm.MyAuditVal&lt;&gt;"",UPPER(_xlpm.MyAuditVal),_xlpm.MacVal&lt;&gt;"",_xlpm.MacVal,_xlpm.CSVVal&lt;&gt;"",_xlpm.CSVVal
)),"No")</f>
        <v>No</v>
      </c>
      <c r="Q156" s="2" t="str" cm="1">
        <f t="array" ref="Q156">IFERROR(_xlfn.LET(
_xlpm.CSVVal,_xlfn.XLOOKUP($A156,CSV!$A:$A,CSV!AE:AE,""),
_xlpm.MacVal,_xlfn.XLOOKUP($A156,Output_Mac!$A:$A,Output_Mac!U:U,""),
_xlpm.MyAuditVal,_xlfn.XLOOKUP($A156,My_Audit!$A:$A,My_Audit!R:R,""),
_xlfn.IFS(_xlpm.MyAuditVal&lt;&gt;"",UPPER(_xlpm.MyAuditVal),_xlpm.MacVal&lt;&gt;"",_xlpm.MacVal,_xlpm.CSVVal&lt;&gt;"",_xlpm.CSVVal
)),"")</f>
        <v/>
      </c>
      <c r="X156" t="str">
        <f>_xlfn.LET(
    _xlpm.MacVal, _xlfn.XLOOKUP($A156, Output_Mac!$A:$A, Output_Mac!AB:AB, ""),
    _xlpm.MyAuditVal, _xlfn.XLOOKUP($A156, My_Audit!$A:$A, My_Audit!N:N, ""),
    _xlfn.TEXTJOIN(", ", TRUE, _xlpm.MyAuditVal, _xlpm.MacVal)
)</f>
        <v/>
      </c>
    </row>
    <row r="157" spans="1:24">
      <c r="A157" s="2" t="str">
        <f>_xlfn.TEXTJOIN("",TRUE,Input!$B$2,ROW(My_Audit!A156))</f>
        <v>X156</v>
      </c>
      <c r="B157" s="2" t="str">
        <f>_xlfn.TEXTJOIN("-",TRUE,"ITD",Input!$A$2,A157)</f>
        <v>ITD-SHR-X156</v>
      </c>
      <c r="C157" s="2" t="str" cm="1">
        <f t="array" ref="C157">IFERROR(_xlfn.LET(
_xlpm.CSVVal,_xlfn.XLOOKUP($A157,CSV!$A:$A,CSV!B:B,""),
_xlpm.MacVal,_xlfn.XLOOKUP($A157,Output_Mac!$A:$A,Output_Mac!B:B,""),
_xlpm.MyAuditVal,_xlfn.XLOOKUP($A157,My_Audit!$A:$A,My_Audit!B:B,""),
_xlfn.IFS(_xlpm.MyAuditVal&lt;&gt;"",UPPER(_xlpm.MyAuditVal),_xlpm.MacVal&lt;&gt;"",_xlpm.MacVal,_xlpm.CSVVal&lt;&gt;"",_xlpm.CSVVal
)),"")</f>
        <v/>
      </c>
      <c r="D157" s="2" t="str" cm="1">
        <f t="array" ref="D157">IFERROR(_xlfn.LET(
_xlpm.CSVVal,_xlfn.XLOOKUP($A157,CSV!$A:$A,CSV!D:D,""),
_xlpm.MacVal,_xlfn.XLOOKUP($A157,Output_Mac!$A:$A,Output_Mac!C:C,""),
_xlpm.MyAuditVal,_xlfn.XLOOKUP($A157,My_Audit!$A:$A,My_Audit!C:C,""),
_xlfn.IFS(_xlpm.MyAuditVal&lt;&gt;"",_xlpm.MyAuditVal,_xlpm.MacVal&lt;&gt;"",_xlpm.MacVal,_xlpm.CSVVal&lt;&gt;"",_xlpm.CSVVal
)),"")</f>
        <v/>
      </c>
      <c r="E157" s="2" t="str">
        <f>_xlfn.XLOOKUP(A157,My_Audit!A:A,My_Audit!D:D,"")&amp;""</f>
        <v/>
      </c>
      <c r="F157" s="2" t="str" cm="1">
        <f t="array" ref="F157">IFERROR(_xlfn.LET(
_xlpm.CSVVal,_xlfn.XLOOKUP($A157,CSV!$A:$A,CSV!F:F,""),
_xlpm.MacVal,_xlfn.XLOOKUP($A157,Output_Mac!$A:$A,Output_Mac!E:E,""),
_xlpm.MyAuditVal,_xlfn.XLOOKUP($A157,My_Audit!$A:$A,My_Audit!E:E,""),
_xlfn.IFS(_xlpm.MyAuditVal&lt;&gt;"",_xlpm.MyAuditVal,_xlpm.MacVal&lt;&gt;"",_xlpm.MacVal,_xlpm.CSVVal&lt;&gt;"",_xlpm.CSVVal
)),"")</f>
        <v/>
      </c>
      <c r="G157" s="2" t="str" cm="1">
        <f t="array" ref="G157">IFERROR(_xlfn.LET(
_xlpm.CSVVal,_xlfn.XLOOKUP($A157,CSV!$A:$A,CSV!G:G,""),
_xlpm.MacVal,_xlfn.XLOOKUP($A157,Output_Mac!$A:$A,Output_Mac!F:F,""),
_xlpm.MyAuditVal,_xlfn.XLOOKUP($A157,My_Audit!$A:$A,My_Audit!F:F,""),
_xlfn.IFS(_xlpm.MyAuditVal&lt;&gt;"",_xlpm.MyAuditVal,_xlpm.MacVal&lt;&gt;"",_xlpm.MacVal,_xlpm.CSVVal&lt;&gt;"",PROPER(_xlpm.CSVVal)
)),"")</f>
        <v/>
      </c>
      <c r="H157" s="2" t="str" cm="1">
        <f t="array" ref="H157">IFERROR(_xlfn.LET(
_xlpm.CSVVal,_xlfn.XLOOKUP($A157,CSV!$A:$A,CSV!H:H,""),
_xlpm.MacVal,_xlfn.XLOOKUP($A157,Output_Mac!$A:$A,Output_Mac!H:H,""),
_xlpm.MyAuditVal,_xlfn.XLOOKUP($A157,My_Audit!$A:$A,My_Audit!G:G,""),
_xlfn.IFS(_xlpm.MyAuditVal&lt;&gt;"",_xlpm.MyAuditVal,_xlpm.MacVal&lt;&gt;"",_xlpm.MacVal,_xlpm.CSVVal&lt;&gt;"",_xlpm.CSVVal
)),"")</f>
        <v/>
      </c>
      <c r="I157" s="2" t="str">
        <f>_xlfn.XLOOKUP(A157,Output_Mac!A:A,Output_Mac!I:I,"")</f>
        <v/>
      </c>
      <c r="J157" s="2" t="str" cm="1">
        <f t="array" ref="J157">IFERROR(_xlfn.LET(
_xlpm.CSVVal,_xlfn.XLOOKUP($A157,CSV!$A:$A,CSV!I:I,""),
_xlpm.MacVal,_xlfn.XLOOKUP($A157,Output_Mac!$A:$A,Output_Mac!J:J,""),
_xlpm.MyAuditVal,_xlfn.XLOOKUP($A157,My_Audit!$A:$A,My_Audit!I:I,""),
_xlfn.IFS(_xlpm.MyAuditVal&lt;&gt;"",UPPER(_xlpm.MyAuditVal),_xlpm.MacVal&lt;&gt;"",_xlpm.MacVal,_xlpm.CSVVal&lt;&gt;"",_xlpm.CSVVal
)),"")</f>
        <v/>
      </c>
      <c r="K157" s="2" t="str" cm="1">
        <f t="array" ref="K157">IFERROR(_xlfn.LET(
_xlpm.CSVVal,_xlfn.XLOOKUP($A157,CSV!$A:$A,CSV!K:K,""),
_xlpm.MacVal,_xlfn.XLOOKUP($A157,Output_Mac!$A:$A,Output_Mac!K:K,""),
_xlpm.MyAuditVal,_xlfn.XLOOKUP($A157,My_Audit!$A:$A,My_Audit!J:J,""),
_xlfn.IFS(_xlpm.MyAuditVal&lt;&gt;"",UPPER(_xlpm.MyAuditVal),_xlpm.MacVal&lt;&gt;"",_xlpm.MacVal,_xlpm.CSVVal&lt;&gt;"",_xlpm.CSVVal
)),"")</f>
        <v/>
      </c>
      <c r="L157" s="2" t="str" cm="1">
        <f t="array" ref="L157">IFERROR(_xlfn.LET(
_xlpm.CSVVal,_xlfn.XLOOKUP($A157,CSV!$A:$A,CSV!P:P,""),
_xlpm.MacVal,_xlfn.XLOOKUP($A157,Output_Mac!$A:$A,Output_Mac!L:L,""),
_xlpm.MyAuditVal,_xlfn.XLOOKUP($A157,My_Audit!$A:$A,My_Audit!K:K,""),
_xlfn.IFS(_xlpm.MyAuditVal&lt;&gt;"",UPPER(_xlpm.MyAuditVal),_xlpm.MacVal&lt;&gt;"",_xlpm.MacVal,_xlpm.CSVVal&lt;&gt;"",_xlpm.CSVVal
)),"")</f>
        <v/>
      </c>
      <c r="M157" s="2" t="str" cm="1">
        <f t="array" ref="M157">IFERROR(_xlfn.LET(
_xlpm.CSVVal,_xlfn.XLOOKUP($A157,CSV!$A:$A,CSV!Q:Q,""),
_xlpm.MacVal,_xlfn.XLOOKUP($A157,Output_Mac!$A:$A,Output_Mac!M:M,""),
_xlpm.MyAuditVal,_xlfn.XLOOKUP($A157,My_Audit!$A:$A,My_Audit!L:L,""),
_xlfn.IFS(_xlpm.MyAuditVal&lt;&gt;"",UPPER(_xlpm.MyAuditVal),_xlpm.MacVal&lt;&gt;"",_xlpm.MacVal,_xlpm.CSVVal&lt;&gt;"",_xlpm.CSVVal
)),"")</f>
        <v/>
      </c>
      <c r="O157" s="2" t="str">
        <f>_xlfn.LET(
    _xlpm.CSVVal, _xlfn.XLOOKUP($A157, CSV!$A:$A, CSV!AC:AC, ""),
    _xlpm.MacVal, _xlfn.XLOOKUP($A157, Output_Mac!$A:$A, Output_Mac!S:S, ""),
    _xlpm.MyAuditVal, _xlfn.XLOOKUP($A157, My_Audit!$A:$A, My_Audit!P:P, ""),
    _xlfn.TEXTJOIN(", ", TRUE, _xlpm.MyAuditVal, _xlpm.MacVal, _xlpm.CSVVal)
)</f>
        <v/>
      </c>
      <c r="P157" s="2" t="str" cm="1">
        <f t="array" ref="P157">IFERROR(_xlfn.LET(
_xlpm.CSVVal,_xlfn.XLOOKUP($A157,CSV!$A:$A,CSV!AD:AD,""),
_xlpm.MacVal,_xlfn.XLOOKUP($A157,Output_Mac!$A:$A,Output_Mac!T:T,""),
_xlpm.MyAuditVal,_xlfn.XLOOKUP($A157,My_Audit!$A:$A,My_Audit!Q:Q,""),
_xlfn.IFS(_xlpm.MyAuditVal&lt;&gt;"",UPPER(_xlpm.MyAuditVal),_xlpm.MacVal&lt;&gt;"",_xlpm.MacVal,_xlpm.CSVVal&lt;&gt;"",_xlpm.CSVVal
)),"No")</f>
        <v>No</v>
      </c>
      <c r="Q157" s="2" t="str" cm="1">
        <f t="array" ref="Q157">IFERROR(_xlfn.LET(
_xlpm.CSVVal,_xlfn.XLOOKUP($A157,CSV!$A:$A,CSV!AE:AE,""),
_xlpm.MacVal,_xlfn.XLOOKUP($A157,Output_Mac!$A:$A,Output_Mac!U:U,""),
_xlpm.MyAuditVal,_xlfn.XLOOKUP($A157,My_Audit!$A:$A,My_Audit!R:R,""),
_xlfn.IFS(_xlpm.MyAuditVal&lt;&gt;"",UPPER(_xlpm.MyAuditVal),_xlpm.MacVal&lt;&gt;"",_xlpm.MacVal,_xlpm.CSVVal&lt;&gt;"",_xlpm.CSVVal
)),"")</f>
        <v/>
      </c>
      <c r="X157" t="str">
        <f>_xlfn.LET(
    _xlpm.MacVal, _xlfn.XLOOKUP($A157, Output_Mac!$A:$A, Output_Mac!AB:AB, ""),
    _xlpm.MyAuditVal, _xlfn.XLOOKUP($A157, My_Audit!$A:$A, My_Audit!N:N, ""),
    _xlfn.TEXTJOIN(", ", TRUE, _xlpm.MyAuditVal, _xlpm.MacVal)
)</f>
        <v/>
      </c>
    </row>
    <row r="158" spans="1:24">
      <c r="A158" s="2" t="str">
        <f>_xlfn.TEXTJOIN("",TRUE,Input!$B$2,ROW(My_Audit!A157))</f>
        <v>X157</v>
      </c>
      <c r="B158" s="2" t="str">
        <f>_xlfn.TEXTJOIN("-",TRUE,"ITD",Input!$A$2,A158)</f>
        <v>ITD-SHR-X157</v>
      </c>
      <c r="C158" s="2" t="str" cm="1">
        <f t="array" ref="C158">IFERROR(_xlfn.LET(
_xlpm.CSVVal,_xlfn.XLOOKUP($A158,CSV!$A:$A,CSV!B:B,""),
_xlpm.MacVal,_xlfn.XLOOKUP($A158,Output_Mac!$A:$A,Output_Mac!B:B,""),
_xlpm.MyAuditVal,_xlfn.XLOOKUP($A158,My_Audit!$A:$A,My_Audit!B:B,""),
_xlfn.IFS(_xlpm.MyAuditVal&lt;&gt;"",UPPER(_xlpm.MyAuditVal),_xlpm.MacVal&lt;&gt;"",_xlpm.MacVal,_xlpm.CSVVal&lt;&gt;"",_xlpm.CSVVal
)),"")</f>
        <v/>
      </c>
      <c r="D158" s="2" t="str" cm="1">
        <f t="array" ref="D158">IFERROR(_xlfn.LET(
_xlpm.CSVVal,_xlfn.XLOOKUP($A158,CSV!$A:$A,CSV!D:D,""),
_xlpm.MacVal,_xlfn.XLOOKUP($A158,Output_Mac!$A:$A,Output_Mac!C:C,""),
_xlpm.MyAuditVal,_xlfn.XLOOKUP($A158,My_Audit!$A:$A,My_Audit!C:C,""),
_xlfn.IFS(_xlpm.MyAuditVal&lt;&gt;"",_xlpm.MyAuditVal,_xlpm.MacVal&lt;&gt;"",_xlpm.MacVal,_xlpm.CSVVal&lt;&gt;"",_xlpm.CSVVal
)),"")</f>
        <v/>
      </c>
      <c r="E158" s="2" t="str">
        <f>_xlfn.XLOOKUP(A158,My_Audit!A:A,My_Audit!D:D,"")&amp;""</f>
        <v/>
      </c>
      <c r="F158" s="2" t="str" cm="1">
        <f t="array" ref="F158">IFERROR(_xlfn.LET(
_xlpm.CSVVal,_xlfn.XLOOKUP($A158,CSV!$A:$A,CSV!F:F,""),
_xlpm.MacVal,_xlfn.XLOOKUP($A158,Output_Mac!$A:$A,Output_Mac!E:E,""),
_xlpm.MyAuditVal,_xlfn.XLOOKUP($A158,My_Audit!$A:$A,My_Audit!E:E,""),
_xlfn.IFS(_xlpm.MyAuditVal&lt;&gt;"",_xlpm.MyAuditVal,_xlpm.MacVal&lt;&gt;"",_xlpm.MacVal,_xlpm.CSVVal&lt;&gt;"",_xlpm.CSVVal
)),"")</f>
        <v/>
      </c>
      <c r="G158" s="2" t="str" cm="1">
        <f t="array" ref="G158">IFERROR(_xlfn.LET(
_xlpm.CSVVal,_xlfn.XLOOKUP($A158,CSV!$A:$A,CSV!G:G,""),
_xlpm.MacVal,_xlfn.XLOOKUP($A158,Output_Mac!$A:$A,Output_Mac!F:F,""),
_xlpm.MyAuditVal,_xlfn.XLOOKUP($A158,My_Audit!$A:$A,My_Audit!F:F,""),
_xlfn.IFS(_xlpm.MyAuditVal&lt;&gt;"",_xlpm.MyAuditVal,_xlpm.MacVal&lt;&gt;"",_xlpm.MacVal,_xlpm.CSVVal&lt;&gt;"",PROPER(_xlpm.CSVVal)
)),"")</f>
        <v/>
      </c>
      <c r="H158" s="2" t="str" cm="1">
        <f t="array" ref="H158">IFERROR(_xlfn.LET(
_xlpm.CSVVal,_xlfn.XLOOKUP($A158,CSV!$A:$A,CSV!H:H,""),
_xlpm.MacVal,_xlfn.XLOOKUP($A158,Output_Mac!$A:$A,Output_Mac!H:H,""),
_xlpm.MyAuditVal,_xlfn.XLOOKUP($A158,My_Audit!$A:$A,My_Audit!G:G,""),
_xlfn.IFS(_xlpm.MyAuditVal&lt;&gt;"",_xlpm.MyAuditVal,_xlpm.MacVal&lt;&gt;"",_xlpm.MacVal,_xlpm.CSVVal&lt;&gt;"",_xlpm.CSVVal
)),"")</f>
        <v/>
      </c>
      <c r="I158" s="2" t="str">
        <f>_xlfn.XLOOKUP(A158,Output_Mac!A:A,Output_Mac!I:I,"")</f>
        <v/>
      </c>
      <c r="J158" s="2" t="str" cm="1">
        <f t="array" ref="J158">IFERROR(_xlfn.LET(
_xlpm.CSVVal,_xlfn.XLOOKUP($A158,CSV!$A:$A,CSV!I:I,""),
_xlpm.MacVal,_xlfn.XLOOKUP($A158,Output_Mac!$A:$A,Output_Mac!J:J,""),
_xlpm.MyAuditVal,_xlfn.XLOOKUP($A158,My_Audit!$A:$A,My_Audit!I:I,""),
_xlfn.IFS(_xlpm.MyAuditVal&lt;&gt;"",UPPER(_xlpm.MyAuditVal),_xlpm.MacVal&lt;&gt;"",_xlpm.MacVal,_xlpm.CSVVal&lt;&gt;"",_xlpm.CSVVal
)),"")</f>
        <v/>
      </c>
      <c r="K158" s="2" t="str" cm="1">
        <f t="array" ref="K158">IFERROR(_xlfn.LET(
_xlpm.CSVVal,_xlfn.XLOOKUP($A158,CSV!$A:$A,CSV!K:K,""),
_xlpm.MacVal,_xlfn.XLOOKUP($A158,Output_Mac!$A:$A,Output_Mac!K:K,""),
_xlpm.MyAuditVal,_xlfn.XLOOKUP($A158,My_Audit!$A:$A,My_Audit!J:J,""),
_xlfn.IFS(_xlpm.MyAuditVal&lt;&gt;"",UPPER(_xlpm.MyAuditVal),_xlpm.MacVal&lt;&gt;"",_xlpm.MacVal,_xlpm.CSVVal&lt;&gt;"",_xlpm.CSVVal
)),"")</f>
        <v/>
      </c>
      <c r="L158" s="2" t="str" cm="1">
        <f t="array" ref="L158">IFERROR(_xlfn.LET(
_xlpm.CSVVal,_xlfn.XLOOKUP($A158,CSV!$A:$A,CSV!P:P,""),
_xlpm.MacVal,_xlfn.XLOOKUP($A158,Output_Mac!$A:$A,Output_Mac!L:L,""),
_xlpm.MyAuditVal,_xlfn.XLOOKUP($A158,My_Audit!$A:$A,My_Audit!K:K,""),
_xlfn.IFS(_xlpm.MyAuditVal&lt;&gt;"",UPPER(_xlpm.MyAuditVal),_xlpm.MacVal&lt;&gt;"",_xlpm.MacVal,_xlpm.CSVVal&lt;&gt;"",_xlpm.CSVVal
)),"")</f>
        <v/>
      </c>
      <c r="M158" s="2" t="str" cm="1">
        <f t="array" ref="M158">IFERROR(_xlfn.LET(
_xlpm.CSVVal,_xlfn.XLOOKUP($A158,CSV!$A:$A,CSV!Q:Q,""),
_xlpm.MacVal,_xlfn.XLOOKUP($A158,Output_Mac!$A:$A,Output_Mac!M:M,""),
_xlpm.MyAuditVal,_xlfn.XLOOKUP($A158,My_Audit!$A:$A,My_Audit!L:L,""),
_xlfn.IFS(_xlpm.MyAuditVal&lt;&gt;"",UPPER(_xlpm.MyAuditVal),_xlpm.MacVal&lt;&gt;"",_xlpm.MacVal,_xlpm.CSVVal&lt;&gt;"",_xlpm.CSVVal
)),"")</f>
        <v/>
      </c>
      <c r="O158" s="2" t="str">
        <f>_xlfn.LET(
    _xlpm.CSVVal, _xlfn.XLOOKUP($A158, CSV!$A:$A, CSV!AC:AC, ""),
    _xlpm.MacVal, _xlfn.XLOOKUP($A158, Output_Mac!$A:$A, Output_Mac!S:S, ""),
    _xlpm.MyAuditVal, _xlfn.XLOOKUP($A158, My_Audit!$A:$A, My_Audit!P:P, ""),
    _xlfn.TEXTJOIN(", ", TRUE, _xlpm.MyAuditVal, _xlpm.MacVal, _xlpm.CSVVal)
)</f>
        <v/>
      </c>
      <c r="P158" s="2" t="str" cm="1">
        <f t="array" ref="P158">IFERROR(_xlfn.LET(
_xlpm.CSVVal,_xlfn.XLOOKUP($A158,CSV!$A:$A,CSV!AD:AD,""),
_xlpm.MacVal,_xlfn.XLOOKUP($A158,Output_Mac!$A:$A,Output_Mac!T:T,""),
_xlpm.MyAuditVal,_xlfn.XLOOKUP($A158,My_Audit!$A:$A,My_Audit!Q:Q,""),
_xlfn.IFS(_xlpm.MyAuditVal&lt;&gt;"",UPPER(_xlpm.MyAuditVal),_xlpm.MacVal&lt;&gt;"",_xlpm.MacVal,_xlpm.CSVVal&lt;&gt;"",_xlpm.CSVVal
)),"No")</f>
        <v>No</v>
      </c>
      <c r="Q158" s="2" t="str" cm="1">
        <f t="array" ref="Q158">IFERROR(_xlfn.LET(
_xlpm.CSVVal,_xlfn.XLOOKUP($A158,CSV!$A:$A,CSV!AE:AE,""),
_xlpm.MacVal,_xlfn.XLOOKUP($A158,Output_Mac!$A:$A,Output_Mac!U:U,""),
_xlpm.MyAuditVal,_xlfn.XLOOKUP($A158,My_Audit!$A:$A,My_Audit!R:R,""),
_xlfn.IFS(_xlpm.MyAuditVal&lt;&gt;"",UPPER(_xlpm.MyAuditVal),_xlpm.MacVal&lt;&gt;"",_xlpm.MacVal,_xlpm.CSVVal&lt;&gt;"",_xlpm.CSVVal
)),"")</f>
        <v/>
      </c>
      <c r="X158" t="str">
        <f>_xlfn.LET(
    _xlpm.MacVal, _xlfn.XLOOKUP($A158, Output_Mac!$A:$A, Output_Mac!AB:AB, ""),
    _xlpm.MyAuditVal, _xlfn.XLOOKUP($A158, My_Audit!$A:$A, My_Audit!N:N, ""),
    _xlfn.TEXTJOIN(", ", TRUE, _xlpm.MyAuditVal, _xlpm.MacVal)
)</f>
        <v/>
      </c>
    </row>
    <row r="159" spans="1:24">
      <c r="A159" s="2" t="str">
        <f>_xlfn.TEXTJOIN("",TRUE,Input!$B$2,ROW(My_Audit!A158))</f>
        <v>X158</v>
      </c>
      <c r="B159" s="2" t="str">
        <f>_xlfn.TEXTJOIN("-",TRUE,"ITD",Input!$A$2,A159)</f>
        <v>ITD-SHR-X158</v>
      </c>
      <c r="C159" s="2" t="str" cm="1">
        <f t="array" ref="C159">IFERROR(_xlfn.LET(
_xlpm.CSVVal,_xlfn.XLOOKUP($A159,CSV!$A:$A,CSV!B:B,""),
_xlpm.MacVal,_xlfn.XLOOKUP($A159,Output_Mac!$A:$A,Output_Mac!B:B,""),
_xlpm.MyAuditVal,_xlfn.XLOOKUP($A159,My_Audit!$A:$A,My_Audit!B:B,""),
_xlfn.IFS(_xlpm.MyAuditVal&lt;&gt;"",UPPER(_xlpm.MyAuditVal),_xlpm.MacVal&lt;&gt;"",_xlpm.MacVal,_xlpm.CSVVal&lt;&gt;"",_xlpm.CSVVal
)),"")</f>
        <v/>
      </c>
      <c r="D159" s="2" t="str" cm="1">
        <f t="array" ref="D159">IFERROR(_xlfn.LET(
_xlpm.CSVVal,_xlfn.XLOOKUP($A159,CSV!$A:$A,CSV!D:D,""),
_xlpm.MacVal,_xlfn.XLOOKUP($A159,Output_Mac!$A:$A,Output_Mac!C:C,""),
_xlpm.MyAuditVal,_xlfn.XLOOKUP($A159,My_Audit!$A:$A,My_Audit!C:C,""),
_xlfn.IFS(_xlpm.MyAuditVal&lt;&gt;"",_xlpm.MyAuditVal,_xlpm.MacVal&lt;&gt;"",_xlpm.MacVal,_xlpm.CSVVal&lt;&gt;"",_xlpm.CSVVal
)),"")</f>
        <v/>
      </c>
      <c r="E159" s="2" t="str">
        <f>_xlfn.XLOOKUP(A159,My_Audit!A:A,My_Audit!D:D,"")&amp;""</f>
        <v/>
      </c>
      <c r="F159" s="2" t="str" cm="1">
        <f t="array" ref="F159">IFERROR(_xlfn.LET(
_xlpm.CSVVal,_xlfn.XLOOKUP($A159,CSV!$A:$A,CSV!F:F,""),
_xlpm.MacVal,_xlfn.XLOOKUP($A159,Output_Mac!$A:$A,Output_Mac!E:E,""),
_xlpm.MyAuditVal,_xlfn.XLOOKUP($A159,My_Audit!$A:$A,My_Audit!E:E,""),
_xlfn.IFS(_xlpm.MyAuditVal&lt;&gt;"",_xlpm.MyAuditVal,_xlpm.MacVal&lt;&gt;"",_xlpm.MacVal,_xlpm.CSVVal&lt;&gt;"",_xlpm.CSVVal
)),"")</f>
        <v/>
      </c>
      <c r="G159" s="2" t="str" cm="1">
        <f t="array" ref="G159">IFERROR(_xlfn.LET(
_xlpm.CSVVal,_xlfn.XLOOKUP($A159,CSV!$A:$A,CSV!G:G,""),
_xlpm.MacVal,_xlfn.XLOOKUP($A159,Output_Mac!$A:$A,Output_Mac!F:F,""),
_xlpm.MyAuditVal,_xlfn.XLOOKUP($A159,My_Audit!$A:$A,My_Audit!F:F,""),
_xlfn.IFS(_xlpm.MyAuditVal&lt;&gt;"",_xlpm.MyAuditVal,_xlpm.MacVal&lt;&gt;"",_xlpm.MacVal,_xlpm.CSVVal&lt;&gt;"",PROPER(_xlpm.CSVVal)
)),"")</f>
        <v/>
      </c>
      <c r="H159" s="2" t="str" cm="1">
        <f t="array" ref="H159">IFERROR(_xlfn.LET(
_xlpm.CSVVal,_xlfn.XLOOKUP($A159,CSV!$A:$A,CSV!H:H,""),
_xlpm.MacVal,_xlfn.XLOOKUP($A159,Output_Mac!$A:$A,Output_Mac!H:H,""),
_xlpm.MyAuditVal,_xlfn.XLOOKUP($A159,My_Audit!$A:$A,My_Audit!G:G,""),
_xlfn.IFS(_xlpm.MyAuditVal&lt;&gt;"",_xlpm.MyAuditVal,_xlpm.MacVal&lt;&gt;"",_xlpm.MacVal,_xlpm.CSVVal&lt;&gt;"",_xlpm.CSVVal
)),"")</f>
        <v/>
      </c>
      <c r="I159" s="2" t="str">
        <f>_xlfn.XLOOKUP(A159,Output_Mac!A:A,Output_Mac!I:I,"")</f>
        <v/>
      </c>
      <c r="J159" s="2" t="str" cm="1">
        <f t="array" ref="J159">IFERROR(_xlfn.LET(
_xlpm.CSVVal,_xlfn.XLOOKUP($A159,CSV!$A:$A,CSV!I:I,""),
_xlpm.MacVal,_xlfn.XLOOKUP($A159,Output_Mac!$A:$A,Output_Mac!J:J,""),
_xlpm.MyAuditVal,_xlfn.XLOOKUP($A159,My_Audit!$A:$A,My_Audit!I:I,""),
_xlfn.IFS(_xlpm.MyAuditVal&lt;&gt;"",UPPER(_xlpm.MyAuditVal),_xlpm.MacVal&lt;&gt;"",_xlpm.MacVal,_xlpm.CSVVal&lt;&gt;"",_xlpm.CSVVal
)),"")</f>
        <v/>
      </c>
      <c r="K159" s="2" t="str" cm="1">
        <f t="array" ref="K159">IFERROR(_xlfn.LET(
_xlpm.CSVVal,_xlfn.XLOOKUP($A159,CSV!$A:$A,CSV!K:K,""),
_xlpm.MacVal,_xlfn.XLOOKUP($A159,Output_Mac!$A:$A,Output_Mac!K:K,""),
_xlpm.MyAuditVal,_xlfn.XLOOKUP($A159,My_Audit!$A:$A,My_Audit!J:J,""),
_xlfn.IFS(_xlpm.MyAuditVal&lt;&gt;"",UPPER(_xlpm.MyAuditVal),_xlpm.MacVal&lt;&gt;"",_xlpm.MacVal,_xlpm.CSVVal&lt;&gt;"",_xlpm.CSVVal
)),"")</f>
        <v/>
      </c>
      <c r="L159" s="2" t="str" cm="1">
        <f t="array" ref="L159">IFERROR(_xlfn.LET(
_xlpm.CSVVal,_xlfn.XLOOKUP($A159,CSV!$A:$A,CSV!P:P,""),
_xlpm.MacVal,_xlfn.XLOOKUP($A159,Output_Mac!$A:$A,Output_Mac!L:L,""),
_xlpm.MyAuditVal,_xlfn.XLOOKUP($A159,My_Audit!$A:$A,My_Audit!K:K,""),
_xlfn.IFS(_xlpm.MyAuditVal&lt;&gt;"",UPPER(_xlpm.MyAuditVal),_xlpm.MacVal&lt;&gt;"",_xlpm.MacVal,_xlpm.CSVVal&lt;&gt;"",_xlpm.CSVVal
)),"")</f>
        <v/>
      </c>
      <c r="M159" s="2" t="str" cm="1">
        <f t="array" ref="M159">IFERROR(_xlfn.LET(
_xlpm.CSVVal,_xlfn.XLOOKUP($A159,CSV!$A:$A,CSV!Q:Q,""),
_xlpm.MacVal,_xlfn.XLOOKUP($A159,Output_Mac!$A:$A,Output_Mac!M:M,""),
_xlpm.MyAuditVal,_xlfn.XLOOKUP($A159,My_Audit!$A:$A,My_Audit!L:L,""),
_xlfn.IFS(_xlpm.MyAuditVal&lt;&gt;"",UPPER(_xlpm.MyAuditVal),_xlpm.MacVal&lt;&gt;"",_xlpm.MacVal,_xlpm.CSVVal&lt;&gt;"",_xlpm.CSVVal
)),"")</f>
        <v/>
      </c>
      <c r="O159" s="2" t="str">
        <f>_xlfn.LET(
    _xlpm.CSVVal, _xlfn.XLOOKUP($A159, CSV!$A:$A, CSV!AC:AC, ""),
    _xlpm.MacVal, _xlfn.XLOOKUP($A159, Output_Mac!$A:$A, Output_Mac!S:S, ""),
    _xlpm.MyAuditVal, _xlfn.XLOOKUP($A159, My_Audit!$A:$A, My_Audit!P:P, ""),
    _xlfn.TEXTJOIN(", ", TRUE, _xlpm.MyAuditVal, _xlpm.MacVal, _xlpm.CSVVal)
)</f>
        <v/>
      </c>
      <c r="P159" s="2" t="str" cm="1">
        <f t="array" ref="P159">IFERROR(_xlfn.LET(
_xlpm.CSVVal,_xlfn.XLOOKUP($A159,CSV!$A:$A,CSV!AD:AD,""),
_xlpm.MacVal,_xlfn.XLOOKUP($A159,Output_Mac!$A:$A,Output_Mac!T:T,""),
_xlpm.MyAuditVal,_xlfn.XLOOKUP($A159,My_Audit!$A:$A,My_Audit!Q:Q,""),
_xlfn.IFS(_xlpm.MyAuditVal&lt;&gt;"",UPPER(_xlpm.MyAuditVal),_xlpm.MacVal&lt;&gt;"",_xlpm.MacVal,_xlpm.CSVVal&lt;&gt;"",_xlpm.CSVVal
)),"No")</f>
        <v>No</v>
      </c>
      <c r="Q159" s="2" t="str" cm="1">
        <f t="array" ref="Q159">IFERROR(_xlfn.LET(
_xlpm.CSVVal,_xlfn.XLOOKUP($A159,CSV!$A:$A,CSV!AE:AE,""),
_xlpm.MacVal,_xlfn.XLOOKUP($A159,Output_Mac!$A:$A,Output_Mac!U:U,""),
_xlpm.MyAuditVal,_xlfn.XLOOKUP($A159,My_Audit!$A:$A,My_Audit!R:R,""),
_xlfn.IFS(_xlpm.MyAuditVal&lt;&gt;"",UPPER(_xlpm.MyAuditVal),_xlpm.MacVal&lt;&gt;"",_xlpm.MacVal,_xlpm.CSVVal&lt;&gt;"",_xlpm.CSVVal
)),"")</f>
        <v/>
      </c>
      <c r="X159" t="str">
        <f>_xlfn.LET(
    _xlpm.MacVal, _xlfn.XLOOKUP($A159, Output_Mac!$A:$A, Output_Mac!AB:AB, ""),
    _xlpm.MyAuditVal, _xlfn.XLOOKUP($A159, My_Audit!$A:$A, My_Audit!N:N, ""),
    _xlfn.TEXTJOIN(", ", TRUE, _xlpm.MyAuditVal, _xlpm.MacVal)
)</f>
        <v/>
      </c>
    </row>
    <row r="160" spans="1:24">
      <c r="A160" s="2" t="str">
        <f>_xlfn.TEXTJOIN("",TRUE,Input!$B$2,ROW(My_Audit!A159))</f>
        <v>X159</v>
      </c>
      <c r="B160" s="2" t="str">
        <f>_xlfn.TEXTJOIN("-",TRUE,"ITD",Input!$A$2,A160)</f>
        <v>ITD-SHR-X159</v>
      </c>
      <c r="C160" s="2" t="str" cm="1">
        <f t="array" ref="C160">IFERROR(_xlfn.LET(
_xlpm.CSVVal,_xlfn.XLOOKUP($A160,CSV!$A:$A,CSV!B:B,""),
_xlpm.MacVal,_xlfn.XLOOKUP($A160,Output_Mac!$A:$A,Output_Mac!B:B,""),
_xlpm.MyAuditVal,_xlfn.XLOOKUP($A160,My_Audit!$A:$A,My_Audit!B:B,""),
_xlfn.IFS(_xlpm.MyAuditVal&lt;&gt;"",UPPER(_xlpm.MyAuditVal),_xlpm.MacVal&lt;&gt;"",_xlpm.MacVal,_xlpm.CSVVal&lt;&gt;"",_xlpm.CSVVal
)),"")</f>
        <v/>
      </c>
      <c r="D160" s="2" t="str" cm="1">
        <f t="array" ref="D160">IFERROR(_xlfn.LET(
_xlpm.CSVVal,_xlfn.XLOOKUP($A160,CSV!$A:$A,CSV!D:D,""),
_xlpm.MacVal,_xlfn.XLOOKUP($A160,Output_Mac!$A:$A,Output_Mac!C:C,""),
_xlpm.MyAuditVal,_xlfn.XLOOKUP($A160,My_Audit!$A:$A,My_Audit!C:C,""),
_xlfn.IFS(_xlpm.MyAuditVal&lt;&gt;"",_xlpm.MyAuditVal,_xlpm.MacVal&lt;&gt;"",_xlpm.MacVal,_xlpm.CSVVal&lt;&gt;"",_xlpm.CSVVal
)),"")</f>
        <v/>
      </c>
      <c r="E160" s="2" t="str">
        <f>_xlfn.XLOOKUP(A160,My_Audit!A:A,My_Audit!D:D,"")&amp;""</f>
        <v/>
      </c>
      <c r="F160" s="2" t="str" cm="1">
        <f t="array" ref="F160">IFERROR(_xlfn.LET(
_xlpm.CSVVal,_xlfn.XLOOKUP($A160,CSV!$A:$A,CSV!F:F,""),
_xlpm.MacVal,_xlfn.XLOOKUP($A160,Output_Mac!$A:$A,Output_Mac!E:E,""),
_xlpm.MyAuditVal,_xlfn.XLOOKUP($A160,My_Audit!$A:$A,My_Audit!E:E,""),
_xlfn.IFS(_xlpm.MyAuditVal&lt;&gt;"",_xlpm.MyAuditVal,_xlpm.MacVal&lt;&gt;"",_xlpm.MacVal,_xlpm.CSVVal&lt;&gt;"",_xlpm.CSVVal
)),"")</f>
        <v/>
      </c>
      <c r="G160" s="2" t="str" cm="1">
        <f t="array" ref="G160">IFERROR(_xlfn.LET(
_xlpm.CSVVal,_xlfn.XLOOKUP($A160,CSV!$A:$A,CSV!G:G,""),
_xlpm.MacVal,_xlfn.XLOOKUP($A160,Output_Mac!$A:$A,Output_Mac!F:F,""),
_xlpm.MyAuditVal,_xlfn.XLOOKUP($A160,My_Audit!$A:$A,My_Audit!F:F,""),
_xlfn.IFS(_xlpm.MyAuditVal&lt;&gt;"",_xlpm.MyAuditVal,_xlpm.MacVal&lt;&gt;"",_xlpm.MacVal,_xlpm.CSVVal&lt;&gt;"",PROPER(_xlpm.CSVVal)
)),"")</f>
        <v/>
      </c>
      <c r="H160" s="2" t="str" cm="1">
        <f t="array" ref="H160">IFERROR(_xlfn.LET(
_xlpm.CSVVal,_xlfn.XLOOKUP($A160,CSV!$A:$A,CSV!H:H,""),
_xlpm.MacVal,_xlfn.XLOOKUP($A160,Output_Mac!$A:$A,Output_Mac!H:H,""),
_xlpm.MyAuditVal,_xlfn.XLOOKUP($A160,My_Audit!$A:$A,My_Audit!G:G,""),
_xlfn.IFS(_xlpm.MyAuditVal&lt;&gt;"",_xlpm.MyAuditVal,_xlpm.MacVal&lt;&gt;"",_xlpm.MacVal,_xlpm.CSVVal&lt;&gt;"",_xlpm.CSVVal
)),"")</f>
        <v/>
      </c>
      <c r="I160" s="2" t="str">
        <f>_xlfn.XLOOKUP(A160,Output_Mac!A:A,Output_Mac!I:I,"")</f>
        <v/>
      </c>
      <c r="J160" s="2" t="str" cm="1">
        <f t="array" ref="J160">IFERROR(_xlfn.LET(
_xlpm.CSVVal,_xlfn.XLOOKUP($A160,CSV!$A:$A,CSV!I:I,""),
_xlpm.MacVal,_xlfn.XLOOKUP($A160,Output_Mac!$A:$A,Output_Mac!J:J,""),
_xlpm.MyAuditVal,_xlfn.XLOOKUP($A160,My_Audit!$A:$A,My_Audit!I:I,""),
_xlfn.IFS(_xlpm.MyAuditVal&lt;&gt;"",UPPER(_xlpm.MyAuditVal),_xlpm.MacVal&lt;&gt;"",_xlpm.MacVal,_xlpm.CSVVal&lt;&gt;"",_xlpm.CSVVal
)),"")</f>
        <v/>
      </c>
      <c r="K160" s="2" t="str" cm="1">
        <f t="array" ref="K160">IFERROR(_xlfn.LET(
_xlpm.CSVVal,_xlfn.XLOOKUP($A160,CSV!$A:$A,CSV!K:K,""),
_xlpm.MacVal,_xlfn.XLOOKUP($A160,Output_Mac!$A:$A,Output_Mac!K:K,""),
_xlpm.MyAuditVal,_xlfn.XLOOKUP($A160,My_Audit!$A:$A,My_Audit!J:J,""),
_xlfn.IFS(_xlpm.MyAuditVal&lt;&gt;"",UPPER(_xlpm.MyAuditVal),_xlpm.MacVal&lt;&gt;"",_xlpm.MacVal,_xlpm.CSVVal&lt;&gt;"",_xlpm.CSVVal
)),"")</f>
        <v/>
      </c>
      <c r="L160" s="2" t="str" cm="1">
        <f t="array" ref="L160">IFERROR(_xlfn.LET(
_xlpm.CSVVal,_xlfn.XLOOKUP($A160,CSV!$A:$A,CSV!P:P,""),
_xlpm.MacVal,_xlfn.XLOOKUP($A160,Output_Mac!$A:$A,Output_Mac!L:L,""),
_xlpm.MyAuditVal,_xlfn.XLOOKUP($A160,My_Audit!$A:$A,My_Audit!K:K,""),
_xlfn.IFS(_xlpm.MyAuditVal&lt;&gt;"",UPPER(_xlpm.MyAuditVal),_xlpm.MacVal&lt;&gt;"",_xlpm.MacVal,_xlpm.CSVVal&lt;&gt;"",_xlpm.CSVVal
)),"")</f>
        <v/>
      </c>
      <c r="M160" s="2" t="str" cm="1">
        <f t="array" ref="M160">IFERROR(_xlfn.LET(
_xlpm.CSVVal,_xlfn.XLOOKUP($A160,CSV!$A:$A,CSV!Q:Q,""),
_xlpm.MacVal,_xlfn.XLOOKUP($A160,Output_Mac!$A:$A,Output_Mac!M:M,""),
_xlpm.MyAuditVal,_xlfn.XLOOKUP($A160,My_Audit!$A:$A,My_Audit!L:L,""),
_xlfn.IFS(_xlpm.MyAuditVal&lt;&gt;"",UPPER(_xlpm.MyAuditVal),_xlpm.MacVal&lt;&gt;"",_xlpm.MacVal,_xlpm.CSVVal&lt;&gt;"",_xlpm.CSVVal
)),"")</f>
        <v/>
      </c>
      <c r="O160" s="2" t="str">
        <f>_xlfn.LET(
    _xlpm.CSVVal, _xlfn.XLOOKUP($A160, CSV!$A:$A, CSV!AC:AC, ""),
    _xlpm.MacVal, _xlfn.XLOOKUP($A160, Output_Mac!$A:$A, Output_Mac!S:S, ""),
    _xlpm.MyAuditVal, _xlfn.XLOOKUP($A160, My_Audit!$A:$A, My_Audit!P:P, ""),
    _xlfn.TEXTJOIN(", ", TRUE, _xlpm.MyAuditVal, _xlpm.MacVal, _xlpm.CSVVal)
)</f>
        <v/>
      </c>
      <c r="P160" s="2" t="str" cm="1">
        <f t="array" ref="P160">IFERROR(_xlfn.LET(
_xlpm.CSVVal,_xlfn.XLOOKUP($A160,CSV!$A:$A,CSV!AD:AD,""),
_xlpm.MacVal,_xlfn.XLOOKUP($A160,Output_Mac!$A:$A,Output_Mac!T:T,""),
_xlpm.MyAuditVal,_xlfn.XLOOKUP($A160,My_Audit!$A:$A,My_Audit!Q:Q,""),
_xlfn.IFS(_xlpm.MyAuditVal&lt;&gt;"",UPPER(_xlpm.MyAuditVal),_xlpm.MacVal&lt;&gt;"",_xlpm.MacVal,_xlpm.CSVVal&lt;&gt;"",_xlpm.CSVVal
)),"No")</f>
        <v>No</v>
      </c>
      <c r="Q160" s="2" t="str" cm="1">
        <f t="array" ref="Q160">IFERROR(_xlfn.LET(
_xlpm.CSVVal,_xlfn.XLOOKUP($A160,CSV!$A:$A,CSV!AE:AE,""),
_xlpm.MacVal,_xlfn.XLOOKUP($A160,Output_Mac!$A:$A,Output_Mac!U:U,""),
_xlpm.MyAuditVal,_xlfn.XLOOKUP($A160,My_Audit!$A:$A,My_Audit!R:R,""),
_xlfn.IFS(_xlpm.MyAuditVal&lt;&gt;"",UPPER(_xlpm.MyAuditVal),_xlpm.MacVal&lt;&gt;"",_xlpm.MacVal,_xlpm.CSVVal&lt;&gt;"",_xlpm.CSVVal
)),"")</f>
        <v/>
      </c>
      <c r="X160" t="str">
        <f>_xlfn.LET(
    _xlpm.MacVal, _xlfn.XLOOKUP($A160, Output_Mac!$A:$A, Output_Mac!AB:AB, ""),
    _xlpm.MyAuditVal, _xlfn.XLOOKUP($A160, My_Audit!$A:$A, My_Audit!N:N, ""),
    _xlfn.TEXTJOIN(", ", TRUE, _xlpm.MyAuditVal, _xlpm.MacVal)
)</f>
        <v/>
      </c>
    </row>
    <row r="161" spans="1:24">
      <c r="A161" s="2" t="str">
        <f>_xlfn.TEXTJOIN("",TRUE,Input!$B$2,ROW(My_Audit!A160))</f>
        <v>X160</v>
      </c>
      <c r="B161" s="2" t="str">
        <f>_xlfn.TEXTJOIN("-",TRUE,"ITD",Input!$A$2,A161)</f>
        <v>ITD-SHR-X160</v>
      </c>
      <c r="C161" s="2" t="str" cm="1">
        <f t="array" ref="C161">IFERROR(_xlfn.LET(
_xlpm.CSVVal,_xlfn.XLOOKUP($A161,CSV!$A:$A,CSV!B:B,""),
_xlpm.MacVal,_xlfn.XLOOKUP($A161,Output_Mac!$A:$A,Output_Mac!B:B,""),
_xlpm.MyAuditVal,_xlfn.XLOOKUP($A161,My_Audit!$A:$A,My_Audit!B:B,""),
_xlfn.IFS(_xlpm.MyAuditVal&lt;&gt;"",UPPER(_xlpm.MyAuditVal),_xlpm.MacVal&lt;&gt;"",_xlpm.MacVal,_xlpm.CSVVal&lt;&gt;"",_xlpm.CSVVal
)),"")</f>
        <v/>
      </c>
      <c r="D161" s="2" t="str" cm="1">
        <f t="array" ref="D161">IFERROR(_xlfn.LET(
_xlpm.CSVVal,_xlfn.XLOOKUP($A161,CSV!$A:$A,CSV!D:D,""),
_xlpm.MacVal,_xlfn.XLOOKUP($A161,Output_Mac!$A:$A,Output_Mac!C:C,""),
_xlpm.MyAuditVal,_xlfn.XLOOKUP($A161,My_Audit!$A:$A,My_Audit!C:C,""),
_xlfn.IFS(_xlpm.MyAuditVal&lt;&gt;"",_xlpm.MyAuditVal,_xlpm.MacVal&lt;&gt;"",_xlpm.MacVal,_xlpm.CSVVal&lt;&gt;"",_xlpm.CSVVal
)),"")</f>
        <v/>
      </c>
      <c r="E161" s="2" t="str">
        <f>_xlfn.XLOOKUP(A161,My_Audit!A:A,My_Audit!D:D,"")&amp;""</f>
        <v/>
      </c>
      <c r="F161" s="2" t="str" cm="1">
        <f t="array" ref="F161">IFERROR(_xlfn.LET(
_xlpm.CSVVal,_xlfn.XLOOKUP($A161,CSV!$A:$A,CSV!F:F,""),
_xlpm.MacVal,_xlfn.XLOOKUP($A161,Output_Mac!$A:$A,Output_Mac!E:E,""),
_xlpm.MyAuditVal,_xlfn.XLOOKUP($A161,My_Audit!$A:$A,My_Audit!E:E,""),
_xlfn.IFS(_xlpm.MyAuditVal&lt;&gt;"",_xlpm.MyAuditVal,_xlpm.MacVal&lt;&gt;"",_xlpm.MacVal,_xlpm.CSVVal&lt;&gt;"",_xlpm.CSVVal
)),"")</f>
        <v/>
      </c>
      <c r="G161" s="2" t="str" cm="1">
        <f t="array" ref="G161">IFERROR(_xlfn.LET(
_xlpm.CSVVal,_xlfn.XLOOKUP($A161,CSV!$A:$A,CSV!G:G,""),
_xlpm.MacVal,_xlfn.XLOOKUP($A161,Output_Mac!$A:$A,Output_Mac!F:F,""),
_xlpm.MyAuditVal,_xlfn.XLOOKUP($A161,My_Audit!$A:$A,My_Audit!F:F,""),
_xlfn.IFS(_xlpm.MyAuditVal&lt;&gt;"",_xlpm.MyAuditVal,_xlpm.MacVal&lt;&gt;"",_xlpm.MacVal,_xlpm.CSVVal&lt;&gt;"",PROPER(_xlpm.CSVVal)
)),"")</f>
        <v/>
      </c>
      <c r="H161" s="2" t="str" cm="1">
        <f t="array" ref="H161">IFERROR(_xlfn.LET(
_xlpm.CSVVal,_xlfn.XLOOKUP($A161,CSV!$A:$A,CSV!H:H,""),
_xlpm.MacVal,_xlfn.XLOOKUP($A161,Output_Mac!$A:$A,Output_Mac!H:H,""),
_xlpm.MyAuditVal,_xlfn.XLOOKUP($A161,My_Audit!$A:$A,My_Audit!G:G,""),
_xlfn.IFS(_xlpm.MyAuditVal&lt;&gt;"",_xlpm.MyAuditVal,_xlpm.MacVal&lt;&gt;"",_xlpm.MacVal,_xlpm.CSVVal&lt;&gt;"",_xlpm.CSVVal
)),"")</f>
        <v/>
      </c>
      <c r="I161" s="2" t="str">
        <f>_xlfn.XLOOKUP(A161,Output_Mac!A:A,Output_Mac!I:I,"")</f>
        <v/>
      </c>
      <c r="J161" s="2" t="str" cm="1">
        <f t="array" ref="J161">IFERROR(_xlfn.LET(
_xlpm.CSVVal,_xlfn.XLOOKUP($A161,CSV!$A:$A,CSV!I:I,""),
_xlpm.MacVal,_xlfn.XLOOKUP($A161,Output_Mac!$A:$A,Output_Mac!J:J,""),
_xlpm.MyAuditVal,_xlfn.XLOOKUP($A161,My_Audit!$A:$A,My_Audit!I:I,""),
_xlfn.IFS(_xlpm.MyAuditVal&lt;&gt;"",UPPER(_xlpm.MyAuditVal),_xlpm.MacVal&lt;&gt;"",_xlpm.MacVal,_xlpm.CSVVal&lt;&gt;"",_xlpm.CSVVal
)),"")</f>
        <v/>
      </c>
      <c r="K161" s="2" t="str" cm="1">
        <f t="array" ref="K161">IFERROR(_xlfn.LET(
_xlpm.CSVVal,_xlfn.XLOOKUP($A161,CSV!$A:$A,CSV!K:K,""),
_xlpm.MacVal,_xlfn.XLOOKUP($A161,Output_Mac!$A:$A,Output_Mac!K:K,""),
_xlpm.MyAuditVal,_xlfn.XLOOKUP($A161,My_Audit!$A:$A,My_Audit!J:J,""),
_xlfn.IFS(_xlpm.MyAuditVal&lt;&gt;"",UPPER(_xlpm.MyAuditVal),_xlpm.MacVal&lt;&gt;"",_xlpm.MacVal,_xlpm.CSVVal&lt;&gt;"",_xlpm.CSVVal
)),"")</f>
        <v/>
      </c>
      <c r="L161" s="2" t="str" cm="1">
        <f t="array" ref="L161">IFERROR(_xlfn.LET(
_xlpm.CSVVal,_xlfn.XLOOKUP($A161,CSV!$A:$A,CSV!P:P,""),
_xlpm.MacVal,_xlfn.XLOOKUP($A161,Output_Mac!$A:$A,Output_Mac!L:L,""),
_xlpm.MyAuditVal,_xlfn.XLOOKUP($A161,My_Audit!$A:$A,My_Audit!K:K,""),
_xlfn.IFS(_xlpm.MyAuditVal&lt;&gt;"",UPPER(_xlpm.MyAuditVal),_xlpm.MacVal&lt;&gt;"",_xlpm.MacVal,_xlpm.CSVVal&lt;&gt;"",_xlpm.CSVVal
)),"")</f>
        <v/>
      </c>
      <c r="M161" s="2" t="str" cm="1">
        <f t="array" ref="M161">IFERROR(_xlfn.LET(
_xlpm.CSVVal,_xlfn.XLOOKUP($A161,CSV!$A:$A,CSV!Q:Q,""),
_xlpm.MacVal,_xlfn.XLOOKUP($A161,Output_Mac!$A:$A,Output_Mac!M:M,""),
_xlpm.MyAuditVal,_xlfn.XLOOKUP($A161,My_Audit!$A:$A,My_Audit!L:L,""),
_xlfn.IFS(_xlpm.MyAuditVal&lt;&gt;"",UPPER(_xlpm.MyAuditVal),_xlpm.MacVal&lt;&gt;"",_xlpm.MacVal,_xlpm.CSVVal&lt;&gt;"",_xlpm.CSVVal
)),"")</f>
        <v/>
      </c>
      <c r="O161" s="2" t="str">
        <f>_xlfn.LET(
    _xlpm.CSVVal, _xlfn.XLOOKUP($A161, CSV!$A:$A, CSV!AC:AC, ""),
    _xlpm.MacVal, _xlfn.XLOOKUP($A161, Output_Mac!$A:$A, Output_Mac!S:S, ""),
    _xlpm.MyAuditVal, _xlfn.XLOOKUP($A161, My_Audit!$A:$A, My_Audit!P:P, ""),
    _xlfn.TEXTJOIN(", ", TRUE, _xlpm.MyAuditVal, _xlpm.MacVal, _xlpm.CSVVal)
)</f>
        <v/>
      </c>
      <c r="P161" s="2" t="str" cm="1">
        <f t="array" ref="P161">IFERROR(_xlfn.LET(
_xlpm.CSVVal,_xlfn.XLOOKUP($A161,CSV!$A:$A,CSV!AD:AD,""),
_xlpm.MacVal,_xlfn.XLOOKUP($A161,Output_Mac!$A:$A,Output_Mac!T:T,""),
_xlpm.MyAuditVal,_xlfn.XLOOKUP($A161,My_Audit!$A:$A,My_Audit!Q:Q,""),
_xlfn.IFS(_xlpm.MyAuditVal&lt;&gt;"",UPPER(_xlpm.MyAuditVal),_xlpm.MacVal&lt;&gt;"",_xlpm.MacVal,_xlpm.CSVVal&lt;&gt;"",_xlpm.CSVVal
)),"No")</f>
        <v>No</v>
      </c>
      <c r="Q161" s="2" t="str" cm="1">
        <f t="array" ref="Q161">IFERROR(_xlfn.LET(
_xlpm.CSVVal,_xlfn.XLOOKUP($A161,CSV!$A:$A,CSV!AE:AE,""),
_xlpm.MacVal,_xlfn.XLOOKUP($A161,Output_Mac!$A:$A,Output_Mac!U:U,""),
_xlpm.MyAuditVal,_xlfn.XLOOKUP($A161,My_Audit!$A:$A,My_Audit!R:R,""),
_xlfn.IFS(_xlpm.MyAuditVal&lt;&gt;"",UPPER(_xlpm.MyAuditVal),_xlpm.MacVal&lt;&gt;"",_xlpm.MacVal,_xlpm.CSVVal&lt;&gt;"",_xlpm.CSVVal
)),"")</f>
        <v/>
      </c>
      <c r="X161" t="str">
        <f>_xlfn.LET(
    _xlpm.MacVal, _xlfn.XLOOKUP($A161, Output_Mac!$A:$A, Output_Mac!AB:AB, ""),
    _xlpm.MyAuditVal, _xlfn.XLOOKUP($A161, My_Audit!$A:$A, My_Audit!N:N, ""),
    _xlfn.TEXTJOIN(", ", TRUE, _xlpm.MyAuditVal, _xlpm.MacVal)
)</f>
        <v/>
      </c>
    </row>
    <row r="162" spans="1:24">
      <c r="A162" s="2" t="str">
        <f>_xlfn.TEXTJOIN("",TRUE,Input!$B$2,ROW(My_Audit!A161))</f>
        <v>X161</v>
      </c>
      <c r="B162" s="2" t="str">
        <f>_xlfn.TEXTJOIN("-",TRUE,"ITD",Input!$A$2,A162)</f>
        <v>ITD-SHR-X161</v>
      </c>
      <c r="C162" s="2" t="str" cm="1">
        <f t="array" ref="C162">IFERROR(_xlfn.LET(
_xlpm.CSVVal,_xlfn.XLOOKUP($A162,CSV!$A:$A,CSV!B:B,""),
_xlpm.MacVal,_xlfn.XLOOKUP($A162,Output_Mac!$A:$A,Output_Mac!B:B,""),
_xlpm.MyAuditVal,_xlfn.XLOOKUP($A162,My_Audit!$A:$A,My_Audit!B:B,""),
_xlfn.IFS(_xlpm.MyAuditVal&lt;&gt;"",UPPER(_xlpm.MyAuditVal),_xlpm.MacVal&lt;&gt;"",_xlpm.MacVal,_xlpm.CSVVal&lt;&gt;"",_xlpm.CSVVal
)),"")</f>
        <v/>
      </c>
      <c r="D162" s="2" t="str" cm="1">
        <f t="array" ref="D162">IFERROR(_xlfn.LET(
_xlpm.CSVVal,_xlfn.XLOOKUP($A162,CSV!$A:$A,CSV!D:D,""),
_xlpm.MacVal,_xlfn.XLOOKUP($A162,Output_Mac!$A:$A,Output_Mac!C:C,""),
_xlpm.MyAuditVal,_xlfn.XLOOKUP($A162,My_Audit!$A:$A,My_Audit!C:C,""),
_xlfn.IFS(_xlpm.MyAuditVal&lt;&gt;"",_xlpm.MyAuditVal,_xlpm.MacVal&lt;&gt;"",_xlpm.MacVal,_xlpm.CSVVal&lt;&gt;"",_xlpm.CSVVal
)),"")</f>
        <v/>
      </c>
      <c r="E162" s="2" t="str">
        <f>_xlfn.XLOOKUP(A162,My_Audit!A:A,My_Audit!D:D,"")&amp;""</f>
        <v/>
      </c>
      <c r="F162" s="2" t="str" cm="1">
        <f t="array" ref="F162">IFERROR(_xlfn.LET(
_xlpm.CSVVal,_xlfn.XLOOKUP($A162,CSV!$A:$A,CSV!F:F,""),
_xlpm.MacVal,_xlfn.XLOOKUP($A162,Output_Mac!$A:$A,Output_Mac!E:E,""),
_xlpm.MyAuditVal,_xlfn.XLOOKUP($A162,My_Audit!$A:$A,My_Audit!E:E,""),
_xlfn.IFS(_xlpm.MyAuditVal&lt;&gt;"",_xlpm.MyAuditVal,_xlpm.MacVal&lt;&gt;"",_xlpm.MacVal,_xlpm.CSVVal&lt;&gt;"",_xlpm.CSVVal
)),"")</f>
        <v/>
      </c>
      <c r="G162" s="2" t="str" cm="1">
        <f t="array" ref="G162">IFERROR(_xlfn.LET(
_xlpm.CSVVal,_xlfn.XLOOKUP($A162,CSV!$A:$A,CSV!G:G,""),
_xlpm.MacVal,_xlfn.XLOOKUP($A162,Output_Mac!$A:$A,Output_Mac!F:F,""),
_xlpm.MyAuditVal,_xlfn.XLOOKUP($A162,My_Audit!$A:$A,My_Audit!F:F,""),
_xlfn.IFS(_xlpm.MyAuditVal&lt;&gt;"",_xlpm.MyAuditVal,_xlpm.MacVal&lt;&gt;"",_xlpm.MacVal,_xlpm.CSVVal&lt;&gt;"",PROPER(_xlpm.CSVVal)
)),"")</f>
        <v/>
      </c>
      <c r="H162" s="2" t="str" cm="1">
        <f t="array" ref="H162">IFERROR(_xlfn.LET(
_xlpm.CSVVal,_xlfn.XLOOKUP($A162,CSV!$A:$A,CSV!H:H,""),
_xlpm.MacVal,_xlfn.XLOOKUP($A162,Output_Mac!$A:$A,Output_Mac!H:H,""),
_xlpm.MyAuditVal,_xlfn.XLOOKUP($A162,My_Audit!$A:$A,My_Audit!G:G,""),
_xlfn.IFS(_xlpm.MyAuditVal&lt;&gt;"",_xlpm.MyAuditVal,_xlpm.MacVal&lt;&gt;"",_xlpm.MacVal,_xlpm.CSVVal&lt;&gt;"",_xlpm.CSVVal
)),"")</f>
        <v/>
      </c>
      <c r="I162" s="2" t="str">
        <f>_xlfn.XLOOKUP(A162,Output_Mac!A:A,Output_Mac!I:I,"")</f>
        <v/>
      </c>
      <c r="J162" s="2" t="str" cm="1">
        <f t="array" ref="J162">IFERROR(_xlfn.LET(
_xlpm.CSVVal,_xlfn.XLOOKUP($A162,CSV!$A:$A,CSV!I:I,""),
_xlpm.MacVal,_xlfn.XLOOKUP($A162,Output_Mac!$A:$A,Output_Mac!J:J,""),
_xlpm.MyAuditVal,_xlfn.XLOOKUP($A162,My_Audit!$A:$A,My_Audit!I:I,""),
_xlfn.IFS(_xlpm.MyAuditVal&lt;&gt;"",UPPER(_xlpm.MyAuditVal),_xlpm.MacVal&lt;&gt;"",_xlpm.MacVal,_xlpm.CSVVal&lt;&gt;"",_xlpm.CSVVal
)),"")</f>
        <v/>
      </c>
      <c r="K162" s="2" t="str" cm="1">
        <f t="array" ref="K162">IFERROR(_xlfn.LET(
_xlpm.CSVVal,_xlfn.XLOOKUP($A162,CSV!$A:$A,CSV!K:K,""),
_xlpm.MacVal,_xlfn.XLOOKUP($A162,Output_Mac!$A:$A,Output_Mac!K:K,""),
_xlpm.MyAuditVal,_xlfn.XLOOKUP($A162,My_Audit!$A:$A,My_Audit!J:J,""),
_xlfn.IFS(_xlpm.MyAuditVal&lt;&gt;"",UPPER(_xlpm.MyAuditVal),_xlpm.MacVal&lt;&gt;"",_xlpm.MacVal,_xlpm.CSVVal&lt;&gt;"",_xlpm.CSVVal
)),"")</f>
        <v/>
      </c>
      <c r="L162" s="2" t="str" cm="1">
        <f t="array" ref="L162">IFERROR(_xlfn.LET(
_xlpm.CSVVal,_xlfn.XLOOKUP($A162,CSV!$A:$A,CSV!P:P,""),
_xlpm.MacVal,_xlfn.XLOOKUP($A162,Output_Mac!$A:$A,Output_Mac!L:L,""),
_xlpm.MyAuditVal,_xlfn.XLOOKUP($A162,My_Audit!$A:$A,My_Audit!K:K,""),
_xlfn.IFS(_xlpm.MyAuditVal&lt;&gt;"",UPPER(_xlpm.MyAuditVal),_xlpm.MacVal&lt;&gt;"",_xlpm.MacVal,_xlpm.CSVVal&lt;&gt;"",_xlpm.CSVVal
)),"")</f>
        <v/>
      </c>
      <c r="M162" s="2" t="str" cm="1">
        <f t="array" ref="M162">IFERROR(_xlfn.LET(
_xlpm.CSVVal,_xlfn.XLOOKUP($A162,CSV!$A:$A,CSV!Q:Q,""),
_xlpm.MacVal,_xlfn.XLOOKUP($A162,Output_Mac!$A:$A,Output_Mac!M:M,""),
_xlpm.MyAuditVal,_xlfn.XLOOKUP($A162,My_Audit!$A:$A,My_Audit!L:L,""),
_xlfn.IFS(_xlpm.MyAuditVal&lt;&gt;"",UPPER(_xlpm.MyAuditVal),_xlpm.MacVal&lt;&gt;"",_xlpm.MacVal,_xlpm.CSVVal&lt;&gt;"",_xlpm.CSVVal
)),"")</f>
        <v/>
      </c>
      <c r="O162" s="2" t="str">
        <f>_xlfn.LET(
    _xlpm.CSVVal, _xlfn.XLOOKUP($A162, CSV!$A:$A, CSV!AC:AC, ""),
    _xlpm.MacVal, _xlfn.XLOOKUP($A162, Output_Mac!$A:$A, Output_Mac!S:S, ""),
    _xlpm.MyAuditVal, _xlfn.XLOOKUP($A162, My_Audit!$A:$A, My_Audit!P:P, ""),
    _xlfn.TEXTJOIN(", ", TRUE, _xlpm.MyAuditVal, _xlpm.MacVal, _xlpm.CSVVal)
)</f>
        <v/>
      </c>
      <c r="P162" s="2" t="str" cm="1">
        <f t="array" ref="P162">IFERROR(_xlfn.LET(
_xlpm.CSVVal,_xlfn.XLOOKUP($A162,CSV!$A:$A,CSV!AD:AD,""),
_xlpm.MacVal,_xlfn.XLOOKUP($A162,Output_Mac!$A:$A,Output_Mac!T:T,""),
_xlpm.MyAuditVal,_xlfn.XLOOKUP($A162,My_Audit!$A:$A,My_Audit!Q:Q,""),
_xlfn.IFS(_xlpm.MyAuditVal&lt;&gt;"",UPPER(_xlpm.MyAuditVal),_xlpm.MacVal&lt;&gt;"",_xlpm.MacVal,_xlpm.CSVVal&lt;&gt;"",_xlpm.CSVVal
)),"No")</f>
        <v>No</v>
      </c>
      <c r="Q162" s="2" t="str" cm="1">
        <f t="array" ref="Q162">IFERROR(_xlfn.LET(
_xlpm.CSVVal,_xlfn.XLOOKUP($A162,CSV!$A:$A,CSV!AE:AE,""),
_xlpm.MacVal,_xlfn.XLOOKUP($A162,Output_Mac!$A:$A,Output_Mac!U:U,""),
_xlpm.MyAuditVal,_xlfn.XLOOKUP($A162,My_Audit!$A:$A,My_Audit!R:R,""),
_xlfn.IFS(_xlpm.MyAuditVal&lt;&gt;"",UPPER(_xlpm.MyAuditVal),_xlpm.MacVal&lt;&gt;"",_xlpm.MacVal,_xlpm.CSVVal&lt;&gt;"",_xlpm.CSVVal
)),"")</f>
        <v/>
      </c>
      <c r="X162" t="str">
        <f>_xlfn.LET(
    _xlpm.MacVal, _xlfn.XLOOKUP($A162, Output_Mac!$A:$A, Output_Mac!AB:AB, ""),
    _xlpm.MyAuditVal, _xlfn.XLOOKUP($A162, My_Audit!$A:$A, My_Audit!N:N, ""),
    _xlfn.TEXTJOIN(", ", TRUE, _xlpm.MyAuditVal, _xlpm.MacVal)
)</f>
        <v/>
      </c>
    </row>
    <row r="163" spans="1:24">
      <c r="A163" s="2" t="str">
        <f>_xlfn.TEXTJOIN("",TRUE,Input!$B$2,ROW(My_Audit!A162))</f>
        <v>X162</v>
      </c>
      <c r="B163" s="2" t="str">
        <f>_xlfn.TEXTJOIN("-",TRUE,"ITD",Input!$A$2,A163)</f>
        <v>ITD-SHR-X162</v>
      </c>
      <c r="C163" s="2" t="str" cm="1">
        <f t="array" ref="C163">IFERROR(_xlfn.LET(
_xlpm.CSVVal,_xlfn.XLOOKUP($A163,CSV!$A:$A,CSV!B:B,""),
_xlpm.MacVal,_xlfn.XLOOKUP($A163,Output_Mac!$A:$A,Output_Mac!B:B,""),
_xlpm.MyAuditVal,_xlfn.XLOOKUP($A163,My_Audit!$A:$A,My_Audit!B:B,""),
_xlfn.IFS(_xlpm.MyAuditVal&lt;&gt;"",UPPER(_xlpm.MyAuditVal),_xlpm.MacVal&lt;&gt;"",_xlpm.MacVal,_xlpm.CSVVal&lt;&gt;"",_xlpm.CSVVal
)),"")</f>
        <v/>
      </c>
      <c r="D163" s="2" t="str" cm="1">
        <f t="array" ref="D163">IFERROR(_xlfn.LET(
_xlpm.CSVVal,_xlfn.XLOOKUP($A163,CSV!$A:$A,CSV!D:D,""),
_xlpm.MacVal,_xlfn.XLOOKUP($A163,Output_Mac!$A:$A,Output_Mac!C:C,""),
_xlpm.MyAuditVal,_xlfn.XLOOKUP($A163,My_Audit!$A:$A,My_Audit!C:C,""),
_xlfn.IFS(_xlpm.MyAuditVal&lt;&gt;"",_xlpm.MyAuditVal,_xlpm.MacVal&lt;&gt;"",_xlpm.MacVal,_xlpm.CSVVal&lt;&gt;"",_xlpm.CSVVal
)),"")</f>
        <v/>
      </c>
      <c r="E163" s="2" t="str">
        <f>_xlfn.XLOOKUP(A163,My_Audit!A:A,My_Audit!D:D,"")&amp;""</f>
        <v/>
      </c>
      <c r="F163" s="2" t="str" cm="1">
        <f t="array" ref="F163">IFERROR(_xlfn.LET(
_xlpm.CSVVal,_xlfn.XLOOKUP($A163,CSV!$A:$A,CSV!F:F,""),
_xlpm.MacVal,_xlfn.XLOOKUP($A163,Output_Mac!$A:$A,Output_Mac!E:E,""),
_xlpm.MyAuditVal,_xlfn.XLOOKUP($A163,My_Audit!$A:$A,My_Audit!E:E,""),
_xlfn.IFS(_xlpm.MyAuditVal&lt;&gt;"",_xlpm.MyAuditVal,_xlpm.MacVal&lt;&gt;"",_xlpm.MacVal,_xlpm.CSVVal&lt;&gt;"",_xlpm.CSVVal
)),"")</f>
        <v/>
      </c>
      <c r="G163" s="2" t="str" cm="1">
        <f t="array" ref="G163">IFERROR(_xlfn.LET(
_xlpm.CSVVal,_xlfn.XLOOKUP($A163,CSV!$A:$A,CSV!G:G,""),
_xlpm.MacVal,_xlfn.XLOOKUP($A163,Output_Mac!$A:$A,Output_Mac!F:F,""),
_xlpm.MyAuditVal,_xlfn.XLOOKUP($A163,My_Audit!$A:$A,My_Audit!F:F,""),
_xlfn.IFS(_xlpm.MyAuditVal&lt;&gt;"",_xlpm.MyAuditVal,_xlpm.MacVal&lt;&gt;"",_xlpm.MacVal,_xlpm.CSVVal&lt;&gt;"",PROPER(_xlpm.CSVVal)
)),"")</f>
        <v/>
      </c>
      <c r="H163" s="2" t="str" cm="1">
        <f t="array" ref="H163">IFERROR(_xlfn.LET(
_xlpm.CSVVal,_xlfn.XLOOKUP($A163,CSV!$A:$A,CSV!H:H,""),
_xlpm.MacVal,_xlfn.XLOOKUP($A163,Output_Mac!$A:$A,Output_Mac!H:H,""),
_xlpm.MyAuditVal,_xlfn.XLOOKUP($A163,My_Audit!$A:$A,My_Audit!G:G,""),
_xlfn.IFS(_xlpm.MyAuditVal&lt;&gt;"",_xlpm.MyAuditVal,_xlpm.MacVal&lt;&gt;"",_xlpm.MacVal,_xlpm.CSVVal&lt;&gt;"",_xlpm.CSVVal
)),"")</f>
        <v/>
      </c>
      <c r="I163" s="2" t="str">
        <f>_xlfn.XLOOKUP(A163,Output_Mac!A:A,Output_Mac!I:I,"")</f>
        <v/>
      </c>
      <c r="J163" s="2" t="str" cm="1">
        <f t="array" ref="J163">IFERROR(_xlfn.LET(
_xlpm.CSVVal,_xlfn.XLOOKUP($A163,CSV!$A:$A,CSV!I:I,""),
_xlpm.MacVal,_xlfn.XLOOKUP($A163,Output_Mac!$A:$A,Output_Mac!J:J,""),
_xlpm.MyAuditVal,_xlfn.XLOOKUP($A163,My_Audit!$A:$A,My_Audit!I:I,""),
_xlfn.IFS(_xlpm.MyAuditVal&lt;&gt;"",UPPER(_xlpm.MyAuditVal),_xlpm.MacVal&lt;&gt;"",_xlpm.MacVal,_xlpm.CSVVal&lt;&gt;"",_xlpm.CSVVal
)),"")</f>
        <v/>
      </c>
      <c r="K163" s="2" t="str" cm="1">
        <f t="array" ref="K163">IFERROR(_xlfn.LET(
_xlpm.CSVVal,_xlfn.XLOOKUP($A163,CSV!$A:$A,CSV!K:K,""),
_xlpm.MacVal,_xlfn.XLOOKUP($A163,Output_Mac!$A:$A,Output_Mac!K:K,""),
_xlpm.MyAuditVal,_xlfn.XLOOKUP($A163,My_Audit!$A:$A,My_Audit!J:J,""),
_xlfn.IFS(_xlpm.MyAuditVal&lt;&gt;"",UPPER(_xlpm.MyAuditVal),_xlpm.MacVal&lt;&gt;"",_xlpm.MacVal,_xlpm.CSVVal&lt;&gt;"",_xlpm.CSVVal
)),"")</f>
        <v/>
      </c>
      <c r="L163" s="2" t="str" cm="1">
        <f t="array" ref="L163">IFERROR(_xlfn.LET(
_xlpm.CSVVal,_xlfn.XLOOKUP($A163,CSV!$A:$A,CSV!P:P,""),
_xlpm.MacVal,_xlfn.XLOOKUP($A163,Output_Mac!$A:$A,Output_Mac!L:L,""),
_xlpm.MyAuditVal,_xlfn.XLOOKUP($A163,My_Audit!$A:$A,My_Audit!K:K,""),
_xlfn.IFS(_xlpm.MyAuditVal&lt;&gt;"",UPPER(_xlpm.MyAuditVal),_xlpm.MacVal&lt;&gt;"",_xlpm.MacVal,_xlpm.CSVVal&lt;&gt;"",_xlpm.CSVVal
)),"")</f>
        <v/>
      </c>
      <c r="M163" s="2" t="str" cm="1">
        <f t="array" ref="M163">IFERROR(_xlfn.LET(
_xlpm.CSVVal,_xlfn.XLOOKUP($A163,CSV!$A:$A,CSV!Q:Q,""),
_xlpm.MacVal,_xlfn.XLOOKUP($A163,Output_Mac!$A:$A,Output_Mac!M:M,""),
_xlpm.MyAuditVal,_xlfn.XLOOKUP($A163,My_Audit!$A:$A,My_Audit!L:L,""),
_xlfn.IFS(_xlpm.MyAuditVal&lt;&gt;"",UPPER(_xlpm.MyAuditVal),_xlpm.MacVal&lt;&gt;"",_xlpm.MacVal,_xlpm.CSVVal&lt;&gt;"",_xlpm.CSVVal
)),"")</f>
        <v/>
      </c>
      <c r="O163" s="2" t="str">
        <f>_xlfn.LET(
    _xlpm.CSVVal, _xlfn.XLOOKUP($A163, CSV!$A:$A, CSV!AC:AC, ""),
    _xlpm.MacVal, _xlfn.XLOOKUP($A163, Output_Mac!$A:$A, Output_Mac!S:S, ""),
    _xlpm.MyAuditVal, _xlfn.XLOOKUP($A163, My_Audit!$A:$A, My_Audit!P:P, ""),
    _xlfn.TEXTJOIN(", ", TRUE, _xlpm.MyAuditVal, _xlpm.MacVal, _xlpm.CSVVal)
)</f>
        <v/>
      </c>
      <c r="P163" s="2" t="str" cm="1">
        <f t="array" ref="P163">IFERROR(_xlfn.LET(
_xlpm.CSVVal,_xlfn.XLOOKUP($A163,CSV!$A:$A,CSV!AD:AD,""),
_xlpm.MacVal,_xlfn.XLOOKUP($A163,Output_Mac!$A:$A,Output_Mac!T:T,""),
_xlpm.MyAuditVal,_xlfn.XLOOKUP($A163,My_Audit!$A:$A,My_Audit!Q:Q,""),
_xlfn.IFS(_xlpm.MyAuditVal&lt;&gt;"",UPPER(_xlpm.MyAuditVal),_xlpm.MacVal&lt;&gt;"",_xlpm.MacVal,_xlpm.CSVVal&lt;&gt;"",_xlpm.CSVVal
)),"No")</f>
        <v>No</v>
      </c>
      <c r="Q163" s="2" t="str" cm="1">
        <f t="array" ref="Q163">IFERROR(_xlfn.LET(
_xlpm.CSVVal,_xlfn.XLOOKUP($A163,CSV!$A:$A,CSV!AE:AE,""),
_xlpm.MacVal,_xlfn.XLOOKUP($A163,Output_Mac!$A:$A,Output_Mac!U:U,""),
_xlpm.MyAuditVal,_xlfn.XLOOKUP($A163,My_Audit!$A:$A,My_Audit!R:R,""),
_xlfn.IFS(_xlpm.MyAuditVal&lt;&gt;"",UPPER(_xlpm.MyAuditVal),_xlpm.MacVal&lt;&gt;"",_xlpm.MacVal,_xlpm.CSVVal&lt;&gt;"",_xlpm.CSVVal
)),"")</f>
        <v/>
      </c>
      <c r="X163" t="str">
        <f>_xlfn.LET(
    _xlpm.MacVal, _xlfn.XLOOKUP($A163, Output_Mac!$A:$A, Output_Mac!AB:AB, ""),
    _xlpm.MyAuditVal, _xlfn.XLOOKUP($A163, My_Audit!$A:$A, My_Audit!N:N, ""),
    _xlfn.TEXTJOIN(", ", TRUE, _xlpm.MyAuditVal, _xlpm.MacVal)
)</f>
        <v/>
      </c>
    </row>
    <row r="164" spans="1:24">
      <c r="A164" s="2" t="str">
        <f>_xlfn.TEXTJOIN("",TRUE,Input!$B$2,ROW(My_Audit!A163))</f>
        <v>X163</v>
      </c>
      <c r="B164" s="2" t="str">
        <f>_xlfn.TEXTJOIN("-",TRUE,"ITD",Input!$A$2,A164)</f>
        <v>ITD-SHR-X163</v>
      </c>
      <c r="C164" s="2" t="str" cm="1">
        <f t="array" ref="C164">IFERROR(_xlfn.LET(
_xlpm.CSVVal,_xlfn.XLOOKUP($A164,CSV!$A:$A,CSV!B:B,""),
_xlpm.MacVal,_xlfn.XLOOKUP($A164,Output_Mac!$A:$A,Output_Mac!B:B,""),
_xlpm.MyAuditVal,_xlfn.XLOOKUP($A164,My_Audit!$A:$A,My_Audit!B:B,""),
_xlfn.IFS(_xlpm.MyAuditVal&lt;&gt;"",UPPER(_xlpm.MyAuditVal),_xlpm.MacVal&lt;&gt;"",_xlpm.MacVal,_xlpm.CSVVal&lt;&gt;"",_xlpm.CSVVal
)),"")</f>
        <v/>
      </c>
      <c r="D164" s="2" t="str" cm="1">
        <f t="array" ref="D164">IFERROR(_xlfn.LET(
_xlpm.CSVVal,_xlfn.XLOOKUP($A164,CSV!$A:$A,CSV!D:D,""),
_xlpm.MacVal,_xlfn.XLOOKUP($A164,Output_Mac!$A:$A,Output_Mac!C:C,""),
_xlpm.MyAuditVal,_xlfn.XLOOKUP($A164,My_Audit!$A:$A,My_Audit!C:C,""),
_xlfn.IFS(_xlpm.MyAuditVal&lt;&gt;"",_xlpm.MyAuditVal,_xlpm.MacVal&lt;&gt;"",_xlpm.MacVal,_xlpm.CSVVal&lt;&gt;"",_xlpm.CSVVal
)),"")</f>
        <v/>
      </c>
      <c r="E164" s="2" t="str">
        <f>_xlfn.XLOOKUP(A164,My_Audit!A:A,My_Audit!D:D,"")&amp;""</f>
        <v/>
      </c>
      <c r="F164" s="2" t="str" cm="1">
        <f t="array" ref="F164">IFERROR(_xlfn.LET(
_xlpm.CSVVal,_xlfn.XLOOKUP($A164,CSV!$A:$A,CSV!F:F,""),
_xlpm.MacVal,_xlfn.XLOOKUP($A164,Output_Mac!$A:$A,Output_Mac!E:E,""),
_xlpm.MyAuditVal,_xlfn.XLOOKUP($A164,My_Audit!$A:$A,My_Audit!E:E,""),
_xlfn.IFS(_xlpm.MyAuditVal&lt;&gt;"",_xlpm.MyAuditVal,_xlpm.MacVal&lt;&gt;"",_xlpm.MacVal,_xlpm.CSVVal&lt;&gt;"",_xlpm.CSVVal
)),"")</f>
        <v/>
      </c>
      <c r="G164" s="2" t="str" cm="1">
        <f t="array" ref="G164">IFERROR(_xlfn.LET(
_xlpm.CSVVal,_xlfn.XLOOKUP($A164,CSV!$A:$A,CSV!G:G,""),
_xlpm.MacVal,_xlfn.XLOOKUP($A164,Output_Mac!$A:$A,Output_Mac!F:F,""),
_xlpm.MyAuditVal,_xlfn.XLOOKUP($A164,My_Audit!$A:$A,My_Audit!F:F,""),
_xlfn.IFS(_xlpm.MyAuditVal&lt;&gt;"",_xlpm.MyAuditVal,_xlpm.MacVal&lt;&gt;"",_xlpm.MacVal,_xlpm.CSVVal&lt;&gt;"",PROPER(_xlpm.CSVVal)
)),"")</f>
        <v/>
      </c>
      <c r="H164" s="2" t="str" cm="1">
        <f t="array" ref="H164">IFERROR(_xlfn.LET(
_xlpm.CSVVal,_xlfn.XLOOKUP($A164,CSV!$A:$A,CSV!H:H,""),
_xlpm.MacVal,_xlfn.XLOOKUP($A164,Output_Mac!$A:$A,Output_Mac!H:H,""),
_xlpm.MyAuditVal,_xlfn.XLOOKUP($A164,My_Audit!$A:$A,My_Audit!G:G,""),
_xlfn.IFS(_xlpm.MyAuditVal&lt;&gt;"",_xlpm.MyAuditVal,_xlpm.MacVal&lt;&gt;"",_xlpm.MacVal,_xlpm.CSVVal&lt;&gt;"",_xlpm.CSVVal
)),"")</f>
        <v/>
      </c>
      <c r="I164" s="2" t="str">
        <f>_xlfn.XLOOKUP(A164,Output_Mac!A:A,Output_Mac!I:I,"")</f>
        <v/>
      </c>
      <c r="J164" s="2" t="str" cm="1">
        <f t="array" ref="J164">IFERROR(_xlfn.LET(
_xlpm.CSVVal,_xlfn.XLOOKUP($A164,CSV!$A:$A,CSV!I:I,""),
_xlpm.MacVal,_xlfn.XLOOKUP($A164,Output_Mac!$A:$A,Output_Mac!J:J,""),
_xlpm.MyAuditVal,_xlfn.XLOOKUP($A164,My_Audit!$A:$A,My_Audit!I:I,""),
_xlfn.IFS(_xlpm.MyAuditVal&lt;&gt;"",UPPER(_xlpm.MyAuditVal),_xlpm.MacVal&lt;&gt;"",_xlpm.MacVal,_xlpm.CSVVal&lt;&gt;"",_xlpm.CSVVal
)),"")</f>
        <v/>
      </c>
      <c r="K164" s="2" t="str" cm="1">
        <f t="array" ref="K164">IFERROR(_xlfn.LET(
_xlpm.CSVVal,_xlfn.XLOOKUP($A164,CSV!$A:$A,CSV!K:K,""),
_xlpm.MacVal,_xlfn.XLOOKUP($A164,Output_Mac!$A:$A,Output_Mac!K:K,""),
_xlpm.MyAuditVal,_xlfn.XLOOKUP($A164,My_Audit!$A:$A,My_Audit!J:J,""),
_xlfn.IFS(_xlpm.MyAuditVal&lt;&gt;"",UPPER(_xlpm.MyAuditVal),_xlpm.MacVal&lt;&gt;"",_xlpm.MacVal,_xlpm.CSVVal&lt;&gt;"",_xlpm.CSVVal
)),"")</f>
        <v/>
      </c>
      <c r="L164" s="2" t="str" cm="1">
        <f t="array" ref="L164">IFERROR(_xlfn.LET(
_xlpm.CSVVal,_xlfn.XLOOKUP($A164,CSV!$A:$A,CSV!P:P,""),
_xlpm.MacVal,_xlfn.XLOOKUP($A164,Output_Mac!$A:$A,Output_Mac!L:L,""),
_xlpm.MyAuditVal,_xlfn.XLOOKUP($A164,My_Audit!$A:$A,My_Audit!K:K,""),
_xlfn.IFS(_xlpm.MyAuditVal&lt;&gt;"",UPPER(_xlpm.MyAuditVal),_xlpm.MacVal&lt;&gt;"",_xlpm.MacVal,_xlpm.CSVVal&lt;&gt;"",_xlpm.CSVVal
)),"")</f>
        <v/>
      </c>
      <c r="M164" s="2" t="str" cm="1">
        <f t="array" ref="M164">IFERROR(_xlfn.LET(
_xlpm.CSVVal,_xlfn.XLOOKUP($A164,CSV!$A:$A,CSV!Q:Q,""),
_xlpm.MacVal,_xlfn.XLOOKUP($A164,Output_Mac!$A:$A,Output_Mac!M:M,""),
_xlpm.MyAuditVal,_xlfn.XLOOKUP($A164,My_Audit!$A:$A,My_Audit!L:L,""),
_xlfn.IFS(_xlpm.MyAuditVal&lt;&gt;"",UPPER(_xlpm.MyAuditVal),_xlpm.MacVal&lt;&gt;"",_xlpm.MacVal,_xlpm.CSVVal&lt;&gt;"",_xlpm.CSVVal
)),"")</f>
        <v/>
      </c>
      <c r="O164" s="2" t="str">
        <f>_xlfn.LET(
    _xlpm.CSVVal, _xlfn.XLOOKUP($A164, CSV!$A:$A, CSV!AC:AC, ""),
    _xlpm.MacVal, _xlfn.XLOOKUP($A164, Output_Mac!$A:$A, Output_Mac!S:S, ""),
    _xlpm.MyAuditVal, _xlfn.XLOOKUP($A164, My_Audit!$A:$A, My_Audit!P:P, ""),
    _xlfn.TEXTJOIN(", ", TRUE, _xlpm.MyAuditVal, _xlpm.MacVal, _xlpm.CSVVal)
)</f>
        <v/>
      </c>
      <c r="P164" s="2" t="str" cm="1">
        <f t="array" ref="P164">IFERROR(_xlfn.LET(
_xlpm.CSVVal,_xlfn.XLOOKUP($A164,CSV!$A:$A,CSV!AD:AD,""),
_xlpm.MacVal,_xlfn.XLOOKUP($A164,Output_Mac!$A:$A,Output_Mac!T:T,""),
_xlpm.MyAuditVal,_xlfn.XLOOKUP($A164,My_Audit!$A:$A,My_Audit!Q:Q,""),
_xlfn.IFS(_xlpm.MyAuditVal&lt;&gt;"",UPPER(_xlpm.MyAuditVal),_xlpm.MacVal&lt;&gt;"",_xlpm.MacVal,_xlpm.CSVVal&lt;&gt;"",_xlpm.CSVVal
)),"No")</f>
        <v>No</v>
      </c>
      <c r="Q164" s="2" t="str" cm="1">
        <f t="array" ref="Q164">IFERROR(_xlfn.LET(
_xlpm.CSVVal,_xlfn.XLOOKUP($A164,CSV!$A:$A,CSV!AE:AE,""),
_xlpm.MacVal,_xlfn.XLOOKUP($A164,Output_Mac!$A:$A,Output_Mac!U:U,""),
_xlpm.MyAuditVal,_xlfn.XLOOKUP($A164,My_Audit!$A:$A,My_Audit!R:R,""),
_xlfn.IFS(_xlpm.MyAuditVal&lt;&gt;"",UPPER(_xlpm.MyAuditVal),_xlpm.MacVal&lt;&gt;"",_xlpm.MacVal,_xlpm.CSVVal&lt;&gt;"",_xlpm.CSVVal
)),"")</f>
        <v/>
      </c>
      <c r="X164" t="str">
        <f>_xlfn.LET(
    _xlpm.MacVal, _xlfn.XLOOKUP($A164, Output_Mac!$A:$A, Output_Mac!AB:AB, ""),
    _xlpm.MyAuditVal, _xlfn.XLOOKUP($A164, My_Audit!$A:$A, My_Audit!N:N, ""),
    _xlfn.TEXTJOIN(", ", TRUE, _xlpm.MyAuditVal, _xlpm.MacVal)
)</f>
        <v/>
      </c>
    </row>
    <row r="165" spans="1:24">
      <c r="A165" s="2" t="str">
        <f>_xlfn.TEXTJOIN("",TRUE,Input!$B$2,ROW(My_Audit!A164))</f>
        <v>X164</v>
      </c>
      <c r="B165" s="2" t="str">
        <f>_xlfn.TEXTJOIN("-",TRUE,"ITD",Input!$A$2,A165)</f>
        <v>ITD-SHR-X164</v>
      </c>
      <c r="C165" s="2" t="str" cm="1">
        <f t="array" ref="C165">IFERROR(_xlfn.LET(
_xlpm.CSVVal,_xlfn.XLOOKUP($A165,CSV!$A:$A,CSV!B:B,""),
_xlpm.MacVal,_xlfn.XLOOKUP($A165,Output_Mac!$A:$A,Output_Mac!B:B,""),
_xlpm.MyAuditVal,_xlfn.XLOOKUP($A165,My_Audit!$A:$A,My_Audit!B:B,""),
_xlfn.IFS(_xlpm.MyAuditVal&lt;&gt;"",UPPER(_xlpm.MyAuditVal),_xlpm.MacVal&lt;&gt;"",_xlpm.MacVal,_xlpm.CSVVal&lt;&gt;"",_xlpm.CSVVal
)),"")</f>
        <v/>
      </c>
      <c r="D165" s="2" t="str" cm="1">
        <f t="array" ref="D165">IFERROR(_xlfn.LET(
_xlpm.CSVVal,_xlfn.XLOOKUP($A165,CSV!$A:$A,CSV!D:D,""),
_xlpm.MacVal,_xlfn.XLOOKUP($A165,Output_Mac!$A:$A,Output_Mac!C:C,""),
_xlpm.MyAuditVal,_xlfn.XLOOKUP($A165,My_Audit!$A:$A,My_Audit!C:C,""),
_xlfn.IFS(_xlpm.MyAuditVal&lt;&gt;"",_xlpm.MyAuditVal,_xlpm.MacVal&lt;&gt;"",_xlpm.MacVal,_xlpm.CSVVal&lt;&gt;"",_xlpm.CSVVal
)),"")</f>
        <v/>
      </c>
      <c r="E165" s="2" t="str">
        <f>_xlfn.XLOOKUP(A165,My_Audit!A:A,My_Audit!D:D,"")&amp;""</f>
        <v/>
      </c>
      <c r="F165" s="2" t="str" cm="1">
        <f t="array" ref="F165">IFERROR(_xlfn.LET(
_xlpm.CSVVal,_xlfn.XLOOKUP($A165,CSV!$A:$A,CSV!F:F,""),
_xlpm.MacVal,_xlfn.XLOOKUP($A165,Output_Mac!$A:$A,Output_Mac!E:E,""),
_xlpm.MyAuditVal,_xlfn.XLOOKUP($A165,My_Audit!$A:$A,My_Audit!E:E,""),
_xlfn.IFS(_xlpm.MyAuditVal&lt;&gt;"",_xlpm.MyAuditVal,_xlpm.MacVal&lt;&gt;"",_xlpm.MacVal,_xlpm.CSVVal&lt;&gt;"",_xlpm.CSVVal
)),"")</f>
        <v/>
      </c>
      <c r="G165" s="2" t="str" cm="1">
        <f t="array" ref="G165">IFERROR(_xlfn.LET(
_xlpm.CSVVal,_xlfn.XLOOKUP($A165,CSV!$A:$A,CSV!G:G,""),
_xlpm.MacVal,_xlfn.XLOOKUP($A165,Output_Mac!$A:$A,Output_Mac!F:F,""),
_xlpm.MyAuditVal,_xlfn.XLOOKUP($A165,My_Audit!$A:$A,My_Audit!F:F,""),
_xlfn.IFS(_xlpm.MyAuditVal&lt;&gt;"",_xlpm.MyAuditVal,_xlpm.MacVal&lt;&gt;"",_xlpm.MacVal,_xlpm.CSVVal&lt;&gt;"",PROPER(_xlpm.CSVVal)
)),"")</f>
        <v/>
      </c>
      <c r="H165" s="2" t="str" cm="1">
        <f t="array" ref="H165">IFERROR(_xlfn.LET(
_xlpm.CSVVal,_xlfn.XLOOKUP($A165,CSV!$A:$A,CSV!G:G,""),
_xlpm.MacVal,_xlfn.XLOOKUP($A165,Output_Mac!$A:$A,Output_Mac!H:H,""),
_xlpm.MyAuditVal,_xlfn.XLOOKUP($A165,My_Audit!$A:$A,My_Audit!G:G,""),
_xlfn.IFS(_xlpm.MyAuditVal&lt;&gt;"",_xlpm.MyAuditVal,_xlpm.MacVal&lt;&gt;"",_xlpm.MacVal,_xlpm.CSVVal&lt;&gt;"",_xlpm.CSVVal
)),"")</f>
        <v/>
      </c>
      <c r="I165" s="2" t="str">
        <f>_xlfn.XLOOKUP(A165,Output_Mac!A:A,Output_Mac!I:I,"")</f>
        <v/>
      </c>
      <c r="J165" s="2" t="str" cm="1">
        <f t="array" ref="J165">IFERROR(_xlfn.LET(
_xlpm.CSVVal,_xlfn.XLOOKUP($A165,CSV!$A:$A,CSV!I:I,""),
_xlpm.MacVal,_xlfn.XLOOKUP($A165,Output_Mac!$A:$A,Output_Mac!J:J,""),
_xlpm.MyAuditVal,_xlfn.XLOOKUP($A165,My_Audit!$A:$A,My_Audit!I:I,""),
_xlfn.IFS(_xlpm.MyAuditVal&lt;&gt;"",UPPER(_xlpm.MyAuditVal),_xlpm.MacVal&lt;&gt;"",_xlpm.MacVal,_xlpm.CSVVal&lt;&gt;"",_xlpm.CSVVal
)),"")</f>
        <v/>
      </c>
      <c r="K165" s="2" t="str" cm="1">
        <f t="array" ref="K165">IFERROR(_xlfn.LET(
_xlpm.CSVVal,_xlfn.XLOOKUP($A165,CSV!$A:$A,CSV!K:K,""),
_xlpm.MacVal,_xlfn.XLOOKUP($A165,Output_Mac!$A:$A,Output_Mac!K:K,""),
_xlpm.MyAuditVal,_xlfn.XLOOKUP($A165,My_Audit!$A:$A,My_Audit!J:J,""),
_xlfn.IFS(_xlpm.MyAuditVal&lt;&gt;"",UPPER(_xlpm.MyAuditVal),_xlpm.MacVal&lt;&gt;"",_xlpm.MacVal,_xlpm.CSVVal&lt;&gt;"",_xlpm.CSVVal
)),"")</f>
        <v/>
      </c>
      <c r="L165" s="2" t="str" cm="1">
        <f t="array" ref="L165">IFERROR(_xlfn.LET(
_xlpm.CSVVal,_xlfn.XLOOKUP($A165,CSV!$A:$A,CSV!P:P,""),
_xlpm.MacVal,_xlfn.XLOOKUP($A165,Output_Mac!$A:$A,Output_Mac!L:L,""),
_xlpm.MyAuditVal,_xlfn.XLOOKUP($A165,My_Audit!$A:$A,My_Audit!K:K,""),
_xlfn.IFS(_xlpm.MyAuditVal&lt;&gt;"",UPPER(_xlpm.MyAuditVal),_xlpm.MacVal&lt;&gt;"",_xlpm.MacVal,_xlpm.CSVVal&lt;&gt;"",_xlpm.CSVVal
)),"")</f>
        <v/>
      </c>
      <c r="M165" s="2" t="str" cm="1">
        <f t="array" ref="M165">IFERROR(_xlfn.LET(
_xlpm.CSVVal,_xlfn.XLOOKUP($A165,CSV!$A:$A,CSV!Q:Q,""),
_xlpm.MacVal,_xlfn.XLOOKUP($A165,Output_Mac!$A:$A,Output_Mac!M:M,""),
_xlpm.MyAuditVal,_xlfn.XLOOKUP($A165,My_Audit!$A:$A,My_Audit!L:L,""),
_xlfn.IFS(_xlpm.MyAuditVal&lt;&gt;"",UPPER(_xlpm.MyAuditVal),_xlpm.MacVal&lt;&gt;"",_xlpm.MacVal,_xlpm.CSVVal&lt;&gt;"",_xlpm.CSVVal
)),"")</f>
        <v/>
      </c>
      <c r="N165" s="2" t="str" cm="1">
        <f t="array" ref="N165">IFERROR(_xlfn.LET(
_xlpm.CSVVal,_xlfn.XLOOKUP($A165,CSV!$A:$A,CSV!M:M,""),
_xlpm.MacVal,_xlfn.XLOOKUP($A165,Output_Mac!$A:$A,Output_Mac!N:N,""),
_xlpm.MyAuditVal,_xlfn.XLOOKUP($A165,My_Audit!$A:$A,My_Audit!M:M,""),
_xlfn.IFS(_xlpm.MyAuditVal&lt;&gt;"",UPPER(_xlpm.MyAuditVal),_xlpm.MacVal&lt;&gt;"",_xlpm.MacVal,_xlpm.CSVVal&lt;&gt;"",_xlpm.CSVVal
)),"")</f>
        <v/>
      </c>
      <c r="O165" s="2" t="str">
        <f>_xlfn.LET(
    _xlpm.CSVVal, _xlfn.XLOOKUP($A165, CSV!$A:$A, CSV!AC:AC, ""),
    _xlpm.MacVal, _xlfn.XLOOKUP($A165, Output_Mac!$A:$A, Output_Mac!S:S, ""),
    _xlpm.MyAuditVal, _xlfn.XLOOKUP($A165, My_Audit!$A:$A, My_Audit!O:O, ""),
    _xlfn.TEXTJOIN(", ", TRUE, _xlpm.MyAuditVal, _xlpm.MacVal, _xlpm.CSVVal)
)</f>
        <v/>
      </c>
      <c r="P165" s="2" t="str" cm="1">
        <f t="array" ref="P165">IFERROR(_xlfn.LET(
_xlpm.CSVVal,_xlfn.XLOOKUP($A165,CSV!$A:$A,CSV!AD:AD,""),
_xlpm.MacVal,_xlfn.XLOOKUP($A165,Output_Mac!$A:$A,Output_Mac!T:T,""),
_xlpm.MyAuditVal,_xlfn.XLOOKUP($A165,My_Audit!$A:$A,My_Audit!Q:Q,""),
_xlfn.IFS(_xlpm.MyAuditVal&lt;&gt;"",UPPER(_xlpm.MyAuditVal),_xlpm.MacVal&lt;&gt;"",_xlpm.MacVal,_xlpm.CSVVal&lt;&gt;"",_xlpm.CSVVal
)),"No")</f>
        <v>No</v>
      </c>
      <c r="Q165" s="2" t="str" cm="1">
        <f t="array" ref="Q165">IFERROR(_xlfn.LET(
_xlpm.CSVVal,_xlfn.XLOOKUP($A165,CSV!$A:$A,CSV!AE:AE,""),
_xlpm.MacVal,_xlfn.XLOOKUP($A165,Output_Mac!$A:$A,Output_Mac!U:U,""),
_xlpm.MyAuditVal,_xlfn.XLOOKUP($A165,My_Audit!$A:$A,My_Audit!R:R,""),
_xlfn.IFS(_xlpm.MyAuditVal&lt;&gt;"",UPPER(_xlpm.MyAuditVal),_xlpm.MacVal&lt;&gt;"",_xlpm.MacVal,_xlpm.CSVVal&lt;&gt;"",_xlpm.CSVVal
)),"")</f>
        <v/>
      </c>
      <c r="X165" t="str">
        <f>_xlfn.LET(
    _xlpm.MacVal, _xlfn.XLOOKUP($A165, Output_Mac!$A:$A, Output_Mac!AB:AB, ""),
    _xlpm.MyAuditVal, _xlfn.XLOOKUP($A165, My_Audit!$A:$A, My_Audit!N:N, ""),
    _xlfn.TEXTJOIN(", ", TRUE, _xlpm.MyAuditVal, _xlpm.MacVal)
)</f>
        <v/>
      </c>
    </row>
    <row r="166" spans="1:24">
      <c r="A166" s="2" t="str">
        <f>_xlfn.TEXTJOIN("",TRUE,Input!$B$2,ROW(My_Audit!A165))</f>
        <v>X165</v>
      </c>
      <c r="B166" s="2" t="str">
        <f>_xlfn.TEXTJOIN("-",TRUE,"ITD",Input!$A$2,A166)</f>
        <v>ITD-SHR-X165</v>
      </c>
      <c r="C166" s="2" t="str" cm="1">
        <f t="array" ref="C166">IFERROR(_xlfn.LET(
_xlpm.CSVVal,_xlfn.XLOOKUP($A166,CSV!$A:$A,CSV!B:B,""),
_xlpm.MacVal,_xlfn.XLOOKUP($A166,Output_Mac!$A:$A,Output_Mac!B:B,""),
_xlpm.MyAuditVal,_xlfn.XLOOKUP($A166,My_Audit!$A:$A,My_Audit!B:B,""),
_xlfn.IFS(_xlpm.MyAuditVal&lt;&gt;"",UPPER(_xlpm.MyAuditVal),_xlpm.MacVal&lt;&gt;"",_xlpm.MacVal,_xlpm.CSVVal&lt;&gt;"",_xlpm.CSVVal
)),"")</f>
        <v/>
      </c>
      <c r="D166" s="2" t="str" cm="1">
        <f t="array" ref="D166">IFERROR(_xlfn.LET(
_xlpm.CSVVal,_xlfn.XLOOKUP($A166,CSV!$A:$A,CSV!D:D,""),
_xlpm.MacVal,_xlfn.XLOOKUP($A166,Output_Mac!$A:$A,Output_Mac!C:C,""),
_xlpm.MyAuditVal,_xlfn.XLOOKUP($A166,My_Audit!$A:$A,My_Audit!C:C,""),
_xlfn.IFS(_xlpm.MyAuditVal&lt;&gt;"",_xlpm.MyAuditVal,_xlpm.MacVal&lt;&gt;"",_xlpm.MacVal,_xlpm.CSVVal&lt;&gt;"",_xlpm.CSVVal
)),"")</f>
        <v/>
      </c>
      <c r="E166" s="2" t="str">
        <f>_xlfn.XLOOKUP(A166,My_Audit!A:A,My_Audit!D:D,"")&amp;""</f>
        <v/>
      </c>
      <c r="F166" s="2" t="str" cm="1">
        <f t="array" ref="F166">IFERROR(_xlfn.LET(
_xlpm.CSVVal,_xlfn.XLOOKUP($A166,CSV!$A:$A,CSV!F:F,""),
_xlpm.MacVal,_xlfn.XLOOKUP($A166,Output_Mac!$A:$A,Output_Mac!E:E,""),
_xlpm.MyAuditVal,_xlfn.XLOOKUP($A166,My_Audit!$A:$A,My_Audit!E:E,""),
_xlfn.IFS(_xlpm.MyAuditVal&lt;&gt;"",_xlpm.MyAuditVal,_xlpm.MacVal&lt;&gt;"",_xlpm.MacVal,_xlpm.CSVVal&lt;&gt;"",_xlpm.CSVVal
)),"")</f>
        <v/>
      </c>
      <c r="G166" s="2" t="str" cm="1">
        <f t="array" ref="G166">IFERROR(_xlfn.LET(
_xlpm.CSVVal,_xlfn.XLOOKUP($A166,CSV!$A:$A,CSV!G:G,""),
_xlpm.MacVal,_xlfn.XLOOKUP($A166,Output_Mac!$A:$A,Output_Mac!F:F,""),
_xlpm.MyAuditVal,_xlfn.XLOOKUP($A166,My_Audit!$A:$A,My_Audit!F:F,""),
_xlfn.IFS(_xlpm.MyAuditVal&lt;&gt;"",_xlpm.MyAuditVal,_xlpm.MacVal&lt;&gt;"",_xlpm.MacVal,_xlpm.CSVVal&lt;&gt;"",PROPER(_xlpm.CSVVal)
)),"")</f>
        <v/>
      </c>
      <c r="H166" s="2" t="str" cm="1">
        <f t="array" ref="H166">IFERROR(_xlfn.LET(
_xlpm.CSVVal,_xlfn.XLOOKUP($A166,CSV!$A:$A,CSV!G:G,""),
_xlpm.MacVal,_xlfn.XLOOKUP($A166,Output_Mac!$A:$A,Output_Mac!H:H,""),
_xlpm.MyAuditVal,_xlfn.XLOOKUP($A166,My_Audit!$A:$A,My_Audit!G:G,""),
_xlfn.IFS(_xlpm.MyAuditVal&lt;&gt;"",_xlpm.MyAuditVal,_xlpm.MacVal&lt;&gt;"",_xlpm.MacVal,_xlpm.CSVVal&lt;&gt;"",_xlpm.CSVVal
)),"")</f>
        <v/>
      </c>
      <c r="I166" s="2" t="str">
        <f>_xlfn.XLOOKUP(A166,Output_Mac!A:A,Output_Mac!I:I,"")</f>
        <v/>
      </c>
      <c r="J166" s="2" t="str" cm="1">
        <f t="array" ref="J166">IFERROR(_xlfn.LET(
_xlpm.CSVVal,_xlfn.XLOOKUP($A166,CSV!$A:$A,CSV!I:I,""),
_xlpm.MacVal,_xlfn.XLOOKUP($A166,Output_Mac!$A:$A,Output_Mac!J:J,""),
_xlpm.MyAuditVal,_xlfn.XLOOKUP($A166,My_Audit!$A:$A,My_Audit!I:I,""),
_xlfn.IFS(_xlpm.MyAuditVal&lt;&gt;"",UPPER(_xlpm.MyAuditVal),_xlpm.MacVal&lt;&gt;"",_xlpm.MacVal,_xlpm.CSVVal&lt;&gt;"",_xlpm.CSVVal
)),"")</f>
        <v/>
      </c>
      <c r="K166" s="2" t="str" cm="1">
        <f t="array" ref="K166">IFERROR(_xlfn.LET(
_xlpm.CSVVal,_xlfn.XLOOKUP($A166,CSV!$A:$A,CSV!K:K,""),
_xlpm.MacVal,_xlfn.XLOOKUP($A166,Output_Mac!$A:$A,Output_Mac!K:K,""),
_xlpm.MyAuditVal,_xlfn.XLOOKUP($A166,My_Audit!$A:$A,My_Audit!J:J,""),
_xlfn.IFS(_xlpm.MyAuditVal&lt;&gt;"",UPPER(_xlpm.MyAuditVal),_xlpm.MacVal&lt;&gt;"",_xlpm.MacVal,_xlpm.CSVVal&lt;&gt;"",_xlpm.CSVVal
)),"")</f>
        <v/>
      </c>
      <c r="L166" s="2" t="str" cm="1">
        <f t="array" ref="L166">IFERROR(_xlfn.LET(
_xlpm.CSVVal,_xlfn.XLOOKUP($A166,CSV!$A:$A,CSV!P:P,""),
_xlpm.MacVal,_xlfn.XLOOKUP($A166,Output_Mac!$A:$A,Output_Mac!L:L,""),
_xlpm.MyAuditVal,_xlfn.XLOOKUP($A166,My_Audit!$A:$A,My_Audit!K:K,""),
_xlfn.IFS(_xlpm.MyAuditVal&lt;&gt;"",UPPER(_xlpm.MyAuditVal),_xlpm.MacVal&lt;&gt;"",_xlpm.MacVal,_xlpm.CSVVal&lt;&gt;"",_xlpm.CSVVal
)),"")</f>
        <v/>
      </c>
      <c r="M166" s="2" t="str" cm="1">
        <f t="array" ref="M166">IFERROR(_xlfn.LET(
_xlpm.CSVVal,_xlfn.XLOOKUP($A166,CSV!$A:$A,CSV!Q:Q,""),
_xlpm.MacVal,_xlfn.XLOOKUP($A166,Output_Mac!$A:$A,Output_Mac!M:M,""),
_xlpm.MyAuditVal,_xlfn.XLOOKUP($A166,My_Audit!$A:$A,My_Audit!L:L,""),
_xlfn.IFS(_xlpm.MyAuditVal&lt;&gt;"",UPPER(_xlpm.MyAuditVal),_xlpm.MacVal&lt;&gt;"",_xlpm.MacVal,_xlpm.CSVVal&lt;&gt;"",_xlpm.CSVVal
)),"")</f>
        <v/>
      </c>
      <c r="N166" s="2" t="str" cm="1">
        <f t="array" ref="N166">IFERROR(_xlfn.LET(
_xlpm.CSVVal,_xlfn.XLOOKUP($A166,CSV!$A:$A,CSV!M:M,""),
_xlpm.MacVal,_xlfn.XLOOKUP($A166,Output_Mac!$A:$A,Output_Mac!N:N,""),
_xlpm.MyAuditVal,_xlfn.XLOOKUP($A166,My_Audit!$A:$A,My_Audit!M:M,""),
_xlfn.IFS(_xlpm.MyAuditVal&lt;&gt;"",UPPER(_xlpm.MyAuditVal),_xlpm.MacVal&lt;&gt;"",_xlpm.MacVal,_xlpm.CSVVal&lt;&gt;"",_xlpm.CSVVal
)),"")</f>
        <v/>
      </c>
      <c r="O166" s="2" t="str">
        <f>_xlfn.LET(
    _xlpm.CSVVal, _xlfn.XLOOKUP($A166, CSV!$A:$A, CSV!AC:AC, ""),
    _xlpm.MacVal, _xlfn.XLOOKUP($A166, Output_Mac!$A:$A, Output_Mac!S:S, ""),
    _xlpm.MyAuditVal, _xlfn.XLOOKUP($A166, My_Audit!$A:$A, My_Audit!O:O, ""),
    _xlfn.TEXTJOIN(", ", TRUE, _xlpm.MyAuditVal, _xlpm.MacVal, _xlpm.CSVVal)
)</f>
        <v/>
      </c>
      <c r="P166" s="2" t="str" cm="1">
        <f t="array" ref="P166">IFERROR(_xlfn.LET(
_xlpm.CSVVal,_xlfn.XLOOKUP($A166,CSV!$A:$A,CSV!AD:AD,""),
_xlpm.MacVal,_xlfn.XLOOKUP($A166,Output_Mac!$A:$A,Output_Mac!T:T,""),
_xlpm.MyAuditVal,_xlfn.XLOOKUP($A166,My_Audit!$A:$A,My_Audit!Q:Q,""),
_xlfn.IFS(_xlpm.MyAuditVal&lt;&gt;"",UPPER(_xlpm.MyAuditVal),_xlpm.MacVal&lt;&gt;"",_xlpm.MacVal,_xlpm.CSVVal&lt;&gt;"",_xlpm.CSVVal
)),"No")</f>
        <v>No</v>
      </c>
      <c r="Q166" s="2" t="str" cm="1">
        <f t="array" ref="Q166">IFERROR(_xlfn.LET(
_xlpm.CSVVal,_xlfn.XLOOKUP($A166,CSV!$A:$A,CSV!AE:AE,""),
_xlpm.MacVal,_xlfn.XLOOKUP($A166,Output_Mac!$A:$A,Output_Mac!U:U,""),
_xlpm.MyAuditVal,_xlfn.XLOOKUP($A166,My_Audit!$A:$A,My_Audit!R:R,""),
_xlfn.IFS(_xlpm.MyAuditVal&lt;&gt;"",UPPER(_xlpm.MyAuditVal),_xlpm.MacVal&lt;&gt;"",_xlpm.MacVal,_xlpm.CSVVal&lt;&gt;"",_xlpm.CSVVal
)),"")</f>
        <v/>
      </c>
      <c r="X166" t="str">
        <f>_xlfn.LET(
    _xlpm.MacVal, _xlfn.XLOOKUP($A166, Output_Mac!$A:$A, Output_Mac!AB:AB, ""),
    _xlpm.MyAuditVal, _xlfn.XLOOKUP($A166, My_Audit!$A:$A, My_Audit!N:N, ""),
    _xlfn.TEXTJOIN(", ", TRUE, _xlpm.MyAuditVal, _xlpm.MacVal)
)</f>
        <v/>
      </c>
    </row>
    <row r="167" spans="1:24">
      <c r="A167" s="2" t="str">
        <f>_xlfn.TEXTJOIN("",TRUE,Input!$B$2,ROW(My_Audit!A166))</f>
        <v>X166</v>
      </c>
      <c r="B167" s="2" t="str">
        <f>_xlfn.TEXTJOIN("-",TRUE,"ITD",Input!$A$2,A167)</f>
        <v>ITD-SHR-X166</v>
      </c>
      <c r="C167" s="2" t="str" cm="1">
        <f t="array" ref="C167">IFERROR(_xlfn.LET(
_xlpm.CSVVal,_xlfn.XLOOKUP($A167,CSV!$A:$A,CSV!B:B,""),
_xlpm.MacVal,_xlfn.XLOOKUP($A167,Output_Mac!$A:$A,Output_Mac!B:B,""),
_xlpm.MyAuditVal,_xlfn.XLOOKUP($A167,My_Audit!$A:$A,My_Audit!B:B,""),
_xlfn.IFS(_xlpm.MyAuditVal&lt;&gt;"",UPPER(_xlpm.MyAuditVal),_xlpm.MacVal&lt;&gt;"",_xlpm.MacVal,_xlpm.CSVVal&lt;&gt;"",_xlpm.CSVVal
)),"")</f>
        <v/>
      </c>
      <c r="D167" s="2" t="str" cm="1">
        <f t="array" ref="D167">IFERROR(_xlfn.LET(
_xlpm.CSVVal,_xlfn.XLOOKUP($A167,CSV!$A:$A,CSV!D:D,""),
_xlpm.MacVal,_xlfn.XLOOKUP($A167,Output_Mac!$A:$A,Output_Mac!C:C,""),
_xlpm.MyAuditVal,_xlfn.XLOOKUP($A167,My_Audit!$A:$A,My_Audit!C:C,""),
_xlfn.IFS(_xlpm.MyAuditVal&lt;&gt;"",_xlpm.MyAuditVal,_xlpm.MacVal&lt;&gt;"",_xlpm.MacVal,_xlpm.CSVVal&lt;&gt;"",_xlpm.CSVVal
)),"")</f>
        <v/>
      </c>
      <c r="E167" s="2" t="str">
        <f>_xlfn.XLOOKUP(A167,My_Audit!A:A,My_Audit!D:D,"")&amp;""</f>
        <v/>
      </c>
      <c r="F167" s="2" t="str" cm="1">
        <f t="array" ref="F167">IFERROR(_xlfn.LET(
_xlpm.CSVVal,_xlfn.XLOOKUP($A167,CSV!$A:$A,CSV!F:F,""),
_xlpm.MacVal,_xlfn.XLOOKUP($A167,Output_Mac!$A:$A,Output_Mac!E:E,""),
_xlpm.MyAuditVal,_xlfn.XLOOKUP($A167,My_Audit!$A:$A,My_Audit!E:E,""),
_xlfn.IFS(_xlpm.MyAuditVal&lt;&gt;"",_xlpm.MyAuditVal,_xlpm.MacVal&lt;&gt;"",_xlpm.MacVal,_xlpm.CSVVal&lt;&gt;"",_xlpm.CSVVal
)),"")</f>
        <v/>
      </c>
      <c r="G167" s="2" t="str" cm="1">
        <f t="array" ref="G167">IFERROR(_xlfn.LET(
_xlpm.CSVVal,_xlfn.XLOOKUP($A167,CSV!$A:$A,CSV!G:G,""),
_xlpm.MacVal,_xlfn.XLOOKUP($A167,Output_Mac!$A:$A,Output_Mac!F:F,""),
_xlpm.MyAuditVal,_xlfn.XLOOKUP($A167,My_Audit!$A:$A,My_Audit!F:F,""),
_xlfn.IFS(_xlpm.MyAuditVal&lt;&gt;"",_xlpm.MyAuditVal,_xlpm.MacVal&lt;&gt;"",_xlpm.MacVal,_xlpm.CSVVal&lt;&gt;"",PROPER(_xlpm.CSVVal)
)),"")</f>
        <v/>
      </c>
      <c r="H167" s="2" t="str" cm="1">
        <f t="array" ref="H167">IFERROR(_xlfn.LET(
_xlpm.CSVVal,_xlfn.XLOOKUP($A167,CSV!$A:$A,CSV!G:G,""),
_xlpm.MacVal,_xlfn.XLOOKUP($A167,Output_Mac!$A:$A,Output_Mac!H:H,""),
_xlpm.MyAuditVal,_xlfn.XLOOKUP($A167,My_Audit!$A:$A,My_Audit!G:G,""),
_xlfn.IFS(_xlpm.MyAuditVal&lt;&gt;"",_xlpm.MyAuditVal,_xlpm.MacVal&lt;&gt;"",_xlpm.MacVal,_xlpm.CSVVal&lt;&gt;"",_xlpm.CSVVal
)),"")</f>
        <v/>
      </c>
      <c r="I167" s="2" t="str">
        <f>_xlfn.XLOOKUP(A167,Output_Mac!A:A,Output_Mac!I:I,"")</f>
        <v/>
      </c>
      <c r="J167" s="2" t="str" cm="1">
        <f t="array" ref="J167">IFERROR(_xlfn.LET(
_xlpm.CSVVal,_xlfn.XLOOKUP($A167,CSV!$A:$A,CSV!I:I,""),
_xlpm.MacVal,_xlfn.XLOOKUP($A167,Output_Mac!$A:$A,Output_Mac!J:J,""),
_xlpm.MyAuditVal,_xlfn.XLOOKUP($A167,My_Audit!$A:$A,My_Audit!I:I,""),
_xlfn.IFS(_xlpm.MyAuditVal&lt;&gt;"",UPPER(_xlpm.MyAuditVal),_xlpm.MacVal&lt;&gt;"",_xlpm.MacVal,_xlpm.CSVVal&lt;&gt;"",_xlpm.CSVVal
)),"")</f>
        <v/>
      </c>
      <c r="K167" s="2" t="str" cm="1">
        <f t="array" ref="K167">IFERROR(_xlfn.LET(
_xlpm.CSVVal,_xlfn.XLOOKUP($A167,CSV!$A:$A,CSV!K:K,""),
_xlpm.MacVal,_xlfn.XLOOKUP($A167,Output_Mac!$A:$A,Output_Mac!K:K,""),
_xlpm.MyAuditVal,_xlfn.XLOOKUP($A167,My_Audit!$A:$A,My_Audit!J:J,""),
_xlfn.IFS(_xlpm.MyAuditVal&lt;&gt;"",UPPER(_xlpm.MyAuditVal),_xlpm.MacVal&lt;&gt;"",_xlpm.MacVal,_xlpm.CSVVal&lt;&gt;"",_xlpm.CSVVal
)),"")</f>
        <v/>
      </c>
      <c r="L167" s="2" t="str" cm="1">
        <f t="array" ref="L167">IFERROR(_xlfn.LET(
_xlpm.CSVVal,_xlfn.XLOOKUP($A167,CSV!$A:$A,CSV!P:P,""),
_xlpm.MacVal,_xlfn.XLOOKUP($A167,Output_Mac!$A:$A,Output_Mac!L:L,""),
_xlpm.MyAuditVal,_xlfn.XLOOKUP($A167,My_Audit!$A:$A,My_Audit!K:K,""),
_xlfn.IFS(_xlpm.MyAuditVal&lt;&gt;"",UPPER(_xlpm.MyAuditVal),_xlpm.MacVal&lt;&gt;"",_xlpm.MacVal,_xlpm.CSVVal&lt;&gt;"",_xlpm.CSVVal
)),"")</f>
        <v/>
      </c>
      <c r="M167" s="2" t="str" cm="1">
        <f t="array" ref="M167">IFERROR(_xlfn.LET(
_xlpm.CSVVal,_xlfn.XLOOKUP($A167,CSV!$A:$A,CSV!Q:Q,""),
_xlpm.MacVal,_xlfn.XLOOKUP($A167,Output_Mac!$A:$A,Output_Mac!M:M,""),
_xlpm.MyAuditVal,_xlfn.XLOOKUP($A167,My_Audit!$A:$A,My_Audit!L:L,""),
_xlfn.IFS(_xlpm.MyAuditVal&lt;&gt;"",UPPER(_xlpm.MyAuditVal),_xlpm.MacVal&lt;&gt;"",_xlpm.MacVal,_xlpm.CSVVal&lt;&gt;"",_xlpm.CSVVal
)),"")</f>
        <v/>
      </c>
      <c r="N167" s="2" t="str" cm="1">
        <f t="array" ref="N167">IFERROR(_xlfn.LET(
_xlpm.CSVVal,_xlfn.XLOOKUP($A167,CSV!$A:$A,CSV!M:M,""),
_xlpm.MacVal,_xlfn.XLOOKUP($A167,Output_Mac!$A:$A,Output_Mac!N:N,""),
_xlpm.MyAuditVal,_xlfn.XLOOKUP($A167,My_Audit!$A:$A,My_Audit!M:M,""),
_xlfn.IFS(_xlpm.MyAuditVal&lt;&gt;"",UPPER(_xlpm.MyAuditVal),_xlpm.MacVal&lt;&gt;"",_xlpm.MacVal,_xlpm.CSVVal&lt;&gt;"",_xlpm.CSVVal
)),"")</f>
        <v/>
      </c>
      <c r="O167" s="2" t="str">
        <f>_xlfn.LET(
    _xlpm.CSVVal, _xlfn.XLOOKUP($A167, CSV!$A:$A, CSV!AC:AC, ""),
    _xlpm.MacVal, _xlfn.XLOOKUP($A167, Output_Mac!$A:$A, Output_Mac!S:S, ""),
    _xlpm.MyAuditVal, _xlfn.XLOOKUP($A167, My_Audit!$A:$A, My_Audit!O:O, ""),
    _xlfn.TEXTJOIN(", ", TRUE, _xlpm.MyAuditVal, _xlpm.MacVal, _xlpm.CSVVal)
)</f>
        <v/>
      </c>
      <c r="P167" s="2" t="str" cm="1">
        <f t="array" ref="P167">IFERROR(_xlfn.LET(
_xlpm.CSVVal,_xlfn.XLOOKUP($A167,CSV!$A:$A,CSV!AD:AD,""),
_xlpm.MacVal,_xlfn.XLOOKUP($A167,Output_Mac!$A:$A,Output_Mac!T:T,""),
_xlpm.MyAuditVal,_xlfn.XLOOKUP($A167,My_Audit!$A:$A,My_Audit!Q:Q,""),
_xlfn.IFS(_xlpm.MyAuditVal&lt;&gt;"",UPPER(_xlpm.MyAuditVal),_xlpm.MacVal&lt;&gt;"",_xlpm.MacVal,_xlpm.CSVVal&lt;&gt;"",_xlpm.CSVVal
)),"No")</f>
        <v>No</v>
      </c>
      <c r="Q167" s="2" t="str" cm="1">
        <f t="array" ref="Q167">IFERROR(_xlfn.LET(
_xlpm.CSVVal,_xlfn.XLOOKUP($A167,CSV!$A:$A,CSV!AE:AE,""),
_xlpm.MacVal,_xlfn.XLOOKUP($A167,Output_Mac!$A:$A,Output_Mac!U:U,""),
_xlpm.MyAuditVal,_xlfn.XLOOKUP($A167,My_Audit!$A:$A,My_Audit!R:R,""),
_xlfn.IFS(_xlpm.MyAuditVal&lt;&gt;"",UPPER(_xlpm.MyAuditVal),_xlpm.MacVal&lt;&gt;"",_xlpm.MacVal,_xlpm.CSVVal&lt;&gt;"",_xlpm.CSVVal
)),"")</f>
        <v/>
      </c>
    </row>
    <row r="168" spans="1:24">
      <c r="A168" s="2" t="str">
        <f>_xlfn.TEXTJOIN("",TRUE,Input!$B$2,ROW(My_Audit!A167))</f>
        <v>X167</v>
      </c>
      <c r="B168" s="2" t="str">
        <f>_xlfn.TEXTJOIN("-",TRUE,"ITD",Input!$A$2,A168)</f>
        <v>ITD-SHR-X167</v>
      </c>
      <c r="C168" s="2" t="str" cm="1">
        <f t="array" ref="C168">IFERROR(_xlfn.LET(
_xlpm.CSVVal,_xlfn.XLOOKUP($A168,CSV!$A:$A,CSV!B:B,""),
_xlpm.MacVal,_xlfn.XLOOKUP($A168,Output_Mac!$A:$A,Output_Mac!B:B,""),
_xlpm.MyAuditVal,_xlfn.XLOOKUP($A168,My_Audit!$A:$A,My_Audit!B:B,""),
_xlfn.IFS(_xlpm.MyAuditVal&lt;&gt;"",UPPER(_xlpm.MyAuditVal),_xlpm.MacVal&lt;&gt;"",_xlpm.MacVal,_xlpm.CSVVal&lt;&gt;"",_xlpm.CSVVal
)),"")</f>
        <v/>
      </c>
      <c r="D168" s="2" t="str" cm="1">
        <f t="array" ref="D168">IFERROR(_xlfn.LET(
_xlpm.CSVVal,_xlfn.XLOOKUP($A168,CSV!$A:$A,CSV!D:D,""),
_xlpm.MacVal,_xlfn.XLOOKUP($A168,Output_Mac!$A:$A,Output_Mac!C:C,""),
_xlpm.MyAuditVal,_xlfn.XLOOKUP($A168,My_Audit!$A:$A,My_Audit!C:C,""),
_xlfn.IFS(_xlpm.MyAuditVal&lt;&gt;"",_xlpm.MyAuditVal,_xlpm.MacVal&lt;&gt;"",_xlpm.MacVal,_xlpm.CSVVal&lt;&gt;"",_xlpm.CSVVal
)),"")</f>
        <v/>
      </c>
      <c r="E168" s="2" t="str">
        <f>_xlfn.XLOOKUP(A168,My_Audit!A:A,My_Audit!D:D,"")&amp;""</f>
        <v/>
      </c>
      <c r="F168" s="2" t="str" cm="1">
        <f t="array" ref="F168">IFERROR(_xlfn.LET(
_xlpm.CSVVal,_xlfn.XLOOKUP($A168,CSV!$A:$A,CSV!F:F,""),
_xlpm.MacVal,_xlfn.XLOOKUP($A168,Output_Mac!$A:$A,Output_Mac!E:E,""),
_xlpm.MyAuditVal,_xlfn.XLOOKUP($A168,My_Audit!$A:$A,My_Audit!E:E,""),
_xlfn.IFS(_xlpm.MyAuditVal&lt;&gt;"",_xlpm.MyAuditVal,_xlpm.MacVal&lt;&gt;"",_xlpm.MacVal,_xlpm.CSVVal&lt;&gt;"",_xlpm.CSVVal
)),"")</f>
        <v/>
      </c>
      <c r="G168" s="2" t="str" cm="1">
        <f t="array" ref="G168">IFERROR(_xlfn.LET(
_xlpm.CSVVal,_xlfn.XLOOKUP($A168,CSV!$A:$A,CSV!G:G,""),
_xlpm.MacVal,_xlfn.XLOOKUP($A168,Output_Mac!$A:$A,Output_Mac!F:F,""),
_xlpm.MyAuditVal,_xlfn.XLOOKUP($A168,My_Audit!$A:$A,My_Audit!F:F,""),
_xlfn.IFS(_xlpm.MyAuditVal&lt;&gt;"",_xlpm.MyAuditVal,_xlpm.MacVal&lt;&gt;"",_xlpm.MacVal,_xlpm.CSVVal&lt;&gt;"",PROPER(_xlpm.CSVVal)
)),"")</f>
        <v/>
      </c>
      <c r="H168" s="2" t="str" cm="1">
        <f t="array" ref="H168">IFERROR(_xlfn.LET(
_xlpm.CSVVal,_xlfn.XLOOKUP($A168,CSV!$A:$A,CSV!G:G,""),
_xlpm.MacVal,_xlfn.XLOOKUP($A168,Output_Mac!$A:$A,Output_Mac!H:H,""),
_xlpm.MyAuditVal,_xlfn.XLOOKUP($A168,My_Audit!$A:$A,My_Audit!G:G,""),
_xlfn.IFS(_xlpm.MyAuditVal&lt;&gt;"",_xlpm.MyAuditVal,_xlpm.MacVal&lt;&gt;"",_xlpm.MacVal,_xlpm.CSVVal&lt;&gt;"",_xlpm.CSVVal
)),"")</f>
        <v/>
      </c>
      <c r="I168" s="2" t="str">
        <f>_xlfn.XLOOKUP(A168,Output_Mac!A:A,Output_Mac!I:I,"")</f>
        <v/>
      </c>
      <c r="J168" s="2" t="str" cm="1">
        <f t="array" ref="J168">IFERROR(_xlfn.LET(
_xlpm.CSVVal,_xlfn.XLOOKUP($A168,CSV!$A:$A,CSV!I:I,""),
_xlpm.MacVal,_xlfn.XLOOKUP($A168,Output_Mac!$A:$A,Output_Mac!J:J,""),
_xlpm.MyAuditVal,_xlfn.XLOOKUP($A168,My_Audit!$A:$A,My_Audit!I:I,""),
_xlfn.IFS(_xlpm.MyAuditVal&lt;&gt;"",UPPER(_xlpm.MyAuditVal),_xlpm.MacVal&lt;&gt;"",_xlpm.MacVal,_xlpm.CSVVal&lt;&gt;"",_xlpm.CSVVal
)),"")</f>
        <v/>
      </c>
      <c r="K168" s="2" t="str" cm="1">
        <f t="array" ref="K168">IFERROR(_xlfn.LET(
_xlpm.CSVVal,_xlfn.XLOOKUP($A168,CSV!$A:$A,CSV!K:K,""),
_xlpm.MacVal,_xlfn.XLOOKUP($A168,Output_Mac!$A:$A,Output_Mac!K:K,""),
_xlpm.MyAuditVal,_xlfn.XLOOKUP($A168,My_Audit!$A:$A,My_Audit!J:J,""),
_xlfn.IFS(_xlpm.MyAuditVal&lt;&gt;"",UPPER(_xlpm.MyAuditVal),_xlpm.MacVal&lt;&gt;"",_xlpm.MacVal,_xlpm.CSVVal&lt;&gt;"",_xlpm.CSVVal
)),"")</f>
        <v/>
      </c>
      <c r="L168" s="2" t="str" cm="1">
        <f t="array" ref="L168">IFERROR(_xlfn.LET(
_xlpm.CSVVal,_xlfn.XLOOKUP($A168,CSV!$A:$A,CSV!P:P,""),
_xlpm.MacVal,_xlfn.XLOOKUP($A168,Output_Mac!$A:$A,Output_Mac!L:L,""),
_xlpm.MyAuditVal,_xlfn.XLOOKUP($A168,My_Audit!$A:$A,My_Audit!K:K,""),
_xlfn.IFS(_xlpm.MyAuditVal&lt;&gt;"",UPPER(_xlpm.MyAuditVal),_xlpm.MacVal&lt;&gt;"",_xlpm.MacVal,_xlpm.CSVVal&lt;&gt;"",_xlpm.CSVVal
)),"")</f>
        <v/>
      </c>
      <c r="M168" s="2" t="str" cm="1">
        <f t="array" ref="M168">IFERROR(_xlfn.LET(
_xlpm.CSVVal,_xlfn.XLOOKUP($A168,CSV!$A:$A,CSV!Q:Q,""),
_xlpm.MacVal,_xlfn.XLOOKUP($A168,Output_Mac!$A:$A,Output_Mac!M:M,""),
_xlpm.MyAuditVal,_xlfn.XLOOKUP($A168,My_Audit!$A:$A,My_Audit!L:L,""),
_xlfn.IFS(_xlpm.MyAuditVal&lt;&gt;"",UPPER(_xlpm.MyAuditVal),_xlpm.MacVal&lt;&gt;"",_xlpm.MacVal,_xlpm.CSVVal&lt;&gt;"",_xlpm.CSVVal
)),"")</f>
        <v/>
      </c>
      <c r="N168" s="2" t="str" cm="1">
        <f t="array" ref="N168">IFERROR(_xlfn.LET(
_xlpm.CSVVal,_xlfn.XLOOKUP($A168,CSV!$A:$A,CSV!M:M,""),
_xlpm.MacVal,_xlfn.XLOOKUP($A168,Output_Mac!$A:$A,Output_Mac!N:N,""),
_xlpm.MyAuditVal,_xlfn.XLOOKUP($A168,My_Audit!$A:$A,My_Audit!M:M,""),
_xlfn.IFS(_xlpm.MyAuditVal&lt;&gt;"",UPPER(_xlpm.MyAuditVal),_xlpm.MacVal&lt;&gt;"",_xlpm.MacVal,_xlpm.CSVVal&lt;&gt;"",_xlpm.CSVVal
)),"")</f>
        <v/>
      </c>
      <c r="O168" s="2" t="str">
        <f>_xlfn.LET(
    _xlpm.CSVVal, _xlfn.XLOOKUP($A168, CSV!$A:$A, CSV!AC:AC, ""),
    _xlpm.MacVal, _xlfn.XLOOKUP($A168, Output_Mac!$A:$A, Output_Mac!S:S, ""),
    _xlpm.MyAuditVal, _xlfn.XLOOKUP($A168, My_Audit!$A:$A, My_Audit!O:O, ""),
    _xlfn.TEXTJOIN(", ", TRUE, _xlpm.MyAuditVal, _xlpm.MacVal, _xlpm.CSVVal)
)</f>
        <v/>
      </c>
      <c r="P168" s="2" t="str" cm="1">
        <f t="array" ref="P168">IFERROR(_xlfn.LET(
_xlpm.CSVVal,_xlfn.XLOOKUP($A168,CSV!$A:$A,CSV!AD:AD,""),
_xlpm.MacVal,_xlfn.XLOOKUP($A168,Output_Mac!$A:$A,Output_Mac!T:T,""),
_xlpm.MyAuditVal,_xlfn.XLOOKUP($A168,My_Audit!$A:$A,My_Audit!Q:Q,""),
_xlfn.IFS(_xlpm.MyAuditVal&lt;&gt;"",UPPER(_xlpm.MyAuditVal),_xlpm.MacVal&lt;&gt;"",_xlpm.MacVal,_xlpm.CSVVal&lt;&gt;"",_xlpm.CSVVal
)),"No")</f>
        <v>No</v>
      </c>
      <c r="Q168" s="2" t="str" cm="1">
        <f t="array" ref="Q168">IFERROR(_xlfn.LET(
_xlpm.CSVVal,_xlfn.XLOOKUP($A168,CSV!$A:$A,CSV!AE:AE,""),
_xlpm.MacVal,_xlfn.XLOOKUP($A168,Output_Mac!$A:$A,Output_Mac!U:U,""),
_xlpm.MyAuditVal,_xlfn.XLOOKUP($A168,My_Audit!$A:$A,My_Audit!R:R,""),
_xlfn.IFS(_xlpm.MyAuditVal&lt;&gt;"",UPPER(_xlpm.MyAuditVal),_xlpm.MacVal&lt;&gt;"",_xlpm.MacVal,_xlpm.CSVVal&lt;&gt;"",_xlpm.CSVVal
)),"")</f>
        <v/>
      </c>
    </row>
    <row r="169" spans="1:24">
      <c r="A169" s="2" t="str">
        <f>_xlfn.TEXTJOIN("",TRUE,Input!$B$2,ROW(My_Audit!A168))</f>
        <v>X168</v>
      </c>
      <c r="B169" s="2" t="str">
        <f>_xlfn.TEXTJOIN("-",TRUE,"ITD",Input!$A$2,A169)</f>
        <v>ITD-SHR-X168</v>
      </c>
      <c r="C169" s="2" t="str" cm="1">
        <f t="array" ref="C169">IFERROR(_xlfn.LET(
_xlpm.CSVVal,_xlfn.XLOOKUP($A169,CSV!$A:$A,CSV!B:B,""),
_xlpm.MacVal,_xlfn.XLOOKUP($A169,Output_Mac!$A:$A,Output_Mac!B:B,""),
_xlpm.MyAuditVal,_xlfn.XLOOKUP($A169,My_Audit!$A:$A,My_Audit!B:B,""),
_xlfn.IFS(_xlpm.MyAuditVal&lt;&gt;"",UPPER(_xlpm.MyAuditVal),_xlpm.MacVal&lt;&gt;"",_xlpm.MacVal,_xlpm.CSVVal&lt;&gt;"",_xlpm.CSVVal
)),"")</f>
        <v/>
      </c>
      <c r="D169" s="2" t="str" cm="1">
        <f t="array" ref="D169">IFERROR(_xlfn.LET(
_xlpm.CSVVal,_xlfn.XLOOKUP($A169,CSV!$A:$A,CSV!D:D,""),
_xlpm.MacVal,_xlfn.XLOOKUP($A169,Output_Mac!$A:$A,Output_Mac!C:C,""),
_xlpm.MyAuditVal,_xlfn.XLOOKUP($A169,My_Audit!$A:$A,My_Audit!C:C,""),
_xlfn.IFS(_xlpm.MyAuditVal&lt;&gt;"",_xlpm.MyAuditVal,_xlpm.MacVal&lt;&gt;"",_xlpm.MacVal,_xlpm.CSVVal&lt;&gt;"",_xlpm.CSVVal
)),"")</f>
        <v/>
      </c>
      <c r="E169" s="2" t="str">
        <f>_xlfn.XLOOKUP(A169,My_Audit!A:A,My_Audit!D:D,"")&amp;""</f>
        <v/>
      </c>
      <c r="F169" s="2" t="str" cm="1">
        <f t="array" ref="F169">IFERROR(_xlfn.LET(
_xlpm.CSVVal,_xlfn.XLOOKUP($A169,CSV!$A:$A,CSV!F:F,""),
_xlpm.MacVal,_xlfn.XLOOKUP($A169,Output_Mac!$A:$A,Output_Mac!E:E,""),
_xlpm.MyAuditVal,_xlfn.XLOOKUP($A169,My_Audit!$A:$A,My_Audit!E:E,""),
_xlfn.IFS(_xlpm.MyAuditVal&lt;&gt;"",_xlpm.MyAuditVal,_xlpm.MacVal&lt;&gt;"",_xlpm.MacVal,_xlpm.CSVVal&lt;&gt;"",_xlpm.CSVVal
)),"")</f>
        <v/>
      </c>
      <c r="G169" s="2" t="str" cm="1">
        <f t="array" ref="G169">IFERROR(_xlfn.LET(
_xlpm.CSVVal,_xlfn.XLOOKUP($A169,CSV!$A:$A,CSV!G:G,""),
_xlpm.MacVal,_xlfn.XLOOKUP($A169,Output_Mac!$A:$A,Output_Mac!F:F,""),
_xlpm.MyAuditVal,_xlfn.XLOOKUP($A169,My_Audit!$A:$A,My_Audit!F:F,""),
_xlfn.IFS(_xlpm.MyAuditVal&lt;&gt;"",_xlpm.MyAuditVal,_xlpm.MacVal&lt;&gt;"",_xlpm.MacVal,_xlpm.CSVVal&lt;&gt;"",PROPER(_xlpm.CSVVal)
)),"")</f>
        <v/>
      </c>
      <c r="H169" s="2" t="str" cm="1">
        <f t="array" ref="H169">IFERROR(_xlfn.LET(
_xlpm.CSVVal,_xlfn.XLOOKUP($A169,CSV!$A:$A,CSV!G:G,""),
_xlpm.MacVal,_xlfn.XLOOKUP($A169,Output_Mac!$A:$A,Output_Mac!H:H,""),
_xlpm.MyAuditVal,_xlfn.XLOOKUP($A169,My_Audit!$A:$A,My_Audit!G:G,""),
_xlfn.IFS(_xlpm.MyAuditVal&lt;&gt;"",_xlpm.MyAuditVal,_xlpm.MacVal&lt;&gt;"",_xlpm.MacVal,_xlpm.CSVVal&lt;&gt;"",_xlpm.CSVVal
)),"")</f>
        <v/>
      </c>
      <c r="I169" s="2" t="str">
        <f>_xlfn.XLOOKUP(A169,Output_Mac!A:A,Output_Mac!I:I,"")</f>
        <v/>
      </c>
      <c r="J169" s="2" t="str" cm="1">
        <f t="array" ref="J169">IFERROR(_xlfn.LET(
_xlpm.CSVVal,_xlfn.XLOOKUP($A169,CSV!$A:$A,CSV!I:I,""),
_xlpm.MacVal,_xlfn.XLOOKUP($A169,Output_Mac!$A:$A,Output_Mac!J:J,""),
_xlpm.MyAuditVal,_xlfn.XLOOKUP($A169,My_Audit!$A:$A,My_Audit!I:I,""),
_xlfn.IFS(_xlpm.MyAuditVal&lt;&gt;"",UPPER(_xlpm.MyAuditVal),_xlpm.MacVal&lt;&gt;"",_xlpm.MacVal,_xlpm.CSVVal&lt;&gt;"",_xlpm.CSVVal
)),"")</f>
        <v/>
      </c>
      <c r="K169" s="2" t="str" cm="1">
        <f t="array" ref="K169">IFERROR(_xlfn.LET(
_xlpm.CSVVal,_xlfn.XLOOKUP($A169,CSV!$A:$A,CSV!K:K,""),
_xlpm.MacVal,_xlfn.XLOOKUP($A169,Output_Mac!$A:$A,Output_Mac!K:K,""),
_xlpm.MyAuditVal,_xlfn.XLOOKUP($A169,My_Audit!$A:$A,My_Audit!J:J,""),
_xlfn.IFS(_xlpm.MyAuditVal&lt;&gt;"",UPPER(_xlpm.MyAuditVal),_xlpm.MacVal&lt;&gt;"",_xlpm.MacVal,_xlpm.CSVVal&lt;&gt;"",_xlpm.CSVVal
)),"")</f>
        <v/>
      </c>
      <c r="L169" s="2" t="str" cm="1">
        <f t="array" ref="L169">IFERROR(_xlfn.LET(
_xlpm.CSVVal,_xlfn.XLOOKUP($A169,CSV!$A:$A,CSV!P:P,""),
_xlpm.MacVal,_xlfn.XLOOKUP($A169,Output_Mac!$A:$A,Output_Mac!L:L,""),
_xlpm.MyAuditVal,_xlfn.XLOOKUP($A169,My_Audit!$A:$A,My_Audit!K:K,""),
_xlfn.IFS(_xlpm.MyAuditVal&lt;&gt;"",UPPER(_xlpm.MyAuditVal),_xlpm.MacVal&lt;&gt;"",_xlpm.MacVal,_xlpm.CSVVal&lt;&gt;"",_xlpm.CSVVal
)),"")</f>
        <v/>
      </c>
      <c r="M169" s="2" t="str" cm="1">
        <f t="array" ref="M169">IFERROR(_xlfn.LET(
_xlpm.CSVVal,_xlfn.XLOOKUP($A169,CSV!$A:$A,CSV!Q:Q,""),
_xlpm.MacVal,_xlfn.XLOOKUP($A169,Output_Mac!$A:$A,Output_Mac!M:M,""),
_xlpm.MyAuditVal,_xlfn.XLOOKUP($A169,My_Audit!$A:$A,My_Audit!L:L,""),
_xlfn.IFS(_xlpm.MyAuditVal&lt;&gt;"",UPPER(_xlpm.MyAuditVal),_xlpm.MacVal&lt;&gt;"",_xlpm.MacVal,_xlpm.CSVVal&lt;&gt;"",_xlpm.CSVVal
)),"")</f>
        <v/>
      </c>
      <c r="N169" s="2" t="str" cm="1">
        <f t="array" ref="N169">IFERROR(_xlfn.LET(
_xlpm.CSVVal,_xlfn.XLOOKUP($A169,CSV!$A:$A,CSV!M:M,""),
_xlpm.MacVal,_xlfn.XLOOKUP($A169,Output_Mac!$A:$A,Output_Mac!N:N,""),
_xlpm.MyAuditVal,_xlfn.XLOOKUP($A169,My_Audit!$A:$A,My_Audit!M:M,""),
_xlfn.IFS(_xlpm.MyAuditVal&lt;&gt;"",UPPER(_xlpm.MyAuditVal),_xlpm.MacVal&lt;&gt;"",_xlpm.MacVal,_xlpm.CSVVal&lt;&gt;"",_xlpm.CSVVal
)),"")</f>
        <v/>
      </c>
      <c r="O169" s="2" t="str">
        <f>_xlfn.LET(
    _xlpm.CSVVal, _xlfn.XLOOKUP($A169, CSV!$A:$A, CSV!N:N, ""),
    _xlpm.MacVal, _xlfn.XLOOKUP($A169, Output_Mac!$A:$A, Output_Mac!S:S, ""),
    _xlpm.MyAuditVal, _xlfn.XLOOKUP($A169, My_Audit!$A:$A, My_Audit!O:O, ""),
    _xlfn.TEXTJOIN(", ", TRUE, _xlpm.MyAuditVal, _xlpm.MacVal, _xlpm.CSVVal)
)</f>
        <v/>
      </c>
      <c r="P169" s="2" t="str" cm="1">
        <f t="array" ref="P169">IFERROR(_xlfn.LET(
_xlpm.CSVVal,_xlfn.XLOOKUP($A169,CSV!$A:$A,CSV!O:O,""),
_xlpm.MacVal,_xlfn.XLOOKUP($A169,Output_Mac!$A:$A,Output_Mac!T:T,""),
_xlpm.MyAuditVal,_xlfn.XLOOKUP($A169,My_Audit!$A:$A,My_Audit!Q:Q,""),
_xlfn.IFS(_xlpm.MyAuditVal&lt;&gt;"",UPPER(_xlpm.MyAuditVal),_xlpm.MacVal&lt;&gt;"",_xlpm.MacVal,_xlpm.CSVVal&lt;&gt;"",_xlpm.CSVVal
)),"")</f>
        <v/>
      </c>
      <c r="Q169" s="2" t="str" cm="1">
        <f t="array" ref="Q169">IFERROR(_xlfn.LET(
_xlpm.CSVVal,_xlfn.XLOOKUP($A169,CSV!$A:$A,CSV!P:P,""),
_xlpm.MacVal,_xlfn.XLOOKUP($A169,Output_Mac!$A:$A,Output_Mac!U:U,""),
_xlpm.MyAuditVal,_xlfn.XLOOKUP($A169,My_Audit!$A:$A,My_Audit!R:R,""),
_xlfn.IFS(_xlpm.MyAuditVal&lt;&gt;"",UPPER(_xlpm.MyAuditVal),_xlpm.MacVal&lt;&gt;"",_xlpm.MacVal,_xlpm.CSVVal&lt;&gt;"",_xlpm.CSVVal
)),"")</f>
        <v/>
      </c>
    </row>
    <row r="170" spans="1:24">
      <c r="A170" s="2" t="str">
        <f>_xlfn.TEXTJOIN("",TRUE,Input!$B$2,ROW(My_Audit!A169))</f>
        <v>X169</v>
      </c>
      <c r="E170" s="2" t="str">
        <f>_xlfn.XLOOKUP(A170,My_Audit!A:A,My_Audit!D:D,"")&amp;""</f>
        <v/>
      </c>
      <c r="G170" s="2" t="str" cm="1">
        <f t="array" ref="G170">IFERROR(_xlfn.LET(
_xlpm.CSVVal,_xlfn.XLOOKUP($A170,CSV!$A:$A,CSV!G:G,""),
_xlpm.MacVal,_xlfn.XLOOKUP($A170,Output_Mac!$A:$A,Output_Mac!F:F,""),
_xlpm.MyAuditVal,_xlfn.XLOOKUP($A170,My_Audit!$A:$A,My_Audit!F:F,""),
_xlfn.IFS(_xlpm.MyAuditVal&lt;&gt;"",_xlpm.MyAuditVal,_xlpm.MacVal&lt;&gt;"",_xlpm.MacVal,_xlpm.CSVVal&lt;&gt;"",PROPER(_xlpm.CSVVal)
)),"")</f>
        <v/>
      </c>
      <c r="I170" s="2" t="str">
        <f>_xlfn.XLOOKUP(A170,Output_Mac!A:A,Output_Mac!I:I,"")</f>
        <v/>
      </c>
      <c r="K170" s="2" t="str" cm="1">
        <f t="array" ref="K170">IFERROR(_xlfn.LET(
_xlpm.CSVVal,_xlfn.XLOOKUP($A170,CSV!$A:$A,CSV!K:K,""),
_xlpm.MacVal,_xlfn.XLOOKUP($A170,Output_Mac!$A:$A,Output_Mac!K:K,""),
_xlpm.MyAuditVal,_xlfn.XLOOKUP($A170,My_Audit!$A:$A,My_Audit!J:J,""),
_xlfn.IFS(_xlpm.MyAuditVal&lt;&gt;"",UPPER(_xlpm.MyAuditVal),_xlpm.MacVal&lt;&gt;"",_xlpm.MacVal,_xlpm.CSVVal&lt;&gt;"",_xlpm.CSVVal
)),"")</f>
        <v/>
      </c>
      <c r="L170" s="2" t="str" cm="1">
        <f t="array" ref="L170">IFERROR(_xlfn.LET(
_xlpm.CSVVal,_xlfn.XLOOKUP($A170,CSV!$A:$A,CSV!P:P,""),
_xlpm.MacVal,_xlfn.XLOOKUP($A170,Output_Mac!$A:$A,Output_Mac!L:L,""),
_xlpm.MyAuditVal,_xlfn.XLOOKUP($A170,My_Audit!$A:$A,My_Audit!K:K,""),
_xlfn.IFS(_xlpm.MyAuditVal&lt;&gt;"",UPPER(_xlpm.MyAuditVal),_xlpm.MacVal&lt;&gt;"",_xlpm.MacVal,_xlpm.CSVVal&lt;&gt;"",_xlpm.CSVVal
)),"")</f>
        <v/>
      </c>
      <c r="M170" s="2" t="str" cm="1">
        <f t="array" ref="M170">IFERROR(_xlfn.LET(
_xlpm.CSVVal,_xlfn.XLOOKUP($A170,CSV!$A:$A,CSV!Q:Q,""),
_xlpm.MacVal,_xlfn.XLOOKUP($A170,Output_Mac!$A:$A,Output_Mac!M:M,""),
_xlpm.MyAuditVal,_xlfn.XLOOKUP($A170,My_Audit!$A:$A,My_Audit!L:L,""),
_xlfn.IFS(_xlpm.MyAuditVal&lt;&gt;"",UPPER(_xlpm.MyAuditVal),_xlpm.MacVal&lt;&gt;"",_xlpm.MacVal,_xlpm.CSVVal&lt;&gt;"",_xlpm.CSVVal
)),"")</f>
        <v/>
      </c>
      <c r="O170" s="2" t="str">
        <f>_xlfn.LET(
    _xlpm.CSVVal, _xlfn.XLOOKUP($A170, CSV!$A:$A, CSV!N:N, ""),
    _xlpm.MacVal, _xlfn.XLOOKUP($A170, Output_Mac!$A:$A, Output_Mac!S:S, ""),
    _xlpm.MyAuditVal, _xlfn.XLOOKUP($A170, My_Audit!$A:$A, My_Audit!O:O, ""),
    _xlfn.TEXTJOIN(", ", TRUE, _xlpm.MyAuditVal, _xlpm.MacVal, _xlpm.CSVVal)
)</f>
        <v/>
      </c>
    </row>
    <row r="171" spans="1:24">
      <c r="A171" s="2" t="str">
        <f>_xlfn.TEXTJOIN("",TRUE,Input!$B$2,ROW(My_Audit!A170))</f>
        <v>X170</v>
      </c>
      <c r="E171" s="2" t="str">
        <f>_xlfn.XLOOKUP(A171,My_Audit!A:A,My_Audit!D:D,"")&amp;""</f>
        <v/>
      </c>
    </row>
    <row r="172" spans="1:24">
      <c r="A172" s="2" t="str">
        <f>_xlfn.TEXTJOIN("",TRUE,Input!$B$2,ROW(My_Audit!A171))</f>
        <v>X171</v>
      </c>
      <c r="E172" s="2" t="str">
        <f>_xlfn.XLOOKUP(A172,My_Audit!A:A,My_Audit!D:D,"")&amp;""</f>
        <v/>
      </c>
    </row>
    <row r="173" spans="1:24">
      <c r="A173" s="2" t="str">
        <f>_xlfn.TEXTJOIN("",TRUE,Input!$B$2,ROW(My_Audit!A172))</f>
        <v>X172</v>
      </c>
      <c r="E173" s="2" t="str">
        <f>_xlfn.XLOOKUP(A173,My_Audit!A:A,My_Audit!D:D,"")&amp;""</f>
        <v/>
      </c>
    </row>
    <row r="174" spans="1:24">
      <c r="A174" s="2" t="str">
        <f>_xlfn.TEXTJOIN("",TRUE,Input!$B$2,ROW(My_Audit!A173))</f>
        <v>X173</v>
      </c>
      <c r="E174" s="2" t="str">
        <f>_xlfn.XLOOKUP(A174,My_Audit!A:A,My_Audit!D:D,"")&amp;""</f>
        <v/>
      </c>
    </row>
    <row r="175" spans="1:24">
      <c r="A175" s="2" t="str">
        <f>_xlfn.TEXTJOIN("",TRUE,Input!$B$2,ROW(My_Audit!A174))</f>
        <v>X174</v>
      </c>
      <c r="E175" s="2" t="str">
        <f>_xlfn.XLOOKUP(A175,My_Audit!A:A,My_Audit!D:D,"")&amp;""</f>
        <v/>
      </c>
    </row>
    <row r="176" spans="1:24">
      <c r="A176" s="2" t="str">
        <f>_xlfn.TEXTJOIN("",TRUE,Input!$B$2,ROW(My_Audit!A175))</f>
        <v>X175</v>
      </c>
      <c r="E176" s="2" t="str">
        <f>_xlfn.XLOOKUP(A176,My_Audit!A:A,My_Audit!D:D,"")&amp;""</f>
        <v/>
      </c>
    </row>
    <row r="177" spans="1:5">
      <c r="A177" s="2" t="str">
        <f>_xlfn.TEXTJOIN("",TRUE,Input!$B$2,ROW(My_Audit!A176))</f>
        <v>X176</v>
      </c>
      <c r="E177" s="2" t="str">
        <f>_xlfn.XLOOKUP(A177,My_Audit!A:A,My_Audit!D:D,"")&amp;""</f>
        <v/>
      </c>
    </row>
    <row r="178" spans="1:5">
      <c r="A178" s="2" t="str">
        <f>_xlfn.TEXTJOIN("",TRUE,Input!$B$2,ROW(My_Audit!A177))</f>
        <v>X177</v>
      </c>
      <c r="E178" s="2" t="str">
        <f>_xlfn.XLOOKUP(A178,My_Audit!A:A,My_Audit!D:D,"")&amp;""</f>
        <v/>
      </c>
    </row>
    <row r="179" spans="1:5">
      <c r="A179" s="2" t="str">
        <f>_xlfn.TEXTJOIN("",TRUE,Input!$B$2,ROW(My_Audit!A178))</f>
        <v>X178</v>
      </c>
      <c r="E179" s="2" t="str">
        <f>_xlfn.XLOOKUP(A179,My_Audit!A:A,My_Audit!D:D,"")&amp;""</f>
        <v/>
      </c>
    </row>
    <row r="180" spans="1:5">
      <c r="A180" s="2" t="str">
        <f>_xlfn.TEXTJOIN("",TRUE,Input!$B$2,ROW(My_Audit!A179))</f>
        <v>X179</v>
      </c>
      <c r="E180" s="2" t="str">
        <f>_xlfn.XLOOKUP(A180,My_Audit!A:A,My_Audit!D:D,"")&amp;""</f>
        <v/>
      </c>
    </row>
    <row r="181" spans="1:5">
      <c r="A181" s="2" t="str">
        <f>_xlfn.TEXTJOIN("",TRUE,Input!$B$2,ROW(My_Audit!A180))</f>
        <v>X180</v>
      </c>
      <c r="E181" s="2" t="str">
        <f>_xlfn.XLOOKUP(A181,My_Audit!A:A,My_Audit!D:D,"")&amp;""</f>
        <v/>
      </c>
    </row>
    <row r="182" spans="1:5">
      <c r="A182" s="2" t="str">
        <f>_xlfn.TEXTJOIN("",TRUE,Input!$B$2,ROW(My_Audit!A181))</f>
        <v>X181</v>
      </c>
      <c r="E182" s="2" t="str">
        <f>_xlfn.XLOOKUP(A182,My_Audit!A:A,My_Audit!D:D,"")&amp;""</f>
        <v/>
      </c>
    </row>
    <row r="183" spans="1:5">
      <c r="A183" s="2" t="str">
        <f>_xlfn.TEXTJOIN("",TRUE,Input!$B$2,ROW(My_Audit!A182))</f>
        <v>X182</v>
      </c>
      <c r="E183" s="2" t="str">
        <f>_xlfn.XLOOKUP(A183,My_Audit!A:A,My_Audit!D:D,"")&amp;""</f>
        <v/>
      </c>
    </row>
    <row r="184" spans="1:5">
      <c r="A184" s="2" t="str">
        <f>_xlfn.TEXTJOIN("",TRUE,Input!$B$2,ROW(My_Audit!A183))</f>
        <v>X183</v>
      </c>
      <c r="E184" s="2" t="str">
        <f>_xlfn.XLOOKUP(A184,My_Audit!A:A,My_Audit!D:D,"")&amp;""</f>
        <v/>
      </c>
    </row>
    <row r="185" spans="1:5">
      <c r="A185" s="2" t="str">
        <f>_xlfn.TEXTJOIN("",TRUE,Input!$B$2,ROW(My_Audit!A184))</f>
        <v>X184</v>
      </c>
      <c r="E185" s="2" t="str">
        <f>_xlfn.XLOOKUP(A185,My_Audit!A:A,My_Audit!D:D,"")&amp;""</f>
        <v/>
      </c>
    </row>
    <row r="186" spans="1:5">
      <c r="A186" s="2" t="str">
        <f>_xlfn.TEXTJOIN("",TRUE,Input!$B$2,ROW(My_Audit!A185))</f>
        <v>X185</v>
      </c>
      <c r="E186" s="2" t="str">
        <f>_xlfn.XLOOKUP(A186,My_Audit!A:A,My_Audit!D:D,"")&amp;""</f>
        <v/>
      </c>
    </row>
    <row r="187" spans="1:5">
      <c r="A187" s="2" t="str">
        <f>_xlfn.TEXTJOIN("",TRUE,Input!$B$2,ROW(My_Audit!A186))</f>
        <v>X186</v>
      </c>
      <c r="E187" s="2" t="str">
        <f>_xlfn.XLOOKUP(A187,My_Audit!A:A,My_Audit!D:D,"")&amp;""</f>
        <v/>
      </c>
    </row>
    <row r="188" spans="1:5">
      <c r="A188" s="2" t="str">
        <f>_xlfn.TEXTJOIN("",TRUE,Input!$B$2,ROW(My_Audit!A187))</f>
        <v>X187</v>
      </c>
      <c r="E188" s="2" t="str">
        <f>_xlfn.XLOOKUP(A188,My_Audit!A:A,My_Audit!D:D,"")&amp;""</f>
        <v/>
      </c>
    </row>
    <row r="189" spans="1:5">
      <c r="A189" s="2" t="str">
        <f>_xlfn.TEXTJOIN("",TRUE,Input!$B$2,ROW(My_Audit!A188))</f>
        <v>X188</v>
      </c>
      <c r="E189" s="2" t="str">
        <f>_xlfn.XLOOKUP(A189,My_Audit!A:A,My_Audit!D:D,"")&amp;""</f>
        <v/>
      </c>
    </row>
    <row r="190" spans="1:5">
      <c r="A190" s="2" t="str">
        <f>_xlfn.TEXTJOIN("",TRUE,Input!$B$2,ROW(My_Audit!A189))</f>
        <v>X189</v>
      </c>
      <c r="E190" s="2" t="str">
        <f>_xlfn.XLOOKUP(A190,My_Audit!A:A,My_Audit!D:D,"")&amp;""</f>
        <v/>
      </c>
    </row>
    <row r="191" spans="1:5">
      <c r="A191" s="2" t="str">
        <f>_xlfn.TEXTJOIN("",TRUE,Input!$B$2,ROW(My_Audit!A190))</f>
        <v>X190</v>
      </c>
      <c r="E191" s="2" t="str">
        <f>_xlfn.XLOOKUP(A191,My_Audit!A:A,My_Audit!D:D,"")&amp;""</f>
        <v/>
      </c>
    </row>
    <row r="192" spans="1:5">
      <c r="A192" s="2" t="str">
        <f>_xlfn.TEXTJOIN("",TRUE,Input!$B$2,ROW(My_Audit!A191))</f>
        <v>X191</v>
      </c>
      <c r="E192" s="2" t="str">
        <f>_xlfn.XLOOKUP(A192,My_Audit!A:A,My_Audit!D:D,"")&amp;""</f>
        <v/>
      </c>
    </row>
    <row r="193" spans="1:5">
      <c r="A193" s="2" t="str">
        <f>_xlfn.TEXTJOIN("",TRUE,Input!$B$2,ROW(My_Audit!A192))</f>
        <v>X192</v>
      </c>
      <c r="E193" s="2" t="str">
        <f>_xlfn.XLOOKUP(A193,My_Audit!A:A,My_Audit!D:D,"")&amp;""</f>
        <v/>
      </c>
    </row>
    <row r="194" spans="1:5">
      <c r="A194" s="2" t="str">
        <f>_xlfn.TEXTJOIN("",TRUE,Input!$B$2,ROW(My_Audit!A193))</f>
        <v>X193</v>
      </c>
      <c r="E194" s="2" t="str">
        <f>_xlfn.XLOOKUP(A194,My_Audit!A:A,My_Audit!D:D,"")&amp;""</f>
        <v/>
      </c>
    </row>
    <row r="195" spans="1:5">
      <c r="A195" s="2" t="str">
        <f>_xlfn.TEXTJOIN("",TRUE,Input!$B$2,ROW(My_Audit!A194))</f>
        <v>X194</v>
      </c>
      <c r="E195" s="2" t="str">
        <f>_xlfn.XLOOKUP(A195,My_Audit!A:A,My_Audit!D:D,"")&amp;""</f>
        <v/>
      </c>
    </row>
    <row r="196" spans="1:5">
      <c r="A196" s="2" t="str">
        <f>_xlfn.TEXTJOIN("",TRUE,Input!$B$2,ROW(My_Audit!A195))</f>
        <v>X195</v>
      </c>
      <c r="E196" s="2" t="str">
        <f>_xlfn.XLOOKUP(A196,My_Audit!A:A,My_Audit!D:D,"")&amp;""</f>
        <v/>
      </c>
    </row>
    <row r="197" spans="1:5">
      <c r="A197" s="2" t="str">
        <f>_xlfn.TEXTJOIN("",TRUE,Input!$B$2,ROW(My_Audit!A196))</f>
        <v>X196</v>
      </c>
      <c r="E197" s="2" t="str">
        <f>_xlfn.XLOOKUP(A197,My_Audit!A:A,My_Audit!D:D,"")&amp;""</f>
        <v/>
      </c>
    </row>
    <row r="198" spans="1:5">
      <c r="A198" s="2" t="str">
        <f>_xlfn.TEXTJOIN("",TRUE,Input!$B$2,ROW(My_Audit!A197))</f>
        <v>X197</v>
      </c>
      <c r="E198" s="2" t="str">
        <f>_xlfn.XLOOKUP(A198,My_Audit!A:A,My_Audit!D:D,"")&amp;""</f>
        <v/>
      </c>
    </row>
    <row r="199" spans="1:5">
      <c r="A199" s="2" t="str">
        <f>_xlfn.TEXTJOIN("",TRUE,Input!$B$2,ROW(My_Audit!A198))</f>
        <v>X198</v>
      </c>
      <c r="E199" s="2" t="str">
        <f>_xlfn.XLOOKUP(A199,My_Audit!A:A,My_Audit!D:D,"")&amp;""</f>
        <v/>
      </c>
    </row>
    <row r="200" spans="1:5">
      <c r="A200" s="2" t="str">
        <f>_xlfn.TEXTJOIN("",TRUE,Input!$B$2,ROW(My_Audit!A199))</f>
        <v>X199</v>
      </c>
      <c r="E200" s="2" t="str">
        <f>_xlfn.XLOOKUP(A200,My_Audit!A:A,My_Audit!D:D,"")&amp;""</f>
        <v/>
      </c>
    </row>
    <row r="201" spans="1:5">
      <c r="A201" s="2" t="str">
        <f>_xlfn.TEXTJOIN("",TRUE,Input!$B$2,ROW(My_Audit!A200))</f>
        <v>X200</v>
      </c>
      <c r="E201" s="2" t="str">
        <f>_xlfn.XLOOKUP(A201,My_Audit!A:A,My_Audit!D:D,"")&amp;""</f>
        <v/>
      </c>
    </row>
    <row r="202" spans="1:5">
      <c r="A202" s="2" t="str">
        <f>_xlfn.TEXTJOIN("",TRUE,Input!$B$2,ROW(My_Audit!A201))</f>
        <v>X201</v>
      </c>
      <c r="E202" s="2" t="str">
        <f>_xlfn.XLOOKUP(A202,My_Audit!A:A,My_Audit!D:D,"")&amp;""</f>
        <v/>
      </c>
    </row>
    <row r="203" spans="1:5">
      <c r="A203" s="2" t="str">
        <f>_xlfn.TEXTJOIN("",TRUE,Input!$B$2,ROW(My_Audit!A202))</f>
        <v>X202</v>
      </c>
      <c r="E203" s="2" t="str">
        <f>_xlfn.XLOOKUP(A203,My_Audit!A:A,My_Audit!D:D,"")&amp;""</f>
        <v/>
      </c>
    </row>
    <row r="204" spans="1:5">
      <c r="A204" s="2" t="str">
        <f>_xlfn.TEXTJOIN("",TRUE,Input!$B$2,ROW(My_Audit!A203))</f>
        <v>X203</v>
      </c>
      <c r="E204" s="2" t="str">
        <f>_xlfn.XLOOKUP(A204,My_Audit!A:A,My_Audit!D:D,"")&amp;""</f>
        <v/>
      </c>
    </row>
    <row r="205" spans="1:5">
      <c r="A205" s="2" t="str">
        <f>_xlfn.TEXTJOIN("",TRUE,Input!$B$2,ROW(My_Audit!A204))</f>
        <v>X204</v>
      </c>
      <c r="E205" s="2" t="str">
        <f>_xlfn.XLOOKUP(A205,My_Audit!A:A,My_Audit!D:D,"")&amp;""</f>
        <v/>
      </c>
    </row>
    <row r="206" spans="1:5">
      <c r="A206" s="2" t="str">
        <f>_xlfn.TEXTJOIN("",TRUE,Input!$B$2,ROW(My_Audit!A205))</f>
        <v>X205</v>
      </c>
      <c r="E206" s="2" t="str">
        <f>_xlfn.XLOOKUP(A206,My_Audit!A:A,My_Audit!D:D,"")&amp;""</f>
        <v/>
      </c>
    </row>
    <row r="207" spans="1:5">
      <c r="A207" s="2" t="str">
        <f>_xlfn.TEXTJOIN("",TRUE,Input!$B$2,ROW(My_Audit!A206))</f>
        <v>X206</v>
      </c>
      <c r="E207" s="2" t="str">
        <f>_xlfn.XLOOKUP(A207,My_Audit!A:A,My_Audit!D:D,"")&amp;""</f>
        <v/>
      </c>
    </row>
    <row r="208" spans="1:5">
      <c r="A208" s="2" t="str">
        <f>_xlfn.TEXTJOIN("",TRUE,Input!$B$2,ROW(My_Audit!A207))</f>
        <v>X207</v>
      </c>
      <c r="E208" s="2" t="str">
        <f>_xlfn.XLOOKUP(A208,My_Audit!A:A,My_Audit!D:D,"")&amp;""</f>
        <v/>
      </c>
    </row>
    <row r="209" spans="1:5">
      <c r="A209" s="2" t="str">
        <f>_xlfn.TEXTJOIN("",TRUE,Input!$B$2,ROW(My_Audit!A208))</f>
        <v>X208</v>
      </c>
      <c r="E209" s="2" t="str">
        <f>_xlfn.XLOOKUP(A209,My_Audit!A:A,My_Audit!D:D,"")&amp;""</f>
        <v/>
      </c>
    </row>
    <row r="210" spans="1:5">
      <c r="A210" s="2" t="str">
        <f>_xlfn.TEXTJOIN("",TRUE,Input!$B$2,ROW(My_Audit!A209))</f>
        <v>X209</v>
      </c>
      <c r="E210" s="2" t="str">
        <f>_xlfn.XLOOKUP(A210,My_Audit!A:A,My_Audit!D:D,"")&amp;""</f>
        <v/>
      </c>
    </row>
    <row r="211" spans="1:5">
      <c r="A211" s="2" t="str">
        <f>_xlfn.TEXTJOIN("",TRUE,Input!$B$2,ROW(My_Audit!A210))</f>
        <v>X210</v>
      </c>
      <c r="E211" s="2" t="str">
        <f>_xlfn.XLOOKUP(A211,My_Audit!A:A,My_Audit!D:D,"")&amp;""</f>
        <v/>
      </c>
    </row>
    <row r="212" spans="1:5">
      <c r="A212" s="2" t="str">
        <f>_xlfn.TEXTJOIN("",TRUE,Input!$B$2,ROW(My_Audit!A211))</f>
        <v>X211</v>
      </c>
      <c r="E212" s="2" t="str">
        <f>_xlfn.XLOOKUP(A212,My_Audit!A:A,My_Audit!D:D,"")&amp;""</f>
        <v/>
      </c>
    </row>
    <row r="213" spans="1:5">
      <c r="A213" s="2" t="str">
        <f>_xlfn.TEXTJOIN("",TRUE,Input!$B$2,ROW(My_Audit!A212))</f>
        <v>X212</v>
      </c>
      <c r="E213" s="2" t="str">
        <f>_xlfn.XLOOKUP(A213,My_Audit!A:A,My_Audit!D:D,"")&amp;""</f>
        <v/>
      </c>
    </row>
    <row r="214" spans="1:5">
      <c r="A214" s="2" t="str">
        <f>_xlfn.TEXTJOIN("",TRUE,Input!$B$2,ROW(My_Audit!A213))</f>
        <v>X213</v>
      </c>
      <c r="E214" s="2" t="str">
        <f>_xlfn.XLOOKUP(A214,My_Audit!A:A,My_Audit!D:D,"")&amp;""</f>
        <v/>
      </c>
    </row>
    <row r="215" spans="1:5">
      <c r="A215" s="2" t="str">
        <f>_xlfn.TEXTJOIN("",TRUE,Input!$B$2,ROW(My_Audit!A214))</f>
        <v>X214</v>
      </c>
      <c r="E215" s="2" t="str">
        <f>_xlfn.XLOOKUP(A215,My_Audit!A:A,My_Audit!D:D,"")&amp;""</f>
        <v/>
      </c>
    </row>
    <row r="216" spans="1:5">
      <c r="A216" s="2" t="str">
        <f>_xlfn.TEXTJOIN("",TRUE,Input!$B$2,ROW(My_Audit!A215))</f>
        <v>X215</v>
      </c>
      <c r="E216" s="2" t="str">
        <f>_xlfn.XLOOKUP(A216,My_Audit!A:A,My_Audit!D:D,"")&amp;""</f>
        <v/>
      </c>
    </row>
    <row r="217" spans="1:5">
      <c r="A217" s="2" t="str">
        <f>_xlfn.TEXTJOIN("",TRUE,Input!$B$2,ROW(My_Audit!A216))</f>
        <v>X216</v>
      </c>
      <c r="E217" s="2" t="str">
        <f>_xlfn.XLOOKUP(A217,My_Audit!A:A,My_Audit!D:D,"")&amp;""</f>
        <v/>
      </c>
    </row>
    <row r="218" spans="1:5">
      <c r="A218" s="2" t="str">
        <f>_xlfn.TEXTJOIN("",TRUE,Input!$B$2,ROW(My_Audit!A217))</f>
        <v>X217</v>
      </c>
      <c r="E218" s="2" t="str">
        <f>_xlfn.XLOOKUP(A218,My_Audit!A:A,My_Audit!D:D,"")&amp;""</f>
        <v/>
      </c>
    </row>
    <row r="219" spans="1:5">
      <c r="A219" s="2" t="str">
        <f>_xlfn.TEXTJOIN("",TRUE,Input!$B$2,ROW(My_Audit!A218))</f>
        <v>X218</v>
      </c>
      <c r="E219" s="2" t="str">
        <f>_xlfn.XLOOKUP(A219,My_Audit!A:A,My_Audit!D:D,"")&amp;""</f>
        <v/>
      </c>
    </row>
    <row r="220" spans="1:5">
      <c r="A220" s="2" t="str">
        <f>_xlfn.TEXTJOIN("",TRUE,Input!$B$2,ROW(My_Audit!A219))</f>
        <v>X219</v>
      </c>
      <c r="E220" s="2" t="str">
        <f>_xlfn.XLOOKUP(A220,My_Audit!A:A,My_Audit!D:D,"")&amp;""</f>
        <v/>
      </c>
    </row>
    <row r="221" spans="1:5">
      <c r="A221" s="2" t="str">
        <f>_xlfn.TEXTJOIN("",TRUE,Input!$B$2,ROW(My_Audit!A220))</f>
        <v>X220</v>
      </c>
      <c r="E221" s="2" t="str">
        <f>_xlfn.XLOOKUP(A221,My_Audit!A:A,My_Audit!D:D,"")&amp;""</f>
        <v/>
      </c>
    </row>
    <row r="222" spans="1:5">
      <c r="A222" s="2" t="str">
        <f>_xlfn.TEXTJOIN("",TRUE,Input!$B$2,ROW(My_Audit!A221))</f>
        <v>X221</v>
      </c>
      <c r="E222" s="2" t="str">
        <f>_xlfn.XLOOKUP(A222,My_Audit!A:A,My_Audit!D:D,"")&amp;""</f>
        <v/>
      </c>
    </row>
    <row r="223" spans="1:5">
      <c r="A223" s="2" t="str">
        <f>_xlfn.TEXTJOIN("",TRUE,Input!$B$2,ROW(My_Audit!A222))</f>
        <v>X222</v>
      </c>
      <c r="E223" s="2" t="str">
        <f>_xlfn.XLOOKUP(A223,My_Audit!A:A,My_Audit!D:D,"")&amp;""</f>
        <v/>
      </c>
    </row>
    <row r="224" spans="1:5">
      <c r="A224" s="2" t="str">
        <f>_xlfn.TEXTJOIN("",TRUE,Input!$B$2,ROW(My_Audit!A223))</f>
        <v>X223</v>
      </c>
      <c r="E224" s="2" t="str">
        <f>_xlfn.XLOOKUP(A224,My_Audit!A:A,My_Audit!D:D,"")&amp;""</f>
        <v/>
      </c>
    </row>
    <row r="225" spans="1:5">
      <c r="A225" s="2" t="str">
        <f>_xlfn.TEXTJOIN("",TRUE,Input!$B$2,ROW(My_Audit!A224))</f>
        <v>X224</v>
      </c>
      <c r="E225" s="2" t="str">
        <f>_xlfn.XLOOKUP(A225,My_Audit!A:A,My_Audit!D:D,"")&amp;""</f>
        <v/>
      </c>
    </row>
    <row r="226" spans="1:5">
      <c r="A226" s="2" t="str">
        <f>_xlfn.TEXTJOIN("",TRUE,Input!$B$2,ROW(My_Audit!A225))</f>
        <v>X225</v>
      </c>
      <c r="E226" s="2" t="str">
        <f>_xlfn.XLOOKUP(A226,My_Audit!A:A,My_Audit!D:D,"")&amp;""</f>
        <v/>
      </c>
    </row>
    <row r="227" spans="1:5">
      <c r="A227" s="2" t="str">
        <f>_xlfn.TEXTJOIN("",TRUE,Input!$B$2,ROW(My_Audit!A226))</f>
        <v>X226</v>
      </c>
      <c r="E227" s="2" t="str">
        <f>_xlfn.XLOOKUP(A227,My_Audit!A:A,My_Audit!D:D,"")&amp;""</f>
        <v/>
      </c>
    </row>
    <row r="228" spans="1:5">
      <c r="A228" s="2" t="str">
        <f>_xlfn.TEXTJOIN("",TRUE,Input!$B$2,ROW(My_Audit!A227))</f>
        <v>X227</v>
      </c>
      <c r="E228" s="2" t="str">
        <f>_xlfn.XLOOKUP(A228,My_Audit!A:A,My_Audit!D:D,"")&amp;""</f>
        <v/>
      </c>
    </row>
    <row r="229" spans="1:5">
      <c r="A229" s="2" t="str">
        <f>_xlfn.TEXTJOIN("",TRUE,Input!$B$2,ROW(My_Audit!A228))</f>
        <v>X228</v>
      </c>
      <c r="E229" s="2" t="str">
        <f>_xlfn.XLOOKUP(A229,My_Audit!A:A,My_Audit!D:D,"")&amp;""</f>
        <v/>
      </c>
    </row>
    <row r="230" spans="1:5">
      <c r="A230" s="2" t="str">
        <f>_xlfn.TEXTJOIN("",TRUE,Input!$B$2,ROW(My_Audit!A229))</f>
        <v>X229</v>
      </c>
      <c r="E230" s="2" t="str">
        <f>_xlfn.XLOOKUP(A230,My_Audit!A:A,My_Audit!D:D,"")&amp;""</f>
        <v/>
      </c>
    </row>
    <row r="231" spans="1:5">
      <c r="A231" s="2" t="str">
        <f>_xlfn.TEXTJOIN("",TRUE,Input!$B$2,ROW(My_Audit!A230))</f>
        <v>X230</v>
      </c>
      <c r="E231" s="2" t="str">
        <f>_xlfn.XLOOKUP(A231,My_Audit!A:A,My_Audit!D:D,"")&amp;""</f>
        <v/>
      </c>
    </row>
    <row r="232" spans="1:5">
      <c r="A232" s="2" t="str">
        <f>_xlfn.TEXTJOIN("",TRUE,Input!$B$2,ROW(My_Audit!A231))</f>
        <v>X231</v>
      </c>
      <c r="E232" s="2" t="str">
        <f>_xlfn.XLOOKUP(A232,My_Audit!A:A,My_Audit!D:D,"")&amp;""</f>
        <v/>
      </c>
    </row>
    <row r="233" spans="1:5">
      <c r="A233" s="2" t="str">
        <f>_xlfn.TEXTJOIN("",TRUE,Input!$B$2,ROW(My_Audit!A232))</f>
        <v>X232</v>
      </c>
      <c r="E233" s="2" t="str">
        <f>_xlfn.XLOOKUP(A233,My_Audit!A:A,My_Audit!D:D,"")&amp;""</f>
        <v/>
      </c>
    </row>
    <row r="234" spans="1:5">
      <c r="A234" s="2" t="str">
        <f>_xlfn.TEXTJOIN("",TRUE,Input!$B$2,ROW(My_Audit!A233))</f>
        <v>X233</v>
      </c>
      <c r="E234" s="2" t="str">
        <f>_xlfn.XLOOKUP(A234,My_Audit!A:A,My_Audit!D:D,"")&amp;""</f>
        <v/>
      </c>
    </row>
    <row r="235" spans="1:5">
      <c r="A235" s="2" t="str">
        <f>_xlfn.TEXTJOIN("",TRUE,Input!$B$2,ROW(My_Audit!A234))</f>
        <v>X234</v>
      </c>
      <c r="E235" s="2" t="str">
        <f>_xlfn.XLOOKUP(A235,My_Audit!A:A,My_Audit!D:D,"")&amp;""</f>
        <v/>
      </c>
    </row>
    <row r="236" spans="1:5">
      <c r="A236" s="2" t="str">
        <f>_xlfn.TEXTJOIN("",TRUE,Input!$B$2,ROW(My_Audit!A235))</f>
        <v>X235</v>
      </c>
      <c r="E236" s="2" t="str">
        <f>_xlfn.XLOOKUP(A236,My_Audit!A:A,My_Audit!D:D,"")&amp;""</f>
        <v/>
      </c>
    </row>
    <row r="237" spans="1:5">
      <c r="A237" s="2" t="str">
        <f>_xlfn.TEXTJOIN("",TRUE,Input!$B$2,ROW(My_Audit!A236))</f>
        <v>X236</v>
      </c>
      <c r="E237" s="2" t="str">
        <f>_xlfn.XLOOKUP(A237,My_Audit!A:A,My_Audit!D:D,"")&amp;""</f>
        <v/>
      </c>
    </row>
    <row r="238" spans="1:5">
      <c r="A238" s="2" t="str">
        <f>_xlfn.TEXTJOIN("",TRUE,Input!$B$2,ROW(My_Audit!A237))</f>
        <v>X237</v>
      </c>
      <c r="E238" s="2" t="str">
        <f>_xlfn.XLOOKUP(A238,My_Audit!A:A,My_Audit!D:D,"")&amp;""</f>
        <v/>
      </c>
    </row>
    <row r="239" spans="1:5">
      <c r="A239" s="2" t="str">
        <f>_xlfn.TEXTJOIN("",TRUE,Input!$B$2,ROW(My_Audit!A238))</f>
        <v>X238</v>
      </c>
      <c r="E239" s="2" t="str">
        <f>_xlfn.XLOOKUP(A239,My_Audit!A:A,My_Audit!D:D,"")&amp;""</f>
        <v/>
      </c>
    </row>
    <row r="240" spans="1:5">
      <c r="A240" s="2" t="str">
        <f>_xlfn.TEXTJOIN("",TRUE,Input!$B$2,ROW(My_Audit!A239))</f>
        <v>X239</v>
      </c>
      <c r="E240" s="2" t="str">
        <f>_xlfn.XLOOKUP(A240,My_Audit!A:A,My_Audit!D:D,"")&amp;""</f>
        <v/>
      </c>
    </row>
    <row r="241" spans="1:5">
      <c r="A241" s="2" t="str">
        <f>_xlfn.TEXTJOIN("",TRUE,Input!$B$2,ROW(My_Audit!A240))</f>
        <v>X240</v>
      </c>
      <c r="E241" s="2" t="str">
        <f>_xlfn.XLOOKUP(A241,My_Audit!A:A,My_Audit!D:D,"")&amp;""</f>
        <v/>
      </c>
    </row>
    <row r="242" spans="1:5">
      <c r="A242" s="2" t="str">
        <f>_xlfn.TEXTJOIN("",TRUE,Input!$B$2,ROW(My_Audit!A241))</f>
        <v>X241</v>
      </c>
      <c r="E242" s="2" t="str">
        <f>_xlfn.XLOOKUP(A242,My_Audit!A:A,My_Audit!D:D,"")&amp;""</f>
        <v/>
      </c>
    </row>
    <row r="243" spans="1:5">
      <c r="A243" s="2" t="str">
        <f>_xlfn.TEXTJOIN("",TRUE,Input!$B$2,ROW(My_Audit!A242))</f>
        <v>X242</v>
      </c>
      <c r="E243" s="2" t="str">
        <f>_xlfn.XLOOKUP(A243,My_Audit!A:A,My_Audit!D:D,"")&amp;""</f>
        <v/>
      </c>
    </row>
    <row r="244" spans="1:5">
      <c r="A244" s="2" t="str">
        <f>_xlfn.TEXTJOIN("",TRUE,Input!$B$2,ROW(My_Audit!A243))</f>
        <v>X243</v>
      </c>
      <c r="E244" s="2" t="str">
        <f>_xlfn.XLOOKUP(A244,My_Audit!A:A,My_Audit!D:D,"")&amp;""</f>
        <v/>
      </c>
    </row>
    <row r="245" spans="1:5">
      <c r="A245" s="2" t="str">
        <f>_xlfn.TEXTJOIN("",TRUE,Input!$B$2,ROW(My_Audit!A244))</f>
        <v>X244</v>
      </c>
      <c r="E245" s="2" t="str">
        <f>_xlfn.XLOOKUP(A245,My_Audit!A:A,My_Audit!D:D,"")&amp;""</f>
        <v/>
      </c>
    </row>
    <row r="246" spans="1:5">
      <c r="A246" s="2" t="str">
        <f>_xlfn.TEXTJOIN("",TRUE,Input!$B$2,ROW(My_Audit!A245))</f>
        <v>X245</v>
      </c>
      <c r="E246" s="2" t="str">
        <f>_xlfn.XLOOKUP(A246,My_Audit!A:A,My_Audit!D:D,"")&amp;""</f>
        <v/>
      </c>
    </row>
    <row r="247" spans="1:5">
      <c r="A247" s="2" t="str">
        <f>_xlfn.TEXTJOIN("",TRUE,Input!$B$2,ROW(My_Audit!A246))</f>
        <v>X246</v>
      </c>
      <c r="E247" s="2" t="str">
        <f>_xlfn.XLOOKUP(A247,My_Audit!A:A,My_Audit!D:D,"")&amp;""</f>
        <v/>
      </c>
    </row>
    <row r="248" spans="1:5">
      <c r="A248" s="2" t="str">
        <f>_xlfn.TEXTJOIN("",TRUE,Input!$B$2,ROW(My_Audit!A247))</f>
        <v>X247</v>
      </c>
      <c r="E248" s="2" t="str">
        <f>_xlfn.XLOOKUP(A248,My_Audit!A:A,My_Audit!D:D,"")&amp;""</f>
        <v/>
      </c>
    </row>
    <row r="249" spans="1:5">
      <c r="A249" s="2" t="str">
        <f>_xlfn.TEXTJOIN("",TRUE,Input!$B$2,ROW(My_Audit!A248))</f>
        <v>X248</v>
      </c>
      <c r="E249" s="2" t="str">
        <f>_xlfn.XLOOKUP(A249,My_Audit!A:A,My_Audit!D:D,"")&amp;""</f>
        <v/>
      </c>
    </row>
    <row r="250" spans="1:5">
      <c r="A250" s="2" t="str">
        <f>_xlfn.TEXTJOIN("",TRUE,Input!$B$2,ROW(My_Audit!A249))</f>
        <v>X249</v>
      </c>
      <c r="E250" s="2" t="str">
        <f>_xlfn.XLOOKUP(A250,My_Audit!A:A,My_Audit!D:D,"")&amp;""</f>
        <v/>
      </c>
    </row>
    <row r="251" spans="1:5">
      <c r="A251" s="2" t="str">
        <f>_xlfn.TEXTJOIN("",TRUE,Input!$B$2,ROW(My_Audit!A250))</f>
        <v>X250</v>
      </c>
      <c r="E251" s="2" t="str">
        <f>_xlfn.XLOOKUP(A251,My_Audit!A:A,My_Audit!D:D,"")&amp;""</f>
        <v/>
      </c>
    </row>
    <row r="252" spans="1:5">
      <c r="A252" s="2" t="str">
        <f>_xlfn.TEXTJOIN("",TRUE,Input!$B$2,ROW(My_Audit!A251))</f>
        <v>X251</v>
      </c>
      <c r="E252" s="2" t="str">
        <f>_xlfn.XLOOKUP(A252,My_Audit!A:A,My_Audit!D:D,"")&amp;""</f>
        <v/>
      </c>
    </row>
    <row r="253" spans="1:5">
      <c r="A253" s="2" t="str">
        <f>_xlfn.TEXTJOIN("",TRUE,Input!$B$2,ROW(My_Audit!A252))</f>
        <v>X252</v>
      </c>
      <c r="E253" s="2" t="str">
        <f>_xlfn.XLOOKUP(A253,My_Audit!A:A,My_Audit!D:D,"")&amp;""</f>
        <v/>
      </c>
    </row>
    <row r="254" spans="1:5">
      <c r="A254" s="2" t="str">
        <f>_xlfn.TEXTJOIN("",TRUE,Input!$B$2,ROW(My_Audit!A253))</f>
        <v>X253</v>
      </c>
      <c r="E254" s="2" t="str">
        <f>_xlfn.XLOOKUP(A254,My_Audit!A:A,My_Audit!D:D,"")&amp;""</f>
        <v/>
      </c>
    </row>
    <row r="255" spans="1:5">
      <c r="A255" s="2" t="str">
        <f>_xlfn.TEXTJOIN("",TRUE,Input!$B$2,ROW(My_Audit!A254))</f>
        <v>X254</v>
      </c>
      <c r="E255" s="2" t="str">
        <f>_xlfn.XLOOKUP(A255,My_Audit!A:A,My_Audit!D:D,"")&amp;""</f>
        <v/>
      </c>
    </row>
    <row r="256" spans="1:5">
      <c r="A256" s="2" t="str">
        <f>_xlfn.TEXTJOIN("",TRUE,Input!$B$2,ROW(My_Audit!A255))</f>
        <v>X255</v>
      </c>
      <c r="E256" s="2" t="str">
        <f>_xlfn.XLOOKUP(A256,My_Audit!A:A,My_Audit!D:D,"")&amp;""</f>
        <v/>
      </c>
    </row>
    <row r="257" spans="1:5">
      <c r="A257" s="2" t="str">
        <f>_xlfn.TEXTJOIN("",TRUE,Input!$B$2,ROW(My_Audit!A256))</f>
        <v>X256</v>
      </c>
      <c r="E257" s="2" t="str">
        <f>_xlfn.XLOOKUP(A257,My_Audit!A:A,My_Audit!D:D,"")&amp;""</f>
        <v/>
      </c>
    </row>
    <row r="258" spans="1:5">
      <c r="A258" s="2" t="str">
        <f>_xlfn.TEXTJOIN("",TRUE,Input!$B$2,ROW(My_Audit!A257))</f>
        <v>X257</v>
      </c>
      <c r="E258" s="2" t="str">
        <f>_xlfn.XLOOKUP(A258,My_Audit!A:A,My_Audit!D:D,"")&amp;""</f>
        <v/>
      </c>
    </row>
    <row r="259" spans="1:5">
      <c r="A259" s="2" t="str">
        <f>_xlfn.TEXTJOIN("",TRUE,Input!$B$2,ROW(My_Audit!A258))</f>
        <v>X258</v>
      </c>
      <c r="E259" s="2" t="str">
        <f>_xlfn.XLOOKUP(A259,My_Audit!A:A,My_Audit!D:D,"")&amp;""</f>
        <v/>
      </c>
    </row>
    <row r="260" spans="1:5">
      <c r="A260" s="2" t="str">
        <f>_xlfn.TEXTJOIN("",TRUE,Input!$B$2,ROW(My_Audit!A259))</f>
        <v>X259</v>
      </c>
      <c r="E260" s="2" t="str">
        <f>_xlfn.XLOOKUP(A260,My_Audit!A:A,My_Audit!D:D,"")&amp;""</f>
        <v/>
      </c>
    </row>
    <row r="261" spans="1:5">
      <c r="A261" s="2" t="str">
        <f>_xlfn.TEXTJOIN("",TRUE,Input!$B$2,ROW(My_Audit!A260))</f>
        <v>X260</v>
      </c>
      <c r="E261" s="2" t="str">
        <f>_xlfn.XLOOKUP(A261,My_Audit!A:A,My_Audit!D:D,"")&amp;""</f>
        <v/>
      </c>
    </row>
    <row r="262" spans="1:5">
      <c r="A262" s="2" t="str">
        <f>_xlfn.TEXTJOIN("",TRUE,Input!$B$2,ROW(My_Audit!A261))</f>
        <v>X261</v>
      </c>
      <c r="E262" s="2" t="str">
        <f>_xlfn.XLOOKUP(A262,My_Audit!A:A,My_Audit!D:D,"")&amp;""</f>
        <v/>
      </c>
    </row>
    <row r="263" spans="1:5">
      <c r="A263" s="2" t="str">
        <f>_xlfn.TEXTJOIN("",TRUE,Input!$B$2,ROW(My_Audit!A262))</f>
        <v>X262</v>
      </c>
      <c r="E263" s="2" t="str">
        <f>_xlfn.XLOOKUP(A263,My_Audit!A:A,My_Audit!D:D,"")&amp;""</f>
        <v/>
      </c>
    </row>
    <row r="264" spans="1:5">
      <c r="A264" s="2" t="str">
        <f>_xlfn.TEXTJOIN("",TRUE,Input!$B$2,ROW(My_Audit!A263))</f>
        <v>X263</v>
      </c>
      <c r="E264" s="2" t="str">
        <f>_xlfn.XLOOKUP(A264,My_Audit!A:A,My_Audit!D:D,"")&amp;""</f>
        <v/>
      </c>
    </row>
    <row r="265" spans="1:5">
      <c r="A265" s="2" t="str">
        <f>_xlfn.TEXTJOIN("",TRUE,Input!$B$2,ROW(My_Audit!A264))</f>
        <v>X264</v>
      </c>
      <c r="E265" s="2" t="str">
        <f>_xlfn.XLOOKUP(A265,My_Audit!A:A,My_Audit!D:D,"")&amp;""</f>
        <v/>
      </c>
    </row>
    <row r="266" spans="1:5">
      <c r="A266" s="2" t="str">
        <f>_xlfn.TEXTJOIN("",TRUE,Input!$B$2,ROW(My_Audit!A265))</f>
        <v>X265</v>
      </c>
      <c r="E266" s="2" t="str">
        <f>_xlfn.XLOOKUP(A266,My_Audit!A:A,My_Audit!D:D,"")&amp;""</f>
        <v/>
      </c>
    </row>
    <row r="267" spans="1:5">
      <c r="A267" s="2" t="str">
        <f>_xlfn.TEXTJOIN("",TRUE,Input!$B$2,ROW(My_Audit!A266))</f>
        <v>X266</v>
      </c>
      <c r="E267" s="2" t="str">
        <f>_xlfn.XLOOKUP(A267,My_Audit!A:A,My_Audit!D:D,"")&amp;""</f>
        <v/>
      </c>
    </row>
    <row r="268" spans="1:5">
      <c r="A268" s="2" t="str">
        <f>_xlfn.TEXTJOIN("",TRUE,Input!$B$2,ROW(My_Audit!A267))</f>
        <v>X267</v>
      </c>
      <c r="E268" s="2" t="str">
        <f>_xlfn.XLOOKUP(A268,My_Audit!A:A,My_Audit!D:D,"")&amp;""</f>
        <v/>
      </c>
    </row>
    <row r="269" spans="1:5">
      <c r="A269" s="2" t="str">
        <f>_xlfn.TEXTJOIN("",TRUE,Input!$B$2,ROW(My_Audit!A268))</f>
        <v>X268</v>
      </c>
      <c r="E269" s="2" t="str">
        <f>_xlfn.XLOOKUP(A269,My_Audit!A:A,My_Audit!D:D,"")&amp;""</f>
        <v/>
      </c>
    </row>
    <row r="270" spans="1:5">
      <c r="A270" s="2" t="str">
        <f>_xlfn.TEXTJOIN("",TRUE,Input!$B$2,ROW(My_Audit!A269))</f>
        <v>X269</v>
      </c>
      <c r="E270" s="2" t="str">
        <f>_xlfn.XLOOKUP(A270,My_Audit!A:A,My_Audit!D:D,"")&amp;""</f>
        <v/>
      </c>
    </row>
    <row r="271" spans="1:5">
      <c r="A271" s="2" t="str">
        <f>_xlfn.TEXTJOIN("",TRUE,Input!$B$2,ROW(My_Audit!A270))</f>
        <v>X270</v>
      </c>
      <c r="E271" s="2" t="str">
        <f>_xlfn.XLOOKUP(A271,My_Audit!A:A,My_Audit!D:D,"")&amp;""</f>
        <v/>
      </c>
    </row>
    <row r="272" spans="1:5">
      <c r="A272" s="2" t="str">
        <f>_xlfn.TEXTJOIN("",TRUE,Input!$B$2,ROW(My_Audit!A271))</f>
        <v>X271</v>
      </c>
      <c r="E272" s="2" t="str">
        <f>_xlfn.XLOOKUP(A272,My_Audit!A:A,My_Audit!D:D,"")&amp;""</f>
        <v/>
      </c>
    </row>
    <row r="273" spans="1:5">
      <c r="A273" s="2" t="str">
        <f>_xlfn.TEXTJOIN("",TRUE,Input!$B$2,ROW(My_Audit!A272))</f>
        <v>X272</v>
      </c>
      <c r="E273" s="2" t="str">
        <f>_xlfn.XLOOKUP(A273,My_Audit!A:A,My_Audit!D:D,"")&amp;""</f>
        <v/>
      </c>
    </row>
    <row r="274" spans="1:5">
      <c r="A274" s="2" t="str">
        <f>_xlfn.TEXTJOIN("",TRUE,Input!$B$2,ROW(My_Audit!A273))</f>
        <v>X273</v>
      </c>
      <c r="E274" s="2" t="str">
        <f>_xlfn.XLOOKUP(A274,My_Audit!A:A,My_Audit!D:D,"")&amp;""</f>
        <v/>
      </c>
    </row>
    <row r="275" spans="1:5">
      <c r="A275" s="2" t="str">
        <f>_xlfn.TEXTJOIN("",TRUE,Input!$B$2,ROW(My_Audit!A274))</f>
        <v>X274</v>
      </c>
      <c r="E275" s="2" t="str">
        <f>_xlfn.XLOOKUP(A275,My_Audit!A:A,My_Audit!D:D,"")&amp;""</f>
        <v/>
      </c>
    </row>
    <row r="276" spans="1:5">
      <c r="A276" s="2" t="str">
        <f>_xlfn.TEXTJOIN("",TRUE,Input!$B$2,ROW(My_Audit!A275))</f>
        <v>X275</v>
      </c>
      <c r="E276" s="2" t="str">
        <f>_xlfn.XLOOKUP(A276,My_Audit!A:A,My_Audit!D:D,"")&amp;""</f>
        <v/>
      </c>
    </row>
    <row r="277" spans="1:5">
      <c r="A277" s="2" t="str">
        <f>_xlfn.TEXTJOIN("",TRUE,Input!$B$2,ROW(My_Audit!A276))</f>
        <v>X276</v>
      </c>
      <c r="E277" s="2" t="str">
        <f>_xlfn.XLOOKUP(A277,My_Audit!A:A,My_Audit!D:D,"")&amp;""</f>
        <v/>
      </c>
    </row>
    <row r="278" spans="1:5">
      <c r="A278" s="2" t="str">
        <f>_xlfn.TEXTJOIN("",TRUE,Input!$B$2,ROW(My_Audit!A277))</f>
        <v>X277</v>
      </c>
      <c r="E278" s="2" t="str">
        <f>_xlfn.XLOOKUP(A278,My_Audit!A:A,My_Audit!D:D,"")&amp;""</f>
        <v/>
      </c>
    </row>
    <row r="279" spans="1:5">
      <c r="A279" s="2" t="str">
        <f>_xlfn.TEXTJOIN("",TRUE,Input!$B$2,ROW(My_Audit!A278))</f>
        <v>X278</v>
      </c>
      <c r="E279" s="2" t="str">
        <f>_xlfn.XLOOKUP(A279,My_Audit!A:A,My_Audit!D:D,"")&amp;""</f>
        <v/>
      </c>
    </row>
    <row r="280" spans="1:5">
      <c r="A280" s="2" t="str">
        <f>_xlfn.TEXTJOIN("",TRUE,Input!$B$2,ROW(My_Audit!A279))</f>
        <v>X279</v>
      </c>
      <c r="E280" s="2" t="str">
        <f>_xlfn.XLOOKUP(A280,My_Audit!A:A,My_Audit!D:D,"")&amp;""</f>
        <v/>
      </c>
    </row>
    <row r="281" spans="1:5">
      <c r="A281" s="2" t="str">
        <f>_xlfn.TEXTJOIN("",TRUE,Input!$B$2,ROW(My_Audit!A280))</f>
        <v>X280</v>
      </c>
      <c r="E281" s="2" t="str">
        <f>_xlfn.XLOOKUP(A281,My_Audit!A:A,My_Audit!D:D,"")&amp;""</f>
        <v/>
      </c>
    </row>
    <row r="282" spans="1:5">
      <c r="A282" s="2" t="str">
        <f>_xlfn.TEXTJOIN("",TRUE,Input!$B$2,ROW(My_Audit!A281))</f>
        <v>X281</v>
      </c>
      <c r="E282" s="2" t="str">
        <f>_xlfn.XLOOKUP(A282,My_Audit!A:A,My_Audit!D:D,"")&amp;""</f>
        <v/>
      </c>
    </row>
    <row r="283" spans="1:5">
      <c r="A283" s="2" t="str">
        <f>_xlfn.TEXTJOIN("",TRUE,Input!$B$2,ROW(My_Audit!A282))</f>
        <v>X282</v>
      </c>
      <c r="E283" s="2" t="str">
        <f>_xlfn.XLOOKUP(A283,My_Audit!A:A,My_Audit!D:D,"")&amp;""</f>
        <v/>
      </c>
    </row>
    <row r="284" spans="1:5">
      <c r="A284" s="2" t="str">
        <f>_xlfn.TEXTJOIN("",TRUE,Input!$B$2,ROW(My_Audit!A283))</f>
        <v>X283</v>
      </c>
      <c r="E284" s="2" t="str">
        <f>_xlfn.XLOOKUP(A284,My_Audit!A:A,My_Audit!D:D,"")&amp;""</f>
        <v/>
      </c>
    </row>
    <row r="285" spans="1:5">
      <c r="A285" s="2" t="str">
        <f>_xlfn.TEXTJOIN("",TRUE,Input!$B$2,ROW(My_Audit!A284))</f>
        <v>X284</v>
      </c>
      <c r="E285" s="2" t="str">
        <f>_xlfn.XLOOKUP(A285,My_Audit!A:A,My_Audit!D:D,"")&amp;""</f>
        <v/>
      </c>
    </row>
    <row r="286" spans="1:5">
      <c r="A286" s="2" t="str">
        <f>_xlfn.TEXTJOIN("",TRUE,Input!$B$2,ROW(My_Audit!A285))</f>
        <v>X285</v>
      </c>
      <c r="E286" s="2" t="str">
        <f>_xlfn.XLOOKUP(A286,My_Audit!A:A,My_Audit!D:D,"")&amp;""</f>
        <v/>
      </c>
    </row>
    <row r="287" spans="1:5">
      <c r="A287" s="2" t="str">
        <f>_xlfn.TEXTJOIN("",TRUE,Input!$B$2,ROW(My_Audit!A286))</f>
        <v>X286</v>
      </c>
      <c r="E287" s="2" t="str">
        <f>_xlfn.XLOOKUP(A287,My_Audit!A:A,My_Audit!D:D,"")&amp;""</f>
        <v/>
      </c>
    </row>
    <row r="288" spans="1:5">
      <c r="A288" s="2" t="str">
        <f>_xlfn.TEXTJOIN("",TRUE,Input!$B$2,ROW(My_Audit!A287))</f>
        <v>X287</v>
      </c>
      <c r="E288" s="2" t="str">
        <f>_xlfn.XLOOKUP(A288,My_Audit!A:A,My_Audit!D:D,"")&amp;""</f>
        <v/>
      </c>
    </row>
    <row r="289" spans="1:5">
      <c r="A289" s="2" t="str">
        <f>_xlfn.TEXTJOIN("",TRUE,Input!$B$2,ROW(My_Audit!A288))</f>
        <v>X288</v>
      </c>
      <c r="E289" s="2" t="str">
        <f>_xlfn.XLOOKUP(A289,My_Audit!A:A,My_Audit!D:D,"")&amp;""</f>
        <v/>
      </c>
    </row>
    <row r="290" spans="1:5">
      <c r="A290" s="2" t="str">
        <f>_xlfn.TEXTJOIN("",TRUE,Input!$B$2,ROW(My_Audit!A289))</f>
        <v>X289</v>
      </c>
      <c r="E290" s="2" t="str">
        <f>_xlfn.XLOOKUP(A290,My_Audit!A:A,My_Audit!D:D,"")&amp;""</f>
        <v/>
      </c>
    </row>
    <row r="291" spans="1:5">
      <c r="A291" s="2" t="str">
        <f>_xlfn.TEXTJOIN("",TRUE,Input!$B$2,ROW(My_Audit!A290))</f>
        <v>X290</v>
      </c>
      <c r="E291" s="2" t="str">
        <f>_xlfn.XLOOKUP(A291,My_Audit!A:A,My_Audit!D:D,"")&amp;""</f>
        <v/>
      </c>
    </row>
    <row r="292" spans="1:5">
      <c r="A292" s="2" t="str">
        <f>_xlfn.TEXTJOIN("",TRUE,Input!$B$2,ROW(My_Audit!A291))</f>
        <v>X291</v>
      </c>
      <c r="E292" s="2" t="str">
        <f>_xlfn.XLOOKUP(A292,My_Audit!A:A,My_Audit!D:D,"")&amp;""</f>
        <v/>
      </c>
    </row>
    <row r="293" spans="1:5">
      <c r="A293" s="2" t="str">
        <f>_xlfn.TEXTJOIN("",TRUE,Input!$B$2,ROW(My_Audit!A292))</f>
        <v>X292</v>
      </c>
      <c r="E293" s="2" t="str">
        <f>_xlfn.XLOOKUP(A293,My_Audit!A:A,My_Audit!D:D,"")&amp;""</f>
        <v/>
      </c>
    </row>
    <row r="294" spans="1:5">
      <c r="A294" s="2" t="str">
        <f>_xlfn.TEXTJOIN("",TRUE,Input!$B$2,ROW(My_Audit!A293))</f>
        <v>X293</v>
      </c>
      <c r="E294" s="2" t="str">
        <f>_xlfn.XLOOKUP(A294,My_Audit!A:A,My_Audit!D:D,"")&amp;""</f>
        <v/>
      </c>
    </row>
    <row r="295" spans="1:5">
      <c r="A295" s="2" t="str">
        <f>_xlfn.TEXTJOIN("",TRUE,Input!$B$2,ROW(My_Audit!A294))</f>
        <v>X294</v>
      </c>
      <c r="E295" s="2" t="str">
        <f>_xlfn.XLOOKUP(A295,My_Audit!A:A,My_Audit!D:D,"")&amp;""</f>
        <v/>
      </c>
    </row>
    <row r="296" spans="1:5">
      <c r="A296" s="2" t="str">
        <f>_xlfn.TEXTJOIN("",TRUE,Input!$B$2,ROW(My_Audit!A295))</f>
        <v>X295</v>
      </c>
      <c r="E296" s="2" t="str">
        <f>_xlfn.XLOOKUP(A296,My_Audit!A:A,My_Audit!D:D,"")&amp;""</f>
        <v/>
      </c>
    </row>
    <row r="297" spans="1:5">
      <c r="A297" s="2" t="str">
        <f>_xlfn.TEXTJOIN("",TRUE,Input!$B$2,ROW(My_Audit!A296))</f>
        <v>X296</v>
      </c>
      <c r="E297" s="2" t="str">
        <f>_xlfn.XLOOKUP(A297,My_Audit!A:A,My_Audit!D:D,"")&amp;""</f>
        <v/>
      </c>
    </row>
    <row r="298" spans="1:5">
      <c r="A298" s="2" t="str">
        <f>_xlfn.TEXTJOIN("",TRUE,Input!$B$2,ROW(My_Audit!A297))</f>
        <v>X297</v>
      </c>
      <c r="E298" s="2" t="str">
        <f>_xlfn.XLOOKUP(A298,My_Audit!A:A,My_Audit!D:D,"")&amp;""</f>
        <v/>
      </c>
    </row>
    <row r="299" spans="1:5">
      <c r="A299" s="2" t="str">
        <f>_xlfn.TEXTJOIN("",TRUE,Input!$B$2,ROW(My_Audit!A298))</f>
        <v>X298</v>
      </c>
      <c r="E299" s="2" t="str">
        <f>_xlfn.XLOOKUP(A299,My_Audit!A:A,My_Audit!D:D,"")&amp;""</f>
        <v/>
      </c>
    </row>
    <row r="300" spans="1:5">
      <c r="A300" s="2" t="str">
        <f>_xlfn.TEXTJOIN("",TRUE,Input!$B$2,ROW(My_Audit!A299))</f>
        <v>X299</v>
      </c>
      <c r="E300" s="2" t="str">
        <f>_xlfn.XLOOKUP(A300,My_Audit!A:A,My_Audit!D:D,"")&amp;""</f>
        <v/>
      </c>
    </row>
    <row r="301" spans="1:5">
      <c r="A301" s="2" t="str">
        <f>_xlfn.TEXTJOIN("",TRUE,Input!$B$2,ROW(My_Audit!A300))</f>
        <v>X300</v>
      </c>
      <c r="E301" s="2" t="str">
        <f>_xlfn.XLOOKUP(A301,My_Audit!A:A,My_Audit!D:D,"")&amp;""</f>
        <v/>
      </c>
    </row>
    <row r="302" spans="1:5">
      <c r="A302" s="2" t="str">
        <f>_xlfn.TEXTJOIN("",TRUE,Input!$B$2,ROW(My_Audit!A301))</f>
        <v>X301</v>
      </c>
      <c r="E302" s="2" t="str">
        <f>_xlfn.XLOOKUP(A302,My_Audit!A:A,My_Audit!D:D,"")&amp;""</f>
        <v/>
      </c>
    </row>
    <row r="303" spans="1:5">
      <c r="A303" s="2" t="str">
        <f>_xlfn.TEXTJOIN("",TRUE,Input!$B$2,ROW(My_Audit!A302))</f>
        <v>X302</v>
      </c>
      <c r="E303" s="2" t="str">
        <f>_xlfn.XLOOKUP(A303,My_Audit!A:A,My_Audit!D:D,"")&amp;""</f>
        <v/>
      </c>
    </row>
    <row r="304" spans="1:5">
      <c r="A304" s="2" t="str">
        <f>_xlfn.TEXTJOIN("",TRUE,Input!$B$2,ROW(My_Audit!A303))</f>
        <v>X303</v>
      </c>
      <c r="E304" s="2" t="str">
        <f>_xlfn.XLOOKUP(A304,My_Audit!A:A,My_Audit!D:D,"")&amp;""</f>
        <v/>
      </c>
    </row>
    <row r="305" spans="1:5">
      <c r="A305" s="2" t="str">
        <f>_xlfn.TEXTJOIN("",TRUE,Input!$B$2,ROW(My_Audit!A304))</f>
        <v>X304</v>
      </c>
      <c r="E305" s="2" t="str">
        <f>_xlfn.XLOOKUP(A305,My_Audit!A:A,My_Audit!D:D,"")&amp;""</f>
        <v/>
      </c>
    </row>
    <row r="306" spans="1:5">
      <c r="A306" s="2" t="str">
        <f>_xlfn.TEXTJOIN("",TRUE,Input!$B$2,ROW(My_Audit!A305))</f>
        <v>X305</v>
      </c>
      <c r="E306" s="2" t="str">
        <f>_xlfn.XLOOKUP(A306,My_Audit!A:A,My_Audit!D:D,"")&amp;""</f>
        <v/>
      </c>
    </row>
    <row r="307" spans="1:5">
      <c r="A307" s="2" t="str">
        <f>_xlfn.TEXTJOIN("",TRUE,Input!$B$2,ROW(My_Audit!A306))</f>
        <v>X306</v>
      </c>
      <c r="E307" s="2" t="str">
        <f>_xlfn.XLOOKUP(A307,My_Audit!A:A,My_Audit!D:D,"")&amp;""</f>
        <v/>
      </c>
    </row>
    <row r="308" spans="1:5">
      <c r="A308" s="2" t="str">
        <f>_xlfn.TEXTJOIN("",TRUE,Input!$B$2,ROW(My_Audit!A307))</f>
        <v>X307</v>
      </c>
      <c r="E308" s="2" t="str">
        <f>_xlfn.XLOOKUP(A308,My_Audit!A:A,My_Audit!D:D,"")&amp;""</f>
        <v/>
      </c>
    </row>
    <row r="309" spans="1:5">
      <c r="A309" s="2" t="str">
        <f>_xlfn.TEXTJOIN("",TRUE,Input!$B$2,ROW(My_Audit!A308))</f>
        <v>X308</v>
      </c>
      <c r="E309" s="2" t="str">
        <f>_xlfn.XLOOKUP(A309,My_Audit!A:A,My_Audit!D:D,"")&amp;""</f>
        <v/>
      </c>
    </row>
    <row r="310" spans="1:5">
      <c r="A310" s="2" t="str">
        <f>_xlfn.TEXTJOIN("",TRUE,Input!$B$2,ROW(My_Audit!A309))</f>
        <v>X309</v>
      </c>
      <c r="E310" s="2" t="str">
        <f>_xlfn.XLOOKUP(A310,My_Audit!A:A,My_Audit!D:D,"")&amp;""</f>
        <v/>
      </c>
    </row>
    <row r="311" spans="1:5">
      <c r="A311" s="2" t="str">
        <f>_xlfn.TEXTJOIN("",TRUE,Input!$B$2,ROW(My_Audit!A310))</f>
        <v>X310</v>
      </c>
      <c r="E311" s="2" t="str">
        <f>_xlfn.XLOOKUP(A311,My_Audit!A:A,My_Audit!D:D,"")&amp;""</f>
        <v/>
      </c>
    </row>
    <row r="312" spans="1:5">
      <c r="A312" s="2" t="str">
        <f>_xlfn.TEXTJOIN("",TRUE,Input!$B$2,ROW(My_Audit!A311))</f>
        <v>X311</v>
      </c>
      <c r="E312" s="2" t="str">
        <f>_xlfn.XLOOKUP(A312,My_Audit!A:A,My_Audit!D:D,"")&amp;""</f>
        <v/>
      </c>
    </row>
    <row r="313" spans="1:5">
      <c r="A313" s="2" t="str">
        <f>_xlfn.TEXTJOIN("",TRUE,Input!$B$2,ROW(My_Audit!A312))</f>
        <v>X312</v>
      </c>
      <c r="E313" s="2" t="str">
        <f>_xlfn.XLOOKUP(A313,My_Audit!A:A,My_Audit!D:D,"")&amp;""</f>
        <v/>
      </c>
    </row>
    <row r="314" spans="1:5">
      <c r="A314" s="2" t="str">
        <f>_xlfn.TEXTJOIN("",TRUE,Input!$B$2,ROW(My_Audit!A313))</f>
        <v>X313</v>
      </c>
      <c r="E314" s="2" t="str">
        <f>_xlfn.XLOOKUP(A314,My_Audit!A:A,My_Audit!D:D,"")&amp;""</f>
        <v/>
      </c>
    </row>
    <row r="315" spans="1:5">
      <c r="A315" s="2" t="str">
        <f>_xlfn.TEXTJOIN("",TRUE,Input!$B$2,ROW(My_Audit!A314))</f>
        <v>X314</v>
      </c>
      <c r="E315" s="2" t="str">
        <f>_xlfn.XLOOKUP(A315,My_Audit!A:A,My_Audit!D:D,"")&amp;""</f>
        <v/>
      </c>
    </row>
    <row r="316" spans="1:5">
      <c r="A316" s="2" t="str">
        <f>_xlfn.TEXTJOIN("",TRUE,Input!$B$2,ROW(My_Audit!A315))</f>
        <v>X315</v>
      </c>
      <c r="E316" s="2" t="str">
        <f>_xlfn.XLOOKUP(A316,My_Audit!A:A,My_Audit!D:D,"")&amp;""</f>
        <v/>
      </c>
    </row>
    <row r="317" spans="1:5">
      <c r="A317" s="2" t="str">
        <f>_xlfn.TEXTJOIN("",TRUE,Input!$B$2,ROW(My_Audit!A316))</f>
        <v>X316</v>
      </c>
      <c r="E317" s="2" t="str">
        <f>_xlfn.XLOOKUP(A317,My_Audit!A:A,My_Audit!D:D,"")&amp;""</f>
        <v/>
      </c>
    </row>
    <row r="318" spans="1:5">
      <c r="A318" s="2" t="str">
        <f>_xlfn.TEXTJOIN("",TRUE,Input!$B$2,ROW(My_Audit!A317))</f>
        <v>X317</v>
      </c>
      <c r="E318" s="2" t="str">
        <f>_xlfn.XLOOKUP(A318,My_Audit!A:A,My_Audit!D:D,"")&amp;""</f>
        <v/>
      </c>
    </row>
    <row r="319" spans="1:5">
      <c r="A319" s="2" t="str">
        <f>_xlfn.TEXTJOIN("",TRUE,Input!$B$2,ROW(My_Audit!A318))</f>
        <v>X318</v>
      </c>
      <c r="E319" s="2" t="str">
        <f>_xlfn.XLOOKUP(A319,My_Audit!A:A,My_Audit!D:D,"")&amp;""</f>
        <v/>
      </c>
    </row>
    <row r="320" spans="1:5">
      <c r="A320" s="2" t="str">
        <f>_xlfn.TEXTJOIN("",TRUE,Input!$B$2,ROW(My_Audit!A319))</f>
        <v>X319</v>
      </c>
      <c r="E320" s="2" t="str">
        <f>_xlfn.XLOOKUP(A320,My_Audit!A:A,My_Audit!D:D,"")&amp;""</f>
        <v/>
      </c>
    </row>
    <row r="321" spans="1:5">
      <c r="A321" s="2" t="str">
        <f>_xlfn.TEXTJOIN("",TRUE,Input!$B$2,ROW(My_Audit!A320))</f>
        <v>X320</v>
      </c>
      <c r="E321" s="2" t="str">
        <f>_xlfn.XLOOKUP(A321,My_Audit!A:A,My_Audit!D:D,"")&amp;""</f>
        <v/>
      </c>
    </row>
    <row r="322" spans="1:5">
      <c r="A322" s="2" t="str">
        <f>_xlfn.TEXTJOIN("",TRUE,Input!$B$2,ROW(My_Audit!A321))</f>
        <v>X321</v>
      </c>
      <c r="E322" s="2" t="str">
        <f>_xlfn.XLOOKUP(A322,My_Audit!A:A,My_Audit!D:D,"")&amp;""</f>
        <v/>
      </c>
    </row>
    <row r="323" spans="1:5">
      <c r="A323" s="2" t="str">
        <f>_xlfn.TEXTJOIN("",TRUE,Input!$B$2,ROW(My_Audit!A322))</f>
        <v>X322</v>
      </c>
      <c r="E323" s="2" t="str">
        <f>_xlfn.XLOOKUP(A323,My_Audit!A:A,My_Audit!D:D,"")&amp;""</f>
        <v/>
      </c>
    </row>
    <row r="324" spans="1:5">
      <c r="A324" s="2" t="str">
        <f>_xlfn.TEXTJOIN("",TRUE,Input!$B$2,ROW(My_Audit!A323))</f>
        <v>X323</v>
      </c>
      <c r="E324" s="2" t="str">
        <f>_xlfn.XLOOKUP(A324,My_Audit!A:A,My_Audit!D:D,"")&amp;""</f>
        <v/>
      </c>
    </row>
    <row r="325" spans="1:5">
      <c r="A325" s="2" t="str">
        <f>_xlfn.TEXTJOIN("",TRUE,Input!$B$2,ROW(My_Audit!A324))</f>
        <v>X324</v>
      </c>
      <c r="E325" s="2" t="str">
        <f>_xlfn.XLOOKUP(A325,My_Audit!A:A,My_Audit!D:D,"")&amp;""</f>
        <v/>
      </c>
    </row>
    <row r="326" spans="1:5">
      <c r="A326" s="2" t="str">
        <f>_xlfn.TEXTJOIN("",TRUE,Input!$B$2,ROW(My_Audit!A325))</f>
        <v>X325</v>
      </c>
      <c r="E326" s="2" t="str">
        <f>_xlfn.XLOOKUP(A326,My_Audit!A:A,My_Audit!D:D,"")&amp;""</f>
        <v/>
      </c>
    </row>
    <row r="327" spans="1:5">
      <c r="A327" s="2" t="str">
        <f>_xlfn.TEXTJOIN("",TRUE,Input!$B$2,ROW(My_Audit!A326))</f>
        <v>X326</v>
      </c>
      <c r="E327" s="2" t="str">
        <f>_xlfn.XLOOKUP(A327,My_Audit!A:A,My_Audit!D:D,"")&amp;""</f>
        <v/>
      </c>
    </row>
    <row r="328" spans="1:5">
      <c r="A328" s="2" t="str">
        <f>_xlfn.TEXTJOIN("",TRUE,Input!$B$2,ROW(My_Audit!A327))</f>
        <v>X327</v>
      </c>
      <c r="E328" s="2" t="str">
        <f>_xlfn.XLOOKUP(A328,My_Audit!A:A,My_Audit!D:D,"")&amp;""</f>
        <v/>
      </c>
    </row>
    <row r="329" spans="1:5">
      <c r="A329" s="2" t="str">
        <f>_xlfn.TEXTJOIN("",TRUE,Input!$B$2,ROW(My_Audit!A328))</f>
        <v>X328</v>
      </c>
      <c r="E329" s="2" t="str">
        <f>_xlfn.XLOOKUP(A329,My_Audit!A:A,My_Audit!D:D,"")&amp;""</f>
        <v/>
      </c>
    </row>
    <row r="330" spans="1:5">
      <c r="A330" s="2" t="str">
        <f>_xlfn.TEXTJOIN("",TRUE,Input!$B$2,ROW(My_Audit!A329))</f>
        <v>X329</v>
      </c>
      <c r="E330" s="2" t="str">
        <f>_xlfn.XLOOKUP(A330,My_Audit!A:A,My_Audit!D:D,"")&amp;""</f>
        <v/>
      </c>
    </row>
    <row r="331" spans="1:5">
      <c r="A331" s="2" t="str">
        <f>_xlfn.TEXTJOIN("",TRUE,Input!$B$2,ROW(My_Audit!A330))</f>
        <v>X330</v>
      </c>
      <c r="E331" s="2" t="str">
        <f>_xlfn.XLOOKUP(A331,My_Audit!A:A,My_Audit!D:D,"")&amp;""</f>
        <v/>
      </c>
    </row>
    <row r="332" spans="1:5">
      <c r="A332" s="2" t="str">
        <f>_xlfn.TEXTJOIN("",TRUE,Input!$B$2,ROW(My_Audit!A331))</f>
        <v>X331</v>
      </c>
      <c r="E332" s="2" t="str">
        <f>_xlfn.XLOOKUP(A332,My_Audit!A:A,My_Audit!D:D,"")&amp;""</f>
        <v/>
      </c>
    </row>
    <row r="333" spans="1:5">
      <c r="A333" s="2" t="str">
        <f>_xlfn.TEXTJOIN("",TRUE,Input!$B$2,ROW(My_Audit!A332))</f>
        <v>X332</v>
      </c>
      <c r="E333" s="2" t="str">
        <f>_xlfn.XLOOKUP(A333,My_Audit!A:A,My_Audit!D:D,"")&amp;""</f>
        <v/>
      </c>
    </row>
    <row r="334" spans="1:5">
      <c r="A334" s="2" t="str">
        <f>_xlfn.TEXTJOIN("",TRUE,Input!$B$2,ROW(My_Audit!A333))</f>
        <v>X333</v>
      </c>
      <c r="E334" s="2" t="str">
        <f>_xlfn.XLOOKUP(A334,My_Audit!A:A,My_Audit!D:D,"")&amp;""</f>
        <v/>
      </c>
    </row>
    <row r="335" spans="1:5">
      <c r="A335" s="2" t="str">
        <f>_xlfn.TEXTJOIN("",TRUE,Input!$B$2,ROW(My_Audit!A334))</f>
        <v>X334</v>
      </c>
      <c r="E335" s="2" t="str">
        <f>_xlfn.XLOOKUP(A335,My_Audit!A:A,My_Audit!D:D,"")&amp;""</f>
        <v/>
      </c>
    </row>
    <row r="336" spans="1:5">
      <c r="A336" s="2" t="str">
        <f>_xlfn.TEXTJOIN("",TRUE,Input!$B$2,ROW(My_Audit!A335))</f>
        <v>X335</v>
      </c>
      <c r="E336" s="2" t="str">
        <f>_xlfn.XLOOKUP(A336,My_Audit!A:A,My_Audit!D:D,"")&amp;""</f>
        <v/>
      </c>
    </row>
    <row r="337" spans="1:5">
      <c r="A337" s="2" t="str">
        <f>_xlfn.TEXTJOIN("",TRUE,Input!$B$2,ROW(My_Audit!A336))</f>
        <v>X336</v>
      </c>
      <c r="E337" s="2" t="str">
        <f>_xlfn.XLOOKUP(A337,My_Audit!A:A,My_Audit!D:D,"")&amp;""</f>
        <v/>
      </c>
    </row>
    <row r="338" spans="1:5">
      <c r="A338" s="2" t="str">
        <f>_xlfn.TEXTJOIN("",TRUE,Input!$B$2,ROW(My_Audit!A337))</f>
        <v>X337</v>
      </c>
      <c r="E338" s="2" t="str">
        <f>_xlfn.XLOOKUP(A338,My_Audit!A:A,My_Audit!D:D,"")&amp;""</f>
        <v/>
      </c>
    </row>
    <row r="339" spans="1:5">
      <c r="A339" s="2" t="str">
        <f>_xlfn.TEXTJOIN("",TRUE,Input!$B$2,ROW(My_Audit!A338))</f>
        <v>X338</v>
      </c>
      <c r="E339" s="2" t="str">
        <f>_xlfn.XLOOKUP(A339,My_Audit!A:A,My_Audit!D:D,"")&amp;""</f>
        <v/>
      </c>
    </row>
    <row r="340" spans="1:5">
      <c r="A340" s="2" t="str">
        <f>_xlfn.TEXTJOIN("",TRUE,Input!$B$2,ROW(My_Audit!A339))</f>
        <v>X339</v>
      </c>
      <c r="E340" s="2" t="str">
        <f>_xlfn.XLOOKUP(A340,My_Audit!A:A,My_Audit!D:D,"")&amp;""</f>
        <v/>
      </c>
    </row>
    <row r="341" spans="1:5">
      <c r="A341" s="2" t="str">
        <f>_xlfn.TEXTJOIN("",TRUE,Input!$B$2,ROW(My_Audit!A340))</f>
        <v>X340</v>
      </c>
      <c r="E341" s="2" t="str">
        <f>_xlfn.XLOOKUP(A341,My_Audit!A:A,My_Audit!D:D,"")&amp;""</f>
        <v/>
      </c>
    </row>
    <row r="342" spans="1:5">
      <c r="A342" s="2" t="str">
        <f>_xlfn.TEXTJOIN("",TRUE,Input!$B$2,ROW(My_Audit!A341))</f>
        <v>X341</v>
      </c>
      <c r="E342" s="2" t="str">
        <f>_xlfn.XLOOKUP(A342,My_Audit!A:A,My_Audit!D:D,"")&amp;""</f>
        <v/>
      </c>
    </row>
    <row r="343" spans="1:5">
      <c r="A343" s="2" t="str">
        <f>_xlfn.TEXTJOIN("",TRUE,Input!$B$2,ROW(My_Audit!A342))</f>
        <v>X342</v>
      </c>
      <c r="E343" s="2" t="str">
        <f>_xlfn.XLOOKUP(A343,My_Audit!A:A,My_Audit!D:D,"")&amp;""</f>
        <v/>
      </c>
    </row>
    <row r="344" spans="1:5">
      <c r="A344" s="2" t="str">
        <f>_xlfn.TEXTJOIN("",TRUE,Input!$B$2,ROW(My_Audit!A343))</f>
        <v>X343</v>
      </c>
      <c r="E344" s="2" t="str">
        <f>_xlfn.XLOOKUP(A344,My_Audit!A:A,My_Audit!D:D,"")&amp;""</f>
        <v/>
      </c>
    </row>
    <row r="345" spans="1:5">
      <c r="A345" s="2" t="str">
        <f>_xlfn.TEXTJOIN("",TRUE,Input!$B$2,ROW(My_Audit!A344))</f>
        <v>X344</v>
      </c>
      <c r="E345" s="2" t="str">
        <f>_xlfn.XLOOKUP(A345,My_Audit!A:A,My_Audit!D:D,"")&amp;""</f>
        <v/>
      </c>
    </row>
    <row r="346" spans="1:5">
      <c r="A346" s="2" t="str">
        <f>_xlfn.TEXTJOIN("",TRUE,Input!$B$2,ROW(My_Audit!A345))</f>
        <v>X345</v>
      </c>
      <c r="E346" s="2" t="str">
        <f>_xlfn.XLOOKUP(A346,My_Audit!A:A,My_Audit!D:D,"")&amp;""</f>
        <v/>
      </c>
    </row>
    <row r="347" spans="1:5">
      <c r="A347" s="2" t="str">
        <f>_xlfn.TEXTJOIN("",TRUE,Input!$B$2,ROW(My_Audit!A346))</f>
        <v>X346</v>
      </c>
      <c r="E347" s="2" t="str">
        <f>_xlfn.XLOOKUP(A347,My_Audit!A:A,My_Audit!D:D,"")&amp;""</f>
        <v/>
      </c>
    </row>
    <row r="348" spans="1:5">
      <c r="A348" s="2" t="str">
        <f>_xlfn.TEXTJOIN("",TRUE,Input!$B$2,ROW(My_Audit!A347))</f>
        <v>X347</v>
      </c>
      <c r="E348" s="2" t="str">
        <f>_xlfn.XLOOKUP(A348,My_Audit!A:A,My_Audit!D:D,"")&amp;""</f>
        <v/>
      </c>
    </row>
    <row r="349" spans="1:5">
      <c r="A349" s="2" t="str">
        <f>_xlfn.TEXTJOIN("",TRUE,Input!$B$2,ROW(My_Audit!A348))</f>
        <v>X348</v>
      </c>
      <c r="E349" s="2" t="str">
        <f>_xlfn.XLOOKUP(A349,My_Audit!A:A,My_Audit!D:D,"")&amp;""</f>
        <v/>
      </c>
    </row>
    <row r="350" spans="1:5">
      <c r="A350" s="2" t="str">
        <f>_xlfn.TEXTJOIN("",TRUE,Input!$B$2,ROW(My_Audit!A349))</f>
        <v>X349</v>
      </c>
      <c r="E350" s="2" t="str">
        <f>_xlfn.XLOOKUP(A350,My_Audit!A:A,My_Audit!D:D,"")&amp;""</f>
        <v/>
      </c>
    </row>
    <row r="351" spans="1:5">
      <c r="A351" s="2" t="str">
        <f>_xlfn.TEXTJOIN("",TRUE,Input!$B$2,ROW(My_Audit!A350))</f>
        <v>X350</v>
      </c>
      <c r="E351" s="2" t="str">
        <f>_xlfn.XLOOKUP(A351,My_Audit!A:A,My_Audit!D:D,"")&amp;""</f>
        <v/>
      </c>
    </row>
    <row r="352" spans="1:5">
      <c r="A352" s="2" t="str">
        <f>_xlfn.TEXTJOIN("",TRUE,Input!$B$2,ROW(My_Audit!A351))</f>
        <v>X351</v>
      </c>
      <c r="E352" s="2" t="str">
        <f>_xlfn.XLOOKUP(A352,My_Audit!A:A,My_Audit!D:D,"")&amp;""</f>
        <v/>
      </c>
    </row>
    <row r="353" spans="1:5">
      <c r="A353" s="2" t="str">
        <f>_xlfn.TEXTJOIN("",TRUE,Input!$B$2,ROW(My_Audit!A352))</f>
        <v>X352</v>
      </c>
      <c r="E353" s="2" t="str">
        <f>_xlfn.XLOOKUP(A353,My_Audit!A:A,My_Audit!D:D,"")&amp;""</f>
        <v/>
      </c>
    </row>
    <row r="354" spans="1:5">
      <c r="A354" s="2" t="str">
        <f>_xlfn.TEXTJOIN("",TRUE,Input!$B$2,ROW(My_Audit!A353))</f>
        <v>X353</v>
      </c>
      <c r="E354" s="2" t="str">
        <f>_xlfn.XLOOKUP(A354,My_Audit!A:A,My_Audit!D:D,"")&amp;""</f>
        <v/>
      </c>
    </row>
    <row r="355" spans="1:5">
      <c r="A355" s="2" t="str">
        <f>_xlfn.TEXTJOIN("",TRUE,Input!$B$2,ROW(My_Audit!A354))</f>
        <v>X354</v>
      </c>
      <c r="E355" s="2" t="str">
        <f>_xlfn.XLOOKUP(A355,My_Audit!A:A,My_Audit!D:D,"")&amp;""</f>
        <v/>
      </c>
    </row>
    <row r="356" spans="1:5">
      <c r="A356" s="2" t="str">
        <f>_xlfn.TEXTJOIN("",TRUE,Input!$B$2,ROW(My_Audit!A355))</f>
        <v>X355</v>
      </c>
      <c r="E356" s="2" t="str">
        <f>_xlfn.XLOOKUP(A356,My_Audit!A:A,My_Audit!D:D,"")&amp;""</f>
        <v/>
      </c>
    </row>
    <row r="357" spans="1:5">
      <c r="A357" s="2" t="str">
        <f>_xlfn.TEXTJOIN("",TRUE,Input!$B$2,ROW(My_Audit!A356))</f>
        <v>X356</v>
      </c>
      <c r="E357" s="2" t="str">
        <f>_xlfn.XLOOKUP(A357,My_Audit!A:A,My_Audit!D:D,"")&amp;""</f>
        <v/>
      </c>
    </row>
    <row r="358" spans="1:5">
      <c r="A358" s="2" t="str">
        <f>_xlfn.TEXTJOIN("",TRUE,Input!$B$2,ROW(My_Audit!A357))</f>
        <v>X357</v>
      </c>
      <c r="E358" s="2" t="str">
        <f>_xlfn.XLOOKUP(A358,My_Audit!A:A,My_Audit!D:D,"")&amp;""</f>
        <v/>
      </c>
    </row>
    <row r="359" spans="1:5">
      <c r="A359" s="2" t="str">
        <f>_xlfn.TEXTJOIN("",TRUE,Input!$B$2,ROW(My_Audit!A358))</f>
        <v>X358</v>
      </c>
      <c r="E359" s="2" t="str">
        <f>_xlfn.XLOOKUP(A359,My_Audit!A:A,My_Audit!D:D,"")&amp;""</f>
        <v/>
      </c>
    </row>
    <row r="360" spans="1:5">
      <c r="A360" s="2" t="str">
        <f>_xlfn.TEXTJOIN("",TRUE,Input!$B$2,ROW(My_Audit!A359))</f>
        <v>X359</v>
      </c>
      <c r="E360" s="2" t="str">
        <f>_xlfn.XLOOKUP(A360,My_Audit!A:A,My_Audit!D:D,"")&amp;""</f>
        <v/>
      </c>
    </row>
    <row r="361" spans="1:5">
      <c r="A361" s="2" t="str">
        <f>_xlfn.TEXTJOIN("",TRUE,Input!$B$2,ROW(My_Audit!A360))</f>
        <v>X360</v>
      </c>
      <c r="E361" s="2" t="str">
        <f>_xlfn.XLOOKUP(A361,My_Audit!A:A,My_Audit!D:D,"")&amp;""</f>
        <v/>
      </c>
    </row>
    <row r="362" spans="1:5">
      <c r="A362" s="2" t="str">
        <f>_xlfn.TEXTJOIN("",TRUE,Input!$B$2,ROW(My_Audit!A361))</f>
        <v>X361</v>
      </c>
      <c r="E362" s="2" t="str">
        <f>_xlfn.XLOOKUP(A362,My_Audit!A:A,My_Audit!D:D,"")&amp;""</f>
        <v/>
      </c>
    </row>
    <row r="363" spans="1:5">
      <c r="A363" s="2" t="str">
        <f>_xlfn.TEXTJOIN("",TRUE,Input!$B$2,ROW(My_Audit!A362))</f>
        <v>X362</v>
      </c>
      <c r="E363" s="2" t="str">
        <f>_xlfn.XLOOKUP(A363,My_Audit!A:A,My_Audit!D:D,"")&amp;""</f>
        <v/>
      </c>
    </row>
    <row r="364" spans="1:5">
      <c r="A364" s="2" t="str">
        <f>_xlfn.TEXTJOIN("",TRUE,Input!$B$2,ROW(My_Audit!A363))</f>
        <v>X363</v>
      </c>
      <c r="E364" s="2" t="str">
        <f>_xlfn.XLOOKUP(A364,My_Audit!A:A,My_Audit!D:D,"")&amp;""</f>
        <v/>
      </c>
    </row>
    <row r="365" spans="1:5">
      <c r="A365" s="2" t="str">
        <f>_xlfn.TEXTJOIN("",TRUE,Input!$B$2,ROW(My_Audit!A364))</f>
        <v>X364</v>
      </c>
      <c r="E365" s="2" t="str">
        <f>_xlfn.XLOOKUP(A365,My_Audit!A:A,My_Audit!D:D,"")&amp;""</f>
        <v/>
      </c>
    </row>
    <row r="366" spans="1:5">
      <c r="A366" s="2" t="str">
        <f>_xlfn.TEXTJOIN("",TRUE,Input!$B$2,ROW(My_Audit!A365))</f>
        <v>X365</v>
      </c>
      <c r="E366" s="2" t="str">
        <f>_xlfn.XLOOKUP(A366,My_Audit!A:A,My_Audit!D:D,"")&amp;""</f>
        <v/>
      </c>
    </row>
    <row r="367" spans="1:5">
      <c r="A367" s="2" t="str">
        <f>_xlfn.TEXTJOIN("",TRUE,Input!$B$2,ROW(My_Audit!A366))</f>
        <v>X366</v>
      </c>
      <c r="E367" s="2" t="str">
        <f>_xlfn.XLOOKUP(A367,My_Audit!A:A,My_Audit!D:D,"")&amp;""</f>
        <v/>
      </c>
    </row>
    <row r="368" spans="1:5">
      <c r="A368" s="2" t="str">
        <f>_xlfn.TEXTJOIN("",TRUE,Input!$B$2,ROW(My_Audit!A367))</f>
        <v>X367</v>
      </c>
      <c r="E368" s="2" t="str">
        <f>_xlfn.XLOOKUP(A368,My_Audit!A:A,My_Audit!D:D,"")&amp;""</f>
        <v/>
      </c>
    </row>
    <row r="369" spans="1:5">
      <c r="A369" s="2" t="str">
        <f>_xlfn.TEXTJOIN("",TRUE,Input!$B$2,ROW(My_Audit!A368))</f>
        <v>X368</v>
      </c>
      <c r="E369" s="2" t="str">
        <f>_xlfn.XLOOKUP(A369,My_Audit!A:A,My_Audit!D:D,"")&amp;""</f>
        <v/>
      </c>
    </row>
    <row r="370" spans="1:5">
      <c r="A370" s="2" t="str">
        <f>_xlfn.TEXTJOIN("",TRUE,Input!$B$2,ROW(My_Audit!A369))</f>
        <v>X369</v>
      </c>
      <c r="E370" s="2" t="str">
        <f>_xlfn.XLOOKUP(A370,My_Audit!A:A,My_Audit!D:D,"")&amp;""</f>
        <v/>
      </c>
    </row>
    <row r="371" spans="1:5">
      <c r="A371" s="2" t="str">
        <f>_xlfn.TEXTJOIN("",TRUE,Input!$B$2,ROW(My_Audit!A370))</f>
        <v>X370</v>
      </c>
      <c r="E371" s="2" t="str">
        <f>_xlfn.XLOOKUP(A371,My_Audit!A:A,My_Audit!D:D,"")&amp;""</f>
        <v/>
      </c>
    </row>
    <row r="372" spans="1:5">
      <c r="A372" s="2" t="str">
        <f>_xlfn.TEXTJOIN("",TRUE,Input!$B$2,ROW(My_Audit!A371))</f>
        <v>X371</v>
      </c>
      <c r="E372" s="2" t="str">
        <f>_xlfn.XLOOKUP(A372,My_Audit!A:A,My_Audit!D:D,"")&amp;""</f>
        <v/>
      </c>
    </row>
    <row r="373" spans="1:5">
      <c r="A373" s="2" t="str">
        <f>_xlfn.TEXTJOIN("",TRUE,Input!$B$2,ROW(My_Audit!A372))</f>
        <v>X372</v>
      </c>
      <c r="E373" s="2" t="str">
        <f>_xlfn.XLOOKUP(A373,My_Audit!A:A,My_Audit!D:D,"")&amp;""</f>
        <v/>
      </c>
    </row>
    <row r="374" spans="1:5">
      <c r="A374" s="2" t="str">
        <f>_xlfn.TEXTJOIN("",TRUE,Input!$B$2,ROW(My_Audit!A373))</f>
        <v>X373</v>
      </c>
      <c r="E374" s="2" t="str">
        <f>_xlfn.XLOOKUP(A374,My_Audit!A:A,My_Audit!D:D,"")&amp;""</f>
        <v/>
      </c>
    </row>
    <row r="375" spans="1:5">
      <c r="A375" s="2" t="str">
        <f>_xlfn.TEXTJOIN("",TRUE,Input!$B$2,ROW(My_Audit!A374))</f>
        <v>X374</v>
      </c>
      <c r="E375" s="2" t="str">
        <f>_xlfn.XLOOKUP(A375,My_Audit!A:A,My_Audit!D:D,"")&amp;""</f>
        <v/>
      </c>
    </row>
    <row r="376" spans="1:5">
      <c r="A376" s="2" t="str">
        <f>_xlfn.TEXTJOIN("",TRUE,Input!$B$2,ROW(My_Audit!A375))</f>
        <v>X375</v>
      </c>
      <c r="E376" s="2" t="str">
        <f>_xlfn.XLOOKUP(A376,My_Audit!A:A,My_Audit!D:D,"")&amp;""</f>
        <v/>
      </c>
    </row>
    <row r="377" spans="1:5">
      <c r="A377" s="2" t="str">
        <f>_xlfn.TEXTJOIN("",TRUE,Input!$B$2,ROW(My_Audit!A376))</f>
        <v>X376</v>
      </c>
      <c r="E377" s="2" t="str">
        <f>_xlfn.XLOOKUP(A377,My_Audit!A:A,My_Audit!D:D,"")&amp;""</f>
        <v/>
      </c>
    </row>
    <row r="378" spans="1:5">
      <c r="A378" s="2" t="str">
        <f>_xlfn.TEXTJOIN("",TRUE,Input!$B$2,ROW(My_Audit!A377))</f>
        <v>X377</v>
      </c>
      <c r="E378" s="2" t="str">
        <f>_xlfn.XLOOKUP(A378,My_Audit!A:A,My_Audit!D:D,"")&amp;""</f>
        <v/>
      </c>
    </row>
    <row r="379" spans="1:5">
      <c r="A379" s="2" t="str">
        <f>_xlfn.TEXTJOIN("",TRUE,Input!$B$2,ROW(My_Audit!A378))</f>
        <v>X378</v>
      </c>
      <c r="E379" s="2" t="str">
        <f>_xlfn.XLOOKUP(A379,My_Audit!A:A,My_Audit!D:D,"")&amp;""</f>
        <v/>
      </c>
    </row>
    <row r="380" spans="1:5">
      <c r="A380" s="2" t="str">
        <f>_xlfn.TEXTJOIN("",TRUE,Input!$B$2,ROW(My_Audit!A379))</f>
        <v>X379</v>
      </c>
      <c r="E380" s="2" t="str">
        <f>_xlfn.XLOOKUP(A380,My_Audit!A:A,My_Audit!D:D,"")&amp;""</f>
        <v/>
      </c>
    </row>
    <row r="381" spans="1:5">
      <c r="A381" s="2" t="str">
        <f>_xlfn.TEXTJOIN("",TRUE,Input!$B$2,ROW(My_Audit!A380))</f>
        <v>X380</v>
      </c>
      <c r="E381" s="2" t="str">
        <f>_xlfn.XLOOKUP(A381,My_Audit!A:A,My_Audit!D:D,"")&amp;""</f>
        <v/>
      </c>
    </row>
    <row r="382" spans="1:5">
      <c r="A382" s="2" t="str">
        <f>_xlfn.TEXTJOIN("",TRUE,Input!$B$2,ROW(My_Audit!A381))</f>
        <v>X381</v>
      </c>
      <c r="E382" s="2" t="str">
        <f>_xlfn.XLOOKUP(A382,My_Audit!A:A,My_Audit!D:D,"")&amp;""</f>
        <v/>
      </c>
    </row>
    <row r="383" spans="1:5">
      <c r="A383" s="2" t="str">
        <f>_xlfn.TEXTJOIN("",TRUE,Input!$B$2,ROW(My_Audit!A382))</f>
        <v>X382</v>
      </c>
      <c r="E383" s="2" t="str">
        <f>_xlfn.XLOOKUP(A383,My_Audit!A:A,My_Audit!D:D,"")&amp;""</f>
        <v/>
      </c>
    </row>
    <row r="384" spans="1:5">
      <c r="A384" s="2" t="str">
        <f>_xlfn.TEXTJOIN("",TRUE,Input!$B$2,ROW(My_Audit!A383))</f>
        <v>X383</v>
      </c>
      <c r="E384" s="2" t="str">
        <f>_xlfn.XLOOKUP(A384,My_Audit!A:A,My_Audit!D:D,"")&amp;""</f>
        <v/>
      </c>
    </row>
    <row r="385" spans="1:5">
      <c r="A385" s="2" t="str">
        <f>_xlfn.TEXTJOIN("",TRUE,Input!$B$2,ROW(My_Audit!A384))</f>
        <v>X384</v>
      </c>
      <c r="E385" s="2" t="str">
        <f>_xlfn.XLOOKUP(A385,My_Audit!A:A,My_Audit!D:D,"")&amp;""</f>
        <v/>
      </c>
    </row>
    <row r="386" spans="1:5">
      <c r="A386" s="2" t="str">
        <f>_xlfn.TEXTJOIN("",TRUE,Input!$B$2,ROW(My_Audit!A385))</f>
        <v>X385</v>
      </c>
      <c r="E386" s="2" t="str">
        <f>_xlfn.XLOOKUP(A386,My_Audit!A:A,My_Audit!D:D,"")&amp;""</f>
        <v/>
      </c>
    </row>
    <row r="387" spans="1:5">
      <c r="A387" s="2" t="str">
        <f>_xlfn.TEXTJOIN("",TRUE,Input!$B$2,ROW(My_Audit!A386))</f>
        <v>X386</v>
      </c>
      <c r="E387" s="2" t="str">
        <f>_xlfn.XLOOKUP(A387,My_Audit!A:A,My_Audit!D:D,"")&amp;""</f>
        <v/>
      </c>
    </row>
    <row r="388" spans="1:5">
      <c r="A388" s="2" t="str">
        <f>_xlfn.TEXTJOIN("",TRUE,Input!$B$2,ROW(My_Audit!A387))</f>
        <v>X387</v>
      </c>
      <c r="E388" s="2" t="str">
        <f>_xlfn.XLOOKUP(A388,My_Audit!A:A,My_Audit!D:D,"")&amp;""</f>
        <v/>
      </c>
    </row>
    <row r="389" spans="1:5">
      <c r="A389" s="2" t="str">
        <f>_xlfn.TEXTJOIN("",TRUE,Input!$B$2,ROW(My_Audit!A388))</f>
        <v>X388</v>
      </c>
      <c r="E389" s="2" t="str">
        <f>_xlfn.XLOOKUP(A389,My_Audit!A:A,My_Audit!D:D,"")&amp;""</f>
        <v/>
      </c>
    </row>
    <row r="390" spans="1:5">
      <c r="A390" s="2" t="str">
        <f>_xlfn.TEXTJOIN("",TRUE,Input!$B$2,ROW(My_Audit!A389))</f>
        <v>X389</v>
      </c>
      <c r="E390" s="2" t="str">
        <f>_xlfn.XLOOKUP(A390,My_Audit!A:A,My_Audit!D:D,"")&amp;""</f>
        <v/>
      </c>
    </row>
    <row r="391" spans="1:5">
      <c r="A391" s="2" t="str">
        <f>_xlfn.TEXTJOIN("",TRUE,Input!$B$2,ROW(My_Audit!A390))</f>
        <v>X390</v>
      </c>
      <c r="E391" s="2" t="str">
        <f>_xlfn.XLOOKUP(A391,My_Audit!A:A,My_Audit!D:D,"")&amp;""</f>
        <v/>
      </c>
    </row>
    <row r="392" spans="1:5">
      <c r="A392" s="2" t="str">
        <f>_xlfn.TEXTJOIN("",TRUE,Input!$B$2,ROW(My_Audit!A391))</f>
        <v>X391</v>
      </c>
      <c r="E392" s="2" t="str">
        <f>_xlfn.XLOOKUP(A392,My_Audit!A:A,My_Audit!D:D,"")&amp;""</f>
        <v/>
      </c>
    </row>
    <row r="393" spans="1:5">
      <c r="A393" s="2" t="str">
        <f>_xlfn.TEXTJOIN("",TRUE,Input!$B$2,ROW(My_Audit!A392))</f>
        <v>X392</v>
      </c>
      <c r="E393" s="2" t="str">
        <f>_xlfn.XLOOKUP(A393,My_Audit!A:A,My_Audit!D:D,"")&amp;""</f>
        <v/>
      </c>
    </row>
    <row r="394" spans="1:5">
      <c r="A394" s="2" t="str">
        <f>_xlfn.TEXTJOIN("",TRUE,Input!$B$2,ROW(My_Audit!A393))</f>
        <v>X393</v>
      </c>
      <c r="E394" s="2" t="str">
        <f>_xlfn.XLOOKUP(A394,My_Audit!A:A,My_Audit!D:D,"")&amp;""</f>
        <v/>
      </c>
    </row>
    <row r="395" spans="1:5">
      <c r="A395" s="2" t="str">
        <f>_xlfn.TEXTJOIN("",TRUE,Input!$B$2,ROW(My_Audit!A394))</f>
        <v>X394</v>
      </c>
      <c r="E395" s="2" t="str">
        <f>_xlfn.XLOOKUP(A395,My_Audit!A:A,My_Audit!D:D,"")&amp;""</f>
        <v/>
      </c>
    </row>
    <row r="396" spans="1:5">
      <c r="A396" s="2" t="str">
        <f>_xlfn.TEXTJOIN("",TRUE,Input!$B$2,ROW(My_Audit!A395))</f>
        <v>X395</v>
      </c>
      <c r="E396" s="2" t="str">
        <f>_xlfn.XLOOKUP(A396,My_Audit!A:A,My_Audit!D:D,"")&amp;""</f>
        <v/>
      </c>
    </row>
    <row r="397" spans="1:5">
      <c r="A397" s="2" t="str">
        <f>_xlfn.TEXTJOIN("",TRUE,Input!$B$2,ROW(My_Audit!A396))</f>
        <v>X396</v>
      </c>
      <c r="E397" s="2" t="str">
        <f>_xlfn.XLOOKUP(A397,My_Audit!A:A,My_Audit!D:D,"")&amp;""</f>
        <v/>
      </c>
    </row>
    <row r="398" spans="1:5">
      <c r="A398" s="2" t="str">
        <f>_xlfn.TEXTJOIN("",TRUE,Input!$B$2,ROW(My_Audit!A397))</f>
        <v>X397</v>
      </c>
      <c r="E398" s="2" t="str">
        <f>_xlfn.XLOOKUP(A398,My_Audit!A:A,My_Audit!D:D,"")&amp;""</f>
        <v/>
      </c>
    </row>
    <row r="399" spans="1:5">
      <c r="A399" s="2" t="str">
        <f>_xlfn.TEXTJOIN("",TRUE,Input!$B$2,ROW(My_Audit!A398))</f>
        <v>X398</v>
      </c>
      <c r="E399" s="2" t="str">
        <f>_xlfn.XLOOKUP(A399,My_Audit!A:A,My_Audit!D:D,"")&amp;""</f>
        <v/>
      </c>
    </row>
    <row r="400" spans="1:5">
      <c r="A400" s="2" t="str">
        <f>_xlfn.TEXTJOIN("",TRUE,Input!$B$2,ROW(My_Audit!A399))</f>
        <v>X399</v>
      </c>
      <c r="E400" s="2" t="str">
        <f>_xlfn.XLOOKUP(A400,My_Audit!A:A,My_Audit!D:D,"")&amp;""</f>
        <v/>
      </c>
    </row>
    <row r="401" spans="1:5">
      <c r="A401" s="2" t="str">
        <f>_xlfn.TEXTJOIN("",TRUE,Input!$B$2,ROW(My_Audit!A400))</f>
        <v>X400</v>
      </c>
      <c r="E401" s="2" t="str">
        <f>_xlfn.XLOOKUP(A401,My_Audit!A:A,My_Audit!D:D,"")&amp;""</f>
        <v/>
      </c>
    </row>
    <row r="402" spans="1:5">
      <c r="A402" s="2" t="str">
        <f>_xlfn.TEXTJOIN("",TRUE,Input!$B$2,ROW(My_Audit!A401))</f>
        <v>X401</v>
      </c>
      <c r="E402" s="2" t="str">
        <f>_xlfn.XLOOKUP(A402,My_Audit!A:A,My_Audit!D:D,"")&amp;""</f>
        <v/>
      </c>
    </row>
    <row r="403" spans="1:5">
      <c r="A403" s="2" t="str">
        <f>_xlfn.TEXTJOIN("",TRUE,Input!$B$2,ROW(My_Audit!A402))</f>
        <v>X402</v>
      </c>
      <c r="E403" s="2" t="str">
        <f>_xlfn.XLOOKUP(A403,My_Audit!A:A,My_Audit!D:D,"")&amp;""</f>
        <v/>
      </c>
    </row>
    <row r="404" spans="1:5">
      <c r="A404" s="2" t="str">
        <f>_xlfn.TEXTJOIN("",TRUE,Input!$B$2,ROW(My_Audit!A403))</f>
        <v>X403</v>
      </c>
      <c r="E404" s="2" t="str">
        <f>_xlfn.XLOOKUP(A404,My_Audit!A:A,My_Audit!D:D,"")&amp;""</f>
        <v/>
      </c>
    </row>
    <row r="405" spans="1:5">
      <c r="A405" s="2" t="str">
        <f>_xlfn.TEXTJOIN("",TRUE,Input!$B$2,ROW(My_Audit!A404))</f>
        <v>X404</v>
      </c>
      <c r="E405" s="2" t="str">
        <f>_xlfn.XLOOKUP(A405,My_Audit!A:A,My_Audit!D:D,"")&amp;""</f>
        <v/>
      </c>
    </row>
    <row r="406" spans="1:5">
      <c r="A406" s="2" t="str">
        <f>_xlfn.TEXTJOIN("",TRUE,Input!$B$2,ROW(My_Audit!A405))</f>
        <v>X405</v>
      </c>
      <c r="E406" s="2" t="str">
        <f>_xlfn.XLOOKUP(A406,My_Audit!A:A,My_Audit!D:D,"")&amp;""</f>
        <v/>
      </c>
    </row>
    <row r="407" spans="1:5">
      <c r="A407" s="2" t="str">
        <f>_xlfn.TEXTJOIN("",TRUE,Input!$B$2,ROW(My_Audit!A406))</f>
        <v>X406</v>
      </c>
      <c r="E407" s="2" t="str">
        <f>_xlfn.XLOOKUP(A407,My_Audit!A:A,My_Audit!D:D,"")&amp;""</f>
        <v/>
      </c>
    </row>
    <row r="408" spans="1:5">
      <c r="A408" s="2" t="str">
        <f>_xlfn.TEXTJOIN("",TRUE,Input!$B$2,ROW(My_Audit!A407))</f>
        <v>X407</v>
      </c>
      <c r="E408" s="2" t="str">
        <f>_xlfn.XLOOKUP(A408,My_Audit!A:A,My_Audit!D:D,"")&amp;""</f>
        <v/>
      </c>
    </row>
    <row r="409" spans="1:5">
      <c r="A409" s="2" t="str">
        <f>_xlfn.TEXTJOIN("",TRUE,Input!$B$2,ROW(My_Audit!A408))</f>
        <v>X408</v>
      </c>
      <c r="E409" s="2" t="str">
        <f>_xlfn.XLOOKUP(A409,My_Audit!A:A,My_Audit!D:D,"")&amp;""</f>
        <v/>
      </c>
    </row>
    <row r="410" spans="1:5">
      <c r="A410" s="2" t="str">
        <f>_xlfn.TEXTJOIN("",TRUE,Input!$B$2,ROW(My_Audit!A409))</f>
        <v>X409</v>
      </c>
      <c r="E410" s="2" t="str">
        <f>_xlfn.XLOOKUP(A410,My_Audit!A:A,My_Audit!D:D,"")&amp;""</f>
        <v/>
      </c>
    </row>
    <row r="411" spans="1:5">
      <c r="A411" s="2" t="str">
        <f>_xlfn.TEXTJOIN("",TRUE,Input!$B$2,ROW(My_Audit!A410))</f>
        <v>X410</v>
      </c>
      <c r="E411" s="2" t="str">
        <f>_xlfn.XLOOKUP(A411,My_Audit!A:A,My_Audit!D:D,"")&amp;""</f>
        <v/>
      </c>
    </row>
    <row r="412" spans="1:5">
      <c r="A412" s="2" t="str">
        <f>_xlfn.TEXTJOIN("",TRUE,Input!$B$2,ROW(My_Audit!A411))</f>
        <v>X411</v>
      </c>
      <c r="E412" s="2" t="str">
        <f>_xlfn.XLOOKUP(A412,My_Audit!A:A,My_Audit!D:D,"")&amp;""</f>
        <v/>
      </c>
    </row>
    <row r="413" spans="1:5">
      <c r="A413" s="2" t="str">
        <f>_xlfn.TEXTJOIN("",TRUE,Input!$B$2,ROW(My_Audit!A412))</f>
        <v>X412</v>
      </c>
      <c r="E413" s="2" t="str">
        <f>_xlfn.XLOOKUP(A413,My_Audit!A:A,My_Audit!D:D,"")&amp;""</f>
        <v/>
      </c>
    </row>
    <row r="414" spans="1:5">
      <c r="A414" s="2" t="str">
        <f>_xlfn.TEXTJOIN("",TRUE,Input!$B$2,ROW(My_Audit!A413))</f>
        <v>X413</v>
      </c>
      <c r="E414" s="2" t="str">
        <f>_xlfn.XLOOKUP(A414,My_Audit!A:A,My_Audit!D:D,"")&amp;""</f>
        <v/>
      </c>
    </row>
    <row r="415" spans="1:5">
      <c r="A415" s="2" t="str">
        <f>_xlfn.TEXTJOIN("",TRUE,Input!$B$2,ROW(My_Audit!A414))</f>
        <v>X414</v>
      </c>
      <c r="E415" s="2" t="str">
        <f>_xlfn.XLOOKUP(A415,My_Audit!A:A,My_Audit!D:D,"")&amp;""</f>
        <v/>
      </c>
    </row>
    <row r="416" spans="1:5">
      <c r="A416" s="2" t="str">
        <f>_xlfn.TEXTJOIN("",TRUE,Input!$B$2,ROW(My_Audit!A415))</f>
        <v>X415</v>
      </c>
      <c r="E416" s="2" t="str">
        <f>_xlfn.XLOOKUP(A416,My_Audit!A:A,My_Audit!D:D,"")&amp;""</f>
        <v/>
      </c>
    </row>
    <row r="417" spans="1:5">
      <c r="A417" s="2" t="str">
        <f>_xlfn.TEXTJOIN("",TRUE,Input!$B$2,ROW(My_Audit!A416))</f>
        <v>X416</v>
      </c>
      <c r="E417" s="2" t="str">
        <f>_xlfn.XLOOKUP(A417,My_Audit!A:A,My_Audit!D:D,"")&amp;""</f>
        <v/>
      </c>
    </row>
    <row r="418" spans="1:5">
      <c r="A418" s="2" t="str">
        <f>_xlfn.TEXTJOIN("",TRUE,Input!$B$2,ROW(My_Audit!A417))</f>
        <v>X417</v>
      </c>
      <c r="E418" s="2" t="str">
        <f>_xlfn.XLOOKUP(A418,My_Audit!A:A,My_Audit!D:D,"")&amp;""</f>
        <v/>
      </c>
    </row>
    <row r="419" spans="1:5">
      <c r="A419" s="2" t="str">
        <f>_xlfn.TEXTJOIN("",TRUE,Input!$B$2,ROW(My_Audit!A418))</f>
        <v>X418</v>
      </c>
      <c r="E419" s="2" t="str">
        <f>_xlfn.XLOOKUP(A419,My_Audit!A:A,My_Audit!D:D,"")&amp;""</f>
        <v/>
      </c>
    </row>
    <row r="420" spans="1:5">
      <c r="A420" s="2" t="str">
        <f>_xlfn.TEXTJOIN("",TRUE,Input!$B$2,ROW(My_Audit!A419))</f>
        <v>X419</v>
      </c>
      <c r="E420" s="2" t="str">
        <f>_xlfn.XLOOKUP(A420,My_Audit!A:A,My_Audit!D:D,"")&amp;""</f>
        <v/>
      </c>
    </row>
    <row r="421" spans="1:5">
      <c r="A421" s="2" t="str">
        <f>_xlfn.TEXTJOIN("",TRUE,Input!$B$2,ROW(My_Audit!A420))</f>
        <v>X420</v>
      </c>
      <c r="E421" s="2" t="str">
        <f>_xlfn.XLOOKUP(A421,My_Audit!A:A,My_Audit!D:D,"")&amp;""</f>
        <v/>
      </c>
    </row>
    <row r="422" spans="1:5">
      <c r="A422" s="2" t="str">
        <f>_xlfn.TEXTJOIN("",TRUE,Input!$B$2,ROW(My_Audit!A421))</f>
        <v>X421</v>
      </c>
      <c r="E422" s="2" t="str">
        <f>_xlfn.XLOOKUP(A422,My_Audit!A:A,My_Audit!D:D,"")&amp;""</f>
        <v/>
      </c>
    </row>
    <row r="423" spans="1:5">
      <c r="A423" s="2" t="str">
        <f>_xlfn.TEXTJOIN("",TRUE,Input!$B$2,ROW(My_Audit!A422))</f>
        <v>X422</v>
      </c>
      <c r="E423" s="2" t="str">
        <f>_xlfn.XLOOKUP(A423,My_Audit!A:A,My_Audit!D:D,"")&amp;""</f>
        <v/>
      </c>
    </row>
    <row r="424" spans="1:5">
      <c r="A424" s="2" t="str">
        <f>_xlfn.TEXTJOIN("",TRUE,Input!$B$2,ROW(My_Audit!A423))</f>
        <v>X423</v>
      </c>
      <c r="E424" s="2" t="str">
        <f>_xlfn.XLOOKUP(A424,My_Audit!A:A,My_Audit!D:D,"")&amp;""</f>
        <v/>
      </c>
    </row>
    <row r="425" spans="1:5">
      <c r="A425" s="2" t="str">
        <f>_xlfn.TEXTJOIN("",TRUE,Input!$B$2,ROW(My_Audit!A424))</f>
        <v>X424</v>
      </c>
      <c r="E425" s="2" t="str">
        <f>_xlfn.XLOOKUP(A425,My_Audit!A:A,My_Audit!D:D,"")&amp;""</f>
        <v/>
      </c>
    </row>
    <row r="426" spans="1:5">
      <c r="A426" s="2" t="str">
        <f>_xlfn.TEXTJOIN("",TRUE,Input!$B$2,ROW(My_Audit!A425))</f>
        <v>X425</v>
      </c>
      <c r="E426" s="2" t="str">
        <f>_xlfn.XLOOKUP(A426,My_Audit!A:A,My_Audit!D:D,"")&amp;""</f>
        <v/>
      </c>
    </row>
    <row r="427" spans="1:5">
      <c r="A427" s="2" t="str">
        <f>_xlfn.TEXTJOIN("",TRUE,Input!$B$2,ROW(My_Audit!A426))</f>
        <v>X426</v>
      </c>
      <c r="E427" s="2" t="str">
        <f>_xlfn.XLOOKUP(A427,My_Audit!A:A,My_Audit!D:D,"")&amp;""</f>
        <v/>
      </c>
    </row>
    <row r="428" spans="1:5">
      <c r="A428" s="2" t="str">
        <f>_xlfn.TEXTJOIN("",TRUE,Input!$B$2,ROW(My_Audit!A427))</f>
        <v>X427</v>
      </c>
      <c r="E428" s="2" t="str">
        <f>_xlfn.XLOOKUP(A428,My_Audit!A:A,My_Audit!D:D,"")&amp;""</f>
        <v/>
      </c>
    </row>
    <row r="429" spans="1:5">
      <c r="A429" s="2" t="str">
        <f>_xlfn.TEXTJOIN("",TRUE,Input!$B$2,ROW(My_Audit!A428))</f>
        <v>X428</v>
      </c>
      <c r="E429" s="2" t="str">
        <f>_xlfn.XLOOKUP(A429,My_Audit!A:A,My_Audit!D:D,"")&amp;""</f>
        <v/>
      </c>
    </row>
    <row r="430" spans="1:5">
      <c r="A430" s="2" t="str">
        <f>_xlfn.TEXTJOIN("",TRUE,Input!$B$2,ROW(My_Audit!A429))</f>
        <v>X429</v>
      </c>
      <c r="E430" s="2" t="str">
        <f>_xlfn.XLOOKUP(A430,My_Audit!A:A,My_Audit!D:D,"")&amp;""</f>
        <v/>
      </c>
    </row>
    <row r="431" spans="1:5">
      <c r="A431" s="2" t="str">
        <f>_xlfn.TEXTJOIN("",TRUE,Input!$B$2,ROW(My_Audit!A430))</f>
        <v>X430</v>
      </c>
      <c r="E431" s="2" t="str">
        <f>_xlfn.XLOOKUP(A431,My_Audit!A:A,My_Audit!D:D,"")&amp;""</f>
        <v/>
      </c>
    </row>
    <row r="432" spans="1:5">
      <c r="A432" s="2" t="str">
        <f>_xlfn.TEXTJOIN("",TRUE,Input!$B$2,ROW(My_Audit!A431))</f>
        <v>X431</v>
      </c>
      <c r="E432" s="2" t="str">
        <f>_xlfn.XLOOKUP(A432,My_Audit!A:A,My_Audit!D:D,"")&amp;""</f>
        <v/>
      </c>
    </row>
    <row r="433" spans="1:5">
      <c r="A433" s="2" t="str">
        <f>_xlfn.TEXTJOIN("",TRUE,Input!$B$2,ROW(My_Audit!A432))</f>
        <v>X432</v>
      </c>
      <c r="E433" s="2" t="str">
        <f>_xlfn.XLOOKUP(A433,My_Audit!A:A,My_Audit!D:D,"")&amp;""</f>
        <v/>
      </c>
    </row>
    <row r="434" spans="1:5">
      <c r="A434" s="2" t="str">
        <f>_xlfn.TEXTJOIN("",TRUE,Input!$B$2,ROW(My_Audit!A433))</f>
        <v>X433</v>
      </c>
      <c r="E434" s="2" t="str">
        <f>_xlfn.XLOOKUP(A434,My_Audit!A:A,My_Audit!D:D,"")&amp;""</f>
        <v/>
      </c>
    </row>
    <row r="435" spans="1:5">
      <c r="A435" s="2" t="str">
        <f>_xlfn.TEXTJOIN("",TRUE,Input!$B$2,ROW(My_Audit!A434))</f>
        <v>X434</v>
      </c>
      <c r="E435" s="2" t="str">
        <f>_xlfn.XLOOKUP(A435,My_Audit!A:A,My_Audit!D:D,"")&amp;""</f>
        <v/>
      </c>
    </row>
    <row r="436" spans="1:5">
      <c r="A436" s="2" t="str">
        <f>_xlfn.TEXTJOIN("",TRUE,Input!$B$2,ROW(My_Audit!A435))</f>
        <v>X435</v>
      </c>
      <c r="E436" s="2" t="str">
        <f>_xlfn.XLOOKUP(A436,My_Audit!A:A,My_Audit!D:D,"")&amp;""</f>
        <v/>
      </c>
    </row>
    <row r="437" spans="1:5">
      <c r="A437" s="2" t="str">
        <f>_xlfn.TEXTJOIN("",TRUE,Input!$B$2,ROW(My_Audit!A436))</f>
        <v>X436</v>
      </c>
      <c r="E437" s="2" t="str">
        <f>_xlfn.XLOOKUP(A437,My_Audit!A:A,My_Audit!D:D,"")&amp;""</f>
        <v/>
      </c>
    </row>
    <row r="438" spans="1:5">
      <c r="A438" s="2" t="str">
        <f>_xlfn.TEXTJOIN("",TRUE,Input!$B$2,ROW(My_Audit!A437))</f>
        <v>X437</v>
      </c>
      <c r="E438" s="2" t="str">
        <f>_xlfn.XLOOKUP(A438,My_Audit!A:A,My_Audit!D:D,"")&amp;""</f>
        <v/>
      </c>
    </row>
    <row r="439" spans="1:5">
      <c r="A439" s="2" t="str">
        <f>_xlfn.TEXTJOIN("",TRUE,Input!$B$2,ROW(My_Audit!A438))</f>
        <v>X438</v>
      </c>
      <c r="E439" s="2" t="str">
        <f>_xlfn.XLOOKUP(A439,My_Audit!A:A,My_Audit!D:D,"")&amp;""</f>
        <v/>
      </c>
    </row>
    <row r="440" spans="1:5">
      <c r="A440" s="2" t="str">
        <f>_xlfn.TEXTJOIN("",TRUE,Input!$B$2,ROW(My_Audit!A439))</f>
        <v>X439</v>
      </c>
      <c r="E440" s="2" t="str">
        <f>_xlfn.XLOOKUP(A440,My_Audit!A:A,My_Audit!D:D,"")&amp;""</f>
        <v/>
      </c>
    </row>
    <row r="441" spans="1:5">
      <c r="A441" s="2" t="str">
        <f>_xlfn.TEXTJOIN("",TRUE,Input!$B$2,ROW(My_Audit!A440))</f>
        <v>X440</v>
      </c>
      <c r="E441" s="2" t="str">
        <f>_xlfn.XLOOKUP(A441,My_Audit!A:A,My_Audit!D:D,"")&amp;""</f>
        <v/>
      </c>
    </row>
    <row r="442" spans="1:5">
      <c r="A442" s="2" t="str">
        <f>_xlfn.TEXTJOIN("",TRUE,Input!$B$2,ROW(My_Audit!A441))</f>
        <v>X441</v>
      </c>
      <c r="E442" s="2" t="str">
        <f>_xlfn.XLOOKUP(A442,My_Audit!A:A,My_Audit!D:D,"")&amp;""</f>
        <v/>
      </c>
    </row>
    <row r="443" spans="1:5">
      <c r="A443" s="2" t="str">
        <f>_xlfn.TEXTJOIN("",TRUE,Input!$B$2,ROW(My_Audit!A442))</f>
        <v>X442</v>
      </c>
      <c r="E443" s="2" t="str">
        <f>_xlfn.XLOOKUP(A443,My_Audit!A:A,My_Audit!D:D,"")&amp;""</f>
        <v/>
      </c>
    </row>
    <row r="444" spans="1:5">
      <c r="A444" s="2" t="str">
        <f>_xlfn.TEXTJOIN("",TRUE,Input!$B$2,ROW(My_Audit!A443))</f>
        <v>X443</v>
      </c>
      <c r="E444" s="2" t="str">
        <f>_xlfn.XLOOKUP(A444,My_Audit!A:A,My_Audit!D:D,"")&amp;""</f>
        <v/>
      </c>
    </row>
    <row r="445" spans="1:5">
      <c r="A445" s="2" t="str">
        <f>_xlfn.TEXTJOIN("",TRUE,Input!$B$2,ROW(My_Audit!A444))</f>
        <v>X444</v>
      </c>
      <c r="E445" s="2" t="str">
        <f>_xlfn.XLOOKUP(A445,My_Audit!A:A,My_Audit!D:D,"")&amp;""</f>
        <v/>
      </c>
    </row>
    <row r="446" spans="1:5">
      <c r="A446" s="2" t="str">
        <f>_xlfn.TEXTJOIN("",TRUE,Input!$B$2,ROW(My_Audit!A445))</f>
        <v>X445</v>
      </c>
      <c r="E446" s="2" t="str">
        <f>_xlfn.XLOOKUP(A446,My_Audit!A:A,My_Audit!D:D,"")&amp;""</f>
        <v/>
      </c>
    </row>
    <row r="447" spans="1:5">
      <c r="A447" s="2" t="str">
        <f>_xlfn.TEXTJOIN("",TRUE,Input!$B$2,ROW(My_Audit!A446))</f>
        <v>X446</v>
      </c>
      <c r="E447" s="2" t="str">
        <f>_xlfn.XLOOKUP(A447,My_Audit!A:A,My_Audit!D:D,"")&amp;""</f>
        <v/>
      </c>
    </row>
    <row r="448" spans="1:5">
      <c r="A448" s="2" t="str">
        <f>_xlfn.TEXTJOIN("",TRUE,Input!$B$2,ROW(My_Audit!A447))</f>
        <v>X447</v>
      </c>
      <c r="E448" s="2" t="str">
        <f>_xlfn.XLOOKUP(A448,My_Audit!A:A,My_Audit!D:D,"")&amp;""</f>
        <v/>
      </c>
    </row>
    <row r="449" spans="1:5">
      <c r="A449" s="2" t="str">
        <f>_xlfn.TEXTJOIN("",TRUE,Input!$B$2,ROW(My_Audit!A448))</f>
        <v>X448</v>
      </c>
      <c r="E449" s="2" t="str">
        <f>_xlfn.XLOOKUP(A449,My_Audit!A:A,My_Audit!D:D,"")&amp;""</f>
        <v/>
      </c>
    </row>
    <row r="450" spans="1:5">
      <c r="A450" s="2" t="str">
        <f>_xlfn.TEXTJOIN("",TRUE,Input!$B$2,ROW(My_Audit!A449))</f>
        <v>X449</v>
      </c>
      <c r="E450" s="2" t="str">
        <f>_xlfn.XLOOKUP(A450,My_Audit!A:A,My_Audit!D:D,"")&amp;""</f>
        <v/>
      </c>
    </row>
    <row r="451" spans="1:5">
      <c r="A451" s="2" t="str">
        <f>_xlfn.TEXTJOIN("",TRUE,Input!$B$2,ROW(My_Audit!A450))</f>
        <v>X450</v>
      </c>
      <c r="E451" s="2" t="str">
        <f>_xlfn.XLOOKUP(A451,My_Audit!A:A,My_Audit!D:D,"")&amp;""</f>
        <v/>
      </c>
    </row>
    <row r="452" spans="1:5">
      <c r="A452" s="2" t="str">
        <f>_xlfn.TEXTJOIN("",TRUE,Input!$B$2,ROW(My_Audit!A451))</f>
        <v>X451</v>
      </c>
      <c r="E452" s="2" t="str">
        <f>_xlfn.XLOOKUP(A452,My_Audit!A:A,My_Audit!D:D,"")&amp;""</f>
        <v/>
      </c>
    </row>
    <row r="453" spans="1:5">
      <c r="A453" s="2" t="str">
        <f>_xlfn.TEXTJOIN("",TRUE,Input!$B$2,ROW(My_Audit!A452))</f>
        <v>X452</v>
      </c>
      <c r="E453" s="2" t="str">
        <f>_xlfn.XLOOKUP(A453,My_Audit!A:A,My_Audit!D:D,"")&amp;""</f>
        <v/>
      </c>
    </row>
    <row r="454" spans="1:5">
      <c r="A454" s="2" t="str">
        <f>_xlfn.TEXTJOIN("",TRUE,Input!$B$2,ROW(My_Audit!A453))</f>
        <v>X453</v>
      </c>
      <c r="E454" s="2" t="str">
        <f>_xlfn.XLOOKUP(A454,My_Audit!A:A,My_Audit!D:D,"")&amp;""</f>
        <v/>
      </c>
    </row>
    <row r="455" spans="1:5">
      <c r="A455" s="2" t="str">
        <f>_xlfn.TEXTJOIN("",TRUE,Input!$B$2,ROW(My_Audit!A454))</f>
        <v>X454</v>
      </c>
      <c r="E455" s="2" t="str">
        <f>_xlfn.XLOOKUP(A455,My_Audit!A:A,My_Audit!D:D,"")&amp;""</f>
        <v/>
      </c>
    </row>
    <row r="456" spans="1:5">
      <c r="A456" s="2" t="str">
        <f>_xlfn.TEXTJOIN("",TRUE,Input!$B$2,ROW(My_Audit!A455))</f>
        <v>X455</v>
      </c>
      <c r="E456" s="2" t="str">
        <f>_xlfn.XLOOKUP(A456,My_Audit!A:A,My_Audit!D:D,"")&amp;""</f>
        <v/>
      </c>
    </row>
    <row r="457" spans="1:5">
      <c r="A457" s="2" t="str">
        <f>_xlfn.TEXTJOIN("",TRUE,Input!$B$2,ROW(My_Audit!A456))</f>
        <v>X456</v>
      </c>
      <c r="E457" s="2" t="str">
        <f>_xlfn.XLOOKUP(A457,My_Audit!A:A,My_Audit!D:D,"")&amp;""</f>
        <v/>
      </c>
    </row>
    <row r="458" spans="1:5">
      <c r="A458" s="2" t="str">
        <f>_xlfn.TEXTJOIN("",TRUE,Input!$B$2,ROW(My_Audit!A457))</f>
        <v>X457</v>
      </c>
      <c r="E458" s="2" t="str">
        <f>_xlfn.XLOOKUP(A458,My_Audit!A:A,My_Audit!D:D,"")&amp;""</f>
        <v/>
      </c>
    </row>
    <row r="459" spans="1:5">
      <c r="A459" s="2" t="str">
        <f>_xlfn.TEXTJOIN("",TRUE,Input!$B$2,ROW(My_Audit!A458))</f>
        <v>X458</v>
      </c>
      <c r="E459" s="2" t="str">
        <f>_xlfn.XLOOKUP(A459,My_Audit!A:A,My_Audit!D:D,"")&amp;""</f>
        <v/>
      </c>
    </row>
    <row r="460" spans="1:5">
      <c r="A460" s="2" t="str">
        <f>_xlfn.TEXTJOIN("",TRUE,Input!$B$2,ROW(My_Audit!A459))</f>
        <v>X459</v>
      </c>
      <c r="E460" s="2" t="str">
        <f>_xlfn.XLOOKUP(A460,My_Audit!A:A,My_Audit!D:D,"")&amp;""</f>
        <v/>
      </c>
    </row>
    <row r="461" spans="1:5">
      <c r="A461" s="2" t="str">
        <f>_xlfn.TEXTJOIN("",TRUE,Input!$B$2,ROW(My_Audit!A460))</f>
        <v>X460</v>
      </c>
      <c r="E461" s="2" t="str">
        <f>_xlfn.XLOOKUP(A461,My_Audit!A:A,My_Audit!D:D,"")&amp;""</f>
        <v/>
      </c>
    </row>
    <row r="462" spans="1:5">
      <c r="A462" s="2" t="str">
        <f>_xlfn.TEXTJOIN("",TRUE,Input!$B$2,ROW(My_Audit!A461))</f>
        <v>X461</v>
      </c>
      <c r="E462" s="2" t="str">
        <f>_xlfn.XLOOKUP(A462,My_Audit!A:A,My_Audit!D:D,"")&amp;""</f>
        <v/>
      </c>
    </row>
    <row r="463" spans="1:5">
      <c r="A463" s="2" t="str">
        <f>_xlfn.TEXTJOIN("",TRUE,Input!$B$2,ROW(My_Audit!A462))</f>
        <v>X462</v>
      </c>
      <c r="E463" s="2" t="str">
        <f>_xlfn.XLOOKUP(A463,My_Audit!A:A,My_Audit!D:D,"")&amp;""</f>
        <v/>
      </c>
    </row>
    <row r="464" spans="1:5">
      <c r="A464" s="2" t="str">
        <f>_xlfn.TEXTJOIN("",TRUE,Input!$B$2,ROW(My_Audit!A463))</f>
        <v>X463</v>
      </c>
      <c r="E464" s="2" t="str">
        <f>_xlfn.XLOOKUP(A464,My_Audit!A:A,My_Audit!D:D,"")&amp;""</f>
        <v/>
      </c>
    </row>
    <row r="465" spans="1:5">
      <c r="A465" s="2" t="str">
        <f>_xlfn.TEXTJOIN("",TRUE,Input!$B$2,ROW(My_Audit!A464))</f>
        <v>X464</v>
      </c>
      <c r="E465" s="2" t="str">
        <f>_xlfn.XLOOKUP(A465,My_Audit!A:A,My_Audit!D:D,"")&amp;""</f>
        <v/>
      </c>
    </row>
    <row r="466" spans="1:5">
      <c r="A466" s="2" t="str">
        <f>_xlfn.TEXTJOIN("",TRUE,Input!$B$2,ROW(My_Audit!A465))</f>
        <v>X465</v>
      </c>
      <c r="E466" s="2" t="str">
        <f>_xlfn.XLOOKUP(A466,My_Audit!A:A,My_Audit!D:D,"")&amp;""</f>
        <v/>
      </c>
    </row>
    <row r="467" spans="1:5">
      <c r="A467" s="2" t="str">
        <f>_xlfn.TEXTJOIN("",TRUE,Input!$B$2,ROW(My_Audit!A466))</f>
        <v>X466</v>
      </c>
      <c r="E467" s="2" t="str">
        <f>_xlfn.XLOOKUP(A467,My_Audit!A:A,My_Audit!D:D,"")&amp;""</f>
        <v/>
      </c>
    </row>
    <row r="468" spans="1:5">
      <c r="A468" s="2" t="str">
        <f>_xlfn.TEXTJOIN("",TRUE,Input!$B$2,ROW(My_Audit!A467))</f>
        <v>X467</v>
      </c>
      <c r="E468" s="2" t="str">
        <f>_xlfn.XLOOKUP(A468,My_Audit!A:A,My_Audit!D:D,"")&amp;""</f>
        <v/>
      </c>
    </row>
    <row r="469" spans="1:5">
      <c r="A469" s="2" t="str">
        <f>_xlfn.TEXTJOIN("",TRUE,Input!$B$2,ROW(My_Audit!A468))</f>
        <v>X468</v>
      </c>
      <c r="E469" s="2" t="str">
        <f>_xlfn.XLOOKUP(A469,My_Audit!A:A,My_Audit!D:D,"")&amp;""</f>
        <v/>
      </c>
    </row>
    <row r="470" spans="1:5">
      <c r="A470" s="2" t="str">
        <f>_xlfn.TEXTJOIN("",TRUE,Input!$B$2,ROW(My_Audit!A469))</f>
        <v>X469</v>
      </c>
      <c r="E470" s="2" t="str">
        <f>_xlfn.XLOOKUP(A470,My_Audit!A:A,My_Audit!D:D,"")&amp;""</f>
        <v/>
      </c>
    </row>
    <row r="471" spans="1:5">
      <c r="A471" s="2" t="str">
        <f>_xlfn.TEXTJOIN("",TRUE,Input!$B$2,ROW(My_Audit!A470))</f>
        <v>X470</v>
      </c>
      <c r="E471" s="2" t="str">
        <f>_xlfn.XLOOKUP(A471,My_Audit!A:A,My_Audit!D:D,"")&amp;""</f>
        <v/>
      </c>
    </row>
    <row r="472" spans="1:5">
      <c r="A472" s="2" t="str">
        <f>_xlfn.TEXTJOIN("",TRUE,Input!$B$2,ROW(My_Audit!A471))</f>
        <v>X471</v>
      </c>
      <c r="E472" s="2" t="str">
        <f>_xlfn.XLOOKUP(A472,My_Audit!A:A,My_Audit!D:D,"")&amp;""</f>
        <v/>
      </c>
    </row>
    <row r="473" spans="1:5">
      <c r="A473" s="2" t="str">
        <f>_xlfn.TEXTJOIN("",TRUE,Input!$B$2,ROW(My_Audit!A472))</f>
        <v>X472</v>
      </c>
      <c r="E473" s="2" t="str">
        <f>_xlfn.XLOOKUP(A473,My_Audit!A:A,My_Audit!D:D,"")&amp;""</f>
        <v/>
      </c>
    </row>
    <row r="474" spans="1:5">
      <c r="A474" s="2" t="str">
        <f>_xlfn.TEXTJOIN("",TRUE,Input!$B$2,ROW(My_Audit!A473))</f>
        <v>X473</v>
      </c>
      <c r="E474" s="2" t="str">
        <f>_xlfn.XLOOKUP(A474,My_Audit!A:A,My_Audit!D:D,"")&amp;""</f>
        <v/>
      </c>
    </row>
    <row r="475" spans="1:5">
      <c r="A475" s="2" t="str">
        <f>_xlfn.TEXTJOIN("",TRUE,Input!$B$2,ROW(My_Audit!A474))</f>
        <v>X474</v>
      </c>
      <c r="E475" s="2" t="str">
        <f>_xlfn.XLOOKUP(A475,My_Audit!A:A,My_Audit!D:D,"")&amp;""</f>
        <v/>
      </c>
    </row>
    <row r="476" spans="1:5">
      <c r="A476" s="2" t="str">
        <f>_xlfn.TEXTJOIN("",TRUE,Input!$B$2,ROW(My_Audit!A475))</f>
        <v>X475</v>
      </c>
      <c r="E476" s="2" t="str">
        <f>_xlfn.XLOOKUP(A476,My_Audit!A:A,My_Audit!D:D,"")&amp;""</f>
        <v/>
      </c>
    </row>
    <row r="477" spans="1:5">
      <c r="A477" s="2" t="str">
        <f>_xlfn.TEXTJOIN("",TRUE,Input!$B$2,ROW(My_Audit!A476))</f>
        <v>X476</v>
      </c>
      <c r="E477" s="2" t="str">
        <f>_xlfn.XLOOKUP(A477,My_Audit!A:A,My_Audit!D:D,"")&amp;""</f>
        <v/>
      </c>
    </row>
    <row r="478" spans="1:5">
      <c r="A478" s="2" t="str">
        <f>_xlfn.TEXTJOIN("",TRUE,Input!$B$2,ROW(My_Audit!A477))</f>
        <v>X477</v>
      </c>
      <c r="E478" s="2" t="str">
        <f>_xlfn.XLOOKUP(A478,My_Audit!A:A,My_Audit!D:D,"")&amp;""</f>
        <v/>
      </c>
    </row>
    <row r="479" spans="1:5">
      <c r="A479" s="2" t="str">
        <f>_xlfn.TEXTJOIN("",TRUE,Input!$B$2,ROW(My_Audit!A478))</f>
        <v>X478</v>
      </c>
      <c r="E479" s="2" t="str">
        <f>_xlfn.XLOOKUP(A479,My_Audit!A:A,My_Audit!D:D,"")&amp;""</f>
        <v/>
      </c>
    </row>
    <row r="480" spans="1:5">
      <c r="A480" s="2" t="str">
        <f>_xlfn.TEXTJOIN("",TRUE,Input!$B$2,ROW(My_Audit!A479))</f>
        <v>X479</v>
      </c>
      <c r="E480" s="2" t="str">
        <f>_xlfn.XLOOKUP(A480,My_Audit!A:A,My_Audit!D:D,"")&amp;""</f>
        <v/>
      </c>
    </row>
    <row r="481" spans="1:5">
      <c r="A481" s="2" t="str">
        <f>_xlfn.TEXTJOIN("",TRUE,Input!$B$2,ROW(My_Audit!A480))</f>
        <v>X480</v>
      </c>
      <c r="E481" s="2" t="str">
        <f>_xlfn.XLOOKUP(A481,My_Audit!A:A,My_Audit!D:D,"")&amp;""</f>
        <v/>
      </c>
    </row>
    <row r="482" spans="1:5">
      <c r="A482" s="2" t="str">
        <f>_xlfn.TEXTJOIN("",TRUE,Input!$B$2,ROW(My_Audit!A481))</f>
        <v>X481</v>
      </c>
      <c r="E482" s="2" t="str">
        <f>_xlfn.XLOOKUP(A482,My_Audit!A:A,My_Audit!D:D,"")&amp;""</f>
        <v/>
      </c>
    </row>
    <row r="483" spans="1:5">
      <c r="A483" s="2" t="str">
        <f>_xlfn.TEXTJOIN("",TRUE,Input!$B$2,ROW(My_Audit!A482))</f>
        <v>X482</v>
      </c>
      <c r="E483" s="2" t="str">
        <f>_xlfn.XLOOKUP(A483,My_Audit!A:A,My_Audit!D:D,"")&amp;""</f>
        <v/>
      </c>
    </row>
    <row r="484" spans="1:5">
      <c r="A484" s="2" t="str">
        <f>_xlfn.TEXTJOIN("",TRUE,Input!$B$2,ROW(My_Audit!A483))</f>
        <v>X483</v>
      </c>
      <c r="E484" s="2" t="str">
        <f>_xlfn.XLOOKUP(A484,My_Audit!A:A,My_Audit!D:D,"")&amp;""</f>
        <v/>
      </c>
    </row>
    <row r="485" spans="1:5">
      <c r="A485" s="2" t="str">
        <f>_xlfn.TEXTJOIN("",TRUE,Input!$B$2,ROW(My_Audit!A484))</f>
        <v>X484</v>
      </c>
      <c r="E485" s="2" t="str">
        <f>_xlfn.XLOOKUP(A485,My_Audit!A:A,My_Audit!D:D,"")&amp;""</f>
        <v/>
      </c>
    </row>
    <row r="486" spans="1:5">
      <c r="A486" s="2" t="str">
        <f>_xlfn.TEXTJOIN("",TRUE,Input!$B$2,ROW(My_Audit!A485))</f>
        <v>X485</v>
      </c>
      <c r="E486" s="2" t="str">
        <f>_xlfn.XLOOKUP(A486,My_Audit!A:A,My_Audit!D:D,"")&amp;""</f>
        <v/>
      </c>
    </row>
    <row r="487" spans="1:5">
      <c r="A487" s="2" t="str">
        <f>_xlfn.TEXTJOIN("",TRUE,Input!$B$2,ROW(My_Audit!A486))</f>
        <v>X486</v>
      </c>
      <c r="E487" s="2" t="str">
        <f>_xlfn.XLOOKUP(A487,My_Audit!A:A,My_Audit!D:D,"")&amp;""</f>
        <v/>
      </c>
    </row>
    <row r="488" spans="1:5">
      <c r="A488" s="2" t="str">
        <f>_xlfn.TEXTJOIN("",TRUE,Input!$B$2,ROW(My_Audit!A487))</f>
        <v>X487</v>
      </c>
      <c r="E488" s="2" t="str">
        <f>_xlfn.XLOOKUP(A488,My_Audit!A:A,My_Audit!D:D,"")&amp;""</f>
        <v/>
      </c>
    </row>
    <row r="489" spans="1:5">
      <c r="A489" s="2" t="str">
        <f>_xlfn.TEXTJOIN("",TRUE,Input!$B$2,ROW(My_Audit!A488))</f>
        <v>X488</v>
      </c>
      <c r="E489" s="2" t="str">
        <f>_xlfn.XLOOKUP(A489,My_Audit!A:A,My_Audit!D:D,"")&amp;""</f>
        <v/>
      </c>
    </row>
    <row r="490" spans="1:5">
      <c r="A490" s="2" t="str">
        <f>_xlfn.TEXTJOIN("",TRUE,Input!$B$2,ROW(My_Audit!A489))</f>
        <v>X489</v>
      </c>
      <c r="E490" s="2" t="str">
        <f>_xlfn.XLOOKUP(A490,My_Audit!A:A,My_Audit!D:D,"")&amp;""</f>
        <v/>
      </c>
    </row>
    <row r="491" spans="1:5">
      <c r="A491" s="2" t="str">
        <f>_xlfn.TEXTJOIN("",TRUE,Input!$B$2,ROW(My_Audit!A490))</f>
        <v>X490</v>
      </c>
      <c r="E491" s="2" t="str">
        <f>_xlfn.XLOOKUP(A491,My_Audit!A:A,My_Audit!D:D,"")&amp;""</f>
        <v/>
      </c>
    </row>
    <row r="492" spans="1:5">
      <c r="A492" s="2" t="str">
        <f>_xlfn.TEXTJOIN("",TRUE,Input!$B$2,ROW(My_Audit!A491))</f>
        <v>X491</v>
      </c>
      <c r="E492" s="2" t="str">
        <f>_xlfn.XLOOKUP(A492,My_Audit!A:A,My_Audit!D:D,"")&amp;""</f>
        <v/>
      </c>
    </row>
    <row r="493" spans="1:5">
      <c r="A493" s="2" t="str">
        <f>_xlfn.TEXTJOIN("",TRUE,Input!$B$2,ROW(My_Audit!A492))</f>
        <v>X492</v>
      </c>
      <c r="E493" s="2" t="str">
        <f>_xlfn.XLOOKUP(A493,My_Audit!A:A,My_Audit!D:D,"")&amp;""</f>
        <v/>
      </c>
    </row>
    <row r="494" spans="1:5">
      <c r="A494" s="2" t="str">
        <f>_xlfn.TEXTJOIN("",TRUE,Input!$B$2,ROW(My_Audit!A493))</f>
        <v>X493</v>
      </c>
      <c r="E494" s="2" t="str">
        <f>_xlfn.XLOOKUP(A494,My_Audit!A:A,My_Audit!D:D,"")&amp;""</f>
        <v/>
      </c>
    </row>
    <row r="495" spans="1:5">
      <c r="A495" s="2" t="str">
        <f>_xlfn.TEXTJOIN("",TRUE,Input!$B$2,ROW(My_Audit!A494))</f>
        <v>X494</v>
      </c>
      <c r="E495" s="2" t="str">
        <f>_xlfn.XLOOKUP(A495,My_Audit!A:A,My_Audit!D:D,"")&amp;""</f>
        <v/>
      </c>
    </row>
    <row r="496" spans="1:5">
      <c r="A496" s="2" t="str">
        <f>_xlfn.TEXTJOIN("",TRUE,Input!$B$2,ROW(My_Audit!A495))</f>
        <v>X495</v>
      </c>
      <c r="E496" s="2" t="str">
        <f>_xlfn.XLOOKUP(A496,My_Audit!A:A,My_Audit!D:D,"")&amp;""</f>
        <v/>
      </c>
    </row>
    <row r="497" spans="1:5">
      <c r="A497" s="2" t="str">
        <f>_xlfn.TEXTJOIN("",TRUE,Input!$B$2,ROW(My_Audit!A496))</f>
        <v>X496</v>
      </c>
      <c r="E497" s="2" t="str">
        <f>_xlfn.XLOOKUP(A497,My_Audit!A:A,My_Audit!D:D,"")&amp;""</f>
        <v/>
      </c>
    </row>
    <row r="498" spans="1:5">
      <c r="A498" s="2" t="str">
        <f>_xlfn.TEXTJOIN("",TRUE,Input!$B$2,ROW(My_Audit!A497))</f>
        <v>X497</v>
      </c>
      <c r="E498" s="2" t="str">
        <f>_xlfn.XLOOKUP(A498,My_Audit!A:A,My_Audit!D:D,"")&amp;""</f>
        <v/>
      </c>
    </row>
    <row r="499" spans="1:5">
      <c r="A499" s="2" t="str">
        <f>_xlfn.TEXTJOIN("",TRUE,Input!$B$2,ROW(My_Audit!A498))</f>
        <v>X498</v>
      </c>
      <c r="E499" s="2" t="str">
        <f>_xlfn.XLOOKUP(A499,My_Audit!A:A,My_Audit!D:D,"")&amp;""</f>
        <v/>
      </c>
    </row>
    <row r="500" spans="1:5">
      <c r="A500" s="2" t="str">
        <f>_xlfn.TEXTJOIN("",TRUE,Input!$B$2,ROW(My_Audit!A499))</f>
        <v>X499</v>
      </c>
      <c r="E500" s="2" t="str">
        <f>_xlfn.XLOOKUP(A500,My_Audit!A:A,My_Audit!D:D,"")&amp;""</f>
        <v/>
      </c>
    </row>
    <row r="501" spans="1:5">
      <c r="A501" s="2" t="str">
        <f>_xlfn.TEXTJOIN("",TRUE,Input!$B$2,ROW(My_Audit!A500))</f>
        <v>X500</v>
      </c>
      <c r="E501" s="2" t="str">
        <f>_xlfn.XLOOKUP(A501,My_Audit!A:A,My_Audit!D:D,"")&amp;""</f>
        <v/>
      </c>
    </row>
    <row r="502" spans="1:5">
      <c r="A502" s="2" t="str">
        <f>_xlfn.TEXTJOIN("",TRUE,Input!$B$2,ROW(My_Audit!A501))</f>
        <v>X501</v>
      </c>
      <c r="E502" s="2" t="str">
        <f>_xlfn.XLOOKUP(A502,My_Audit!A:A,My_Audit!D:D,"")&amp;""</f>
        <v/>
      </c>
    </row>
    <row r="503" spans="1:5">
      <c r="A503" s="2" t="str">
        <f>_xlfn.TEXTJOIN("",TRUE,Input!$B$2,ROW(My_Audit!A502))</f>
        <v>X502</v>
      </c>
      <c r="E503" s="2" t="str">
        <f>_xlfn.XLOOKUP(A503,My_Audit!A:A,My_Audit!D:D,"")&amp;""</f>
        <v/>
      </c>
    </row>
    <row r="504" spans="1:5">
      <c r="A504" s="2" t="str">
        <f>_xlfn.TEXTJOIN("",TRUE,Input!$B$2,ROW(My_Audit!A503))</f>
        <v>X503</v>
      </c>
      <c r="E504" s="2" t="str">
        <f>_xlfn.XLOOKUP(A504,My_Audit!A:A,My_Audit!D:D,"")&amp;""</f>
        <v/>
      </c>
    </row>
    <row r="505" spans="1:5">
      <c r="A505" s="2" t="str">
        <f>_xlfn.TEXTJOIN("",TRUE,Input!$B$2,ROW(My_Audit!A504))</f>
        <v>X504</v>
      </c>
      <c r="E505" s="2" t="str">
        <f>_xlfn.XLOOKUP(A505,My_Audit!A:A,My_Audit!D:D,"")&amp;""</f>
        <v/>
      </c>
    </row>
    <row r="506" spans="1:5">
      <c r="A506" s="2" t="str">
        <f>_xlfn.TEXTJOIN("",TRUE,Input!$B$2,ROW(My_Audit!A505))</f>
        <v>X505</v>
      </c>
      <c r="E506" s="2" t="str">
        <f>_xlfn.XLOOKUP(A506,My_Audit!A:A,My_Audit!D:D,"")&amp;""</f>
        <v/>
      </c>
    </row>
    <row r="507" spans="1:5">
      <c r="A507" s="2" t="str">
        <f>_xlfn.TEXTJOIN("",TRUE,Input!$B$2,ROW(My_Audit!A506))</f>
        <v>X506</v>
      </c>
      <c r="E507" s="2" t="str">
        <f>_xlfn.XLOOKUP(A507,My_Audit!A:A,My_Audit!D:D,"")&amp;""</f>
        <v/>
      </c>
    </row>
    <row r="508" spans="1:5">
      <c r="A508" s="2" t="str">
        <f>_xlfn.TEXTJOIN("",TRUE,Input!$B$2,ROW(My_Audit!A507))</f>
        <v>X507</v>
      </c>
      <c r="E508" s="2" t="str">
        <f>_xlfn.XLOOKUP(A508,My_Audit!A:A,My_Audit!D:D,"")&amp;""</f>
        <v/>
      </c>
    </row>
    <row r="509" spans="1:5">
      <c r="A509" s="2" t="str">
        <f>_xlfn.TEXTJOIN("",TRUE,Input!$B$2,ROW(My_Audit!A508))</f>
        <v>X508</v>
      </c>
      <c r="E509" s="2" t="str">
        <f>_xlfn.XLOOKUP(A509,My_Audit!A:A,My_Audit!D:D,"")&amp;""</f>
        <v/>
      </c>
    </row>
    <row r="510" spans="1:5">
      <c r="A510" s="2" t="str">
        <f>_xlfn.TEXTJOIN("",TRUE,Input!$B$2,ROW(My_Audit!A509))</f>
        <v>X509</v>
      </c>
      <c r="E510" s="2" t="str">
        <f>_xlfn.XLOOKUP(A510,My_Audit!A:A,My_Audit!D:D,"")&amp;""</f>
        <v/>
      </c>
    </row>
    <row r="511" spans="1:5">
      <c r="A511" s="2" t="str">
        <f>_xlfn.TEXTJOIN("",TRUE,Input!$B$2,ROW(My_Audit!A510))</f>
        <v>X510</v>
      </c>
      <c r="E511" s="2" t="str">
        <f>_xlfn.XLOOKUP(A511,My_Audit!A:A,My_Audit!D:D,"")&amp;""</f>
        <v/>
      </c>
    </row>
    <row r="512" spans="1:5">
      <c r="A512" s="2" t="str">
        <f>_xlfn.TEXTJOIN("",TRUE,Input!$B$2,ROW(My_Audit!A511))</f>
        <v>X511</v>
      </c>
      <c r="E512" s="2" t="str">
        <f>_xlfn.XLOOKUP(A512,My_Audit!A:A,My_Audit!D:D,"")&amp;""</f>
        <v/>
      </c>
    </row>
    <row r="513" spans="1:5">
      <c r="A513" s="2" t="str">
        <f>_xlfn.TEXTJOIN("",TRUE,Input!$B$2,ROW(My_Audit!A512))</f>
        <v>X512</v>
      </c>
      <c r="E513" s="2" t="str">
        <f>_xlfn.XLOOKUP(A513,My_Audit!A:A,My_Audit!D:D,"")&amp;""</f>
        <v/>
      </c>
    </row>
    <row r="514" spans="1:5">
      <c r="A514" s="2" t="str">
        <f>_xlfn.TEXTJOIN("",TRUE,Input!$B$2,ROW(My_Audit!A513))</f>
        <v>X513</v>
      </c>
    </row>
    <row r="515" spans="1:5">
      <c r="A515" s="2" t="str">
        <f>_xlfn.TEXTJOIN("",TRUE,Input!$B$2,ROW(My_Audit!A514))</f>
        <v>X514</v>
      </c>
    </row>
    <row r="516" spans="1:5">
      <c r="A516" s="2" t="str">
        <f>_xlfn.TEXTJOIN("",TRUE,Input!$B$2,ROW(My_Audit!A515))</f>
        <v>X515</v>
      </c>
    </row>
    <row r="517" spans="1:5">
      <c r="A517" s="2" t="str">
        <f>_xlfn.TEXTJOIN("",TRUE,Input!$B$2,ROW(My_Audit!A516))</f>
        <v>X516</v>
      </c>
    </row>
    <row r="518" spans="1:5">
      <c r="A518" s="2" t="str">
        <f>_xlfn.TEXTJOIN("",TRUE,Input!$B$2,ROW(My_Audit!A517))</f>
        <v>X517</v>
      </c>
    </row>
    <row r="519" spans="1:5">
      <c r="A519" s="2" t="str">
        <f>_xlfn.TEXTJOIN("",TRUE,Input!$B$2,ROW(My_Audit!A518))</f>
        <v>X518</v>
      </c>
    </row>
    <row r="520" spans="1:5">
      <c r="A520" s="2" t="str">
        <f>_xlfn.TEXTJOIN("",TRUE,Input!$B$2,ROW(My_Audit!A519))</f>
        <v>X519</v>
      </c>
    </row>
    <row r="521" spans="1:5">
      <c r="A521" s="2" t="str">
        <f>_xlfn.TEXTJOIN("",TRUE,Input!$B$2,ROW(My_Audit!A520))</f>
        <v>X520</v>
      </c>
    </row>
    <row r="522" spans="1:5">
      <c r="A522" s="2" t="str">
        <f>_xlfn.TEXTJOIN("",TRUE,Input!$B$2,ROW(My_Audit!A521))</f>
        <v>X521</v>
      </c>
    </row>
    <row r="523" spans="1:5">
      <c r="A523" s="2" t="str">
        <f>_xlfn.TEXTJOIN("",TRUE,Input!$B$2,ROW(My_Audit!A522))</f>
        <v>X522</v>
      </c>
    </row>
    <row r="524" spans="1:5">
      <c r="A524" s="2" t="str">
        <f>_xlfn.TEXTJOIN("",TRUE,Input!$B$2,ROW(My_Audit!A523))</f>
        <v>X523</v>
      </c>
    </row>
    <row r="525" spans="1:5">
      <c r="A525" s="2" t="str">
        <f>_xlfn.TEXTJOIN("",TRUE,Input!$B$2,ROW(My_Audit!A524))</f>
        <v>X524</v>
      </c>
    </row>
    <row r="526" spans="1:5">
      <c r="A526" s="2" t="str">
        <f>_xlfn.TEXTJOIN("",TRUE,Input!$B$2,ROW(My_Audit!A525))</f>
        <v>X525</v>
      </c>
    </row>
    <row r="527" spans="1:5">
      <c r="A527" s="2" t="str">
        <f>_xlfn.TEXTJOIN("",TRUE,Input!$B$2,ROW(My_Audit!A526))</f>
        <v>X526</v>
      </c>
    </row>
    <row r="528" spans="1:5">
      <c r="A528" s="2" t="str">
        <f>_xlfn.TEXTJOIN("",TRUE,Input!$B$2,ROW(My_Audit!A527))</f>
        <v>X527</v>
      </c>
    </row>
    <row r="529" spans="1:1">
      <c r="A529" s="2" t="str">
        <f>_xlfn.TEXTJOIN("",TRUE,Input!$B$2,ROW(My_Audit!A528))</f>
        <v>X528</v>
      </c>
    </row>
    <row r="530" spans="1:1">
      <c r="A530" s="2" t="str">
        <f>_xlfn.TEXTJOIN("",TRUE,Input!$B$2,ROW(My_Audit!A529))</f>
        <v>X529</v>
      </c>
    </row>
    <row r="531" spans="1:1">
      <c r="A531" s="2" t="str">
        <f>_xlfn.TEXTJOIN("",TRUE,Input!$B$2,ROW(My_Audit!A530))</f>
        <v>X530</v>
      </c>
    </row>
    <row r="532" spans="1:1">
      <c r="A532" s="2" t="str">
        <f>_xlfn.TEXTJOIN("",TRUE,Input!$B$2,ROW(My_Audit!A531))</f>
        <v>X531</v>
      </c>
    </row>
    <row r="533" spans="1:1">
      <c r="A533" s="2" t="str">
        <f>_xlfn.TEXTJOIN("",TRUE,Input!$B$2,ROW(My_Audit!A532))</f>
        <v>X532</v>
      </c>
    </row>
    <row r="534" spans="1:1">
      <c r="A534" s="2" t="str">
        <f>_xlfn.TEXTJOIN("",TRUE,Input!$B$2,ROW(My_Audit!A533))</f>
        <v>X533</v>
      </c>
    </row>
    <row r="535" spans="1:1">
      <c r="A535" s="2" t="str">
        <f>_xlfn.TEXTJOIN("",TRUE,Input!$B$2,ROW(My_Audit!A534))</f>
        <v>X534</v>
      </c>
    </row>
    <row r="536" spans="1:1">
      <c r="A536" s="2" t="str">
        <f>_xlfn.TEXTJOIN("",TRUE,Input!$B$2,ROW(My_Audit!A535))</f>
        <v>X535</v>
      </c>
    </row>
    <row r="537" spans="1:1">
      <c r="A537" s="2" t="str">
        <f>_xlfn.TEXTJOIN("",TRUE,Input!$B$2,ROW(My_Audit!A536))</f>
        <v>X536</v>
      </c>
    </row>
    <row r="538" spans="1:1">
      <c r="A538" s="2" t="str">
        <f>_xlfn.TEXTJOIN("",TRUE,Input!$B$2,ROW(My_Audit!A537))</f>
        <v>X537</v>
      </c>
    </row>
    <row r="539" spans="1:1">
      <c r="A539" s="2" t="str">
        <f>_xlfn.TEXTJOIN("",TRUE,Input!$B$2,ROW(My_Audit!A538))</f>
        <v>X538</v>
      </c>
    </row>
    <row r="540" spans="1:1">
      <c r="A540" s="2" t="str">
        <f>_xlfn.TEXTJOIN("",TRUE,Input!$B$2,ROW(My_Audit!A539))</f>
        <v>X539</v>
      </c>
    </row>
    <row r="541" spans="1:1">
      <c r="A541" s="2" t="str">
        <f>_xlfn.TEXTJOIN("",TRUE,Input!$B$2,ROW(My_Audit!A540))</f>
        <v>X540</v>
      </c>
    </row>
    <row r="542" spans="1:1">
      <c r="A542" s="2" t="str">
        <f>_xlfn.TEXTJOIN("",TRUE,Input!$B$2,ROW(My_Audit!A541))</f>
        <v>X541</v>
      </c>
    </row>
    <row r="543" spans="1:1">
      <c r="A543" s="2" t="str">
        <f>_xlfn.TEXTJOIN("",TRUE,Input!$B$2,ROW(My_Audit!A542))</f>
        <v>X542</v>
      </c>
    </row>
    <row r="544" spans="1:1">
      <c r="A544" s="2" t="str">
        <f>_xlfn.TEXTJOIN("",TRUE,Input!$B$2,ROW(My_Audit!A543))</f>
        <v>X543</v>
      </c>
    </row>
    <row r="545" spans="1:1">
      <c r="A545" s="2" t="str">
        <f>_xlfn.TEXTJOIN("",TRUE,Input!$B$2,ROW(My_Audit!A544))</f>
        <v>X544</v>
      </c>
    </row>
    <row r="546" spans="1:1">
      <c r="A546" s="2" t="str">
        <f>_xlfn.TEXTJOIN("",TRUE,Input!$B$2,ROW(My_Audit!A545))</f>
        <v>X545</v>
      </c>
    </row>
    <row r="547" spans="1:1">
      <c r="A547" s="2" t="str">
        <f>_xlfn.TEXTJOIN("",TRUE,Input!$B$2,ROW(My_Audit!A546))</f>
        <v>X546</v>
      </c>
    </row>
    <row r="548" spans="1:1">
      <c r="A548" s="2" t="str">
        <f>_xlfn.TEXTJOIN("",TRUE,Input!$B$2,ROW(My_Audit!A547))</f>
        <v>X547</v>
      </c>
    </row>
    <row r="549" spans="1:1">
      <c r="A549" s="2" t="str">
        <f>_xlfn.TEXTJOIN("",TRUE,Input!$B$2,ROW(My_Audit!A548))</f>
        <v>X548</v>
      </c>
    </row>
    <row r="550" spans="1:1">
      <c r="A550" s="2" t="str">
        <f>_xlfn.TEXTJOIN("",TRUE,Input!$B$2,ROW(My_Audit!A549))</f>
        <v>X549</v>
      </c>
    </row>
    <row r="551" spans="1:1">
      <c r="A551" s="2" t="str">
        <f>_xlfn.TEXTJOIN("",TRUE,Input!$B$2,ROW(My_Audit!A550))</f>
        <v>X550</v>
      </c>
    </row>
    <row r="552" spans="1:1">
      <c r="A552" s="2" t="str">
        <f>_xlfn.TEXTJOIN("",TRUE,Input!$B$2,ROW(My_Audit!A551))</f>
        <v>X551</v>
      </c>
    </row>
    <row r="553" spans="1:1">
      <c r="A553" s="2" t="str">
        <f>_xlfn.TEXTJOIN("",TRUE,Input!$B$2,ROW(My_Audit!A552))</f>
        <v>X552</v>
      </c>
    </row>
    <row r="554" spans="1:1">
      <c r="A554" s="2" t="str">
        <f>_xlfn.TEXTJOIN("",TRUE,Input!$B$2,ROW(My_Audit!A553))</f>
        <v>X553</v>
      </c>
    </row>
    <row r="555" spans="1:1">
      <c r="A555" s="2" t="str">
        <f>_xlfn.TEXTJOIN("",TRUE,Input!$B$2,ROW(My_Audit!A554))</f>
        <v>X554</v>
      </c>
    </row>
    <row r="556" spans="1:1">
      <c r="A556" s="2" t="str">
        <f>_xlfn.TEXTJOIN("",TRUE,Input!$B$2,ROW(My_Audit!A555))</f>
        <v>X555</v>
      </c>
    </row>
    <row r="557" spans="1:1">
      <c r="A557" s="2" t="str">
        <f>_xlfn.TEXTJOIN("",TRUE,Input!$B$2,ROW(My_Audit!A556))</f>
        <v>X556</v>
      </c>
    </row>
    <row r="558" spans="1:1">
      <c r="A558" s="2" t="str">
        <f>_xlfn.TEXTJOIN("",TRUE,Input!$B$2,ROW(My_Audit!A557))</f>
        <v>X557</v>
      </c>
    </row>
    <row r="559" spans="1:1">
      <c r="A559" s="2" t="str">
        <f>_xlfn.TEXTJOIN("",TRUE,Input!$B$2,ROW(My_Audit!A558))</f>
        <v>X558</v>
      </c>
    </row>
    <row r="560" spans="1:1">
      <c r="A560" s="2" t="str">
        <f>_xlfn.TEXTJOIN("",TRUE,Input!$B$2,ROW(My_Audit!A559))</f>
        <v>X559</v>
      </c>
    </row>
    <row r="561" spans="1:1">
      <c r="A561" s="2" t="str">
        <f>_xlfn.TEXTJOIN("",TRUE,Input!$B$2,ROW(My_Audit!A560))</f>
        <v>X560</v>
      </c>
    </row>
    <row r="562" spans="1:1">
      <c r="A562" s="2" t="str">
        <f>_xlfn.TEXTJOIN("",TRUE,Input!$B$2,ROW(My_Audit!A561))</f>
        <v>X561</v>
      </c>
    </row>
    <row r="563" spans="1:1">
      <c r="A563" s="2" t="str">
        <f>_xlfn.TEXTJOIN("",TRUE,Input!$B$2,ROW(My_Audit!A562))</f>
        <v>X562</v>
      </c>
    </row>
    <row r="564" spans="1:1">
      <c r="A564" s="2" t="str">
        <f>_xlfn.TEXTJOIN("",TRUE,Input!$B$2,ROW(My_Audit!A563))</f>
        <v>X563</v>
      </c>
    </row>
    <row r="565" spans="1:1">
      <c r="A565" s="2" t="str">
        <f>_xlfn.TEXTJOIN("",TRUE,Input!$B$2,ROW(My_Audit!A564))</f>
        <v>X564</v>
      </c>
    </row>
    <row r="566" spans="1:1">
      <c r="A566" s="2" t="str">
        <f>_xlfn.TEXTJOIN("",TRUE,Input!$B$2,ROW(My_Audit!A565))</f>
        <v>X565</v>
      </c>
    </row>
    <row r="567" spans="1:1">
      <c r="A567" s="2" t="str">
        <f>_xlfn.TEXTJOIN("",TRUE,Input!$B$2,ROW(My_Audit!A566))</f>
        <v>X566</v>
      </c>
    </row>
    <row r="568" spans="1:1">
      <c r="A568" s="2" t="str">
        <f>_xlfn.TEXTJOIN("",TRUE,Input!$B$2,ROW(My_Audit!A567))</f>
        <v>X567</v>
      </c>
    </row>
    <row r="569" spans="1:1">
      <c r="A569" s="2" t="str">
        <f>_xlfn.TEXTJOIN("",TRUE,Input!$B$2,ROW(My_Audit!A568))</f>
        <v>X568</v>
      </c>
    </row>
    <row r="570" spans="1:1">
      <c r="A570" s="2" t="str">
        <f>_xlfn.TEXTJOIN("",TRUE,Input!$B$2,ROW(My_Audit!A569))</f>
        <v>X569</v>
      </c>
    </row>
    <row r="571" spans="1:1">
      <c r="A571" s="2" t="str">
        <f>_xlfn.TEXTJOIN("",TRUE,Input!$B$2,ROW(My_Audit!A570))</f>
        <v>X570</v>
      </c>
    </row>
    <row r="572" spans="1:1">
      <c r="A572" s="2" t="str">
        <f>_xlfn.TEXTJOIN("",TRUE,Input!$B$2,ROW(My_Audit!A571))</f>
        <v>X571</v>
      </c>
    </row>
    <row r="573" spans="1:1">
      <c r="A573" s="2" t="str">
        <f>_xlfn.TEXTJOIN("",TRUE,Input!$B$2,ROW(My_Audit!A572))</f>
        <v>X572</v>
      </c>
    </row>
    <row r="574" spans="1:1">
      <c r="A574" s="2" t="str">
        <f>_xlfn.TEXTJOIN("",TRUE,Input!$B$2,ROW(My_Audit!A573))</f>
        <v>X573</v>
      </c>
    </row>
    <row r="575" spans="1:1">
      <c r="A575" s="2" t="str">
        <f>_xlfn.TEXTJOIN("",TRUE,Input!$B$2,ROW(My_Audit!A574))</f>
        <v>X574</v>
      </c>
    </row>
    <row r="576" spans="1:1">
      <c r="A576" s="2" t="str">
        <f>_xlfn.TEXTJOIN("",TRUE,Input!$B$2,ROW(My_Audit!A575))</f>
        <v>X575</v>
      </c>
    </row>
    <row r="577" spans="1:1">
      <c r="A577" s="2" t="str">
        <f>_xlfn.TEXTJOIN("",TRUE,Input!$B$2,ROW(My_Audit!A576))</f>
        <v>X576</v>
      </c>
    </row>
    <row r="578" spans="1:1">
      <c r="A578" s="2" t="str">
        <f>_xlfn.TEXTJOIN("",TRUE,Input!$B$2,ROW(My_Audit!A577))</f>
        <v>X577</v>
      </c>
    </row>
    <row r="579" spans="1:1">
      <c r="A579" s="2" t="str">
        <f>_xlfn.TEXTJOIN("",TRUE,Input!$B$2,ROW(My_Audit!A578))</f>
        <v>X578</v>
      </c>
    </row>
    <row r="580" spans="1:1">
      <c r="A580" s="2" t="str">
        <f>_xlfn.TEXTJOIN("",TRUE,Input!$B$2,ROW(My_Audit!A579))</f>
        <v>X579</v>
      </c>
    </row>
    <row r="581" spans="1:1">
      <c r="A581" s="2" t="str">
        <f>_xlfn.TEXTJOIN("",TRUE,Input!$B$2,ROW(My_Audit!A580))</f>
        <v>X580</v>
      </c>
    </row>
    <row r="582" spans="1:1">
      <c r="A582" s="2" t="str">
        <f>_xlfn.TEXTJOIN("",TRUE,Input!$B$2,ROW(My_Audit!A581))</f>
        <v>X581</v>
      </c>
    </row>
    <row r="583" spans="1:1">
      <c r="A583" s="2" t="str">
        <f>_xlfn.TEXTJOIN("",TRUE,Input!$B$2,ROW(My_Audit!A582))</f>
        <v>X582</v>
      </c>
    </row>
    <row r="584" spans="1:1">
      <c r="A584" s="2" t="str">
        <f>_xlfn.TEXTJOIN("",TRUE,Input!$B$2,ROW(My_Audit!A583))</f>
        <v>X583</v>
      </c>
    </row>
    <row r="585" spans="1:1">
      <c r="A585" s="2" t="str">
        <f>_xlfn.TEXTJOIN("",TRUE,Input!$B$2,ROW(My_Audit!A584))</f>
        <v>X584</v>
      </c>
    </row>
    <row r="586" spans="1:1">
      <c r="A586" s="2" t="str">
        <f>_xlfn.TEXTJOIN("",TRUE,Input!$B$2,ROW(My_Audit!A585))</f>
        <v>X585</v>
      </c>
    </row>
    <row r="587" spans="1:1">
      <c r="A587" s="2" t="str">
        <f>_xlfn.TEXTJOIN("",TRUE,Input!$B$2,ROW(My_Audit!A586))</f>
        <v>X586</v>
      </c>
    </row>
    <row r="588" spans="1:1">
      <c r="A588" s="2" t="str">
        <f>_xlfn.TEXTJOIN("",TRUE,Input!$B$2,ROW(My_Audit!A587))</f>
        <v>X587</v>
      </c>
    </row>
    <row r="589" spans="1:1">
      <c r="A589" s="2" t="str">
        <f>_xlfn.TEXTJOIN("",TRUE,Input!$B$2,ROW(My_Audit!A588))</f>
        <v>X588</v>
      </c>
    </row>
    <row r="590" spans="1:1">
      <c r="A590" s="2" t="str">
        <f>_xlfn.TEXTJOIN("",TRUE,Input!$B$2,ROW(My_Audit!A589))</f>
        <v>X589</v>
      </c>
    </row>
    <row r="591" spans="1:1">
      <c r="A591" s="2" t="str">
        <f>_xlfn.TEXTJOIN("",TRUE,Input!$B$2,ROW(My_Audit!A590))</f>
        <v>X590</v>
      </c>
    </row>
    <row r="592" spans="1:1">
      <c r="A592" s="2" t="str">
        <f>_xlfn.TEXTJOIN("",TRUE,Input!$B$2,ROW(My_Audit!A591))</f>
        <v>X591</v>
      </c>
    </row>
    <row r="593" spans="1:1">
      <c r="A593" s="2" t="str">
        <f>_xlfn.TEXTJOIN("",TRUE,Input!$B$2,ROW(My_Audit!A592))</f>
        <v>X592</v>
      </c>
    </row>
    <row r="594" spans="1:1">
      <c r="A594" s="2" t="str">
        <f>_xlfn.TEXTJOIN("",TRUE,Input!$B$2,ROW(My_Audit!A593))</f>
        <v>X593</v>
      </c>
    </row>
    <row r="595" spans="1:1">
      <c r="A595" s="2" t="str">
        <f>_xlfn.TEXTJOIN("",TRUE,Input!$B$2,ROW(My_Audit!A594))</f>
        <v>X594</v>
      </c>
    </row>
    <row r="596" spans="1:1">
      <c r="A596" s="2" t="str">
        <f>_xlfn.TEXTJOIN("",TRUE,Input!$B$2,ROW(My_Audit!A595))</f>
        <v>X595</v>
      </c>
    </row>
    <row r="597" spans="1:1">
      <c r="A597" s="2" t="str">
        <f>_xlfn.TEXTJOIN("",TRUE,Input!$B$2,ROW(My_Audit!A596))</f>
        <v>X596</v>
      </c>
    </row>
    <row r="598" spans="1:1">
      <c r="A598" s="2" t="str">
        <f>_xlfn.TEXTJOIN("",TRUE,Input!$B$2,ROW(My_Audit!A597))</f>
        <v>X597</v>
      </c>
    </row>
    <row r="599" spans="1:1">
      <c r="A599" s="2" t="str">
        <f>_xlfn.TEXTJOIN("",TRUE,Input!$B$2,ROW(My_Audit!A598))</f>
        <v>X598</v>
      </c>
    </row>
    <row r="600" spans="1:1">
      <c r="A600" s="2" t="str">
        <f>_xlfn.TEXTJOIN("",TRUE,Input!$B$2,ROW(My_Audit!A599))</f>
        <v>X599</v>
      </c>
    </row>
    <row r="601" spans="1:1">
      <c r="A601" s="2" t="str">
        <f>_xlfn.TEXTJOIN("",TRUE,Input!$B$2,ROW(My_Audit!A600))</f>
        <v>X600</v>
      </c>
    </row>
    <row r="602" spans="1:1">
      <c r="A602" s="2" t="str">
        <f>_xlfn.TEXTJOIN("",TRUE,Input!$B$2,ROW(My_Audit!A601))</f>
        <v>X601</v>
      </c>
    </row>
    <row r="603" spans="1:1">
      <c r="A603" s="2" t="str">
        <f>_xlfn.TEXTJOIN("",TRUE,Input!$B$2,ROW(My_Audit!A602))</f>
        <v>X602</v>
      </c>
    </row>
    <row r="604" spans="1:1">
      <c r="A604" s="2" t="str">
        <f>_xlfn.TEXTJOIN("",TRUE,Input!$B$2,ROW(My_Audit!A603))</f>
        <v>X603</v>
      </c>
    </row>
    <row r="605" spans="1:1">
      <c r="A605" s="2" t="str">
        <f>_xlfn.TEXTJOIN("",TRUE,Input!$B$2,ROW(My_Audit!A604))</f>
        <v>X604</v>
      </c>
    </row>
    <row r="606" spans="1:1">
      <c r="A606" s="2" t="str">
        <f>_xlfn.TEXTJOIN("",TRUE,Input!$B$2,ROW(My_Audit!A605))</f>
        <v>X605</v>
      </c>
    </row>
    <row r="607" spans="1:1">
      <c r="A607" s="2" t="str">
        <f>_xlfn.TEXTJOIN("",TRUE,Input!$B$2,ROW(My_Audit!A606))</f>
        <v>X606</v>
      </c>
    </row>
    <row r="608" spans="1:1">
      <c r="A608" s="2" t="str">
        <f>_xlfn.TEXTJOIN("",TRUE,Input!$B$2,ROW(My_Audit!A607))</f>
        <v>X607</v>
      </c>
    </row>
    <row r="609" spans="1:1">
      <c r="A609" s="2" t="str">
        <f>_xlfn.TEXTJOIN("",TRUE,Input!$B$2,ROW(My_Audit!A608))</f>
        <v>X608</v>
      </c>
    </row>
    <row r="610" spans="1:1">
      <c r="A610" s="2" t="str">
        <f>_xlfn.TEXTJOIN("",TRUE,Input!$B$2,ROW(My_Audit!A609))</f>
        <v>X609</v>
      </c>
    </row>
    <row r="611" spans="1:1">
      <c r="A611" s="2" t="str">
        <f>_xlfn.TEXTJOIN("",TRUE,Input!$B$2,ROW(My_Audit!A610))</f>
        <v>X610</v>
      </c>
    </row>
    <row r="612" spans="1:1">
      <c r="A612" s="2" t="str">
        <f>_xlfn.TEXTJOIN("",TRUE,Input!$B$2,ROW(My_Audit!A611))</f>
        <v>X611</v>
      </c>
    </row>
    <row r="613" spans="1:1">
      <c r="A613" s="2" t="str">
        <f>_xlfn.TEXTJOIN("",TRUE,Input!$B$2,ROW(My_Audit!A612))</f>
        <v>X612</v>
      </c>
    </row>
    <row r="614" spans="1:1">
      <c r="A614" s="2" t="str">
        <f>_xlfn.TEXTJOIN("",TRUE,Input!$B$2,ROW(My_Audit!A613))</f>
        <v>X613</v>
      </c>
    </row>
    <row r="615" spans="1:1">
      <c r="A615" s="2" t="str">
        <f>_xlfn.TEXTJOIN("",TRUE,Input!$B$2,ROW(My_Audit!A614))</f>
        <v>X614</v>
      </c>
    </row>
    <row r="616" spans="1:1">
      <c r="A616" s="2" t="str">
        <f>_xlfn.TEXTJOIN("",TRUE,Input!$B$2,ROW(My_Audit!A615))</f>
        <v>X615</v>
      </c>
    </row>
    <row r="617" spans="1:1">
      <c r="A617" s="2" t="str">
        <f>_xlfn.TEXTJOIN("",TRUE,Input!$B$2,ROW(My_Audit!A616))</f>
        <v>X616</v>
      </c>
    </row>
    <row r="618" spans="1:1">
      <c r="A618" s="2" t="str">
        <f>_xlfn.TEXTJOIN("",TRUE,Input!$B$2,ROW(My_Audit!A617))</f>
        <v>X617</v>
      </c>
    </row>
    <row r="619" spans="1:1">
      <c r="A619" s="2" t="str">
        <f>_xlfn.TEXTJOIN("",TRUE,Input!$B$2,ROW(My_Audit!A618))</f>
        <v>X618</v>
      </c>
    </row>
    <row r="620" spans="1:1">
      <c r="A620" s="2" t="str">
        <f>_xlfn.TEXTJOIN("",TRUE,Input!$B$2,ROW(My_Audit!A619))</f>
        <v>X619</v>
      </c>
    </row>
    <row r="621" spans="1:1">
      <c r="A621" s="2" t="str">
        <f>_xlfn.TEXTJOIN("",TRUE,Input!$B$2,ROW(My_Audit!A620))</f>
        <v>X620</v>
      </c>
    </row>
    <row r="622" spans="1:1">
      <c r="A622" s="2" t="str">
        <f>_xlfn.TEXTJOIN("",TRUE,Input!$B$2,ROW(My_Audit!A621))</f>
        <v>X621</v>
      </c>
    </row>
    <row r="623" spans="1:1">
      <c r="A623" s="2" t="str">
        <f>_xlfn.TEXTJOIN("",TRUE,Input!$B$2,ROW(My_Audit!A622))</f>
        <v>X622</v>
      </c>
    </row>
    <row r="624" spans="1:1">
      <c r="A624" s="2" t="str">
        <f>_xlfn.TEXTJOIN("",TRUE,Input!$B$2,ROW(My_Audit!A623))</f>
        <v>X623</v>
      </c>
    </row>
    <row r="625" spans="1:1">
      <c r="A625" s="2" t="str">
        <f>_xlfn.TEXTJOIN("",TRUE,Input!$B$2,ROW(My_Audit!A624))</f>
        <v>X624</v>
      </c>
    </row>
    <row r="626" spans="1:1">
      <c r="A626" s="2" t="str">
        <f>_xlfn.TEXTJOIN("",TRUE,Input!$B$2,ROW(My_Audit!A625))</f>
        <v>X625</v>
      </c>
    </row>
    <row r="627" spans="1:1">
      <c r="A627" s="2" t="str">
        <f>_xlfn.TEXTJOIN("",TRUE,Input!$B$2,ROW(My_Audit!A626))</f>
        <v>X626</v>
      </c>
    </row>
    <row r="628" spans="1:1">
      <c r="A628" s="2" t="str">
        <f>_xlfn.TEXTJOIN("",TRUE,Input!$B$2,ROW(My_Audit!A627))</f>
        <v>X627</v>
      </c>
    </row>
    <row r="629" spans="1:1">
      <c r="A629" s="2" t="str">
        <f>_xlfn.TEXTJOIN("",TRUE,Input!$B$2,ROW(My_Audit!A628))</f>
        <v>X628</v>
      </c>
    </row>
    <row r="630" spans="1:1">
      <c r="A630" s="2" t="str">
        <f>_xlfn.TEXTJOIN("",TRUE,Input!$B$2,ROW(My_Audit!A629))</f>
        <v>X629</v>
      </c>
    </row>
    <row r="631" spans="1:1">
      <c r="A631" s="2" t="str">
        <f>_xlfn.TEXTJOIN("",TRUE,Input!$B$2,ROW(My_Audit!A630))</f>
        <v>X630</v>
      </c>
    </row>
    <row r="632" spans="1:1">
      <c r="A632" s="2" t="str">
        <f>_xlfn.TEXTJOIN("",TRUE,Input!$B$2,ROW(My_Audit!A631))</f>
        <v>X631</v>
      </c>
    </row>
    <row r="633" spans="1:1">
      <c r="A633" s="2" t="str">
        <f>_xlfn.TEXTJOIN("",TRUE,Input!$B$2,ROW(My_Audit!A632))</f>
        <v>X632</v>
      </c>
    </row>
    <row r="634" spans="1:1">
      <c r="A634" s="2" t="str">
        <f>_xlfn.TEXTJOIN("",TRUE,Input!$B$2,ROW(My_Audit!A633))</f>
        <v>X633</v>
      </c>
    </row>
    <row r="635" spans="1:1">
      <c r="A635" s="2" t="str">
        <f>_xlfn.TEXTJOIN("",TRUE,Input!$B$2,ROW(My_Audit!A634))</f>
        <v>X634</v>
      </c>
    </row>
    <row r="636" spans="1:1">
      <c r="A636" s="2" t="str">
        <f>_xlfn.TEXTJOIN("",TRUE,Input!$B$2,ROW(My_Audit!A635))</f>
        <v>X635</v>
      </c>
    </row>
    <row r="637" spans="1:1">
      <c r="A637" s="2" t="str">
        <f>_xlfn.TEXTJOIN("",TRUE,Input!$B$2,ROW(My_Audit!A636))</f>
        <v>X636</v>
      </c>
    </row>
    <row r="638" spans="1:1">
      <c r="A638" s="2" t="str">
        <f>_xlfn.TEXTJOIN("",TRUE,Input!$B$2,ROW(My_Audit!A637))</f>
        <v>X637</v>
      </c>
    </row>
    <row r="639" spans="1:1">
      <c r="A639" s="2" t="str">
        <f>_xlfn.TEXTJOIN("",TRUE,Input!$B$2,ROW(My_Audit!A638))</f>
        <v>X638</v>
      </c>
    </row>
    <row r="640" spans="1:1">
      <c r="A640" s="2" t="str">
        <f>_xlfn.TEXTJOIN("",TRUE,Input!$B$2,ROW(My_Audit!A639))</f>
        <v>X639</v>
      </c>
    </row>
    <row r="641" spans="1:1">
      <c r="A641" s="2" t="str">
        <f>_xlfn.TEXTJOIN("",TRUE,Input!$B$2,ROW(My_Audit!A640))</f>
        <v>X640</v>
      </c>
    </row>
    <row r="642" spans="1:1">
      <c r="A642" s="2" t="str">
        <f>_xlfn.TEXTJOIN("",TRUE,Input!$B$2,ROW(My_Audit!A641))</f>
        <v>X641</v>
      </c>
    </row>
    <row r="643" spans="1:1">
      <c r="A643" s="2" t="str">
        <f>_xlfn.TEXTJOIN("",TRUE,Input!$B$2,ROW(My_Audit!A642))</f>
        <v>X642</v>
      </c>
    </row>
    <row r="644" spans="1:1">
      <c r="A644" s="2" t="str">
        <f>_xlfn.TEXTJOIN("",TRUE,Input!$B$2,ROW(My_Audit!A643))</f>
        <v>X643</v>
      </c>
    </row>
    <row r="645" spans="1:1">
      <c r="A645" s="2" t="str">
        <f>_xlfn.TEXTJOIN("",TRUE,Input!$B$2,ROW(My_Audit!A644))</f>
        <v>X644</v>
      </c>
    </row>
    <row r="646" spans="1:1">
      <c r="A646" s="2" t="str">
        <f>_xlfn.TEXTJOIN("",TRUE,Input!$B$2,ROW(My_Audit!A645))</f>
        <v>X645</v>
      </c>
    </row>
    <row r="647" spans="1:1">
      <c r="A647" s="2" t="str">
        <f>_xlfn.TEXTJOIN("",TRUE,Input!$B$2,ROW(My_Audit!A646))</f>
        <v>X646</v>
      </c>
    </row>
    <row r="648" spans="1:1">
      <c r="A648" s="2" t="str">
        <f>_xlfn.TEXTJOIN("",TRUE,Input!$B$2,ROW(My_Audit!A647))</f>
        <v>X647</v>
      </c>
    </row>
    <row r="649" spans="1:1">
      <c r="A649" s="2" t="str">
        <f>_xlfn.TEXTJOIN("",TRUE,Input!$B$2,ROW(My_Audit!A648))</f>
        <v>X648</v>
      </c>
    </row>
    <row r="650" spans="1:1">
      <c r="A650" s="2" t="str">
        <f>_xlfn.TEXTJOIN("",TRUE,Input!$B$2,ROW(My_Audit!A649))</f>
        <v>X649</v>
      </c>
    </row>
    <row r="651" spans="1:1">
      <c r="A651" s="2" t="str">
        <f>_xlfn.TEXTJOIN("",TRUE,Input!$B$2,ROW(My_Audit!A650))</f>
        <v>X650</v>
      </c>
    </row>
    <row r="652" spans="1:1">
      <c r="A652" s="2" t="str">
        <f>_xlfn.TEXTJOIN("",TRUE,Input!$B$2,ROW(My_Audit!A651))</f>
        <v>X651</v>
      </c>
    </row>
    <row r="653" spans="1:1">
      <c r="A653" s="2" t="str">
        <f>_xlfn.TEXTJOIN("",TRUE,Input!$B$2,ROW(My_Audit!A652))</f>
        <v>X652</v>
      </c>
    </row>
    <row r="654" spans="1:1">
      <c r="A654" s="2" t="str">
        <f>_xlfn.TEXTJOIN("",TRUE,Input!$B$2,ROW(My_Audit!A653))</f>
        <v>X653</v>
      </c>
    </row>
    <row r="655" spans="1:1">
      <c r="A655" s="2" t="str">
        <f>_xlfn.TEXTJOIN("",TRUE,Input!$B$2,ROW(My_Audit!A654))</f>
        <v>X654</v>
      </c>
    </row>
    <row r="656" spans="1:1">
      <c r="A656" s="2" t="str">
        <f>_xlfn.TEXTJOIN("",TRUE,Input!$B$2,ROW(My_Audit!A655))</f>
        <v>X655</v>
      </c>
    </row>
    <row r="657" spans="1:1">
      <c r="A657" s="2" t="str">
        <f>_xlfn.TEXTJOIN("",TRUE,Input!$B$2,ROW(My_Audit!A656))</f>
        <v>X656</v>
      </c>
    </row>
    <row r="658" spans="1:1">
      <c r="A658" s="2" t="str">
        <f>_xlfn.TEXTJOIN("",TRUE,Input!$B$2,ROW(My_Audit!A657))</f>
        <v>X657</v>
      </c>
    </row>
    <row r="659" spans="1:1">
      <c r="A659" s="2" t="str">
        <f>_xlfn.TEXTJOIN("",TRUE,Input!$B$2,ROW(My_Audit!A658))</f>
        <v>X658</v>
      </c>
    </row>
    <row r="660" spans="1:1">
      <c r="A660" s="2" t="str">
        <f>_xlfn.TEXTJOIN("",TRUE,Input!$B$2,ROW(My_Audit!A659))</f>
        <v>X659</v>
      </c>
    </row>
    <row r="661" spans="1:1">
      <c r="A661" s="2" t="str">
        <f>_xlfn.TEXTJOIN("",TRUE,Input!$B$2,ROW(My_Audit!A660))</f>
        <v>X660</v>
      </c>
    </row>
    <row r="662" spans="1:1">
      <c r="A662" s="2" t="str">
        <f>_xlfn.TEXTJOIN("",TRUE,Input!$B$2,ROW(My_Audit!A661))</f>
        <v>X661</v>
      </c>
    </row>
    <row r="663" spans="1:1">
      <c r="A663" s="2" t="str">
        <f>_xlfn.TEXTJOIN("",TRUE,Input!$B$2,ROW(My_Audit!A662))</f>
        <v>X662</v>
      </c>
    </row>
    <row r="664" spans="1:1">
      <c r="A664" s="2" t="str">
        <f>_xlfn.TEXTJOIN("",TRUE,Input!$B$2,ROW(My_Audit!A663))</f>
        <v>X663</v>
      </c>
    </row>
    <row r="665" spans="1:1">
      <c r="A665" s="2" t="str">
        <f>_xlfn.TEXTJOIN("",TRUE,Input!$B$2,ROW(My_Audit!A664))</f>
        <v>X664</v>
      </c>
    </row>
    <row r="666" spans="1:1">
      <c r="A666" s="2" t="str">
        <f>_xlfn.TEXTJOIN("",TRUE,Input!$B$2,ROW(My_Audit!A665))</f>
        <v>X665</v>
      </c>
    </row>
    <row r="667" spans="1:1">
      <c r="A667" s="2" t="str">
        <f>_xlfn.TEXTJOIN("",TRUE,Input!$B$2,ROW(My_Audit!A666))</f>
        <v>X666</v>
      </c>
    </row>
    <row r="668" spans="1:1">
      <c r="A668" s="2" t="str">
        <f>_xlfn.TEXTJOIN("",TRUE,Input!$B$2,ROW(My_Audit!A667))</f>
        <v>X667</v>
      </c>
    </row>
    <row r="669" spans="1:1">
      <c r="A669" s="2" t="str">
        <f>_xlfn.TEXTJOIN("",TRUE,Input!$B$2,ROW(My_Audit!A668))</f>
        <v>X668</v>
      </c>
    </row>
    <row r="670" spans="1:1">
      <c r="A670" s="2" t="str">
        <f>_xlfn.TEXTJOIN("",TRUE,Input!$B$2,ROW(My_Audit!A669))</f>
        <v>X669</v>
      </c>
    </row>
    <row r="671" spans="1:1">
      <c r="A671" s="2" t="str">
        <f>_xlfn.TEXTJOIN("",TRUE,Input!$B$2,ROW(My_Audit!A670))</f>
        <v>X670</v>
      </c>
    </row>
    <row r="672" spans="1:1">
      <c r="A672" s="2" t="str">
        <f>_xlfn.TEXTJOIN("",TRUE,Input!$B$2,ROW(My_Audit!A671))</f>
        <v>X671</v>
      </c>
    </row>
    <row r="673" spans="1:1">
      <c r="A673" s="2" t="str">
        <f>_xlfn.TEXTJOIN("",TRUE,Input!$B$2,ROW(My_Audit!A672))</f>
        <v>X672</v>
      </c>
    </row>
    <row r="674" spans="1:1">
      <c r="A674" s="2" t="str">
        <f>_xlfn.TEXTJOIN("",TRUE,Input!$B$2,ROW(My_Audit!A673))</f>
        <v>X673</v>
      </c>
    </row>
    <row r="675" spans="1:1">
      <c r="A675" s="2" t="str">
        <f>_xlfn.TEXTJOIN("",TRUE,Input!$B$2,ROW(My_Audit!A674))</f>
        <v>X674</v>
      </c>
    </row>
    <row r="676" spans="1:1">
      <c r="A676" s="2" t="str">
        <f>_xlfn.TEXTJOIN("",TRUE,Input!$B$2,ROW(My_Audit!A675))</f>
        <v>X675</v>
      </c>
    </row>
    <row r="677" spans="1:1">
      <c r="A677" s="2" t="str">
        <f>_xlfn.TEXTJOIN("",TRUE,Input!$B$2,ROW(My_Audit!A676))</f>
        <v>X676</v>
      </c>
    </row>
    <row r="678" spans="1:1">
      <c r="A678" s="2" t="str">
        <f>_xlfn.TEXTJOIN("",TRUE,Input!$B$2,ROW(My_Audit!A677))</f>
        <v>X677</v>
      </c>
    </row>
    <row r="679" spans="1:1">
      <c r="A679" s="2" t="str">
        <f>_xlfn.TEXTJOIN("",TRUE,Input!$B$2,ROW(My_Audit!A678))</f>
        <v>X678</v>
      </c>
    </row>
    <row r="680" spans="1:1">
      <c r="A680" s="2" t="str">
        <f>_xlfn.TEXTJOIN("",TRUE,Input!$B$2,ROW(My_Audit!A679))</f>
        <v>X679</v>
      </c>
    </row>
    <row r="681" spans="1:1">
      <c r="A681" s="2" t="str">
        <f>_xlfn.TEXTJOIN("",TRUE,Input!$B$2,ROW(My_Audit!A680))</f>
        <v>X680</v>
      </c>
    </row>
    <row r="682" spans="1:1">
      <c r="A682" s="2" t="str">
        <f>_xlfn.TEXTJOIN("",TRUE,Input!$B$2,ROW(My_Audit!A681))</f>
        <v>X681</v>
      </c>
    </row>
    <row r="683" spans="1:1">
      <c r="A683" s="2" t="str">
        <f>_xlfn.TEXTJOIN("",TRUE,Input!$B$2,ROW(My_Audit!A682))</f>
        <v>X682</v>
      </c>
    </row>
    <row r="684" spans="1:1">
      <c r="A684" s="2" t="str">
        <f>_xlfn.TEXTJOIN("",TRUE,Input!$B$2,ROW(My_Audit!A683))</f>
        <v>X683</v>
      </c>
    </row>
    <row r="685" spans="1:1">
      <c r="A685" s="2" t="str">
        <f>_xlfn.TEXTJOIN("",TRUE,Input!$B$2,ROW(My_Audit!A684))</f>
        <v>X684</v>
      </c>
    </row>
    <row r="686" spans="1:1">
      <c r="A686" s="2" t="str">
        <f>_xlfn.TEXTJOIN("",TRUE,Input!$B$2,ROW(My_Audit!A685))</f>
        <v>X685</v>
      </c>
    </row>
    <row r="687" spans="1:1">
      <c r="A687" s="2" t="str">
        <f>_xlfn.TEXTJOIN("",TRUE,Input!$B$2,ROW(My_Audit!A686))</f>
        <v>X686</v>
      </c>
    </row>
    <row r="688" spans="1:1">
      <c r="A688" s="2" t="str">
        <f>_xlfn.TEXTJOIN("",TRUE,Input!$B$2,ROW(My_Audit!A687))</f>
        <v>X687</v>
      </c>
    </row>
    <row r="689" spans="1:1">
      <c r="A689" s="2" t="str">
        <f>_xlfn.TEXTJOIN("",TRUE,Input!$B$2,ROW(My_Audit!A688))</f>
        <v>X688</v>
      </c>
    </row>
    <row r="690" spans="1:1">
      <c r="A690" s="2" t="str">
        <f>_xlfn.TEXTJOIN("",TRUE,Input!$B$2,ROW(My_Audit!A689))</f>
        <v>X689</v>
      </c>
    </row>
    <row r="691" spans="1:1">
      <c r="A691" s="2" t="str">
        <f>_xlfn.TEXTJOIN("",TRUE,Input!$B$2,ROW(My_Audit!A690))</f>
        <v>X690</v>
      </c>
    </row>
    <row r="692" spans="1:1">
      <c r="A692" s="2" t="str">
        <f>_xlfn.TEXTJOIN("",TRUE,Input!$B$2,ROW(My_Audit!A691))</f>
        <v>X691</v>
      </c>
    </row>
    <row r="693" spans="1:1">
      <c r="A693" s="2" t="str">
        <f>_xlfn.TEXTJOIN("",TRUE,Input!$B$2,ROW(My_Audit!A692))</f>
        <v>X692</v>
      </c>
    </row>
    <row r="694" spans="1:1">
      <c r="A694" s="2" t="str">
        <f>_xlfn.TEXTJOIN("",TRUE,Input!$B$2,ROW(My_Audit!A693))</f>
        <v>X693</v>
      </c>
    </row>
    <row r="695" spans="1:1">
      <c r="A695" s="2" t="str">
        <f>_xlfn.TEXTJOIN("",TRUE,Input!$B$2,ROW(My_Audit!A694))</f>
        <v>X694</v>
      </c>
    </row>
    <row r="696" spans="1:1">
      <c r="A696" s="2" t="str">
        <f>_xlfn.TEXTJOIN("",TRUE,Input!$B$2,ROW(My_Audit!A695))</f>
        <v>X695</v>
      </c>
    </row>
    <row r="697" spans="1:1">
      <c r="A697" s="2" t="str">
        <f>_xlfn.TEXTJOIN("",TRUE,Input!$B$2,ROW(My_Audit!A696))</f>
        <v>X696</v>
      </c>
    </row>
    <row r="698" spans="1:1">
      <c r="A698" s="2" t="str">
        <f>_xlfn.TEXTJOIN("",TRUE,Input!$B$2,ROW(My_Audit!A697))</f>
        <v>X697</v>
      </c>
    </row>
    <row r="699" spans="1:1">
      <c r="A699" s="2" t="str">
        <f>_xlfn.TEXTJOIN("",TRUE,Input!$B$2,ROW(My_Audit!A698))</f>
        <v>X698</v>
      </c>
    </row>
    <row r="700" spans="1:1">
      <c r="A700" s="2" t="str">
        <f>_xlfn.TEXTJOIN("",TRUE,Input!$B$2,ROW(My_Audit!A699))</f>
        <v>X699</v>
      </c>
    </row>
    <row r="701" spans="1:1">
      <c r="A701" s="2" t="str">
        <f>_xlfn.TEXTJOIN("",TRUE,Input!$B$2,ROW(My_Audit!A700))</f>
        <v>X700</v>
      </c>
    </row>
    <row r="702" spans="1:1">
      <c r="A702" s="2" t="str">
        <f>_xlfn.TEXTJOIN("",TRUE,Input!$B$2,ROW(My_Audit!A701))</f>
        <v>X701</v>
      </c>
    </row>
    <row r="703" spans="1:1">
      <c r="A703" s="2" t="str">
        <f>_xlfn.TEXTJOIN("",TRUE,Input!$B$2,ROW(My_Audit!A702))</f>
        <v>X702</v>
      </c>
    </row>
    <row r="704" spans="1:1">
      <c r="A704" s="2" t="str">
        <f>_xlfn.TEXTJOIN("",TRUE,Input!$B$2,ROW(My_Audit!A703))</f>
        <v>X703</v>
      </c>
    </row>
    <row r="705" spans="1:1">
      <c r="A705" s="2" t="str">
        <f>_xlfn.TEXTJOIN("",TRUE,Input!$B$2,ROW(My_Audit!A704))</f>
        <v>X704</v>
      </c>
    </row>
    <row r="706" spans="1:1">
      <c r="A706" s="2" t="str">
        <f>_xlfn.TEXTJOIN("",TRUE,Input!$B$2,ROW(My_Audit!A705))</f>
        <v>X705</v>
      </c>
    </row>
    <row r="707" spans="1:1">
      <c r="A707" s="2" t="str">
        <f>_xlfn.TEXTJOIN("",TRUE,Input!$B$2,ROW(My_Audit!A706))</f>
        <v>X706</v>
      </c>
    </row>
    <row r="708" spans="1:1">
      <c r="A708" s="2" t="str">
        <f>_xlfn.TEXTJOIN("",TRUE,Input!$B$2,ROW(My_Audit!A707))</f>
        <v>X707</v>
      </c>
    </row>
    <row r="709" spans="1:1">
      <c r="A709" s="2" t="str">
        <f>_xlfn.TEXTJOIN("",TRUE,Input!$B$2,ROW(My_Audit!A708))</f>
        <v>X708</v>
      </c>
    </row>
    <row r="710" spans="1:1">
      <c r="A710" s="2" t="str">
        <f>_xlfn.TEXTJOIN("",TRUE,Input!$B$2,ROW(My_Audit!A709))</f>
        <v>X709</v>
      </c>
    </row>
    <row r="711" spans="1:1">
      <c r="A711" s="2" t="str">
        <f>_xlfn.TEXTJOIN("",TRUE,Input!$B$2,ROW(My_Audit!A710))</f>
        <v>X710</v>
      </c>
    </row>
    <row r="712" spans="1:1">
      <c r="A712" s="2" t="str">
        <f>_xlfn.TEXTJOIN("",TRUE,Input!$B$2,ROW(My_Audit!A711))</f>
        <v>X711</v>
      </c>
    </row>
    <row r="713" spans="1:1">
      <c r="A713" s="2" t="str">
        <f>_xlfn.TEXTJOIN("",TRUE,Input!$B$2,ROW(My_Audit!A712))</f>
        <v>X712</v>
      </c>
    </row>
    <row r="714" spans="1:1">
      <c r="A714" s="2" t="str">
        <f>_xlfn.TEXTJOIN("",TRUE,Input!$B$2,ROW(My_Audit!A713))</f>
        <v>X713</v>
      </c>
    </row>
    <row r="715" spans="1:1">
      <c r="A715" s="2" t="str">
        <f>_xlfn.TEXTJOIN("",TRUE,Input!$B$2,ROW(My_Audit!A714))</f>
        <v>X714</v>
      </c>
    </row>
    <row r="716" spans="1:1">
      <c r="A716" s="2" t="str">
        <f>_xlfn.TEXTJOIN("",TRUE,Input!$B$2,ROW(My_Audit!A715))</f>
        <v>X715</v>
      </c>
    </row>
    <row r="717" spans="1:1">
      <c r="A717" s="2" t="str">
        <f>_xlfn.TEXTJOIN("",TRUE,Input!$B$2,ROW(My_Audit!A716))</f>
        <v>X716</v>
      </c>
    </row>
    <row r="718" spans="1:1">
      <c r="A718" s="2" t="str">
        <f>_xlfn.TEXTJOIN("",TRUE,Input!$B$2,ROW(My_Audit!A717))</f>
        <v>X717</v>
      </c>
    </row>
    <row r="719" spans="1:1">
      <c r="A719" s="2" t="str">
        <f>_xlfn.TEXTJOIN("",TRUE,Input!$B$2,ROW(My_Audit!A718))</f>
        <v>X718</v>
      </c>
    </row>
    <row r="720" spans="1:1">
      <c r="A720" s="2" t="str">
        <f>_xlfn.TEXTJOIN("",TRUE,Input!$B$2,ROW(My_Audit!A719))</f>
        <v>X719</v>
      </c>
    </row>
    <row r="721" spans="1:1">
      <c r="A721" s="2" t="str">
        <f>_xlfn.TEXTJOIN("",TRUE,Input!$B$2,ROW(My_Audit!A720))</f>
        <v>X720</v>
      </c>
    </row>
    <row r="722" spans="1:1">
      <c r="A722" s="2" t="str">
        <f>_xlfn.TEXTJOIN("",TRUE,Input!$B$2,ROW(My_Audit!A721))</f>
        <v>X721</v>
      </c>
    </row>
    <row r="723" spans="1:1">
      <c r="A723" s="2" t="str">
        <f>_xlfn.TEXTJOIN("",TRUE,Input!$B$2,ROW(My_Audit!A722))</f>
        <v>X722</v>
      </c>
    </row>
    <row r="724" spans="1:1">
      <c r="A724" s="2" t="str">
        <f>_xlfn.TEXTJOIN("",TRUE,Input!$B$2,ROW(My_Audit!A723))</f>
        <v>X723</v>
      </c>
    </row>
    <row r="725" spans="1:1">
      <c r="A725" s="2" t="str">
        <f>_xlfn.TEXTJOIN("",TRUE,Input!$B$2,ROW(My_Audit!A724))</f>
        <v>X724</v>
      </c>
    </row>
    <row r="726" spans="1:1">
      <c r="A726" s="2" t="str">
        <f>_xlfn.TEXTJOIN("",TRUE,Input!$B$2,ROW(My_Audit!A725))</f>
        <v>X725</v>
      </c>
    </row>
    <row r="727" spans="1:1">
      <c r="A727" s="2" t="str">
        <f>_xlfn.TEXTJOIN("",TRUE,Input!$B$2,ROW(My_Audit!A726))</f>
        <v>X726</v>
      </c>
    </row>
    <row r="728" spans="1:1">
      <c r="A728" s="2" t="str">
        <f>_xlfn.TEXTJOIN("",TRUE,Input!$B$2,ROW(My_Audit!A727))</f>
        <v>X727</v>
      </c>
    </row>
    <row r="729" spans="1:1">
      <c r="A729" s="2" t="str">
        <f>_xlfn.TEXTJOIN("",TRUE,Input!$B$2,ROW(My_Audit!A728))</f>
        <v>X728</v>
      </c>
    </row>
    <row r="730" spans="1:1">
      <c r="A730" s="2" t="str">
        <f>_xlfn.TEXTJOIN("",TRUE,Input!$B$2,ROW(My_Audit!A729))</f>
        <v>X729</v>
      </c>
    </row>
    <row r="731" spans="1:1">
      <c r="A731" s="2" t="str">
        <f>_xlfn.TEXTJOIN("",TRUE,Input!$B$2,ROW(My_Audit!A730))</f>
        <v>X730</v>
      </c>
    </row>
    <row r="732" spans="1:1">
      <c r="A732" s="2" t="str">
        <f>_xlfn.TEXTJOIN("",TRUE,Input!$B$2,ROW(My_Audit!A731))</f>
        <v>X731</v>
      </c>
    </row>
    <row r="733" spans="1:1">
      <c r="A733" s="2" t="str">
        <f>_xlfn.TEXTJOIN("",TRUE,Input!$B$2,ROW(My_Audit!A732))</f>
        <v>X732</v>
      </c>
    </row>
    <row r="734" spans="1:1">
      <c r="A734" s="2" t="str">
        <f>_xlfn.TEXTJOIN("",TRUE,Input!$B$2,ROW(My_Audit!A733))</f>
        <v>X733</v>
      </c>
    </row>
    <row r="735" spans="1:1">
      <c r="A735" s="2" t="str">
        <f>_xlfn.TEXTJOIN("",TRUE,Input!$B$2,ROW(My_Audit!A734))</f>
        <v>X734</v>
      </c>
    </row>
    <row r="736" spans="1:1">
      <c r="A736" s="2" t="str">
        <f>_xlfn.TEXTJOIN("",TRUE,Input!$B$2,ROW(My_Audit!A735))</f>
        <v>X735</v>
      </c>
    </row>
    <row r="737" spans="1:1">
      <c r="A737" s="2" t="str">
        <f>_xlfn.TEXTJOIN("",TRUE,Input!$B$2,ROW(My_Audit!A736))</f>
        <v>X736</v>
      </c>
    </row>
    <row r="738" spans="1:1">
      <c r="A738" s="2" t="str">
        <f>_xlfn.TEXTJOIN("",TRUE,Input!$B$2,ROW(My_Audit!A737))</f>
        <v>X737</v>
      </c>
    </row>
    <row r="739" spans="1:1">
      <c r="A739" s="2" t="str">
        <f>_xlfn.TEXTJOIN("",TRUE,Input!$B$2,ROW(My_Audit!A738))</f>
        <v>X738</v>
      </c>
    </row>
    <row r="740" spans="1:1">
      <c r="A740" s="2" t="str">
        <f>_xlfn.TEXTJOIN("",TRUE,Input!$B$2,ROW(My_Audit!A739))</f>
        <v>X739</v>
      </c>
    </row>
    <row r="741" spans="1:1">
      <c r="A741" s="2" t="str">
        <f>_xlfn.TEXTJOIN("",TRUE,Input!$B$2,ROW(My_Audit!A740))</f>
        <v>X740</v>
      </c>
    </row>
    <row r="742" spans="1:1">
      <c r="A742" s="2" t="str">
        <f>_xlfn.TEXTJOIN("",TRUE,Input!$B$2,ROW(My_Audit!A741))</f>
        <v>X741</v>
      </c>
    </row>
    <row r="743" spans="1:1">
      <c r="A743" s="2" t="str">
        <f>_xlfn.TEXTJOIN("",TRUE,Input!$B$2,ROW(My_Audit!A742))</f>
        <v>X742</v>
      </c>
    </row>
    <row r="744" spans="1:1">
      <c r="A744" s="2" t="str">
        <f>_xlfn.TEXTJOIN("",TRUE,Input!$B$2,ROW(My_Audit!A743))</f>
        <v>X743</v>
      </c>
    </row>
    <row r="745" spans="1:1">
      <c r="A745" s="2" t="str">
        <f>_xlfn.TEXTJOIN("",TRUE,Input!$B$2,ROW(My_Audit!A744))</f>
        <v>X744</v>
      </c>
    </row>
    <row r="746" spans="1:1">
      <c r="A746" s="2" t="str">
        <f>_xlfn.TEXTJOIN("",TRUE,Input!$B$2,ROW(My_Audit!A745))</f>
        <v>X745</v>
      </c>
    </row>
    <row r="747" spans="1:1">
      <c r="A747" s="2" t="str">
        <f>_xlfn.TEXTJOIN("",TRUE,Input!$B$2,ROW(My_Audit!A746))</f>
        <v>X746</v>
      </c>
    </row>
    <row r="748" spans="1:1">
      <c r="A748" s="2" t="str">
        <f>_xlfn.TEXTJOIN("",TRUE,Input!$B$2,ROW(My_Audit!A747))</f>
        <v>X747</v>
      </c>
    </row>
    <row r="749" spans="1:1">
      <c r="A749" s="2" t="str">
        <f>_xlfn.TEXTJOIN("",TRUE,Input!$B$2,ROW(My_Audit!A748))</f>
        <v>X748</v>
      </c>
    </row>
    <row r="750" spans="1:1">
      <c r="A750" s="2" t="str">
        <f>_xlfn.TEXTJOIN("",TRUE,Input!$B$2,ROW(My_Audit!A749))</f>
        <v>X749</v>
      </c>
    </row>
    <row r="751" spans="1:1">
      <c r="A751" s="2" t="str">
        <f>_xlfn.TEXTJOIN("",TRUE,Input!$B$2,ROW(My_Audit!A750))</f>
        <v>X750</v>
      </c>
    </row>
    <row r="752" spans="1:1">
      <c r="A752" s="2" t="str">
        <f>_xlfn.TEXTJOIN("",TRUE,Input!$B$2,ROW(My_Audit!A751))</f>
        <v>X751</v>
      </c>
    </row>
    <row r="753" spans="1:1">
      <c r="A753" s="2" t="str">
        <f>_xlfn.TEXTJOIN("",TRUE,Input!$B$2,ROW(My_Audit!A752))</f>
        <v>X752</v>
      </c>
    </row>
    <row r="754" spans="1:1">
      <c r="A754" s="2" t="str">
        <f>_xlfn.TEXTJOIN("",TRUE,Input!$B$2,ROW(My_Audit!A753))</f>
        <v>X753</v>
      </c>
    </row>
    <row r="755" spans="1:1">
      <c r="A755" s="2" t="str">
        <f>_xlfn.TEXTJOIN("",TRUE,Input!$B$2,ROW(My_Audit!A754))</f>
        <v>X754</v>
      </c>
    </row>
    <row r="756" spans="1:1">
      <c r="A756" s="2" t="str">
        <f>_xlfn.TEXTJOIN("",TRUE,Input!$B$2,ROW(My_Audit!A755))</f>
        <v>X755</v>
      </c>
    </row>
    <row r="757" spans="1:1">
      <c r="A757" s="2" t="str">
        <f>_xlfn.TEXTJOIN("",TRUE,Input!$B$2,ROW(My_Audit!A756))</f>
        <v>X756</v>
      </c>
    </row>
    <row r="758" spans="1:1">
      <c r="A758" s="2" t="str">
        <f>_xlfn.TEXTJOIN("",TRUE,Input!$B$2,ROW(My_Audit!A757))</f>
        <v>X757</v>
      </c>
    </row>
    <row r="759" spans="1:1">
      <c r="A759" s="2" t="str">
        <f>_xlfn.TEXTJOIN("",TRUE,Input!$B$2,ROW(My_Audit!A758))</f>
        <v>X758</v>
      </c>
    </row>
    <row r="760" spans="1:1">
      <c r="A760" s="2" t="str">
        <f>_xlfn.TEXTJOIN("",TRUE,Input!$B$2,ROW(My_Audit!A759))</f>
        <v>X759</v>
      </c>
    </row>
    <row r="761" spans="1:1">
      <c r="A761" s="2" t="str">
        <f>_xlfn.TEXTJOIN("",TRUE,Input!$B$2,ROW(My_Audit!A760))</f>
        <v>X760</v>
      </c>
    </row>
    <row r="762" spans="1:1">
      <c r="A762" s="2" t="str">
        <f>_xlfn.TEXTJOIN("",TRUE,Input!$B$2,ROW(My_Audit!A761))</f>
        <v>X761</v>
      </c>
    </row>
    <row r="763" spans="1:1">
      <c r="A763" s="2" t="str">
        <f>_xlfn.TEXTJOIN("",TRUE,Input!$B$2,ROW(My_Audit!A762))</f>
        <v>X762</v>
      </c>
    </row>
    <row r="764" spans="1:1">
      <c r="A764" s="2" t="str">
        <f>_xlfn.TEXTJOIN("",TRUE,Input!$B$2,ROW(My_Audit!A763))</f>
        <v>X763</v>
      </c>
    </row>
    <row r="765" spans="1:1">
      <c r="A765" s="2" t="str">
        <f>_xlfn.TEXTJOIN("",TRUE,Input!$B$2,ROW(My_Audit!A764))</f>
        <v>X764</v>
      </c>
    </row>
    <row r="766" spans="1:1">
      <c r="A766" s="2" t="str">
        <f>_xlfn.TEXTJOIN("",TRUE,Input!$B$2,ROW(My_Audit!A765))</f>
        <v>X765</v>
      </c>
    </row>
    <row r="767" spans="1:1">
      <c r="A767" s="2" t="str">
        <f>_xlfn.TEXTJOIN("",TRUE,Input!$B$2,ROW(My_Audit!A766))</f>
        <v>X766</v>
      </c>
    </row>
    <row r="768" spans="1:1">
      <c r="A768" s="2" t="str">
        <f>_xlfn.TEXTJOIN("",TRUE,Input!$B$2,ROW(My_Audit!A767))</f>
        <v>X767</v>
      </c>
    </row>
    <row r="769" spans="1:1">
      <c r="A769" s="2" t="str">
        <f>_xlfn.TEXTJOIN("",TRUE,Input!$B$2,ROW(My_Audit!A768))</f>
        <v>X768</v>
      </c>
    </row>
    <row r="770" spans="1:1">
      <c r="A770" s="2" t="str">
        <f>_xlfn.TEXTJOIN("",TRUE,Input!$B$2,ROW(My_Audit!A769))</f>
        <v>X769</v>
      </c>
    </row>
    <row r="771" spans="1:1">
      <c r="A771" s="2" t="str">
        <f>_xlfn.TEXTJOIN("",TRUE,Input!$B$2,ROW(My_Audit!A770))</f>
        <v>X770</v>
      </c>
    </row>
    <row r="772" spans="1:1">
      <c r="A772" s="2" t="str">
        <f>_xlfn.TEXTJOIN("",TRUE,Input!$B$2,ROW(My_Audit!A771))</f>
        <v>X771</v>
      </c>
    </row>
    <row r="773" spans="1:1">
      <c r="A773" s="2" t="str">
        <f>_xlfn.TEXTJOIN("",TRUE,Input!$B$2,ROW(My_Audit!A772))</f>
        <v>X772</v>
      </c>
    </row>
    <row r="774" spans="1:1">
      <c r="A774" s="2" t="str">
        <f>_xlfn.TEXTJOIN("",TRUE,Input!$B$2,ROW(My_Audit!A773))</f>
        <v>X773</v>
      </c>
    </row>
    <row r="775" spans="1:1">
      <c r="A775" s="2" t="str">
        <f>_xlfn.TEXTJOIN("",TRUE,Input!$B$2,ROW(My_Audit!A774))</f>
        <v>X774</v>
      </c>
    </row>
    <row r="776" spans="1:1">
      <c r="A776" s="2" t="str">
        <f>_xlfn.TEXTJOIN("",TRUE,Input!$B$2,ROW(My_Audit!A775))</f>
        <v>X775</v>
      </c>
    </row>
    <row r="777" spans="1:1">
      <c r="A777" s="2" t="str">
        <f>_xlfn.TEXTJOIN("",TRUE,Input!$B$2,ROW(My_Audit!A776))</f>
        <v>X776</v>
      </c>
    </row>
    <row r="778" spans="1:1">
      <c r="A778" s="2" t="str">
        <f>_xlfn.TEXTJOIN("",TRUE,Input!$B$2,ROW(My_Audit!A777))</f>
        <v>X777</v>
      </c>
    </row>
    <row r="779" spans="1:1">
      <c r="A779" s="2" t="str">
        <f>_xlfn.TEXTJOIN("",TRUE,Input!$B$2,ROW(My_Audit!A778))</f>
        <v>X778</v>
      </c>
    </row>
    <row r="780" spans="1:1">
      <c r="A780" s="2" t="str">
        <f>_xlfn.TEXTJOIN("",TRUE,Input!$B$2,ROW(My_Audit!A779))</f>
        <v>X779</v>
      </c>
    </row>
    <row r="781" spans="1:1">
      <c r="A781" s="2" t="str">
        <f>_xlfn.TEXTJOIN("",TRUE,Input!$B$2,ROW(My_Audit!A780))</f>
        <v>X780</v>
      </c>
    </row>
    <row r="782" spans="1:1">
      <c r="A782" s="2" t="str">
        <f>_xlfn.TEXTJOIN("",TRUE,Input!$B$2,ROW(My_Audit!A781))</f>
        <v>X781</v>
      </c>
    </row>
    <row r="783" spans="1:1">
      <c r="A783" s="2" t="str">
        <f>_xlfn.TEXTJOIN("",TRUE,Input!$B$2,ROW(My_Audit!A782))</f>
        <v>X782</v>
      </c>
    </row>
    <row r="784" spans="1:1">
      <c r="A784" s="2" t="str">
        <f>_xlfn.TEXTJOIN("",TRUE,Input!$B$2,ROW(My_Audit!A783))</f>
        <v>X783</v>
      </c>
    </row>
    <row r="785" spans="1:1">
      <c r="A785" s="2" t="str">
        <f>_xlfn.TEXTJOIN("",TRUE,Input!$B$2,ROW(My_Audit!A784))</f>
        <v>X784</v>
      </c>
    </row>
    <row r="786" spans="1:1">
      <c r="A786" s="2" t="str">
        <f>_xlfn.TEXTJOIN("",TRUE,Input!$B$2,ROW(My_Audit!A785))</f>
        <v>X785</v>
      </c>
    </row>
    <row r="787" spans="1:1">
      <c r="A787" s="2" t="str">
        <f>_xlfn.TEXTJOIN("",TRUE,Input!$B$2,ROW(My_Audit!A786))</f>
        <v>X786</v>
      </c>
    </row>
    <row r="788" spans="1:1">
      <c r="A788" s="2" t="str">
        <f>_xlfn.TEXTJOIN("",TRUE,Input!$B$2,ROW(My_Audit!A787))</f>
        <v>X787</v>
      </c>
    </row>
    <row r="789" spans="1:1">
      <c r="A789" s="2" t="str">
        <f>_xlfn.TEXTJOIN("",TRUE,Input!$B$2,ROW(My_Audit!A788))</f>
        <v>X788</v>
      </c>
    </row>
    <row r="790" spans="1:1">
      <c r="A790" s="2" t="str">
        <f>_xlfn.TEXTJOIN("",TRUE,Input!$B$2,ROW(My_Audit!A789))</f>
        <v>X789</v>
      </c>
    </row>
    <row r="791" spans="1:1">
      <c r="A791" s="2" t="str">
        <f>_xlfn.TEXTJOIN("",TRUE,Input!$B$2,ROW(My_Audit!A790))</f>
        <v>X790</v>
      </c>
    </row>
    <row r="792" spans="1:1">
      <c r="A792" s="2" t="str">
        <f>_xlfn.TEXTJOIN("",TRUE,Input!$B$2,ROW(My_Audit!A791))</f>
        <v>X791</v>
      </c>
    </row>
    <row r="793" spans="1:1">
      <c r="A793" s="2" t="str">
        <f>_xlfn.TEXTJOIN("",TRUE,Input!$B$2,ROW(My_Audit!A792))</f>
        <v>X792</v>
      </c>
    </row>
    <row r="794" spans="1:1">
      <c r="A794" s="2" t="str">
        <f>_xlfn.TEXTJOIN("",TRUE,Input!$B$2,ROW(My_Audit!A793))</f>
        <v>X793</v>
      </c>
    </row>
    <row r="795" spans="1:1">
      <c r="A795" s="2" t="str">
        <f>_xlfn.TEXTJOIN("",TRUE,Input!$B$2,ROW(My_Audit!A794))</f>
        <v>X794</v>
      </c>
    </row>
    <row r="796" spans="1:1">
      <c r="A796" s="2" t="str">
        <f>_xlfn.TEXTJOIN("",TRUE,Input!$B$2,ROW(My_Audit!A795))</f>
        <v>X795</v>
      </c>
    </row>
    <row r="797" spans="1:1">
      <c r="A797" s="2" t="str">
        <f>_xlfn.TEXTJOIN("",TRUE,Input!$B$2,ROW(My_Audit!A796))</f>
        <v>X796</v>
      </c>
    </row>
    <row r="798" spans="1:1">
      <c r="A798" s="2" t="str">
        <f>_xlfn.TEXTJOIN("",TRUE,Input!$B$2,ROW(My_Audit!A797))</f>
        <v>X797</v>
      </c>
    </row>
    <row r="799" spans="1:1">
      <c r="A799" s="2" t="str">
        <f>_xlfn.TEXTJOIN("",TRUE,Input!$B$2,ROW(My_Audit!A798))</f>
        <v>X798</v>
      </c>
    </row>
    <row r="800" spans="1:1">
      <c r="A800" s="2" t="str">
        <f>_xlfn.TEXTJOIN("",TRUE,Input!$B$2,ROW(My_Audit!A799))</f>
        <v>X799</v>
      </c>
    </row>
    <row r="801" spans="1:1">
      <c r="A801" s="2" t="str">
        <f>_xlfn.TEXTJOIN("",TRUE,Input!$B$2,ROW(My_Audit!A800))</f>
        <v>X800</v>
      </c>
    </row>
    <row r="802" spans="1:1">
      <c r="A802" s="2" t="str">
        <f>_xlfn.TEXTJOIN("",TRUE,Input!$B$2,ROW(My_Audit!A801))</f>
        <v>X801</v>
      </c>
    </row>
    <row r="803" spans="1:1">
      <c r="A803" s="2" t="str">
        <f>_xlfn.TEXTJOIN("",TRUE,Input!$B$2,ROW(My_Audit!A802))</f>
        <v>X802</v>
      </c>
    </row>
    <row r="804" spans="1:1">
      <c r="A804" s="2" t="str">
        <f>_xlfn.TEXTJOIN("",TRUE,Input!$B$2,ROW(My_Audit!A803))</f>
        <v>X803</v>
      </c>
    </row>
    <row r="805" spans="1:1">
      <c r="A805" s="2" t="str">
        <f>_xlfn.TEXTJOIN("",TRUE,Input!$B$2,ROW(My_Audit!A804))</f>
        <v>X804</v>
      </c>
    </row>
    <row r="806" spans="1:1">
      <c r="A806" s="2" t="str">
        <f>_xlfn.TEXTJOIN("",TRUE,Input!$B$2,ROW(My_Audit!A805))</f>
        <v>X805</v>
      </c>
    </row>
    <row r="807" spans="1:1">
      <c r="A807" s="2" t="str">
        <f>_xlfn.TEXTJOIN("",TRUE,Input!$B$2,ROW(My_Audit!A806))</f>
        <v>X806</v>
      </c>
    </row>
    <row r="808" spans="1:1">
      <c r="A808" s="2" t="str">
        <f>_xlfn.TEXTJOIN("",TRUE,Input!$B$2,ROW(My_Audit!A807))</f>
        <v>X807</v>
      </c>
    </row>
    <row r="809" spans="1:1">
      <c r="A809" s="2" t="str">
        <f>_xlfn.TEXTJOIN("",TRUE,Input!$B$2,ROW(My_Audit!A808))</f>
        <v>X808</v>
      </c>
    </row>
    <row r="810" spans="1:1">
      <c r="A810" s="2" t="str">
        <f>_xlfn.TEXTJOIN("",TRUE,Input!$B$2,ROW(My_Audit!A809))</f>
        <v>X809</v>
      </c>
    </row>
    <row r="811" spans="1:1">
      <c r="A811" s="2" t="str">
        <f>_xlfn.TEXTJOIN("",TRUE,Input!$B$2,ROW(My_Audit!A810))</f>
        <v>X810</v>
      </c>
    </row>
    <row r="812" spans="1:1">
      <c r="A812" s="2" t="str">
        <f>_xlfn.TEXTJOIN("",TRUE,Input!$B$2,ROW(My_Audit!A811))</f>
        <v>X811</v>
      </c>
    </row>
    <row r="813" spans="1:1">
      <c r="A813" s="2" t="str">
        <f>_xlfn.TEXTJOIN("",TRUE,Input!$B$2,ROW(My_Audit!A812))</f>
        <v>X812</v>
      </c>
    </row>
    <row r="814" spans="1:1">
      <c r="A814" s="2" t="str">
        <f>_xlfn.TEXTJOIN("",TRUE,Input!$B$2,ROW(My_Audit!A813))</f>
        <v>X813</v>
      </c>
    </row>
    <row r="815" spans="1:1">
      <c r="A815" s="2" t="str">
        <f>_xlfn.TEXTJOIN("",TRUE,Input!$B$2,ROW(My_Audit!A814))</f>
        <v>X814</v>
      </c>
    </row>
    <row r="816" spans="1:1">
      <c r="A816" s="2" t="str">
        <f>_xlfn.TEXTJOIN("",TRUE,Input!$B$2,ROW(My_Audit!A815))</f>
        <v>X815</v>
      </c>
    </row>
    <row r="817" spans="1:1">
      <c r="A817" s="2" t="str">
        <f>_xlfn.TEXTJOIN("",TRUE,Input!$B$2,ROW(My_Audit!A816))</f>
        <v>X816</v>
      </c>
    </row>
    <row r="818" spans="1:1">
      <c r="A818" s="2" t="str">
        <f>_xlfn.TEXTJOIN("",TRUE,Input!$B$2,ROW(My_Audit!A817))</f>
        <v>X817</v>
      </c>
    </row>
    <row r="819" spans="1:1">
      <c r="A819" s="2" t="str">
        <f>_xlfn.TEXTJOIN("",TRUE,Input!$B$2,ROW(My_Audit!A818))</f>
        <v>X818</v>
      </c>
    </row>
    <row r="820" spans="1:1">
      <c r="A820" s="2" t="str">
        <f>_xlfn.TEXTJOIN("",TRUE,Input!$B$2,ROW(My_Audit!A819))</f>
        <v>X819</v>
      </c>
    </row>
    <row r="821" spans="1:1">
      <c r="A821" s="2" t="str">
        <f>_xlfn.TEXTJOIN("",TRUE,Input!$B$2,ROW(My_Audit!A820))</f>
        <v>X820</v>
      </c>
    </row>
    <row r="822" spans="1:1">
      <c r="A822" s="2" t="str">
        <f>_xlfn.TEXTJOIN("",TRUE,Input!$B$2,ROW(My_Audit!A821))</f>
        <v>X821</v>
      </c>
    </row>
    <row r="823" spans="1:1">
      <c r="A823" s="2" t="str">
        <f>_xlfn.TEXTJOIN("",TRUE,Input!$B$2,ROW(My_Audit!A822))</f>
        <v>X822</v>
      </c>
    </row>
    <row r="824" spans="1:1">
      <c r="A824" s="2" t="str">
        <f>_xlfn.TEXTJOIN("",TRUE,Input!$B$2,ROW(My_Audit!A823))</f>
        <v>X823</v>
      </c>
    </row>
    <row r="825" spans="1:1">
      <c r="A825" s="2" t="str">
        <f>_xlfn.TEXTJOIN("",TRUE,Input!$B$2,ROW(My_Audit!A824))</f>
        <v>X824</v>
      </c>
    </row>
    <row r="826" spans="1:1">
      <c r="A826" s="2" t="str">
        <f>_xlfn.TEXTJOIN("",TRUE,Input!$B$2,ROW(My_Audit!A825))</f>
        <v>X825</v>
      </c>
    </row>
    <row r="827" spans="1:1">
      <c r="A827" s="2" t="str">
        <f>_xlfn.TEXTJOIN("",TRUE,Input!$B$2,ROW(My_Audit!A826))</f>
        <v>X826</v>
      </c>
    </row>
    <row r="828" spans="1:1">
      <c r="A828" s="2" t="str">
        <f>_xlfn.TEXTJOIN("",TRUE,Input!$B$2,ROW(My_Audit!A827))</f>
        <v>X827</v>
      </c>
    </row>
    <row r="829" spans="1:1">
      <c r="A829" s="2" t="str">
        <f>_xlfn.TEXTJOIN("",TRUE,Input!$B$2,ROW(My_Audit!A828))</f>
        <v>X828</v>
      </c>
    </row>
    <row r="830" spans="1:1">
      <c r="A830" s="2" t="str">
        <f>_xlfn.TEXTJOIN("",TRUE,Input!$B$2,ROW(My_Audit!A829))</f>
        <v>X829</v>
      </c>
    </row>
    <row r="831" spans="1:1">
      <c r="A831" s="2" t="str">
        <f>_xlfn.TEXTJOIN("",TRUE,Input!$B$2,ROW(My_Audit!A830))</f>
        <v>X830</v>
      </c>
    </row>
    <row r="832" spans="1:1">
      <c r="A832" s="2" t="str">
        <f>_xlfn.TEXTJOIN("",TRUE,Input!$B$2,ROW(My_Audit!A831))</f>
        <v>X831</v>
      </c>
    </row>
    <row r="833" spans="1:1">
      <c r="A833" s="2" t="str">
        <f>_xlfn.TEXTJOIN("",TRUE,Input!$B$2,ROW(My_Audit!A832))</f>
        <v>X832</v>
      </c>
    </row>
    <row r="834" spans="1:1">
      <c r="A834" s="2" t="str">
        <f>_xlfn.TEXTJOIN("",TRUE,Input!$B$2,ROW(My_Audit!A833))</f>
        <v>X833</v>
      </c>
    </row>
    <row r="835" spans="1:1">
      <c r="A835" s="2" t="str">
        <f>_xlfn.TEXTJOIN("",TRUE,Input!$B$2,ROW(My_Audit!A834))</f>
        <v>X834</v>
      </c>
    </row>
    <row r="836" spans="1:1">
      <c r="A836" s="2" t="str">
        <f>_xlfn.TEXTJOIN("",TRUE,Input!$B$2,ROW(My_Audit!A835))</f>
        <v>X835</v>
      </c>
    </row>
    <row r="837" spans="1:1">
      <c r="A837" s="2" t="str">
        <f>_xlfn.TEXTJOIN("",TRUE,Input!$B$2,ROW(My_Audit!A836))</f>
        <v>X836</v>
      </c>
    </row>
    <row r="838" spans="1:1">
      <c r="A838" s="2" t="str">
        <f>_xlfn.TEXTJOIN("",TRUE,Input!$B$2,ROW(My_Audit!A837))</f>
        <v>X837</v>
      </c>
    </row>
    <row r="839" spans="1:1">
      <c r="A839" s="2" t="str">
        <f>_xlfn.TEXTJOIN("",TRUE,Input!$B$2,ROW(My_Audit!A838))</f>
        <v>X838</v>
      </c>
    </row>
    <row r="840" spans="1:1">
      <c r="A840" s="2" t="str">
        <f>_xlfn.TEXTJOIN("",TRUE,Input!$B$2,ROW(My_Audit!A839))</f>
        <v>X839</v>
      </c>
    </row>
    <row r="841" spans="1:1">
      <c r="A841" s="2" t="str">
        <f>_xlfn.TEXTJOIN("",TRUE,Input!$B$2,ROW(My_Audit!A840))</f>
        <v>X840</v>
      </c>
    </row>
    <row r="842" spans="1:1">
      <c r="A842" s="2" t="str">
        <f>_xlfn.TEXTJOIN("",TRUE,Input!$B$2,ROW(My_Audit!A841))</f>
        <v>X841</v>
      </c>
    </row>
    <row r="843" spans="1:1">
      <c r="A843" s="2" t="str">
        <f>_xlfn.TEXTJOIN("",TRUE,Input!$B$2,ROW(My_Audit!A842))</f>
        <v>X842</v>
      </c>
    </row>
    <row r="844" spans="1:1">
      <c r="A844" s="2" t="str">
        <f>_xlfn.TEXTJOIN("",TRUE,Input!$B$2,ROW(My_Audit!A843))</f>
        <v>X843</v>
      </c>
    </row>
    <row r="845" spans="1:1">
      <c r="A845" s="2" t="str">
        <f>_xlfn.TEXTJOIN("",TRUE,Input!$B$2,ROW(My_Audit!A844))</f>
        <v>X844</v>
      </c>
    </row>
    <row r="846" spans="1:1">
      <c r="A846" s="2" t="str">
        <f>_xlfn.TEXTJOIN("",TRUE,Input!$B$2,ROW(My_Audit!A845))</f>
        <v>X845</v>
      </c>
    </row>
    <row r="847" spans="1:1">
      <c r="A847" s="2" t="str">
        <f>_xlfn.TEXTJOIN("",TRUE,Input!$B$2,ROW(My_Audit!A846))</f>
        <v>X846</v>
      </c>
    </row>
    <row r="848" spans="1:1">
      <c r="A848" s="2" t="str">
        <f>_xlfn.TEXTJOIN("",TRUE,Input!$B$2,ROW(My_Audit!A847))</f>
        <v>X847</v>
      </c>
    </row>
    <row r="849" spans="1:1">
      <c r="A849" s="2" t="str">
        <f>_xlfn.TEXTJOIN("",TRUE,Input!$B$2,ROW(My_Audit!A848))</f>
        <v>X848</v>
      </c>
    </row>
    <row r="850" spans="1:1">
      <c r="A850" s="2" t="str">
        <f>_xlfn.TEXTJOIN("",TRUE,Input!$B$2,ROW(My_Audit!A849))</f>
        <v>X849</v>
      </c>
    </row>
    <row r="851" spans="1:1">
      <c r="A851" s="2" t="str">
        <f>_xlfn.TEXTJOIN("",TRUE,Input!$B$2,ROW(My_Audit!A850))</f>
        <v>X850</v>
      </c>
    </row>
    <row r="852" spans="1:1">
      <c r="A852" s="2" t="str">
        <f>_xlfn.TEXTJOIN("",TRUE,Input!$B$2,ROW(My_Audit!A851))</f>
        <v>X851</v>
      </c>
    </row>
    <row r="853" spans="1:1">
      <c r="A853" s="2" t="str">
        <f>_xlfn.TEXTJOIN("",TRUE,Input!$B$2,ROW(My_Audit!A852))</f>
        <v>X852</v>
      </c>
    </row>
    <row r="854" spans="1:1">
      <c r="A854" s="2" t="str">
        <f>_xlfn.TEXTJOIN("",TRUE,Input!$B$2,ROW(My_Audit!A853))</f>
        <v>X853</v>
      </c>
    </row>
    <row r="855" spans="1:1">
      <c r="A855" s="2" t="str">
        <f>_xlfn.TEXTJOIN("",TRUE,Input!$B$2,ROW(My_Audit!A854))</f>
        <v>X854</v>
      </c>
    </row>
    <row r="856" spans="1:1">
      <c r="A856" s="2" t="str">
        <f>_xlfn.TEXTJOIN("",TRUE,Input!$B$2,ROW(My_Audit!A855))</f>
        <v>X855</v>
      </c>
    </row>
    <row r="857" spans="1:1">
      <c r="A857" s="2" t="str">
        <f>_xlfn.TEXTJOIN("",TRUE,Input!$B$2,ROW(My_Audit!A856))</f>
        <v>X856</v>
      </c>
    </row>
    <row r="858" spans="1:1">
      <c r="A858" s="2" t="str">
        <f>_xlfn.TEXTJOIN("",TRUE,Input!$B$2,ROW(My_Audit!A857))</f>
        <v>X857</v>
      </c>
    </row>
    <row r="859" spans="1:1">
      <c r="A859" s="2" t="str">
        <f>_xlfn.TEXTJOIN("",TRUE,Input!$B$2,ROW(My_Audit!A858))</f>
        <v>X858</v>
      </c>
    </row>
    <row r="860" spans="1:1">
      <c r="A860" s="2" t="str">
        <f>_xlfn.TEXTJOIN("",TRUE,Input!$B$2,ROW(My_Audit!A859))</f>
        <v>X859</v>
      </c>
    </row>
    <row r="861" spans="1:1">
      <c r="A861" s="2" t="str">
        <f>_xlfn.TEXTJOIN("",TRUE,Input!$B$2,ROW(My_Audit!A860))</f>
        <v>X860</v>
      </c>
    </row>
    <row r="862" spans="1:1">
      <c r="A862" s="2" t="str">
        <f>_xlfn.TEXTJOIN("",TRUE,Input!$B$2,ROW(My_Audit!A861))</f>
        <v>X861</v>
      </c>
    </row>
    <row r="863" spans="1:1">
      <c r="A863" s="2" t="str">
        <f>_xlfn.TEXTJOIN("",TRUE,Input!$B$2,ROW(My_Audit!A862))</f>
        <v>X862</v>
      </c>
    </row>
    <row r="864" spans="1:1">
      <c r="A864" s="2" t="str">
        <f>_xlfn.TEXTJOIN("",TRUE,Input!$B$2,ROW(My_Audit!A863))</f>
        <v>X863</v>
      </c>
    </row>
    <row r="865" spans="1:1">
      <c r="A865" s="2" t="str">
        <f>_xlfn.TEXTJOIN("",TRUE,Input!$B$2,ROW(My_Audit!A864))</f>
        <v>X864</v>
      </c>
    </row>
    <row r="866" spans="1:1">
      <c r="A866" s="2" t="str">
        <f>_xlfn.TEXTJOIN("",TRUE,Input!$B$2,ROW(My_Audit!A865))</f>
        <v>X865</v>
      </c>
    </row>
    <row r="867" spans="1:1">
      <c r="A867" s="2" t="str">
        <f>_xlfn.TEXTJOIN("",TRUE,Input!$B$2,ROW(My_Audit!A866))</f>
        <v>X866</v>
      </c>
    </row>
    <row r="868" spans="1:1">
      <c r="A868" s="2" t="str">
        <f>_xlfn.TEXTJOIN("",TRUE,Input!$B$2,ROW(My_Audit!A867))</f>
        <v>X867</v>
      </c>
    </row>
    <row r="869" spans="1:1">
      <c r="A869" s="2" t="str">
        <f>_xlfn.TEXTJOIN("",TRUE,Input!$B$2,ROW(My_Audit!A868))</f>
        <v>X868</v>
      </c>
    </row>
    <row r="870" spans="1:1">
      <c r="A870" s="2" t="str">
        <f>_xlfn.TEXTJOIN("",TRUE,Input!$B$2,ROW(My_Audit!A869))</f>
        <v>X869</v>
      </c>
    </row>
    <row r="871" spans="1:1">
      <c r="A871" s="2" t="str">
        <f>_xlfn.TEXTJOIN("",TRUE,Input!$B$2,ROW(My_Audit!A870))</f>
        <v>X870</v>
      </c>
    </row>
    <row r="872" spans="1:1">
      <c r="A872" s="2" t="str">
        <f>_xlfn.TEXTJOIN("",TRUE,Input!$B$2,ROW(My_Audit!A871))</f>
        <v>X871</v>
      </c>
    </row>
    <row r="873" spans="1:1">
      <c r="A873" s="2" t="str">
        <f>_xlfn.TEXTJOIN("",TRUE,Input!$B$2,ROW(My_Audit!A872))</f>
        <v>X872</v>
      </c>
    </row>
    <row r="874" spans="1:1">
      <c r="A874" s="2" t="str">
        <f>_xlfn.TEXTJOIN("",TRUE,Input!$B$2,ROW(My_Audit!A873))</f>
        <v>X873</v>
      </c>
    </row>
    <row r="875" spans="1:1">
      <c r="A875" s="2" t="str">
        <f>_xlfn.TEXTJOIN("",TRUE,Input!$B$2,ROW(My_Audit!A874))</f>
        <v>X874</v>
      </c>
    </row>
    <row r="876" spans="1:1">
      <c r="A876" s="2" t="str">
        <f>_xlfn.TEXTJOIN("",TRUE,Input!$B$2,ROW(My_Audit!A875))</f>
        <v>X875</v>
      </c>
    </row>
    <row r="877" spans="1:1">
      <c r="A877" s="2" t="str">
        <f>_xlfn.TEXTJOIN("",TRUE,Input!$B$2,ROW(My_Audit!A876))</f>
        <v>X876</v>
      </c>
    </row>
    <row r="878" spans="1:1">
      <c r="A878" s="2" t="str">
        <f>_xlfn.TEXTJOIN("",TRUE,Input!$B$2,ROW(My_Audit!A877))</f>
        <v>X877</v>
      </c>
    </row>
    <row r="879" spans="1:1">
      <c r="A879" s="2" t="str">
        <f>_xlfn.TEXTJOIN("",TRUE,Input!$B$2,ROW(My_Audit!A878))</f>
        <v>X878</v>
      </c>
    </row>
    <row r="880" spans="1:1">
      <c r="A880" s="2" t="str">
        <f>_xlfn.TEXTJOIN("",TRUE,Input!$B$2,ROW(My_Audit!A879))</f>
        <v>X879</v>
      </c>
    </row>
    <row r="881" spans="1:1">
      <c r="A881" s="2" t="str">
        <f>_xlfn.TEXTJOIN("",TRUE,Input!$B$2,ROW(My_Audit!A880))</f>
        <v>X880</v>
      </c>
    </row>
    <row r="882" spans="1:1">
      <c r="A882" s="2" t="str">
        <f>_xlfn.TEXTJOIN("",TRUE,Input!$B$2,ROW(My_Audit!A881))</f>
        <v>X881</v>
      </c>
    </row>
    <row r="883" spans="1:1">
      <c r="A883" s="2" t="str">
        <f>_xlfn.TEXTJOIN("",TRUE,Input!$B$2,ROW(My_Audit!A882))</f>
        <v>X882</v>
      </c>
    </row>
    <row r="884" spans="1:1">
      <c r="A884" s="2" t="str">
        <f>_xlfn.TEXTJOIN("",TRUE,Input!$B$2,ROW(My_Audit!A883))</f>
        <v>X883</v>
      </c>
    </row>
    <row r="885" spans="1:1">
      <c r="A885" s="2" t="str">
        <f>_xlfn.TEXTJOIN("",TRUE,Input!$B$2,ROW(My_Audit!A884))</f>
        <v>X884</v>
      </c>
    </row>
    <row r="886" spans="1:1">
      <c r="A886" s="2" t="str">
        <f>_xlfn.TEXTJOIN("",TRUE,Input!$B$2,ROW(My_Audit!A885))</f>
        <v>X885</v>
      </c>
    </row>
    <row r="887" spans="1:1">
      <c r="A887" s="2" t="str">
        <f>_xlfn.TEXTJOIN("",TRUE,Input!$B$2,ROW(My_Audit!A886))</f>
        <v>X886</v>
      </c>
    </row>
    <row r="888" spans="1:1">
      <c r="A888" s="2" t="str">
        <f>_xlfn.TEXTJOIN("",TRUE,Input!$B$2,ROW(My_Audit!A887))</f>
        <v>X887</v>
      </c>
    </row>
    <row r="889" spans="1:1">
      <c r="A889" s="2" t="str">
        <f>_xlfn.TEXTJOIN("",TRUE,Input!$B$2,ROW(My_Audit!A888))</f>
        <v>X888</v>
      </c>
    </row>
    <row r="890" spans="1:1">
      <c r="A890" s="2" t="str">
        <f>_xlfn.TEXTJOIN("",TRUE,Input!$B$2,ROW(My_Audit!A889))</f>
        <v>X889</v>
      </c>
    </row>
    <row r="891" spans="1:1">
      <c r="A891" s="2" t="str">
        <f>_xlfn.TEXTJOIN("",TRUE,Input!$B$2,ROW(My_Audit!A890))</f>
        <v>X890</v>
      </c>
    </row>
    <row r="892" spans="1:1">
      <c r="A892" s="2" t="str">
        <f>_xlfn.TEXTJOIN("",TRUE,Input!$B$2,ROW(My_Audit!A891))</f>
        <v>X891</v>
      </c>
    </row>
    <row r="893" spans="1:1">
      <c r="A893" s="2" t="str">
        <f>_xlfn.TEXTJOIN("",TRUE,Input!$B$2,ROW(My_Audit!A892))</f>
        <v>X892</v>
      </c>
    </row>
    <row r="894" spans="1:1">
      <c r="A894" s="2" t="str">
        <f>_xlfn.TEXTJOIN("",TRUE,Input!$B$2,ROW(My_Audit!A893))</f>
        <v>X893</v>
      </c>
    </row>
    <row r="895" spans="1:1">
      <c r="A895" s="2" t="str">
        <f>_xlfn.TEXTJOIN("",TRUE,Input!$B$2,ROW(My_Audit!A894))</f>
        <v>X894</v>
      </c>
    </row>
    <row r="896" spans="1:1">
      <c r="A896" s="2" t="str">
        <f>_xlfn.TEXTJOIN("",TRUE,Input!$B$2,ROW(My_Audit!A895))</f>
        <v>X895</v>
      </c>
    </row>
    <row r="897" spans="1:1">
      <c r="A897" s="2" t="str">
        <f>_xlfn.TEXTJOIN("",TRUE,Input!$B$2,ROW(My_Audit!A896))</f>
        <v>X896</v>
      </c>
    </row>
    <row r="898" spans="1:1">
      <c r="A898" s="2" t="str">
        <f>_xlfn.TEXTJOIN("",TRUE,Input!$B$2,ROW(My_Audit!A897))</f>
        <v>X897</v>
      </c>
    </row>
    <row r="899" spans="1:1">
      <c r="A899" s="2" t="str">
        <f>_xlfn.TEXTJOIN("",TRUE,Input!$B$2,ROW(My_Audit!A898))</f>
        <v>X898</v>
      </c>
    </row>
    <row r="900" spans="1:1">
      <c r="A900" s="2" t="str">
        <f>_xlfn.TEXTJOIN("",TRUE,Input!$B$2,ROW(My_Audit!A899))</f>
        <v>X899</v>
      </c>
    </row>
    <row r="901" spans="1:1">
      <c r="A901" s="2" t="str">
        <f>_xlfn.TEXTJOIN("",TRUE,Input!$B$2,ROW(My_Audit!A900))</f>
        <v>X900</v>
      </c>
    </row>
    <row r="902" spans="1:1">
      <c r="A902" s="2" t="str">
        <f>_xlfn.TEXTJOIN("",TRUE,Input!$B$2,ROW(My_Audit!A901))</f>
        <v>X901</v>
      </c>
    </row>
    <row r="903" spans="1:1">
      <c r="A903" s="2" t="str">
        <f>_xlfn.TEXTJOIN("",TRUE,Input!$B$2,ROW(My_Audit!A902))</f>
        <v>X902</v>
      </c>
    </row>
    <row r="904" spans="1:1">
      <c r="A904" s="2" t="str">
        <f>_xlfn.TEXTJOIN("",TRUE,Input!$B$2,ROW(My_Audit!A903))</f>
        <v>X903</v>
      </c>
    </row>
    <row r="905" spans="1:1">
      <c r="A905" s="2" t="str">
        <f>_xlfn.TEXTJOIN("",TRUE,Input!$B$2,ROW(My_Audit!A904))</f>
        <v>X904</v>
      </c>
    </row>
    <row r="906" spans="1:1">
      <c r="A906" s="2" t="str">
        <f>_xlfn.TEXTJOIN("",TRUE,Input!$B$2,ROW(My_Audit!A905))</f>
        <v>X905</v>
      </c>
    </row>
    <row r="907" spans="1:1">
      <c r="A907" s="2" t="str">
        <f>_xlfn.TEXTJOIN("",TRUE,Input!$B$2,ROW(My_Audit!A906))</f>
        <v>X906</v>
      </c>
    </row>
    <row r="908" spans="1:1">
      <c r="A908" s="2" t="str">
        <f>_xlfn.TEXTJOIN("",TRUE,Input!$B$2,ROW(My_Audit!A907))</f>
        <v>X907</v>
      </c>
    </row>
    <row r="909" spans="1:1">
      <c r="A909" s="2" t="str">
        <f>_xlfn.TEXTJOIN("",TRUE,Input!$B$2,ROW(My_Audit!A908))</f>
        <v>X908</v>
      </c>
    </row>
    <row r="910" spans="1:1">
      <c r="A910" s="2" t="str">
        <f>_xlfn.TEXTJOIN("",TRUE,Input!$B$2,ROW(My_Audit!A909))</f>
        <v>X909</v>
      </c>
    </row>
    <row r="911" spans="1:1">
      <c r="A911" s="2" t="str">
        <f>_xlfn.TEXTJOIN("",TRUE,Input!$B$2,ROW(My_Audit!A910))</f>
        <v>X910</v>
      </c>
    </row>
    <row r="912" spans="1:1">
      <c r="A912" s="2" t="str">
        <f>_xlfn.TEXTJOIN("",TRUE,Input!$B$2,ROW(My_Audit!A911))</f>
        <v>X911</v>
      </c>
    </row>
    <row r="913" spans="1:1">
      <c r="A913" s="2" t="str">
        <f>_xlfn.TEXTJOIN("",TRUE,Input!$B$2,ROW(My_Audit!A912))</f>
        <v>X912</v>
      </c>
    </row>
    <row r="914" spans="1:1">
      <c r="A914" s="2" t="str">
        <f>_xlfn.TEXTJOIN("",TRUE,Input!$B$2,ROW(My_Audit!A913))</f>
        <v>X913</v>
      </c>
    </row>
    <row r="915" spans="1:1">
      <c r="A915" s="2" t="str">
        <f>_xlfn.TEXTJOIN("",TRUE,Input!$B$2,ROW(My_Audit!A914))</f>
        <v>X914</v>
      </c>
    </row>
    <row r="916" spans="1:1">
      <c r="A916" s="2" t="str">
        <f>_xlfn.TEXTJOIN("",TRUE,Input!$B$2,ROW(My_Audit!A915))</f>
        <v>X915</v>
      </c>
    </row>
    <row r="917" spans="1:1">
      <c r="A917" s="2" t="str">
        <f>_xlfn.TEXTJOIN("",TRUE,Input!$B$2,ROW(My_Audit!A916))</f>
        <v>X916</v>
      </c>
    </row>
    <row r="918" spans="1:1">
      <c r="A918" s="2" t="str">
        <f>_xlfn.TEXTJOIN("",TRUE,Input!$B$2,ROW(My_Audit!A917))</f>
        <v>X917</v>
      </c>
    </row>
    <row r="919" spans="1:1">
      <c r="A919" s="2" t="str">
        <f>_xlfn.TEXTJOIN("",TRUE,Input!$B$2,ROW(My_Audit!A918))</f>
        <v>X918</v>
      </c>
    </row>
    <row r="920" spans="1:1">
      <c r="A920" s="2" t="str">
        <f>_xlfn.TEXTJOIN("",TRUE,Input!$B$2,ROW(My_Audit!A919))</f>
        <v>X919</v>
      </c>
    </row>
    <row r="921" spans="1:1">
      <c r="A921" s="2" t="str">
        <f>_xlfn.TEXTJOIN("",TRUE,Input!$B$2,ROW(My_Audit!A920))</f>
        <v>X920</v>
      </c>
    </row>
    <row r="922" spans="1:1">
      <c r="A922" s="2" t="str">
        <f>_xlfn.TEXTJOIN("",TRUE,Input!$B$2,ROW(My_Audit!A921))</f>
        <v>X921</v>
      </c>
    </row>
    <row r="923" spans="1:1">
      <c r="A923" s="2" t="str">
        <f>_xlfn.TEXTJOIN("",TRUE,Input!$B$2,ROW(My_Audit!A922))</f>
        <v>X922</v>
      </c>
    </row>
    <row r="924" spans="1:1">
      <c r="A924" s="2" t="str">
        <f>_xlfn.TEXTJOIN("",TRUE,Input!$B$2,ROW(My_Audit!A923))</f>
        <v>X923</v>
      </c>
    </row>
    <row r="925" spans="1:1">
      <c r="A925" s="2" t="str">
        <f>_xlfn.TEXTJOIN("",TRUE,Input!$B$2,ROW(My_Audit!A924))</f>
        <v>X924</v>
      </c>
    </row>
    <row r="926" spans="1:1">
      <c r="A926" s="2" t="str">
        <f>_xlfn.TEXTJOIN("",TRUE,Input!$B$2,ROW(My_Audit!A925))</f>
        <v>X925</v>
      </c>
    </row>
    <row r="927" spans="1:1">
      <c r="A927" s="2" t="str">
        <f>_xlfn.TEXTJOIN("",TRUE,Input!$B$2,ROW(My_Audit!A926))</f>
        <v>X926</v>
      </c>
    </row>
    <row r="928" spans="1:1">
      <c r="A928" s="2" t="str">
        <f>_xlfn.TEXTJOIN("",TRUE,Input!$B$2,ROW(My_Audit!A927))</f>
        <v>X927</v>
      </c>
    </row>
    <row r="929" spans="1:1">
      <c r="A929" s="2" t="str">
        <f>_xlfn.TEXTJOIN("",TRUE,Input!$B$2,ROW(My_Audit!A928))</f>
        <v>X928</v>
      </c>
    </row>
    <row r="930" spans="1:1">
      <c r="A930" s="2" t="str">
        <f>_xlfn.TEXTJOIN("",TRUE,Input!$B$2,ROW(My_Audit!A929))</f>
        <v>X929</v>
      </c>
    </row>
    <row r="931" spans="1:1">
      <c r="A931" s="2" t="str">
        <f>_xlfn.TEXTJOIN("",TRUE,Input!$B$2,ROW(My_Audit!A930))</f>
        <v>X930</v>
      </c>
    </row>
    <row r="932" spans="1:1">
      <c r="A932" s="2" t="str">
        <f>_xlfn.TEXTJOIN("",TRUE,Input!$B$2,ROW(My_Audit!A931))</f>
        <v>X931</v>
      </c>
    </row>
    <row r="933" spans="1:1">
      <c r="A933" s="2" t="str">
        <f>_xlfn.TEXTJOIN("",TRUE,Input!$B$2,ROW(My_Audit!A932))</f>
        <v>X932</v>
      </c>
    </row>
    <row r="934" spans="1:1">
      <c r="A934" s="2" t="str">
        <f>_xlfn.TEXTJOIN("",TRUE,Input!$B$2,ROW(My_Audit!A933))</f>
        <v>X933</v>
      </c>
    </row>
    <row r="935" spans="1:1">
      <c r="A935" s="2" t="str">
        <f>_xlfn.TEXTJOIN("",TRUE,Input!$B$2,ROW(My_Audit!A934))</f>
        <v>X934</v>
      </c>
    </row>
    <row r="936" spans="1:1">
      <c r="A936" s="2" t="str">
        <f>_xlfn.TEXTJOIN("",TRUE,Input!$B$2,ROW(My_Audit!A935))</f>
        <v>X935</v>
      </c>
    </row>
    <row r="937" spans="1:1">
      <c r="A937" s="2" t="str">
        <f>_xlfn.TEXTJOIN("",TRUE,Input!$B$2,ROW(My_Audit!A936))</f>
        <v>X936</v>
      </c>
    </row>
    <row r="938" spans="1:1">
      <c r="A938" s="2" t="str">
        <f>_xlfn.TEXTJOIN("",TRUE,Input!$B$2,ROW(My_Audit!A937))</f>
        <v>X937</v>
      </c>
    </row>
    <row r="939" spans="1:1">
      <c r="A939" s="2" t="str">
        <f>_xlfn.TEXTJOIN("",TRUE,Input!$B$2,ROW(My_Audit!A938))</f>
        <v>X938</v>
      </c>
    </row>
    <row r="940" spans="1:1">
      <c r="A940" s="2" t="str">
        <f>_xlfn.TEXTJOIN("",TRUE,Input!$B$2,ROW(My_Audit!A939))</f>
        <v>X939</v>
      </c>
    </row>
    <row r="941" spans="1:1">
      <c r="A941" s="2" t="str">
        <f>_xlfn.TEXTJOIN("",TRUE,Input!$B$2,ROW(My_Audit!A940))</f>
        <v>X940</v>
      </c>
    </row>
    <row r="942" spans="1:1">
      <c r="A942" s="2" t="str">
        <f>_xlfn.TEXTJOIN("",TRUE,Input!$B$2,ROW(My_Audit!A941))</f>
        <v>X941</v>
      </c>
    </row>
    <row r="943" spans="1:1">
      <c r="A943" s="2" t="str">
        <f>_xlfn.TEXTJOIN("",TRUE,Input!$B$2,ROW(My_Audit!A942))</f>
        <v>X942</v>
      </c>
    </row>
    <row r="944" spans="1:1">
      <c r="A944" s="2" t="str">
        <f>_xlfn.TEXTJOIN("",TRUE,Input!$B$2,ROW(My_Audit!A943))</f>
        <v>X943</v>
      </c>
    </row>
    <row r="945" spans="1:1">
      <c r="A945" s="2" t="str">
        <f>_xlfn.TEXTJOIN("",TRUE,Input!$B$2,ROW(My_Audit!A944))</f>
        <v>X944</v>
      </c>
    </row>
    <row r="946" spans="1:1">
      <c r="A946" s="2" t="str">
        <f>_xlfn.TEXTJOIN("",TRUE,Input!$B$2,ROW(My_Audit!A945))</f>
        <v>X945</v>
      </c>
    </row>
    <row r="947" spans="1:1">
      <c r="A947" s="2" t="str">
        <f>_xlfn.TEXTJOIN("",TRUE,Input!$B$2,ROW(My_Audit!A946))</f>
        <v>X946</v>
      </c>
    </row>
    <row r="948" spans="1:1">
      <c r="A948" s="2" t="str">
        <f>_xlfn.TEXTJOIN("",TRUE,Input!$B$2,ROW(My_Audit!A947))</f>
        <v>X947</v>
      </c>
    </row>
    <row r="949" spans="1:1">
      <c r="A949" s="2" t="str">
        <f>_xlfn.TEXTJOIN("",TRUE,Input!$B$2,ROW(My_Audit!A948))</f>
        <v>X948</v>
      </c>
    </row>
    <row r="950" spans="1:1">
      <c r="A950" s="2" t="str">
        <f>_xlfn.TEXTJOIN("",TRUE,Input!$B$2,ROW(My_Audit!A949))</f>
        <v>X949</v>
      </c>
    </row>
    <row r="951" spans="1:1">
      <c r="A951" s="2" t="str">
        <f>_xlfn.TEXTJOIN("",TRUE,Input!$B$2,ROW(My_Audit!A950))</f>
        <v>X950</v>
      </c>
    </row>
    <row r="952" spans="1:1">
      <c r="A952" s="2" t="str">
        <f>_xlfn.TEXTJOIN("",TRUE,Input!$B$2,ROW(My_Audit!A951))</f>
        <v>X951</v>
      </c>
    </row>
    <row r="953" spans="1:1">
      <c r="A953" s="2" t="str">
        <f>_xlfn.TEXTJOIN("",TRUE,Input!$B$2,ROW(My_Audit!A952))</f>
        <v>X952</v>
      </c>
    </row>
    <row r="954" spans="1:1">
      <c r="A954" s="2" t="str">
        <f>_xlfn.TEXTJOIN("",TRUE,Input!$B$2,ROW(My_Audit!A953))</f>
        <v>X953</v>
      </c>
    </row>
    <row r="955" spans="1:1">
      <c r="A955" s="2" t="str">
        <f>_xlfn.TEXTJOIN("",TRUE,Input!$B$2,ROW(My_Audit!A954))</f>
        <v>X954</v>
      </c>
    </row>
    <row r="956" spans="1:1">
      <c r="A956" s="2" t="str">
        <f>_xlfn.TEXTJOIN("",TRUE,Input!$B$2,ROW(My_Audit!A955))</f>
        <v>X955</v>
      </c>
    </row>
    <row r="957" spans="1:1">
      <c r="A957" s="2" t="str">
        <f>_xlfn.TEXTJOIN("",TRUE,Input!$B$2,ROW(My_Audit!A956))</f>
        <v>X956</v>
      </c>
    </row>
    <row r="958" spans="1:1">
      <c r="A958" s="2" t="str">
        <f>_xlfn.TEXTJOIN("",TRUE,Input!$B$2,ROW(My_Audit!A957))</f>
        <v>X957</v>
      </c>
    </row>
    <row r="959" spans="1:1">
      <c r="A959" s="2" t="str">
        <f>_xlfn.TEXTJOIN("",TRUE,Input!$B$2,ROW(My_Audit!A958))</f>
        <v>X958</v>
      </c>
    </row>
    <row r="960" spans="1:1">
      <c r="A960" s="2" t="str">
        <f>_xlfn.TEXTJOIN("",TRUE,Input!$B$2,ROW(My_Audit!A959))</f>
        <v>X959</v>
      </c>
    </row>
    <row r="961" spans="1:1">
      <c r="A961" s="2" t="str">
        <f>_xlfn.TEXTJOIN("",TRUE,Input!$B$2,ROW(My_Audit!A960))</f>
        <v>X960</v>
      </c>
    </row>
    <row r="962" spans="1:1">
      <c r="A962" s="2" t="str">
        <f>_xlfn.TEXTJOIN("",TRUE,Input!$B$2,ROW(My_Audit!A961))</f>
        <v>X961</v>
      </c>
    </row>
    <row r="963" spans="1:1">
      <c r="A963" s="2" t="str">
        <f>_xlfn.TEXTJOIN("",TRUE,Input!$B$2,ROW(My_Audit!A962))</f>
        <v>X962</v>
      </c>
    </row>
    <row r="964" spans="1:1">
      <c r="A964" s="2" t="str">
        <f>_xlfn.TEXTJOIN("",TRUE,Input!$B$2,ROW(My_Audit!A963))</f>
        <v>X963</v>
      </c>
    </row>
    <row r="965" spans="1:1">
      <c r="A965" s="2" t="str">
        <f>_xlfn.TEXTJOIN("",TRUE,Input!$B$2,ROW(My_Audit!A964))</f>
        <v>X964</v>
      </c>
    </row>
    <row r="966" spans="1:1">
      <c r="A966" s="2" t="str">
        <f>_xlfn.TEXTJOIN("",TRUE,Input!$B$2,ROW(My_Audit!A965))</f>
        <v>X965</v>
      </c>
    </row>
    <row r="967" spans="1:1">
      <c r="A967" s="2" t="str">
        <f>_xlfn.TEXTJOIN("",TRUE,Input!$B$2,ROW(My_Audit!A966))</f>
        <v>X966</v>
      </c>
    </row>
    <row r="968" spans="1:1">
      <c r="A968" s="2" t="str">
        <f>_xlfn.TEXTJOIN("",TRUE,Input!$B$2,ROW(My_Audit!A967))</f>
        <v>X967</v>
      </c>
    </row>
    <row r="969" spans="1:1">
      <c r="A969" s="2" t="str">
        <f>_xlfn.TEXTJOIN("",TRUE,Input!$B$2,ROW(My_Audit!A968))</f>
        <v>X968</v>
      </c>
    </row>
    <row r="970" spans="1:1">
      <c r="A970" s="2" t="str">
        <f>_xlfn.TEXTJOIN("",TRUE,Input!$B$2,ROW(My_Audit!A969))</f>
        <v>X969</v>
      </c>
    </row>
    <row r="971" spans="1:1">
      <c r="A971" s="2" t="str">
        <f>_xlfn.TEXTJOIN("",TRUE,Input!$B$2,ROW(My_Audit!A970))</f>
        <v>X970</v>
      </c>
    </row>
    <row r="972" spans="1:1">
      <c r="A972" s="2" t="str">
        <f>_xlfn.TEXTJOIN("",TRUE,Input!$B$2,ROW(My_Audit!A971))</f>
        <v>X971</v>
      </c>
    </row>
    <row r="973" spans="1:1">
      <c r="A973" s="2" t="str">
        <f>_xlfn.TEXTJOIN("",TRUE,Input!$B$2,ROW(My_Audit!A972))</f>
        <v>X972</v>
      </c>
    </row>
    <row r="974" spans="1:1">
      <c r="A974" s="2" t="str">
        <f>_xlfn.TEXTJOIN("",TRUE,Input!$B$2,ROW(My_Audit!A973))</f>
        <v>X973</v>
      </c>
    </row>
    <row r="975" spans="1:1">
      <c r="A975" s="2" t="str">
        <f>_xlfn.TEXTJOIN("",TRUE,Input!$B$2,ROW(My_Audit!A974))</f>
        <v>X974</v>
      </c>
    </row>
    <row r="976" spans="1:1">
      <c r="A976" s="2" t="str">
        <f>_xlfn.TEXTJOIN("",TRUE,Input!$B$2,ROW(My_Audit!A975))</f>
        <v>X975</v>
      </c>
    </row>
    <row r="977" spans="1:1">
      <c r="A977" s="2" t="str">
        <f>_xlfn.TEXTJOIN("",TRUE,Input!$B$2,ROW(My_Audit!A976))</f>
        <v>X976</v>
      </c>
    </row>
    <row r="978" spans="1:1">
      <c r="A978" s="2" t="str">
        <f>_xlfn.TEXTJOIN("",TRUE,Input!$B$2,ROW(My_Audit!A977))</f>
        <v>X977</v>
      </c>
    </row>
    <row r="979" spans="1:1">
      <c r="A979" s="2" t="str">
        <f>_xlfn.TEXTJOIN("",TRUE,Input!$B$2,ROW(My_Audit!A978))</f>
        <v>X978</v>
      </c>
    </row>
    <row r="980" spans="1:1">
      <c r="A980" s="2" t="str">
        <f>_xlfn.TEXTJOIN("",TRUE,Input!$B$2,ROW(My_Audit!A979))</f>
        <v>X979</v>
      </c>
    </row>
    <row r="981" spans="1:1">
      <c r="A981" s="2" t="str">
        <f>_xlfn.TEXTJOIN("",TRUE,Input!$B$2,ROW(My_Audit!A980))</f>
        <v>X980</v>
      </c>
    </row>
    <row r="982" spans="1:1">
      <c r="A982" s="2" t="str">
        <f>_xlfn.TEXTJOIN("",TRUE,Input!$B$2,ROW(My_Audit!A981))</f>
        <v>X981</v>
      </c>
    </row>
    <row r="983" spans="1:1">
      <c r="A983" s="2" t="str">
        <f>_xlfn.TEXTJOIN("",TRUE,Input!$B$2,ROW(My_Audit!A982))</f>
        <v>X982</v>
      </c>
    </row>
    <row r="984" spans="1:1">
      <c r="A984" s="2" t="str">
        <f>_xlfn.TEXTJOIN("",TRUE,Input!$B$2,ROW(My_Audit!A983))</f>
        <v>X983</v>
      </c>
    </row>
    <row r="985" spans="1:1">
      <c r="A985" s="2" t="str">
        <f>_xlfn.TEXTJOIN("",TRUE,Input!$B$2,ROW(My_Audit!A984))</f>
        <v>X984</v>
      </c>
    </row>
    <row r="986" spans="1:1">
      <c r="A986" s="2" t="str">
        <f>_xlfn.TEXTJOIN("",TRUE,Input!$B$2,ROW(My_Audit!A985))</f>
        <v>X985</v>
      </c>
    </row>
    <row r="987" spans="1:1">
      <c r="A987" s="2" t="str">
        <f>_xlfn.TEXTJOIN("",TRUE,Input!$B$2,ROW(My_Audit!A986))</f>
        <v>X986</v>
      </c>
    </row>
    <row r="988" spans="1:1">
      <c r="A988" s="2" t="str">
        <f>_xlfn.TEXTJOIN("",TRUE,Input!$B$2,ROW(My_Audit!A987))</f>
        <v>X987</v>
      </c>
    </row>
    <row r="989" spans="1:1">
      <c r="A989" s="2" t="str">
        <f>_xlfn.TEXTJOIN("",TRUE,Input!$B$2,ROW(My_Audit!A988))</f>
        <v>X988</v>
      </c>
    </row>
    <row r="990" spans="1:1">
      <c r="A990" s="2" t="str">
        <f>_xlfn.TEXTJOIN("",TRUE,Input!$B$2,ROW(My_Audit!A989))</f>
        <v>X989</v>
      </c>
    </row>
    <row r="991" spans="1:1">
      <c r="A991" s="2" t="str">
        <f>_xlfn.TEXTJOIN("",TRUE,Input!$B$2,ROW(My_Audit!A990))</f>
        <v>X990</v>
      </c>
    </row>
    <row r="992" spans="1:1">
      <c r="A992" s="2" t="str">
        <f>_xlfn.TEXTJOIN("",TRUE,Input!$B$2,ROW(My_Audit!A991))</f>
        <v>X991</v>
      </c>
    </row>
    <row r="993" spans="1:1">
      <c r="A993" s="2" t="str">
        <f>_xlfn.TEXTJOIN("",TRUE,Input!$B$2,ROW(My_Audit!A992))</f>
        <v>X992</v>
      </c>
    </row>
    <row r="994" spans="1:1">
      <c r="A994" s="2" t="str">
        <f>_xlfn.TEXTJOIN("",TRUE,Input!$B$2,ROW(My_Audit!A993))</f>
        <v>X993</v>
      </c>
    </row>
    <row r="995" spans="1:1">
      <c r="A995" s="2" t="str">
        <f>_xlfn.TEXTJOIN("",TRUE,Input!$B$2,ROW(My_Audit!A994))</f>
        <v>X994</v>
      </c>
    </row>
    <row r="996" spans="1:1">
      <c r="A996" s="2" t="str">
        <f>_xlfn.TEXTJOIN("",TRUE,Input!$B$2,ROW(My_Audit!A995))</f>
        <v>X995</v>
      </c>
    </row>
    <row r="997" spans="1:1">
      <c r="A997" s="2" t="str">
        <f>_xlfn.TEXTJOIN("",TRUE,Input!$B$2,ROW(My_Audit!A996))</f>
        <v>X996</v>
      </c>
    </row>
    <row r="998" spans="1:1">
      <c r="A998" s="2" t="str">
        <f>_xlfn.TEXTJOIN("",TRUE,Input!$B$2,ROW(My_Audit!A997))</f>
        <v>X997</v>
      </c>
    </row>
    <row r="999" spans="1:1">
      <c r="A999" s="2" t="str">
        <f>_xlfn.TEXTJOIN("",TRUE,Input!$B$2,ROW(My_Audit!A998))</f>
        <v>X998</v>
      </c>
    </row>
    <row r="1000" spans="1:1">
      <c r="A1000" s="2" t="str">
        <f>_xlfn.TEXTJOIN("",TRUE,Input!$B$2,ROW(My_Audit!A999))</f>
        <v>X999</v>
      </c>
    </row>
    <row r="1001" spans="1:1">
      <c r="A1001" s="2" t="str">
        <f>_xlfn.TEXTJOIN("",TRUE,Input!$B$2,ROW(My_Audit!A1000))</f>
        <v>X1000</v>
      </c>
    </row>
    <row r="1002" spans="1:1">
      <c r="A1002" s="2" t="str">
        <f>_xlfn.TEXTJOIN("",TRUE,Input!$B$2,ROW(My_Audit!A1001))</f>
        <v>X1001</v>
      </c>
    </row>
    <row r="1003" spans="1:1">
      <c r="A1003" s="2" t="str">
        <f>_xlfn.TEXTJOIN("",TRUE,Input!$B$2,ROW(My_Audit!A1002))</f>
        <v>X1002</v>
      </c>
    </row>
    <row r="1004" spans="1:1">
      <c r="A1004" s="2" t="str">
        <f>_xlfn.TEXTJOIN("",TRUE,Input!$B$2,ROW(My_Audit!A1003))</f>
        <v>X1003</v>
      </c>
    </row>
    <row r="1005" spans="1:1">
      <c r="A1005" s="2" t="str">
        <f>_xlfn.TEXTJOIN("",TRUE,Input!$B$2,ROW(My_Audit!A1004))</f>
        <v>X1004</v>
      </c>
    </row>
    <row r="1006" spans="1:1">
      <c r="A1006" s="2" t="str">
        <f>_xlfn.TEXTJOIN("",TRUE,Input!$B$2,ROW(My_Audit!A1005))</f>
        <v>X1005</v>
      </c>
    </row>
    <row r="1007" spans="1:1">
      <c r="A1007" s="2" t="str">
        <f>_xlfn.TEXTJOIN("",TRUE,Input!$B$2,ROW(My_Audit!A1006))</f>
        <v>X1006</v>
      </c>
    </row>
    <row r="1008" spans="1:1">
      <c r="A1008" s="2" t="str">
        <f>_xlfn.TEXTJOIN("",TRUE,Input!$B$2,ROW(My_Audit!A1007))</f>
        <v>X1007</v>
      </c>
    </row>
    <row r="1009" spans="1:1">
      <c r="A1009" s="2" t="str">
        <f>_xlfn.TEXTJOIN("",TRUE,Input!$B$2,ROW(My_Audit!A1008))</f>
        <v>X1008</v>
      </c>
    </row>
    <row r="1010" spans="1:1">
      <c r="A1010" s="2" t="str">
        <f>_xlfn.TEXTJOIN("",TRUE,Input!$B$2,ROW(My_Audit!A1009))</f>
        <v>X1009</v>
      </c>
    </row>
    <row r="1011" spans="1:1">
      <c r="A1011" s="2" t="str">
        <f>_xlfn.TEXTJOIN("",TRUE,Input!$B$2,ROW(My_Audit!A1010))</f>
        <v>X1010</v>
      </c>
    </row>
    <row r="1012" spans="1:1">
      <c r="A1012" s="2" t="str">
        <f>_xlfn.TEXTJOIN("",TRUE,Input!$B$2,ROW(My_Audit!A1011))</f>
        <v>X1011</v>
      </c>
    </row>
    <row r="1013" spans="1:1">
      <c r="A1013" s="2" t="str">
        <f>_xlfn.TEXTJOIN("",TRUE,Input!$B$2,ROW(My_Audit!A1012))</f>
        <v>X1012</v>
      </c>
    </row>
    <row r="1014" spans="1:1">
      <c r="A1014" s="2" t="str">
        <f>_xlfn.TEXTJOIN("",TRUE,Input!$B$2,ROW(My_Audit!A1013))</f>
        <v>X1013</v>
      </c>
    </row>
    <row r="1015" spans="1:1">
      <c r="A1015" s="2" t="str">
        <f>_xlfn.TEXTJOIN("",TRUE,Input!$B$2,ROW(My_Audit!A1014))</f>
        <v>X1014</v>
      </c>
    </row>
    <row r="1016" spans="1:1">
      <c r="A1016" s="2" t="str">
        <f>_xlfn.TEXTJOIN("",TRUE,Input!$B$2,ROW(My_Audit!A1015))</f>
        <v>X1015</v>
      </c>
    </row>
    <row r="1017" spans="1:1">
      <c r="A1017" s="2" t="str">
        <f>_xlfn.TEXTJOIN("",TRUE,Input!$B$2,ROW(My_Audit!A1016))</f>
        <v>X1016</v>
      </c>
    </row>
    <row r="1018" spans="1:1">
      <c r="A1018" s="2" t="str">
        <f>_xlfn.TEXTJOIN("",TRUE,Input!$B$2,ROW(My_Audit!A1017))</f>
        <v>X1017</v>
      </c>
    </row>
    <row r="1019" spans="1:1">
      <c r="A1019" s="2" t="str">
        <f>_xlfn.TEXTJOIN("",TRUE,Input!$B$2,ROW(My_Audit!A1018))</f>
        <v>X1018</v>
      </c>
    </row>
    <row r="1020" spans="1:1">
      <c r="A1020" s="2" t="str">
        <f>_xlfn.TEXTJOIN("",TRUE,Input!$B$2,ROW(My_Audit!A1019))</f>
        <v>X1019</v>
      </c>
    </row>
    <row r="1021" spans="1:1">
      <c r="A1021" s="2" t="str">
        <f>_xlfn.TEXTJOIN("",TRUE,Input!$B$2,ROW(My_Audit!A1020))</f>
        <v>X1020</v>
      </c>
    </row>
    <row r="1022" spans="1:1">
      <c r="A1022" s="2" t="str">
        <f>_xlfn.TEXTJOIN("",TRUE,Input!$B$2,ROW(My_Audit!A1021))</f>
        <v>X1021</v>
      </c>
    </row>
    <row r="1023" spans="1:1">
      <c r="A1023" s="2" t="str">
        <f>_xlfn.TEXTJOIN("",TRUE,Input!$B$2,ROW(My_Audit!A1022))</f>
        <v>X1022</v>
      </c>
    </row>
    <row r="1024" spans="1:1">
      <c r="A1024" s="2" t="str">
        <f>_xlfn.TEXTJOIN("",TRUE,Input!$B$2,ROW(My_Audit!A1023))</f>
        <v>X1023</v>
      </c>
    </row>
    <row r="1025" spans="1:1">
      <c r="A1025" s="2" t="str">
        <f>_xlfn.TEXTJOIN("",TRUE,Input!$B$2,ROW(My_Audit!A1024))</f>
        <v>X1024</v>
      </c>
    </row>
    <row r="1026" spans="1:1">
      <c r="A1026" s="2" t="str">
        <f>_xlfn.TEXTJOIN("",TRUE,Input!$B$2,ROW(My_Audit!A1025))</f>
        <v>X1025</v>
      </c>
    </row>
    <row r="1027" spans="1:1">
      <c r="A1027" s="2" t="str">
        <f>_xlfn.TEXTJOIN("",TRUE,Input!$B$2,ROW(My_Audit!A1026))</f>
        <v>X1026</v>
      </c>
    </row>
    <row r="1028" spans="1:1">
      <c r="A1028" s="2" t="str">
        <f>_xlfn.TEXTJOIN("",TRUE,Input!$B$2,ROW(My_Audit!A1027))</f>
        <v>X1027</v>
      </c>
    </row>
    <row r="1029" spans="1:1">
      <c r="A1029" s="2" t="str">
        <f>_xlfn.TEXTJOIN("",TRUE,Input!$B$2,ROW(My_Audit!A1028))</f>
        <v>X1028</v>
      </c>
    </row>
    <row r="1030" spans="1:1">
      <c r="A1030" s="2" t="str">
        <f>_xlfn.TEXTJOIN("",TRUE,Input!$B$2,ROW(My_Audit!A1029))</f>
        <v>X1029</v>
      </c>
    </row>
    <row r="1031" spans="1:1">
      <c r="A1031" s="2" t="str">
        <f>_xlfn.TEXTJOIN("",TRUE,Input!$B$2,ROW(My_Audit!A1030))</f>
        <v>X1030</v>
      </c>
    </row>
    <row r="1032" spans="1:1">
      <c r="A1032" s="2" t="str">
        <f>_xlfn.TEXTJOIN("",TRUE,Input!$B$2,ROW(My_Audit!A1031))</f>
        <v>X1031</v>
      </c>
    </row>
    <row r="1033" spans="1:1">
      <c r="A1033" s="2" t="str">
        <f>_xlfn.TEXTJOIN("",TRUE,Input!$B$2,ROW(My_Audit!A1032))</f>
        <v>X1032</v>
      </c>
    </row>
    <row r="1034" spans="1:1">
      <c r="A1034" s="2" t="str">
        <f>_xlfn.TEXTJOIN("",TRUE,Input!$B$2,ROW(My_Audit!A1033))</f>
        <v>X1033</v>
      </c>
    </row>
    <row r="1035" spans="1:1">
      <c r="A1035" s="2" t="str">
        <f>_xlfn.TEXTJOIN("",TRUE,Input!$B$2,ROW(My_Audit!A1034))</f>
        <v>X1034</v>
      </c>
    </row>
    <row r="1036" spans="1:1">
      <c r="A1036" s="2" t="str">
        <f>_xlfn.TEXTJOIN("",TRUE,Input!$B$2,ROW(My_Audit!A1035))</f>
        <v>X1035</v>
      </c>
    </row>
    <row r="1037" spans="1:1">
      <c r="A1037" s="2" t="str">
        <f>_xlfn.TEXTJOIN("",TRUE,Input!$B$2,ROW(My_Audit!A1036))</f>
        <v>X1036</v>
      </c>
    </row>
    <row r="1038" spans="1:1">
      <c r="A1038" s="2" t="str">
        <f>_xlfn.TEXTJOIN("",TRUE,Input!$B$2,ROW(My_Audit!A1037))</f>
        <v>X1037</v>
      </c>
    </row>
    <row r="1039" spans="1:1">
      <c r="A1039" s="2" t="str">
        <f>_xlfn.TEXTJOIN("",TRUE,Input!$B$2,ROW(My_Audit!A1038))</f>
        <v>X1038</v>
      </c>
    </row>
    <row r="1040" spans="1:1">
      <c r="A1040" s="2" t="str">
        <f>_xlfn.TEXTJOIN("",TRUE,Input!$B$2,ROW(My_Audit!A1039))</f>
        <v>X1039</v>
      </c>
    </row>
    <row r="1041" spans="1:1">
      <c r="A1041" s="2" t="str">
        <f>_xlfn.TEXTJOIN("",TRUE,Input!$B$2,ROW(My_Audit!A1040))</f>
        <v>X1040</v>
      </c>
    </row>
    <row r="1042" spans="1:1">
      <c r="A1042" s="2" t="str">
        <f>_xlfn.TEXTJOIN("",TRUE,Input!$B$2,ROW(My_Audit!A1041))</f>
        <v>X1041</v>
      </c>
    </row>
    <row r="1043" spans="1:1">
      <c r="A1043" s="2" t="str">
        <f>_xlfn.TEXTJOIN("",TRUE,Input!$B$2,ROW(My_Audit!A1042))</f>
        <v>X1042</v>
      </c>
    </row>
    <row r="1044" spans="1:1">
      <c r="A1044" s="2" t="str">
        <f>_xlfn.TEXTJOIN("",TRUE,Input!$B$2,ROW(My_Audit!A1043))</f>
        <v>X1043</v>
      </c>
    </row>
    <row r="1045" spans="1:1">
      <c r="A1045" s="2" t="str">
        <f>_xlfn.TEXTJOIN("",TRUE,Input!$B$2,ROW(My_Audit!A1044))</f>
        <v>X1044</v>
      </c>
    </row>
    <row r="1046" spans="1:1">
      <c r="A1046" s="2" t="str">
        <f>_xlfn.TEXTJOIN("",TRUE,Input!$B$2,ROW(My_Audit!A1045))</f>
        <v>X1045</v>
      </c>
    </row>
    <row r="1047" spans="1:1">
      <c r="A1047" s="2" t="str">
        <f>_xlfn.TEXTJOIN("",TRUE,Input!$B$2,ROW(My_Audit!A1046))</f>
        <v>X1046</v>
      </c>
    </row>
    <row r="1048" spans="1:1">
      <c r="A1048" s="2" t="str">
        <f>_xlfn.TEXTJOIN("",TRUE,Input!$B$2,ROW(My_Audit!A1047))</f>
        <v>X1047</v>
      </c>
    </row>
    <row r="1049" spans="1:1">
      <c r="A1049" s="2" t="str">
        <f>_xlfn.TEXTJOIN("",TRUE,Input!$B$2,ROW(My_Audit!A1048))</f>
        <v>X1048</v>
      </c>
    </row>
    <row r="1050" spans="1:1">
      <c r="A1050" s="2" t="str">
        <f>_xlfn.TEXTJOIN("",TRUE,Input!$B$2,ROW(My_Audit!A1049))</f>
        <v>X1049</v>
      </c>
    </row>
    <row r="1051" spans="1:1">
      <c r="A1051" s="2" t="str">
        <f>_xlfn.TEXTJOIN("",TRUE,Input!$B$2,ROW(My_Audit!A1050))</f>
        <v>X1050</v>
      </c>
    </row>
    <row r="1052" spans="1:1">
      <c r="A1052" s="2" t="str">
        <f>_xlfn.TEXTJOIN("",TRUE,Input!$B$2,ROW(My_Audit!A1051))</f>
        <v>X1051</v>
      </c>
    </row>
    <row r="1053" spans="1:1">
      <c r="A1053" s="2" t="str">
        <f>_xlfn.TEXTJOIN("",TRUE,Input!$B$2,ROW(My_Audit!A1052))</f>
        <v>X1052</v>
      </c>
    </row>
    <row r="1054" spans="1:1">
      <c r="A1054" s="2" t="str">
        <f>_xlfn.TEXTJOIN("",TRUE,Input!$B$2,ROW(My_Audit!A1053))</f>
        <v>X1053</v>
      </c>
    </row>
    <row r="1055" spans="1:1">
      <c r="A1055" s="2" t="str">
        <f>_xlfn.TEXTJOIN("",TRUE,Input!$B$2,ROW(My_Audit!A1054))</f>
        <v>X1054</v>
      </c>
    </row>
    <row r="1056" spans="1:1">
      <c r="A1056" s="2" t="str">
        <f>_xlfn.TEXTJOIN("",TRUE,Input!$B$2,ROW(My_Audit!A1055))</f>
        <v>X1055</v>
      </c>
    </row>
    <row r="1057" spans="1:1">
      <c r="A1057" s="2" t="str">
        <f>_xlfn.TEXTJOIN("",TRUE,Input!$B$2,ROW(My_Audit!A1056))</f>
        <v>X1056</v>
      </c>
    </row>
    <row r="1058" spans="1:1">
      <c r="A1058" s="2" t="str">
        <f>_xlfn.TEXTJOIN("",TRUE,Input!$B$2,ROW(My_Audit!A1057))</f>
        <v>X1057</v>
      </c>
    </row>
    <row r="1059" spans="1:1">
      <c r="A1059" s="2" t="str">
        <f>_xlfn.TEXTJOIN("",TRUE,Input!$B$2,ROW(My_Audit!A1058))</f>
        <v>X1058</v>
      </c>
    </row>
    <row r="1060" spans="1:1">
      <c r="A1060" s="2" t="str">
        <f>_xlfn.TEXTJOIN("",TRUE,Input!$B$2,ROW(My_Audit!A1059))</f>
        <v>X1059</v>
      </c>
    </row>
    <row r="1061" spans="1:1">
      <c r="A1061" s="2" t="str">
        <f>_xlfn.TEXTJOIN("",TRUE,Input!$B$2,ROW(My_Audit!A1060))</f>
        <v>X1060</v>
      </c>
    </row>
    <row r="1062" spans="1:1">
      <c r="A1062" s="2" t="str">
        <f>_xlfn.TEXTJOIN("",TRUE,Input!$B$2,ROW(My_Audit!A1061))</f>
        <v>X1061</v>
      </c>
    </row>
    <row r="1063" spans="1:1">
      <c r="A1063" s="2" t="str">
        <f>_xlfn.TEXTJOIN("",TRUE,Input!$B$2,ROW(My_Audit!A1062))</f>
        <v>X1062</v>
      </c>
    </row>
    <row r="1064" spans="1:1">
      <c r="A1064" s="2" t="str">
        <f>_xlfn.TEXTJOIN("",TRUE,Input!$B$2,ROW(My_Audit!A1063))</f>
        <v>X1063</v>
      </c>
    </row>
    <row r="1065" spans="1:1">
      <c r="A1065" s="2" t="str">
        <f>_xlfn.TEXTJOIN("",TRUE,Input!$B$2,ROW(My_Audit!A1064))</f>
        <v>X1064</v>
      </c>
    </row>
    <row r="1066" spans="1:1">
      <c r="A1066" s="2" t="str">
        <f>_xlfn.TEXTJOIN("",TRUE,Input!$B$2,ROW(My_Audit!A1065))</f>
        <v>X1065</v>
      </c>
    </row>
    <row r="1067" spans="1:1">
      <c r="A1067" s="2" t="str">
        <f>_xlfn.TEXTJOIN("",TRUE,Input!$B$2,ROW(My_Audit!A1066))</f>
        <v>X1066</v>
      </c>
    </row>
    <row r="1068" spans="1:1">
      <c r="A1068" s="2" t="str">
        <f>_xlfn.TEXTJOIN("",TRUE,Input!$B$2,ROW(My_Audit!A1067))</f>
        <v>X1067</v>
      </c>
    </row>
    <row r="1069" spans="1:1">
      <c r="A1069" s="2" t="str">
        <f>_xlfn.TEXTJOIN("",TRUE,Input!$B$2,ROW(My_Audit!A1068))</f>
        <v>X1068</v>
      </c>
    </row>
    <row r="1070" spans="1:1">
      <c r="A1070" s="2" t="str">
        <f>_xlfn.TEXTJOIN("",TRUE,Input!$B$2,ROW(My_Audit!A1069))</f>
        <v>X1069</v>
      </c>
    </row>
    <row r="1071" spans="1:1">
      <c r="A1071" s="2" t="str">
        <f>_xlfn.TEXTJOIN("",TRUE,Input!$B$2,ROW(My_Audit!A1070))</f>
        <v>X1070</v>
      </c>
    </row>
    <row r="1072" spans="1:1">
      <c r="A1072" s="2" t="str">
        <f>_xlfn.TEXTJOIN("",TRUE,Input!$B$2,ROW(My_Audit!A1071))</f>
        <v>X1071</v>
      </c>
    </row>
    <row r="1073" spans="1:1">
      <c r="A1073" s="2" t="str">
        <f>_xlfn.TEXTJOIN("",TRUE,Input!$B$2,ROW(My_Audit!A1072))</f>
        <v>X1072</v>
      </c>
    </row>
    <row r="1074" spans="1:1">
      <c r="A1074" s="2" t="str">
        <f>_xlfn.TEXTJOIN("",TRUE,Input!$B$2,ROW(My_Audit!A1073))</f>
        <v>X1073</v>
      </c>
    </row>
    <row r="1075" spans="1:1">
      <c r="A1075" s="2" t="str">
        <f>_xlfn.TEXTJOIN("",TRUE,Input!$B$2,ROW(My_Audit!A1074))</f>
        <v>X1074</v>
      </c>
    </row>
    <row r="1076" spans="1:1">
      <c r="A1076" s="2" t="str">
        <f>_xlfn.TEXTJOIN("",TRUE,Input!$B$2,ROW(My_Audit!A1075))</f>
        <v>X1075</v>
      </c>
    </row>
    <row r="1077" spans="1:1">
      <c r="A1077" s="2" t="str">
        <f>_xlfn.TEXTJOIN("",TRUE,Input!$B$2,ROW(My_Audit!A1076))</f>
        <v>X1076</v>
      </c>
    </row>
    <row r="1078" spans="1:1">
      <c r="A1078" s="2" t="str">
        <f>_xlfn.TEXTJOIN("",TRUE,Input!$B$2,ROW(My_Audit!A1077))</f>
        <v>X1077</v>
      </c>
    </row>
    <row r="1079" spans="1:1">
      <c r="A1079" s="2" t="str">
        <f>_xlfn.TEXTJOIN("",TRUE,Input!$B$2,ROW(My_Audit!A1078))</f>
        <v>X1078</v>
      </c>
    </row>
    <row r="1080" spans="1:1">
      <c r="A1080" s="2" t="str">
        <f>_xlfn.TEXTJOIN("",TRUE,Input!$B$2,ROW(My_Audit!A1079))</f>
        <v>X1079</v>
      </c>
    </row>
    <row r="1081" spans="1:1">
      <c r="A1081" s="2" t="str">
        <f>_xlfn.TEXTJOIN("",TRUE,Input!$B$2,ROW(My_Audit!A1080))</f>
        <v>X1080</v>
      </c>
    </row>
    <row r="1082" spans="1:1">
      <c r="A1082" s="2" t="str">
        <f>_xlfn.TEXTJOIN("",TRUE,Input!$B$2,ROW(My_Audit!A1081))</f>
        <v>X1081</v>
      </c>
    </row>
    <row r="1083" spans="1:1">
      <c r="A1083" s="2" t="str">
        <f>_xlfn.TEXTJOIN("",TRUE,Input!$B$2,ROW(My_Audit!A1082))</f>
        <v>X1082</v>
      </c>
    </row>
    <row r="1084" spans="1:1">
      <c r="A1084" s="2" t="str">
        <f>_xlfn.TEXTJOIN("",TRUE,Input!$B$2,ROW(My_Audit!A1083))</f>
        <v>X1083</v>
      </c>
    </row>
    <row r="1085" spans="1:1">
      <c r="A1085" s="2" t="str">
        <f>_xlfn.TEXTJOIN("",TRUE,Input!$B$2,ROW(My_Audit!A1084))</f>
        <v>X1084</v>
      </c>
    </row>
    <row r="1086" spans="1:1">
      <c r="A1086" s="2" t="str">
        <f>_xlfn.TEXTJOIN("",TRUE,Input!$B$2,ROW(My_Audit!A1085))</f>
        <v>X1085</v>
      </c>
    </row>
    <row r="1087" spans="1:1">
      <c r="A1087" s="2" t="str">
        <f>_xlfn.TEXTJOIN("",TRUE,Input!$B$2,ROW(My_Audit!A1086))</f>
        <v>X1086</v>
      </c>
    </row>
    <row r="1088" spans="1:1">
      <c r="A1088" s="2" t="str">
        <f>_xlfn.TEXTJOIN("",TRUE,Input!$B$2,ROW(My_Audit!A1087))</f>
        <v>X1087</v>
      </c>
    </row>
    <row r="1089" spans="1:1">
      <c r="A1089" s="2" t="str">
        <f>_xlfn.TEXTJOIN("",TRUE,Input!$B$2,ROW(My_Audit!A1088))</f>
        <v>X1088</v>
      </c>
    </row>
    <row r="1090" spans="1:1">
      <c r="A1090" s="2" t="str">
        <f>_xlfn.TEXTJOIN("",TRUE,Input!$B$2,ROW(My_Audit!A1089))</f>
        <v>X1089</v>
      </c>
    </row>
    <row r="1091" spans="1:1">
      <c r="A1091" s="2" t="str">
        <f>_xlfn.TEXTJOIN("",TRUE,Input!$B$2,ROW(My_Audit!A1090))</f>
        <v>X1090</v>
      </c>
    </row>
    <row r="1092" spans="1:1">
      <c r="A1092" s="2" t="str">
        <f>_xlfn.TEXTJOIN("",TRUE,Input!$B$2,ROW(My_Audit!A1091))</f>
        <v>X1091</v>
      </c>
    </row>
    <row r="1093" spans="1:1">
      <c r="A1093" s="2" t="str">
        <f>_xlfn.TEXTJOIN("",TRUE,Input!$B$2,ROW(My_Audit!A1092))</f>
        <v>X1092</v>
      </c>
    </row>
    <row r="1094" spans="1:1">
      <c r="A1094" s="2" t="str">
        <f>_xlfn.TEXTJOIN("",TRUE,Input!$B$2,ROW(My_Audit!A1093))</f>
        <v>X1093</v>
      </c>
    </row>
    <row r="1095" spans="1:1">
      <c r="A1095" s="2" t="str">
        <f>_xlfn.TEXTJOIN("",TRUE,Input!$B$2,ROW(My_Audit!A1094))</f>
        <v>X1094</v>
      </c>
    </row>
    <row r="1096" spans="1:1">
      <c r="A1096" s="2" t="str">
        <f>_xlfn.TEXTJOIN("",TRUE,Input!$B$2,ROW(My_Audit!A1095))</f>
        <v>X1095</v>
      </c>
    </row>
    <row r="1097" spans="1:1">
      <c r="A1097" s="2" t="str">
        <f>_xlfn.TEXTJOIN("",TRUE,Input!$B$2,ROW(My_Audit!A1096))</f>
        <v>X1096</v>
      </c>
    </row>
    <row r="1098" spans="1:1">
      <c r="A1098" s="2" t="str">
        <f>_xlfn.TEXTJOIN("",TRUE,Input!$B$2,ROW(My_Audit!A1097))</f>
        <v>X1097</v>
      </c>
    </row>
    <row r="1099" spans="1:1">
      <c r="A1099" s="2" t="str">
        <f>_xlfn.TEXTJOIN("",TRUE,Input!$B$2,ROW(My_Audit!A1098))</f>
        <v>X1098</v>
      </c>
    </row>
    <row r="1100" spans="1:1">
      <c r="A1100" s="2" t="str">
        <f>_xlfn.TEXTJOIN("",TRUE,Input!$B$2,ROW(My_Audit!A1099))</f>
        <v>X1099</v>
      </c>
    </row>
    <row r="1101" spans="1:1">
      <c r="A1101" s="2" t="str">
        <f>_xlfn.TEXTJOIN("",TRUE,Input!$B$2,ROW(My_Audit!A1100))</f>
        <v>X1100</v>
      </c>
    </row>
    <row r="1102" spans="1:1">
      <c r="A1102" s="2" t="str">
        <f>_xlfn.TEXTJOIN("",TRUE,Input!$B$2,ROW(My_Audit!A1101))</f>
        <v>X1101</v>
      </c>
    </row>
    <row r="1103" spans="1:1">
      <c r="A1103" s="2" t="str">
        <f>_xlfn.TEXTJOIN("",TRUE,Input!$B$2,ROW(My_Audit!A1102))</f>
        <v>X1102</v>
      </c>
    </row>
    <row r="1104" spans="1:1">
      <c r="A1104" s="2" t="str">
        <f>_xlfn.TEXTJOIN("",TRUE,Input!$B$2,ROW(My_Audit!A1103))</f>
        <v>X1103</v>
      </c>
    </row>
    <row r="1105" spans="1:1">
      <c r="A1105" s="2" t="str">
        <f>_xlfn.TEXTJOIN("",TRUE,Input!$B$2,ROW(My_Audit!A1104))</f>
        <v>X1104</v>
      </c>
    </row>
    <row r="1106" spans="1:1">
      <c r="A1106" s="2" t="str">
        <f>_xlfn.TEXTJOIN("",TRUE,Input!$B$2,ROW(My_Audit!A1105))</f>
        <v>X1105</v>
      </c>
    </row>
    <row r="1107" spans="1:1">
      <c r="A1107" s="2" t="str">
        <f>_xlfn.TEXTJOIN("",TRUE,Input!$B$2,ROW(My_Audit!A1106))</f>
        <v>X1106</v>
      </c>
    </row>
    <row r="1108" spans="1:1">
      <c r="A1108" s="2" t="str">
        <f>_xlfn.TEXTJOIN("",TRUE,Input!$B$2,ROW(My_Audit!A1107))</f>
        <v>X1107</v>
      </c>
    </row>
    <row r="1109" spans="1:1">
      <c r="A1109" s="2" t="str">
        <f>_xlfn.TEXTJOIN("",TRUE,Input!$B$2,ROW(My_Audit!A1108))</f>
        <v>X1108</v>
      </c>
    </row>
    <row r="1110" spans="1:1">
      <c r="A1110" s="2" t="str">
        <f>_xlfn.TEXTJOIN("",TRUE,Input!$B$2,ROW(My_Audit!A1109))</f>
        <v>X1109</v>
      </c>
    </row>
    <row r="1111" spans="1:1">
      <c r="A1111" s="2" t="str">
        <f>_xlfn.TEXTJOIN("",TRUE,Input!$B$2,ROW(My_Audit!A1110))</f>
        <v>X1110</v>
      </c>
    </row>
    <row r="1112" spans="1:1">
      <c r="A1112" s="2" t="str">
        <f>_xlfn.TEXTJOIN("",TRUE,Input!$B$2,ROW(My_Audit!A1111))</f>
        <v>X1111</v>
      </c>
    </row>
    <row r="1113" spans="1:1">
      <c r="A1113" s="2" t="str">
        <f>_xlfn.TEXTJOIN("",TRUE,Input!$B$2,ROW(My_Audit!A1112))</f>
        <v>X1112</v>
      </c>
    </row>
    <row r="1114" spans="1:1">
      <c r="A1114" s="2" t="str">
        <f>_xlfn.TEXTJOIN("",TRUE,Input!$B$2,ROW(My_Audit!A1113))</f>
        <v>X1113</v>
      </c>
    </row>
    <row r="1115" spans="1:1">
      <c r="A1115" s="2" t="str">
        <f>_xlfn.TEXTJOIN("",TRUE,Input!$B$2,ROW(My_Audit!A1114))</f>
        <v>X1114</v>
      </c>
    </row>
    <row r="1116" spans="1:1">
      <c r="A1116" s="2" t="str">
        <f>_xlfn.TEXTJOIN("",TRUE,Input!$B$2,ROW(My_Audit!A1115))</f>
        <v>X1115</v>
      </c>
    </row>
    <row r="1117" spans="1:1">
      <c r="A1117" s="2" t="str">
        <f>_xlfn.TEXTJOIN("",TRUE,Input!$B$2,ROW(My_Audit!A1116))</f>
        <v>X1116</v>
      </c>
    </row>
    <row r="1118" spans="1:1">
      <c r="A1118" s="2" t="str">
        <f>_xlfn.TEXTJOIN("",TRUE,Input!$B$2,ROW(My_Audit!A1117))</f>
        <v>X1117</v>
      </c>
    </row>
    <row r="1119" spans="1:1">
      <c r="A1119" s="2" t="str">
        <f>_xlfn.TEXTJOIN("",TRUE,Input!$B$2,ROW(My_Audit!A1118))</f>
        <v>X1118</v>
      </c>
    </row>
    <row r="1120" spans="1:1">
      <c r="A1120" s="2" t="str">
        <f>_xlfn.TEXTJOIN("",TRUE,Input!$B$2,ROW(My_Audit!A1119))</f>
        <v>X1119</v>
      </c>
    </row>
    <row r="1121" spans="1:1">
      <c r="A1121" s="2" t="str">
        <f>_xlfn.TEXTJOIN("",TRUE,Input!$B$2,ROW(My_Audit!A1120))</f>
        <v>X1120</v>
      </c>
    </row>
    <row r="1122" spans="1:1">
      <c r="A1122" s="2" t="str">
        <f>_xlfn.TEXTJOIN("",TRUE,Input!$B$2,ROW(My_Audit!A1121))</f>
        <v>X1121</v>
      </c>
    </row>
    <row r="1123" spans="1:1">
      <c r="A1123" s="2" t="str">
        <f>_xlfn.TEXTJOIN("",TRUE,Input!$B$2,ROW(My_Audit!A1122))</f>
        <v>X1122</v>
      </c>
    </row>
    <row r="1124" spans="1:1">
      <c r="A1124" s="2" t="str">
        <f>_xlfn.TEXTJOIN("",TRUE,Input!$B$2,ROW(My_Audit!A1123))</f>
        <v>X1123</v>
      </c>
    </row>
    <row r="1125" spans="1:1">
      <c r="A1125" s="2" t="str">
        <f>_xlfn.TEXTJOIN("",TRUE,Input!$B$2,ROW(My_Audit!A1124))</f>
        <v>X1124</v>
      </c>
    </row>
    <row r="1126" spans="1:1">
      <c r="A1126" s="2" t="str">
        <f>_xlfn.TEXTJOIN("",TRUE,Input!$B$2,ROW(My_Audit!A1125))</f>
        <v>X1125</v>
      </c>
    </row>
    <row r="1127" spans="1:1">
      <c r="A1127" s="2" t="str">
        <f>_xlfn.TEXTJOIN("",TRUE,Input!$B$2,ROW(My_Audit!A1126))</f>
        <v>X1126</v>
      </c>
    </row>
    <row r="1128" spans="1:1">
      <c r="A1128" s="2" t="str">
        <f>_xlfn.TEXTJOIN("",TRUE,Input!$B$2,ROW(My_Audit!A1127))</f>
        <v>X1127</v>
      </c>
    </row>
    <row r="1129" spans="1:1">
      <c r="A1129" s="2" t="str">
        <f>_xlfn.TEXTJOIN("",TRUE,Input!$B$2,ROW(My_Audit!A1128))</f>
        <v>X1128</v>
      </c>
    </row>
    <row r="1130" spans="1:1">
      <c r="A1130" s="2" t="str">
        <f>_xlfn.TEXTJOIN("",TRUE,Input!$B$2,ROW(My_Audit!A1129))</f>
        <v>X1129</v>
      </c>
    </row>
    <row r="1131" spans="1:1">
      <c r="A1131" s="2" t="str">
        <f>_xlfn.TEXTJOIN("",TRUE,Input!$B$2,ROW(My_Audit!A1130))</f>
        <v>X1130</v>
      </c>
    </row>
    <row r="1132" spans="1:1">
      <c r="A1132" s="2" t="str">
        <f>_xlfn.TEXTJOIN("",TRUE,Input!$B$2,ROW(My_Audit!A1131))</f>
        <v>X1131</v>
      </c>
    </row>
    <row r="1133" spans="1:1">
      <c r="A1133" s="2" t="str">
        <f>_xlfn.TEXTJOIN("",TRUE,Input!$B$2,ROW(My_Audit!A1132))</f>
        <v>X1132</v>
      </c>
    </row>
    <row r="1134" spans="1:1">
      <c r="A1134" s="2" t="str">
        <f>_xlfn.TEXTJOIN("",TRUE,Input!$B$2,ROW(My_Audit!A1133))</f>
        <v>X1133</v>
      </c>
    </row>
    <row r="1135" spans="1:1">
      <c r="A1135" s="2" t="str">
        <f>_xlfn.TEXTJOIN("",TRUE,Input!$B$2,ROW(My_Audit!A1134))</f>
        <v>X1134</v>
      </c>
    </row>
    <row r="1136" spans="1:1">
      <c r="A1136" s="2" t="str">
        <f>_xlfn.TEXTJOIN("",TRUE,Input!$B$2,ROW(My_Audit!A1135))</f>
        <v>X1135</v>
      </c>
    </row>
    <row r="1137" spans="1:1">
      <c r="A1137" s="2" t="str">
        <f>_xlfn.TEXTJOIN("",TRUE,Input!$B$2,ROW(My_Audit!A1136))</f>
        <v>X1136</v>
      </c>
    </row>
    <row r="1138" spans="1:1">
      <c r="A1138" s="2" t="str">
        <f>_xlfn.TEXTJOIN("",TRUE,Input!$B$2,ROW(My_Audit!A1137))</f>
        <v>X1137</v>
      </c>
    </row>
    <row r="1139" spans="1:1">
      <c r="A1139" s="2" t="str">
        <f>_xlfn.TEXTJOIN("",TRUE,Input!$B$2,ROW(My_Audit!A1138))</f>
        <v>X1138</v>
      </c>
    </row>
    <row r="1140" spans="1:1">
      <c r="A1140" s="2" t="str">
        <f>_xlfn.TEXTJOIN("",TRUE,Input!$B$2,ROW(My_Audit!A1139))</f>
        <v>X1139</v>
      </c>
    </row>
    <row r="1141" spans="1:1">
      <c r="A1141" s="2" t="str">
        <f>_xlfn.TEXTJOIN("",TRUE,Input!$B$2,ROW(My_Audit!A1140))</f>
        <v>X1140</v>
      </c>
    </row>
    <row r="1142" spans="1:1">
      <c r="A1142" s="2" t="str">
        <f>_xlfn.TEXTJOIN("",TRUE,Input!$B$2,ROW(My_Audit!A1141))</f>
        <v>X1141</v>
      </c>
    </row>
    <row r="1143" spans="1:1">
      <c r="A1143" s="2" t="str">
        <f>_xlfn.TEXTJOIN("",TRUE,Input!$B$2,ROW(My_Audit!A1142))</f>
        <v>X1142</v>
      </c>
    </row>
    <row r="1144" spans="1:1">
      <c r="A1144" s="2" t="str">
        <f>_xlfn.TEXTJOIN("",TRUE,Input!$B$2,ROW(My_Audit!A1143))</f>
        <v>X1143</v>
      </c>
    </row>
    <row r="1145" spans="1:1">
      <c r="A1145" s="2" t="str">
        <f>_xlfn.TEXTJOIN("",TRUE,Input!$B$2,ROW(My_Audit!A1144))</f>
        <v>X1144</v>
      </c>
    </row>
    <row r="1146" spans="1:1">
      <c r="A1146" s="2" t="str">
        <f>_xlfn.TEXTJOIN("",TRUE,Input!$B$2,ROW(My_Audit!A1145))</f>
        <v>X1145</v>
      </c>
    </row>
    <row r="1147" spans="1:1">
      <c r="A1147" s="2" t="str">
        <f>_xlfn.TEXTJOIN("",TRUE,Input!$B$2,ROW(My_Audit!A1146))</f>
        <v>X1146</v>
      </c>
    </row>
    <row r="1148" spans="1:1">
      <c r="A1148" s="2" t="str">
        <f>_xlfn.TEXTJOIN("",TRUE,Input!$B$2,ROW(My_Audit!A1147))</f>
        <v>X1147</v>
      </c>
    </row>
    <row r="1149" spans="1:1">
      <c r="A1149" s="2" t="str">
        <f>_xlfn.TEXTJOIN("",TRUE,Input!$B$2,ROW(My_Audit!A1148))</f>
        <v>X1148</v>
      </c>
    </row>
    <row r="1150" spans="1:1">
      <c r="A1150" s="2" t="str">
        <f>_xlfn.TEXTJOIN("",TRUE,Input!$B$2,ROW(My_Audit!A1149))</f>
        <v>X1149</v>
      </c>
    </row>
    <row r="1151" spans="1:1">
      <c r="A1151" s="2" t="str">
        <f>_xlfn.TEXTJOIN("",TRUE,Input!$B$2,ROW(My_Audit!A1150))</f>
        <v>X1150</v>
      </c>
    </row>
    <row r="1152" spans="1:1">
      <c r="A1152" s="2" t="str">
        <f>_xlfn.TEXTJOIN("",TRUE,Input!$B$2,ROW(My_Audit!A1151))</f>
        <v>X1151</v>
      </c>
    </row>
    <row r="1153" spans="1:1">
      <c r="A1153" s="2" t="str">
        <f>_xlfn.TEXTJOIN("",TRUE,Input!$B$2,ROW(My_Audit!A1152))</f>
        <v>X1152</v>
      </c>
    </row>
    <row r="1154" spans="1:1">
      <c r="A1154" s="2" t="str">
        <f>_xlfn.TEXTJOIN("",TRUE,Input!$B$2,ROW(My_Audit!A1153))</f>
        <v>X1153</v>
      </c>
    </row>
    <row r="1155" spans="1:1">
      <c r="A1155" s="2" t="str">
        <f>_xlfn.TEXTJOIN("",TRUE,Input!$B$2,ROW(My_Audit!A1154))</f>
        <v>X1154</v>
      </c>
    </row>
    <row r="1156" spans="1:1">
      <c r="A1156" s="2" t="str">
        <f>_xlfn.TEXTJOIN("",TRUE,Input!$B$2,ROW(My_Audit!A1155))</f>
        <v>X1155</v>
      </c>
    </row>
    <row r="1157" spans="1:1">
      <c r="A1157" s="2" t="str">
        <f>_xlfn.TEXTJOIN("",TRUE,Input!$B$2,ROW(My_Audit!A1156))</f>
        <v>X1156</v>
      </c>
    </row>
    <row r="1158" spans="1:1">
      <c r="A1158" s="2" t="str">
        <f>_xlfn.TEXTJOIN("",TRUE,Input!$B$2,ROW(My_Audit!A1157))</f>
        <v>X1157</v>
      </c>
    </row>
    <row r="1159" spans="1:1">
      <c r="A1159" s="2" t="str">
        <f>_xlfn.TEXTJOIN("",TRUE,Input!$B$2,ROW(My_Audit!A1158))</f>
        <v>X1158</v>
      </c>
    </row>
    <row r="1160" spans="1:1">
      <c r="A1160" s="2" t="str">
        <f>_xlfn.TEXTJOIN("",TRUE,Input!$B$2,ROW(My_Audit!A1159))</f>
        <v>X1159</v>
      </c>
    </row>
    <row r="1161" spans="1:1">
      <c r="A1161" s="2" t="str">
        <f>_xlfn.TEXTJOIN("",TRUE,Input!$B$2,ROW(My_Audit!A1160))</f>
        <v>X1160</v>
      </c>
    </row>
    <row r="1162" spans="1:1">
      <c r="A1162" s="2" t="str">
        <f>_xlfn.TEXTJOIN("",TRUE,Input!$B$2,ROW(My_Audit!A1161))</f>
        <v>X1161</v>
      </c>
    </row>
    <row r="1163" spans="1:1">
      <c r="A1163" s="2" t="str">
        <f>_xlfn.TEXTJOIN("",TRUE,Input!$B$2,ROW(My_Audit!A1162))</f>
        <v>X1162</v>
      </c>
    </row>
    <row r="1164" spans="1:1">
      <c r="A1164" s="2" t="str">
        <f>_xlfn.TEXTJOIN("",TRUE,Input!$B$2,ROW(My_Audit!A1163))</f>
        <v>X1163</v>
      </c>
    </row>
    <row r="1165" spans="1:1">
      <c r="A1165" s="2" t="str">
        <f>_xlfn.TEXTJOIN("",TRUE,Input!$B$2,ROW(My_Audit!A1164))</f>
        <v>X1164</v>
      </c>
    </row>
    <row r="1166" spans="1:1">
      <c r="A1166" s="2" t="str">
        <f>_xlfn.TEXTJOIN("",TRUE,Input!$B$2,ROW(My_Audit!A1165))</f>
        <v>X1165</v>
      </c>
    </row>
    <row r="1167" spans="1:1">
      <c r="A1167" s="2" t="str">
        <f>_xlfn.TEXTJOIN("",TRUE,Input!$B$2,ROW(My_Audit!A1166))</f>
        <v>X1166</v>
      </c>
    </row>
    <row r="1168" spans="1:1">
      <c r="A1168" s="2" t="str">
        <f>_xlfn.TEXTJOIN("",TRUE,Input!$B$2,ROW(My_Audit!A1167))</f>
        <v>X1167</v>
      </c>
    </row>
    <row r="1169" spans="1:1">
      <c r="A1169" s="2" t="str">
        <f>_xlfn.TEXTJOIN("",TRUE,Input!$B$2,ROW(My_Audit!A1168))</f>
        <v>X1168</v>
      </c>
    </row>
    <row r="1170" spans="1:1">
      <c r="A1170" s="2" t="str">
        <f>_xlfn.TEXTJOIN("",TRUE,Input!$B$2,ROW(My_Audit!A1169))</f>
        <v>X1169</v>
      </c>
    </row>
    <row r="1171" spans="1:1">
      <c r="A1171" s="2" t="str">
        <f>_xlfn.TEXTJOIN("",TRUE,Input!$B$2,ROW(My_Audit!A1170))</f>
        <v>X1170</v>
      </c>
    </row>
    <row r="1172" spans="1:1">
      <c r="A1172" s="2" t="str">
        <f>_xlfn.TEXTJOIN("",TRUE,Input!$B$2,ROW(My_Audit!A1171))</f>
        <v>X1171</v>
      </c>
    </row>
    <row r="1173" spans="1:1">
      <c r="A1173" s="2" t="str">
        <f>_xlfn.TEXTJOIN("",TRUE,Input!$B$2,ROW(My_Audit!A1172))</f>
        <v>X1172</v>
      </c>
    </row>
    <row r="1174" spans="1:1">
      <c r="A1174" s="2" t="str">
        <f>_xlfn.TEXTJOIN("",TRUE,Input!$B$2,ROW(My_Audit!A1173))</f>
        <v>X1173</v>
      </c>
    </row>
    <row r="1175" spans="1:1">
      <c r="A1175" s="2" t="str">
        <f>_xlfn.TEXTJOIN("",TRUE,Input!$B$2,ROW(My_Audit!A1174))</f>
        <v>X1174</v>
      </c>
    </row>
    <row r="1176" spans="1:1">
      <c r="A1176" s="2" t="str">
        <f>_xlfn.TEXTJOIN("",TRUE,Input!$B$2,ROW(My_Audit!A1175))</f>
        <v>X1175</v>
      </c>
    </row>
    <row r="1177" spans="1:1">
      <c r="A1177" s="2" t="str">
        <f>_xlfn.TEXTJOIN("",TRUE,Input!$B$2,ROW(My_Audit!A1176))</f>
        <v>X1176</v>
      </c>
    </row>
    <row r="1178" spans="1:1">
      <c r="A1178" s="2" t="str">
        <f>_xlfn.TEXTJOIN("",TRUE,Input!$B$2,ROW(My_Audit!A1177))</f>
        <v>X1177</v>
      </c>
    </row>
    <row r="1179" spans="1:1">
      <c r="A1179" s="2" t="str">
        <f>_xlfn.TEXTJOIN("",TRUE,Input!$B$2,ROW(My_Audit!A1178))</f>
        <v>X1178</v>
      </c>
    </row>
    <row r="1180" spans="1:1">
      <c r="A1180" s="2" t="str">
        <f>_xlfn.TEXTJOIN("",TRUE,Input!$B$2,ROW(My_Audit!A1179))</f>
        <v>X1179</v>
      </c>
    </row>
    <row r="1181" spans="1:1">
      <c r="A1181" s="2" t="str">
        <f>_xlfn.TEXTJOIN("",TRUE,Input!$B$2,ROW(My_Audit!A1180))</f>
        <v>X1180</v>
      </c>
    </row>
    <row r="1182" spans="1:1">
      <c r="A1182" s="2" t="str">
        <f>_xlfn.TEXTJOIN("",TRUE,Input!$B$2,ROW(My_Audit!A1181))</f>
        <v>X1181</v>
      </c>
    </row>
    <row r="1183" spans="1:1">
      <c r="A1183" s="2" t="str">
        <f>_xlfn.TEXTJOIN("",TRUE,Input!$B$2,ROW(My_Audit!A1182))</f>
        <v>X1182</v>
      </c>
    </row>
    <row r="1184" spans="1:1">
      <c r="A1184" s="2" t="str">
        <f>_xlfn.TEXTJOIN("",TRUE,Input!$B$2,ROW(My_Audit!A1183))</f>
        <v>X1183</v>
      </c>
    </row>
    <row r="1185" spans="1:1">
      <c r="A1185" s="2" t="str">
        <f>_xlfn.TEXTJOIN("",TRUE,Input!$B$2,ROW(My_Audit!A1184))</f>
        <v>X1184</v>
      </c>
    </row>
    <row r="1186" spans="1:1">
      <c r="A1186" s="2" t="str">
        <f>_xlfn.TEXTJOIN("",TRUE,Input!$B$2,ROW(My_Audit!A1185))</f>
        <v>X1185</v>
      </c>
    </row>
    <row r="1187" spans="1:1">
      <c r="A1187" s="2" t="str">
        <f>_xlfn.TEXTJOIN("",TRUE,Input!$B$2,ROW(My_Audit!A1186))</f>
        <v>X1186</v>
      </c>
    </row>
    <row r="1188" spans="1:1">
      <c r="A1188" s="2" t="str">
        <f>_xlfn.TEXTJOIN("",TRUE,Input!$B$2,ROW(My_Audit!A1187))</f>
        <v>X1187</v>
      </c>
    </row>
    <row r="1189" spans="1:1">
      <c r="A1189" s="2" t="str">
        <f>_xlfn.TEXTJOIN("",TRUE,Input!$B$2,ROW(My_Audit!A1188))</f>
        <v>X1188</v>
      </c>
    </row>
    <row r="1190" spans="1:1">
      <c r="A1190" s="2" t="str">
        <f>_xlfn.TEXTJOIN("",TRUE,Input!$B$2,ROW(My_Audit!A1189))</f>
        <v>X1189</v>
      </c>
    </row>
    <row r="1191" spans="1:1">
      <c r="A1191" s="2" t="str">
        <f>_xlfn.TEXTJOIN("",TRUE,Input!$B$2,ROW(My_Audit!A1190))</f>
        <v>X1190</v>
      </c>
    </row>
    <row r="1192" spans="1:1">
      <c r="A1192" s="2" t="str">
        <f>_xlfn.TEXTJOIN("",TRUE,Input!$B$2,ROW(My_Audit!A1191))</f>
        <v>X1191</v>
      </c>
    </row>
    <row r="1193" spans="1:1">
      <c r="A1193" s="2" t="str">
        <f>_xlfn.TEXTJOIN("",TRUE,Input!$B$2,ROW(My_Audit!A1192))</f>
        <v>X1192</v>
      </c>
    </row>
    <row r="1194" spans="1:1">
      <c r="A1194" s="2" t="str">
        <f>_xlfn.TEXTJOIN("",TRUE,Input!$B$2,ROW(My_Audit!A1193))</f>
        <v>X1193</v>
      </c>
    </row>
    <row r="1195" spans="1:1">
      <c r="A1195" s="2" t="str">
        <f>_xlfn.TEXTJOIN("",TRUE,Input!$B$2,ROW(My_Audit!A1194))</f>
        <v>X1194</v>
      </c>
    </row>
    <row r="1196" spans="1:1">
      <c r="A1196" s="2" t="str">
        <f>_xlfn.TEXTJOIN("",TRUE,Input!$B$2,ROW(My_Audit!A1195))</f>
        <v>X1195</v>
      </c>
    </row>
    <row r="1197" spans="1:1">
      <c r="A1197" s="2" t="str">
        <f>_xlfn.TEXTJOIN("",TRUE,Input!$B$2,ROW(My_Audit!A1196))</f>
        <v>X1196</v>
      </c>
    </row>
    <row r="1198" spans="1:1">
      <c r="A1198" s="2" t="str">
        <f>_xlfn.TEXTJOIN("",TRUE,Input!$B$2,ROW(My_Audit!A1197))</f>
        <v>X1197</v>
      </c>
    </row>
    <row r="1199" spans="1:1">
      <c r="A1199" s="2" t="str">
        <f>_xlfn.TEXTJOIN("",TRUE,Input!$B$2,ROW(My_Audit!A1198))</f>
        <v>X1198</v>
      </c>
    </row>
    <row r="1200" spans="1:1">
      <c r="A1200" s="2" t="str">
        <f>_xlfn.TEXTJOIN("",TRUE,Input!$B$2,ROW(My_Audit!A1199))</f>
        <v>X1199</v>
      </c>
    </row>
    <row r="1201" spans="1:1">
      <c r="A1201" s="2" t="str">
        <f>_xlfn.TEXTJOIN("",TRUE,Input!$B$2,ROW(My_Audit!A1200))</f>
        <v>X1200</v>
      </c>
    </row>
    <row r="1202" spans="1:1">
      <c r="A1202" s="2" t="str">
        <f>_xlfn.TEXTJOIN("",TRUE,Input!$B$2,ROW(My_Audit!A1201))</f>
        <v>X1201</v>
      </c>
    </row>
    <row r="1203" spans="1:1">
      <c r="A1203" s="2" t="str">
        <f>_xlfn.TEXTJOIN("",TRUE,Input!$B$2,ROW(My_Audit!A1202))</f>
        <v>X1202</v>
      </c>
    </row>
    <row r="1204" spans="1:1">
      <c r="A1204" s="2" t="str">
        <f>_xlfn.TEXTJOIN("",TRUE,Input!$B$2,ROW(My_Audit!A1203))</f>
        <v>X1203</v>
      </c>
    </row>
    <row r="1205" spans="1:1">
      <c r="A1205" s="2" t="str">
        <f>_xlfn.TEXTJOIN("",TRUE,Input!$B$2,ROW(My_Audit!A1204))</f>
        <v>X1204</v>
      </c>
    </row>
    <row r="1206" spans="1:1">
      <c r="A1206" s="2" t="str">
        <f>_xlfn.TEXTJOIN("",TRUE,Input!$B$2,ROW(My_Audit!A1205))</f>
        <v>X1205</v>
      </c>
    </row>
    <row r="1207" spans="1:1">
      <c r="A1207" s="2" t="str">
        <f>_xlfn.TEXTJOIN("",TRUE,Input!$B$2,ROW(My_Audit!A1206))</f>
        <v>X1206</v>
      </c>
    </row>
    <row r="1208" spans="1:1">
      <c r="A1208" s="2" t="str">
        <f>_xlfn.TEXTJOIN("",TRUE,Input!$B$2,ROW(My_Audit!A1207))</f>
        <v>X1207</v>
      </c>
    </row>
    <row r="1209" spans="1:1">
      <c r="A1209" s="2" t="str">
        <f>_xlfn.TEXTJOIN("",TRUE,Input!$B$2,ROW(My_Audit!A1208))</f>
        <v>X1208</v>
      </c>
    </row>
    <row r="1210" spans="1:1">
      <c r="A1210" s="2" t="str">
        <f>_xlfn.TEXTJOIN("",TRUE,Input!$B$2,ROW(My_Audit!A1209))</f>
        <v>X1209</v>
      </c>
    </row>
    <row r="1211" spans="1:1">
      <c r="A1211" s="2" t="str">
        <f>_xlfn.TEXTJOIN("",TRUE,Input!$B$2,ROW(My_Audit!A1210))</f>
        <v>X1210</v>
      </c>
    </row>
    <row r="1212" spans="1:1">
      <c r="A1212" s="2" t="str">
        <f>_xlfn.TEXTJOIN("",TRUE,Input!$B$2,ROW(My_Audit!A1211))</f>
        <v>X1211</v>
      </c>
    </row>
    <row r="1213" spans="1:1">
      <c r="A1213" s="2" t="str">
        <f>_xlfn.TEXTJOIN("",TRUE,Input!$B$2,ROW(My_Audit!A1212))</f>
        <v>X1212</v>
      </c>
    </row>
    <row r="1214" spans="1:1">
      <c r="A1214" s="2" t="str">
        <f>_xlfn.TEXTJOIN("",TRUE,Input!$B$2,ROW(My_Audit!A1213))</f>
        <v>X1213</v>
      </c>
    </row>
    <row r="1215" spans="1:1">
      <c r="A1215" s="2" t="str">
        <f>_xlfn.TEXTJOIN("",TRUE,Input!$B$2,ROW(My_Audit!A1214))</f>
        <v>X1214</v>
      </c>
    </row>
    <row r="1216" spans="1:1">
      <c r="A1216" s="2" t="str">
        <f>_xlfn.TEXTJOIN("",TRUE,Input!$B$2,ROW(My_Audit!A1215))</f>
        <v>X1215</v>
      </c>
    </row>
    <row r="1217" spans="1:1">
      <c r="A1217" s="2" t="str">
        <f>_xlfn.TEXTJOIN("",TRUE,Input!$B$2,ROW(My_Audit!A1216))</f>
        <v>X1216</v>
      </c>
    </row>
    <row r="1218" spans="1:1">
      <c r="A1218" s="2" t="str">
        <f>_xlfn.TEXTJOIN("",TRUE,Input!$B$2,ROW(My_Audit!A1217))</f>
        <v>X1217</v>
      </c>
    </row>
    <row r="1219" spans="1:1">
      <c r="A1219" s="2" t="str">
        <f>_xlfn.TEXTJOIN("",TRUE,Input!$B$2,ROW(My_Audit!A1218))</f>
        <v>X1218</v>
      </c>
    </row>
    <row r="1220" spans="1:1">
      <c r="A1220" s="2" t="str">
        <f>_xlfn.TEXTJOIN("",TRUE,Input!$B$2,ROW(My_Audit!A1219))</f>
        <v>X1219</v>
      </c>
    </row>
    <row r="1221" spans="1:1">
      <c r="A1221" s="2" t="str">
        <f>_xlfn.TEXTJOIN("",TRUE,Input!$B$2,ROW(My_Audit!A1220))</f>
        <v>X1220</v>
      </c>
    </row>
    <row r="1222" spans="1:1">
      <c r="A1222" s="2" t="str">
        <f>_xlfn.TEXTJOIN("",TRUE,Input!$B$2,ROW(My_Audit!A1221))</f>
        <v>X1221</v>
      </c>
    </row>
    <row r="1223" spans="1:1">
      <c r="A1223" s="2" t="str">
        <f>_xlfn.TEXTJOIN("",TRUE,Input!$B$2,ROW(My_Audit!A1222))</f>
        <v>X1222</v>
      </c>
    </row>
    <row r="1224" spans="1:1">
      <c r="A1224" s="2" t="str">
        <f>_xlfn.TEXTJOIN("",TRUE,Input!$B$2,ROW(My_Audit!A1223))</f>
        <v>X1223</v>
      </c>
    </row>
    <row r="1225" spans="1:1">
      <c r="A1225" s="2" t="str">
        <f>_xlfn.TEXTJOIN("",TRUE,Input!$B$2,ROW(My_Audit!A1224))</f>
        <v>X1224</v>
      </c>
    </row>
    <row r="1226" spans="1:1">
      <c r="A1226" s="2" t="str">
        <f>_xlfn.TEXTJOIN("",TRUE,Input!$B$2,ROW(My_Audit!A1225))</f>
        <v>X1225</v>
      </c>
    </row>
    <row r="1227" spans="1:1">
      <c r="A1227" s="2" t="str">
        <f>_xlfn.TEXTJOIN("",TRUE,Input!$B$2,ROW(My_Audit!A1226))</f>
        <v>X1226</v>
      </c>
    </row>
    <row r="1228" spans="1:1">
      <c r="A1228" s="2" t="str">
        <f>_xlfn.TEXTJOIN("",TRUE,Input!$B$2,ROW(My_Audit!A1227))</f>
        <v>X1227</v>
      </c>
    </row>
    <row r="1229" spans="1:1">
      <c r="A1229" s="2" t="str">
        <f>_xlfn.TEXTJOIN("",TRUE,Input!$B$2,ROW(My_Audit!A1228))</f>
        <v>X1228</v>
      </c>
    </row>
    <row r="1230" spans="1:1">
      <c r="A1230" s="2" t="str">
        <f>_xlfn.TEXTJOIN("",TRUE,Input!$B$2,ROW(My_Audit!A1229))</f>
        <v>X1229</v>
      </c>
    </row>
    <row r="1231" spans="1:1">
      <c r="A1231" s="2" t="str">
        <f>_xlfn.TEXTJOIN("",TRUE,Input!$B$2,ROW(My_Audit!A1230))</f>
        <v>X1230</v>
      </c>
    </row>
    <row r="1232" spans="1:1">
      <c r="A1232" s="2" t="str">
        <f>_xlfn.TEXTJOIN("",TRUE,Input!$B$2,ROW(My_Audit!A1231))</f>
        <v>X1231</v>
      </c>
    </row>
    <row r="1233" spans="1:1">
      <c r="A1233" s="2" t="str">
        <f>_xlfn.TEXTJOIN("",TRUE,Input!$B$2,ROW(My_Audit!A1232))</f>
        <v>X1232</v>
      </c>
    </row>
    <row r="1234" spans="1:1">
      <c r="A1234" s="2" t="str">
        <f>_xlfn.TEXTJOIN("",TRUE,Input!$B$2,ROW(My_Audit!A1233))</f>
        <v>X1233</v>
      </c>
    </row>
    <row r="1235" spans="1:1">
      <c r="A1235" s="2" t="str">
        <f>_xlfn.TEXTJOIN("",TRUE,Input!$B$2,ROW(My_Audit!A1234))</f>
        <v>X1234</v>
      </c>
    </row>
    <row r="1236" spans="1:1">
      <c r="A1236" s="2" t="str">
        <f>_xlfn.TEXTJOIN("",TRUE,Input!$B$2,ROW(My_Audit!A1235))</f>
        <v>X1235</v>
      </c>
    </row>
    <row r="1237" spans="1:1">
      <c r="A1237" s="2" t="str">
        <f>_xlfn.TEXTJOIN("",TRUE,Input!$B$2,ROW(My_Audit!A1236))</f>
        <v>X1236</v>
      </c>
    </row>
    <row r="1238" spans="1:1">
      <c r="A1238" s="2" t="str">
        <f>_xlfn.TEXTJOIN("",TRUE,Input!$B$2,ROW(My_Audit!A1237))</f>
        <v>X1237</v>
      </c>
    </row>
    <row r="1239" spans="1:1">
      <c r="A1239" s="2" t="str">
        <f>_xlfn.TEXTJOIN("",TRUE,Input!$B$2,ROW(My_Audit!A1238))</f>
        <v>X1238</v>
      </c>
    </row>
    <row r="1240" spans="1:1">
      <c r="A1240" s="2" t="str">
        <f>_xlfn.TEXTJOIN("",TRUE,Input!$B$2,ROW(My_Audit!A1239))</f>
        <v>X1239</v>
      </c>
    </row>
    <row r="1241" spans="1:1">
      <c r="A1241" s="2" t="str">
        <f>_xlfn.TEXTJOIN("",TRUE,Input!$B$2,ROW(My_Audit!A1240))</f>
        <v>X1240</v>
      </c>
    </row>
    <row r="1242" spans="1:1">
      <c r="A1242" s="2" t="str">
        <f>_xlfn.TEXTJOIN("",TRUE,Input!$B$2,ROW(My_Audit!A1241))</f>
        <v>X1241</v>
      </c>
    </row>
    <row r="1243" spans="1:1">
      <c r="A1243" s="2" t="str">
        <f>_xlfn.TEXTJOIN("",TRUE,Input!$B$2,ROW(My_Audit!A1242))</f>
        <v>X1242</v>
      </c>
    </row>
    <row r="1244" spans="1:1">
      <c r="A1244" s="2" t="str">
        <f>_xlfn.TEXTJOIN("",TRUE,Input!$B$2,ROW(My_Audit!A1243))</f>
        <v>X1243</v>
      </c>
    </row>
    <row r="1245" spans="1:1">
      <c r="A1245" s="2" t="str">
        <f>_xlfn.TEXTJOIN("",TRUE,Input!$B$2,ROW(My_Audit!A1244))</f>
        <v>X1244</v>
      </c>
    </row>
  </sheetData>
  <pageMargins left="0.7" right="0.7" top="0.75" bottom="0.75" header="0.3" footer="0.3"/>
  <pageSetup paperSize="385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6C16A-5E81-4B85-9894-E76E2461C7F7}">
  <sheetPr>
    <tabColor theme="9"/>
  </sheetPr>
  <dimension ref="A1:F82"/>
  <sheetViews>
    <sheetView workbookViewId="0">
      <selection activeCell="E33" sqref="E33"/>
    </sheetView>
  </sheetViews>
  <sheetFormatPr defaultRowHeight="15"/>
  <cols>
    <col min="1" max="1" width="17.140625" customWidth="1"/>
    <col min="5" max="5" width="18.5703125" customWidth="1"/>
  </cols>
  <sheetData>
    <row r="1" spans="1:6" ht="18" customHeight="1" thickBot="1">
      <c r="A1" s="37" t="s">
        <v>1</v>
      </c>
      <c r="B1" s="38" t="s">
        <v>2</v>
      </c>
      <c r="C1" s="38" t="s">
        <v>5</v>
      </c>
      <c r="D1" s="38" t="s">
        <v>6</v>
      </c>
      <c r="E1" s="38" t="s">
        <v>491</v>
      </c>
      <c r="F1" s="38" t="s">
        <v>492</v>
      </c>
    </row>
    <row r="2" spans="1:6">
      <c r="A2" t="e" cm="1" vm="1">
        <f t="array" ref="A2">_xlfn._xlws.FILTER('Audit Report'!C2:C500,'Audit Report'!X2:X500&lt;&gt;"")</f>
        <v>#VALUE!</v>
      </c>
      <c r="B2" t="e" vm="2">
        <f>_xlfn.XLOOKUP($A2,'Audit Report'!$C:$C,'Audit Report'!D:D)</f>
        <v>#VALUE!</v>
      </c>
      <c r="C2" t="e" vm="2">
        <f>_xlfn.XLOOKUP($A2,'Audit Report'!$C:$C,'Audit Report'!G:G)</f>
        <v>#VALUE!</v>
      </c>
      <c r="D2" t="e" vm="2">
        <f>_xlfn.XLOOKUP($A2,'Audit Report'!$C:$C,'Audit Report'!H:H)</f>
        <v>#VALUE!</v>
      </c>
      <c r="E2" t="e" vm="2">
        <f>_xlfn.XLOOKUP($A2,'Audit Report'!$C:$C,'Audit Report'!X:X)</f>
        <v>#VALUE!</v>
      </c>
      <c r="F2" t="e" vm="2">
        <f>_xlfn.XLOOKUP($A2,'Audit Report'!$C:$C,'Audit Report'!P:P)</f>
        <v>#VALUE!</v>
      </c>
    </row>
    <row r="3" spans="1:6">
      <c r="B3">
        <f>_xlfn.XLOOKUP($A3,'Audit Report'!$C:$C,'Audit Report'!D:D)</f>
        <v>0</v>
      </c>
      <c r="C3" t="str">
        <f>_xlfn.XLOOKUP($A3,'Audit Report'!$C:$C,'Audit Report'!G:G)</f>
        <v/>
      </c>
      <c r="D3">
        <f>_xlfn.XLOOKUP($A3,'Audit Report'!$C:$C,'Audit Report'!H:H)</f>
        <v>0</v>
      </c>
      <c r="E3">
        <f>_xlfn.XLOOKUP($A3,'Audit Report'!$C:$C,'Audit Report'!X:X)</f>
        <v>0</v>
      </c>
      <c r="F3">
        <f>_xlfn.XLOOKUP($A3,'Audit Report'!$C:$C,'Audit Report'!P:P)</f>
        <v>0</v>
      </c>
    </row>
    <row r="4" spans="1:6">
      <c r="B4">
        <f>_xlfn.XLOOKUP($A4,'Audit Report'!$C:$C,'Audit Report'!D:D)</f>
        <v>0</v>
      </c>
      <c r="C4" t="str">
        <f>_xlfn.XLOOKUP($A4,'Audit Report'!$C:$C,'Audit Report'!G:G)</f>
        <v/>
      </c>
      <c r="D4">
        <f>_xlfn.XLOOKUP($A4,'Audit Report'!$C:$C,'Audit Report'!H:H)</f>
        <v>0</v>
      </c>
      <c r="E4">
        <f>_xlfn.XLOOKUP($A4,'Audit Report'!$C:$C,'Audit Report'!X:X)</f>
        <v>0</v>
      </c>
      <c r="F4">
        <f>_xlfn.XLOOKUP($A4,'Audit Report'!$C:$C,'Audit Report'!P:P)</f>
        <v>0</v>
      </c>
    </row>
    <row r="5" spans="1:6">
      <c r="B5">
        <f>_xlfn.XLOOKUP($A5,'Audit Report'!$C:$C,'Audit Report'!D:D)</f>
        <v>0</v>
      </c>
      <c r="C5" t="str">
        <f>_xlfn.XLOOKUP($A5,'Audit Report'!$C:$C,'Audit Report'!G:G)</f>
        <v/>
      </c>
      <c r="D5">
        <f>_xlfn.XLOOKUP($A5,'Audit Report'!$C:$C,'Audit Report'!H:H)</f>
        <v>0</v>
      </c>
      <c r="E5">
        <f>_xlfn.XLOOKUP($A5,'Audit Report'!$C:$C,'Audit Report'!X:X)</f>
        <v>0</v>
      </c>
      <c r="F5">
        <f>_xlfn.XLOOKUP($A5,'Audit Report'!$C:$C,'Audit Report'!P:P)</f>
        <v>0</v>
      </c>
    </row>
    <row r="6" spans="1:6">
      <c r="B6">
        <f>_xlfn.XLOOKUP($A6,'Audit Report'!$C:$C,'Audit Report'!D:D)</f>
        <v>0</v>
      </c>
      <c r="C6" t="str">
        <f>_xlfn.XLOOKUP($A6,'Audit Report'!$C:$C,'Audit Report'!G:G)</f>
        <v/>
      </c>
      <c r="D6">
        <f>_xlfn.XLOOKUP($A6,'Audit Report'!$C:$C,'Audit Report'!H:H)</f>
        <v>0</v>
      </c>
      <c r="E6">
        <f>_xlfn.XLOOKUP($A6,'Audit Report'!$C:$C,'Audit Report'!X:X)</f>
        <v>0</v>
      </c>
      <c r="F6">
        <f>_xlfn.XLOOKUP($A6,'Audit Report'!$C:$C,'Audit Report'!P:P)</f>
        <v>0</v>
      </c>
    </row>
    <row r="7" spans="1:6">
      <c r="B7">
        <f>_xlfn.XLOOKUP($A7,'Audit Report'!$C:$C,'Audit Report'!D:D)</f>
        <v>0</v>
      </c>
      <c r="C7" t="str">
        <f>_xlfn.XLOOKUP($A7,'Audit Report'!$C:$C,'Audit Report'!G:G)</f>
        <v/>
      </c>
      <c r="D7">
        <f>_xlfn.XLOOKUP($A7,'Audit Report'!$C:$C,'Audit Report'!H:H)</f>
        <v>0</v>
      </c>
      <c r="E7">
        <f>_xlfn.XLOOKUP($A7,'Audit Report'!$C:$C,'Audit Report'!X:X)</f>
        <v>0</v>
      </c>
      <c r="F7">
        <f>_xlfn.XLOOKUP($A7,'Audit Report'!$C:$C,'Audit Report'!P:P)</f>
        <v>0</v>
      </c>
    </row>
    <row r="8" spans="1:6">
      <c r="B8">
        <f>_xlfn.XLOOKUP($A8,'Audit Report'!$C:$C,'Audit Report'!D:D)</f>
        <v>0</v>
      </c>
      <c r="C8" t="str">
        <f>_xlfn.XLOOKUP($A8,'Audit Report'!$C:$C,'Audit Report'!G:G)</f>
        <v/>
      </c>
      <c r="D8">
        <f>_xlfn.XLOOKUP($A8,'Audit Report'!$C:$C,'Audit Report'!H:H)</f>
        <v>0</v>
      </c>
      <c r="E8">
        <f>_xlfn.XLOOKUP($A8,'Audit Report'!$C:$C,'Audit Report'!X:X)</f>
        <v>0</v>
      </c>
      <c r="F8">
        <f>_xlfn.XLOOKUP($A8,'Audit Report'!$C:$C,'Audit Report'!P:P)</f>
        <v>0</v>
      </c>
    </row>
    <row r="9" spans="1:6">
      <c r="B9">
        <f>_xlfn.XLOOKUP($A9,'Audit Report'!$C:$C,'Audit Report'!D:D)</f>
        <v>0</v>
      </c>
      <c r="C9" t="str">
        <f>_xlfn.XLOOKUP($A9,'Audit Report'!$C:$C,'Audit Report'!G:G)</f>
        <v/>
      </c>
      <c r="D9">
        <f>_xlfn.XLOOKUP($A9,'Audit Report'!$C:$C,'Audit Report'!H:H)</f>
        <v>0</v>
      </c>
      <c r="E9">
        <f>_xlfn.XLOOKUP($A9,'Audit Report'!$C:$C,'Audit Report'!X:X)</f>
        <v>0</v>
      </c>
      <c r="F9">
        <f>_xlfn.XLOOKUP($A9,'Audit Report'!$C:$C,'Audit Report'!P:P)</f>
        <v>0</v>
      </c>
    </row>
    <row r="10" spans="1:6">
      <c r="B10">
        <f>_xlfn.XLOOKUP($A10,'Audit Report'!$C:$C,'Audit Report'!D:D)</f>
        <v>0</v>
      </c>
      <c r="C10" t="str">
        <f>_xlfn.XLOOKUP($A10,'Audit Report'!$C:$C,'Audit Report'!G:G)</f>
        <v/>
      </c>
      <c r="D10">
        <f>_xlfn.XLOOKUP($A10,'Audit Report'!$C:$C,'Audit Report'!H:H)</f>
        <v>0</v>
      </c>
      <c r="E10">
        <f>_xlfn.XLOOKUP($A10,'Audit Report'!$C:$C,'Audit Report'!X:X)</f>
        <v>0</v>
      </c>
      <c r="F10">
        <f>_xlfn.XLOOKUP($A10,'Audit Report'!$C:$C,'Audit Report'!P:P)</f>
        <v>0</v>
      </c>
    </row>
    <row r="11" spans="1:6">
      <c r="B11">
        <f>_xlfn.XLOOKUP($A11,'Audit Report'!$C:$C,'Audit Report'!D:D)</f>
        <v>0</v>
      </c>
      <c r="C11" t="str">
        <f>_xlfn.XLOOKUP($A11,'Audit Report'!$C:$C,'Audit Report'!G:G)</f>
        <v/>
      </c>
      <c r="D11">
        <f>_xlfn.XLOOKUP($A11,'Audit Report'!$C:$C,'Audit Report'!H:H)</f>
        <v>0</v>
      </c>
      <c r="E11">
        <f>_xlfn.XLOOKUP($A11,'Audit Report'!$C:$C,'Audit Report'!X:X)</f>
        <v>0</v>
      </c>
      <c r="F11">
        <f>_xlfn.XLOOKUP($A11,'Audit Report'!$C:$C,'Audit Report'!P:P)</f>
        <v>0</v>
      </c>
    </row>
    <row r="12" spans="1:6">
      <c r="B12">
        <f>_xlfn.XLOOKUP($A12,'Audit Report'!$C:$C,'Audit Report'!D:D)</f>
        <v>0</v>
      </c>
      <c r="C12" t="str">
        <f>_xlfn.XLOOKUP($A12,'Audit Report'!$C:$C,'Audit Report'!G:G)</f>
        <v/>
      </c>
      <c r="D12">
        <f>_xlfn.XLOOKUP($A12,'Audit Report'!$C:$C,'Audit Report'!H:H)</f>
        <v>0</v>
      </c>
      <c r="E12">
        <f>_xlfn.XLOOKUP($A12,'Audit Report'!$C:$C,'Audit Report'!X:X)</f>
        <v>0</v>
      </c>
      <c r="F12">
        <f>_xlfn.XLOOKUP($A12,'Audit Report'!$C:$C,'Audit Report'!P:P)</f>
        <v>0</v>
      </c>
    </row>
    <row r="13" spans="1:6">
      <c r="B13">
        <f>_xlfn.XLOOKUP($A13,'Audit Report'!$C:$C,'Audit Report'!D:D)</f>
        <v>0</v>
      </c>
      <c r="C13" t="str">
        <f>_xlfn.XLOOKUP($A13,'Audit Report'!$C:$C,'Audit Report'!G:G)</f>
        <v/>
      </c>
      <c r="D13">
        <f>_xlfn.XLOOKUP($A13,'Audit Report'!$C:$C,'Audit Report'!H:H)</f>
        <v>0</v>
      </c>
      <c r="E13">
        <f>_xlfn.XLOOKUP($A13,'Audit Report'!$C:$C,'Audit Report'!X:X)</f>
        <v>0</v>
      </c>
      <c r="F13">
        <f>_xlfn.XLOOKUP($A13,'Audit Report'!$C:$C,'Audit Report'!P:P)</f>
        <v>0</v>
      </c>
    </row>
    <row r="14" spans="1:6">
      <c r="B14">
        <f>_xlfn.XLOOKUP($A14,'Audit Report'!$C:$C,'Audit Report'!D:D)</f>
        <v>0</v>
      </c>
      <c r="C14" t="str">
        <f>_xlfn.XLOOKUP($A14,'Audit Report'!$C:$C,'Audit Report'!G:G)</f>
        <v/>
      </c>
      <c r="D14">
        <f>_xlfn.XLOOKUP($A14,'Audit Report'!$C:$C,'Audit Report'!H:H)</f>
        <v>0</v>
      </c>
      <c r="E14">
        <f>_xlfn.XLOOKUP($A14,'Audit Report'!$C:$C,'Audit Report'!X:X)</f>
        <v>0</v>
      </c>
      <c r="F14">
        <f>_xlfn.XLOOKUP($A14,'Audit Report'!$C:$C,'Audit Report'!P:P)</f>
        <v>0</v>
      </c>
    </row>
    <row r="15" spans="1:6">
      <c r="B15">
        <f>_xlfn.XLOOKUP($A15,'Audit Report'!$C:$C,'Audit Report'!D:D)</f>
        <v>0</v>
      </c>
      <c r="C15" t="str">
        <f>_xlfn.XLOOKUP($A15,'Audit Report'!$C:$C,'Audit Report'!G:G)</f>
        <v/>
      </c>
      <c r="D15">
        <f>_xlfn.XLOOKUP($A15,'Audit Report'!$C:$C,'Audit Report'!H:H)</f>
        <v>0</v>
      </c>
      <c r="E15">
        <f>_xlfn.XLOOKUP($A15,'Audit Report'!$C:$C,'Audit Report'!X:X)</f>
        <v>0</v>
      </c>
      <c r="F15">
        <f>_xlfn.XLOOKUP($A15,'Audit Report'!$C:$C,'Audit Report'!P:P)</f>
        <v>0</v>
      </c>
    </row>
    <row r="16" spans="1:6">
      <c r="B16">
        <f>_xlfn.XLOOKUP($A16,'Audit Report'!$C:$C,'Audit Report'!D:D)</f>
        <v>0</v>
      </c>
      <c r="C16" t="str">
        <f>_xlfn.XLOOKUP($A16,'Audit Report'!$C:$C,'Audit Report'!G:G)</f>
        <v/>
      </c>
      <c r="D16">
        <f>_xlfn.XLOOKUP($A16,'Audit Report'!$C:$C,'Audit Report'!H:H)</f>
        <v>0</v>
      </c>
      <c r="E16">
        <f>_xlfn.XLOOKUP($A16,'Audit Report'!$C:$C,'Audit Report'!X:X)</f>
        <v>0</v>
      </c>
      <c r="F16">
        <f>_xlfn.XLOOKUP($A16,'Audit Report'!$C:$C,'Audit Report'!P:P)</f>
        <v>0</v>
      </c>
    </row>
    <row r="17" spans="2:6">
      <c r="B17">
        <f>_xlfn.XLOOKUP($A17,'Audit Report'!$C:$C,'Audit Report'!D:D)</f>
        <v>0</v>
      </c>
      <c r="C17" t="str">
        <f>_xlfn.XLOOKUP($A17,'Audit Report'!$C:$C,'Audit Report'!G:G)</f>
        <v/>
      </c>
      <c r="D17">
        <f>_xlfn.XLOOKUP($A17,'Audit Report'!$C:$C,'Audit Report'!H:H)</f>
        <v>0</v>
      </c>
      <c r="E17">
        <f>_xlfn.XLOOKUP($A17,'Audit Report'!$C:$C,'Audit Report'!X:X)</f>
        <v>0</v>
      </c>
      <c r="F17">
        <f>_xlfn.XLOOKUP($A17,'Audit Report'!$C:$C,'Audit Report'!P:P)</f>
        <v>0</v>
      </c>
    </row>
    <row r="18" spans="2:6">
      <c r="B18">
        <f>_xlfn.XLOOKUP($A18,'Audit Report'!$C:$C,'Audit Report'!D:D)</f>
        <v>0</v>
      </c>
      <c r="C18" t="str">
        <f>_xlfn.XLOOKUP($A18,'Audit Report'!$C:$C,'Audit Report'!G:G)</f>
        <v/>
      </c>
      <c r="D18">
        <f>_xlfn.XLOOKUP($A18,'Audit Report'!$C:$C,'Audit Report'!H:H)</f>
        <v>0</v>
      </c>
      <c r="E18">
        <f>_xlfn.XLOOKUP($A18,'Audit Report'!$C:$C,'Audit Report'!X:X)</f>
        <v>0</v>
      </c>
      <c r="F18">
        <f>_xlfn.XLOOKUP($A18,'Audit Report'!$C:$C,'Audit Report'!P:P)</f>
        <v>0</v>
      </c>
    </row>
    <row r="19" spans="2:6">
      <c r="B19">
        <f>_xlfn.XLOOKUP($A19,'Audit Report'!$C:$C,'Audit Report'!D:D)</f>
        <v>0</v>
      </c>
      <c r="C19" t="str">
        <f>_xlfn.XLOOKUP($A19,'Audit Report'!$C:$C,'Audit Report'!G:G)</f>
        <v/>
      </c>
      <c r="D19">
        <f>_xlfn.XLOOKUP($A19,'Audit Report'!$C:$C,'Audit Report'!H:H)</f>
        <v>0</v>
      </c>
      <c r="E19">
        <f>_xlfn.XLOOKUP($A19,'Audit Report'!$C:$C,'Audit Report'!X:X)</f>
        <v>0</v>
      </c>
      <c r="F19">
        <f>_xlfn.XLOOKUP($A19,'Audit Report'!$C:$C,'Audit Report'!P:P)</f>
        <v>0</v>
      </c>
    </row>
    <row r="20" spans="2:6">
      <c r="B20">
        <f>_xlfn.XLOOKUP($A20,'Audit Report'!$C:$C,'Audit Report'!D:D)</f>
        <v>0</v>
      </c>
      <c r="C20" t="str">
        <f>_xlfn.XLOOKUP($A20,'Audit Report'!$C:$C,'Audit Report'!G:G)</f>
        <v/>
      </c>
      <c r="D20">
        <f>_xlfn.XLOOKUP($A20,'Audit Report'!$C:$C,'Audit Report'!H:H)</f>
        <v>0</v>
      </c>
      <c r="E20">
        <f>_xlfn.XLOOKUP($A20,'Audit Report'!$C:$C,'Audit Report'!X:X)</f>
        <v>0</v>
      </c>
      <c r="F20">
        <f>_xlfn.XLOOKUP($A20,'Audit Report'!$C:$C,'Audit Report'!P:P)</f>
        <v>0</v>
      </c>
    </row>
    <row r="21" spans="2:6">
      <c r="B21">
        <f>_xlfn.XLOOKUP($A21,'Audit Report'!$C:$C,'Audit Report'!D:D)</f>
        <v>0</v>
      </c>
      <c r="C21" t="str">
        <f>_xlfn.XLOOKUP($A21,'Audit Report'!$C:$C,'Audit Report'!G:G)</f>
        <v/>
      </c>
      <c r="D21">
        <f>_xlfn.XLOOKUP($A21,'Audit Report'!$C:$C,'Audit Report'!H:H)</f>
        <v>0</v>
      </c>
      <c r="E21">
        <f>_xlfn.XLOOKUP($A21,'Audit Report'!$C:$C,'Audit Report'!X:X)</f>
        <v>0</v>
      </c>
      <c r="F21">
        <f>_xlfn.XLOOKUP($A21,'Audit Report'!$C:$C,'Audit Report'!P:P)</f>
        <v>0</v>
      </c>
    </row>
    <row r="22" spans="2:6">
      <c r="B22">
        <f>_xlfn.XLOOKUP($A22,'Audit Report'!$C:$C,'Audit Report'!D:D)</f>
        <v>0</v>
      </c>
      <c r="C22" t="str">
        <f>_xlfn.XLOOKUP($A22,'Audit Report'!$C:$C,'Audit Report'!G:G)</f>
        <v/>
      </c>
      <c r="D22">
        <f>_xlfn.XLOOKUP($A22,'Audit Report'!$C:$C,'Audit Report'!H:H)</f>
        <v>0</v>
      </c>
      <c r="E22">
        <f>_xlfn.XLOOKUP($A22,'Audit Report'!$C:$C,'Audit Report'!X:X)</f>
        <v>0</v>
      </c>
      <c r="F22">
        <f>_xlfn.XLOOKUP($A22,'Audit Report'!$C:$C,'Audit Report'!P:P)</f>
        <v>0</v>
      </c>
    </row>
    <row r="23" spans="2:6">
      <c r="B23">
        <f>_xlfn.XLOOKUP($A23,'Audit Report'!$C:$C,'Audit Report'!D:D)</f>
        <v>0</v>
      </c>
      <c r="C23" t="str">
        <f>_xlfn.XLOOKUP($A23,'Audit Report'!$C:$C,'Audit Report'!G:G)</f>
        <v/>
      </c>
      <c r="D23">
        <f>_xlfn.XLOOKUP($A23,'Audit Report'!$C:$C,'Audit Report'!H:H)</f>
        <v>0</v>
      </c>
      <c r="E23">
        <f>_xlfn.XLOOKUP($A23,'Audit Report'!$C:$C,'Audit Report'!X:X)</f>
        <v>0</v>
      </c>
      <c r="F23">
        <f>_xlfn.XLOOKUP($A23,'Audit Report'!$C:$C,'Audit Report'!P:P)</f>
        <v>0</v>
      </c>
    </row>
    <row r="24" spans="2:6">
      <c r="B24">
        <f>_xlfn.XLOOKUP($A24,'Audit Report'!$C:$C,'Audit Report'!D:D)</f>
        <v>0</v>
      </c>
      <c r="C24" t="str">
        <f>_xlfn.XLOOKUP($A24,'Audit Report'!$C:$C,'Audit Report'!G:G)</f>
        <v/>
      </c>
      <c r="D24">
        <f>_xlfn.XLOOKUP($A24,'Audit Report'!$C:$C,'Audit Report'!H:H)</f>
        <v>0</v>
      </c>
      <c r="E24">
        <f>_xlfn.XLOOKUP($A24,'Audit Report'!$C:$C,'Audit Report'!X:X)</f>
        <v>0</v>
      </c>
      <c r="F24">
        <f>_xlfn.XLOOKUP($A24,'Audit Report'!$C:$C,'Audit Report'!P:P)</f>
        <v>0</v>
      </c>
    </row>
    <row r="25" spans="2:6">
      <c r="B25">
        <f>_xlfn.XLOOKUP($A25,'Audit Report'!$C:$C,'Audit Report'!D:D)</f>
        <v>0</v>
      </c>
      <c r="C25" t="str">
        <f>_xlfn.XLOOKUP($A25,'Audit Report'!$C:$C,'Audit Report'!G:G)</f>
        <v/>
      </c>
      <c r="D25">
        <f>_xlfn.XLOOKUP($A25,'Audit Report'!$C:$C,'Audit Report'!H:H)</f>
        <v>0</v>
      </c>
      <c r="E25">
        <f>_xlfn.XLOOKUP($A25,'Audit Report'!$C:$C,'Audit Report'!X:X)</f>
        <v>0</v>
      </c>
      <c r="F25">
        <f>_xlfn.XLOOKUP($A25,'Audit Report'!$C:$C,'Audit Report'!P:P)</f>
        <v>0</v>
      </c>
    </row>
    <row r="26" spans="2:6">
      <c r="B26">
        <f>_xlfn.XLOOKUP($A26,'Audit Report'!$C:$C,'Audit Report'!D:D)</f>
        <v>0</v>
      </c>
      <c r="C26" t="str">
        <f>_xlfn.XLOOKUP($A26,'Audit Report'!$C:$C,'Audit Report'!G:G)</f>
        <v/>
      </c>
      <c r="D26">
        <f>_xlfn.XLOOKUP($A26,'Audit Report'!$C:$C,'Audit Report'!H:H)</f>
        <v>0</v>
      </c>
      <c r="E26">
        <f>_xlfn.XLOOKUP($A26,'Audit Report'!$C:$C,'Audit Report'!X:X)</f>
        <v>0</v>
      </c>
      <c r="F26">
        <f>_xlfn.XLOOKUP($A26,'Audit Report'!$C:$C,'Audit Report'!P:P)</f>
        <v>0</v>
      </c>
    </row>
    <row r="27" spans="2:6">
      <c r="B27">
        <f>_xlfn.XLOOKUP($A27,'Audit Report'!$C:$C,'Audit Report'!D:D)</f>
        <v>0</v>
      </c>
      <c r="C27" t="str">
        <f>_xlfn.XLOOKUP($A27,'Audit Report'!$C:$C,'Audit Report'!G:G)</f>
        <v/>
      </c>
      <c r="D27">
        <f>_xlfn.XLOOKUP($A27,'Audit Report'!$C:$C,'Audit Report'!H:H)</f>
        <v>0</v>
      </c>
      <c r="E27">
        <f>_xlfn.XLOOKUP($A27,'Audit Report'!$C:$C,'Audit Report'!X:X)</f>
        <v>0</v>
      </c>
      <c r="F27">
        <f>_xlfn.XLOOKUP($A27,'Audit Report'!$C:$C,'Audit Report'!P:P)</f>
        <v>0</v>
      </c>
    </row>
    <row r="28" spans="2:6">
      <c r="B28">
        <f>_xlfn.XLOOKUP($A28,'Audit Report'!$C:$C,'Audit Report'!D:D)</f>
        <v>0</v>
      </c>
      <c r="C28" t="str">
        <f>_xlfn.XLOOKUP($A28,'Audit Report'!$C:$C,'Audit Report'!G:G)</f>
        <v/>
      </c>
      <c r="D28">
        <f>_xlfn.XLOOKUP($A28,'Audit Report'!$C:$C,'Audit Report'!H:H)</f>
        <v>0</v>
      </c>
      <c r="E28">
        <f>_xlfn.XLOOKUP($A28,'Audit Report'!$C:$C,'Audit Report'!X:X)</f>
        <v>0</v>
      </c>
      <c r="F28">
        <f>_xlfn.XLOOKUP($A28,'Audit Report'!$C:$C,'Audit Report'!P:P)</f>
        <v>0</v>
      </c>
    </row>
    <row r="29" spans="2:6">
      <c r="B29">
        <f>_xlfn.XLOOKUP($A29,'Audit Report'!$C:$C,'Audit Report'!D:D)</f>
        <v>0</v>
      </c>
      <c r="C29" t="str">
        <f>_xlfn.XLOOKUP($A29,'Audit Report'!$C:$C,'Audit Report'!G:G)</f>
        <v/>
      </c>
      <c r="D29">
        <f>_xlfn.XLOOKUP($A29,'Audit Report'!$C:$C,'Audit Report'!H:H)</f>
        <v>0</v>
      </c>
      <c r="E29">
        <f>_xlfn.XLOOKUP($A29,'Audit Report'!$C:$C,'Audit Report'!X:X)</f>
        <v>0</v>
      </c>
      <c r="F29">
        <f>_xlfn.XLOOKUP($A29,'Audit Report'!$C:$C,'Audit Report'!P:P)</f>
        <v>0</v>
      </c>
    </row>
    <row r="30" spans="2:6">
      <c r="B30">
        <f>_xlfn.XLOOKUP($A30,'Audit Report'!$C:$C,'Audit Report'!D:D)</f>
        <v>0</v>
      </c>
      <c r="C30" t="str">
        <f>_xlfn.XLOOKUP($A30,'Audit Report'!$C:$C,'Audit Report'!G:G)</f>
        <v/>
      </c>
      <c r="D30">
        <f>_xlfn.XLOOKUP($A30,'Audit Report'!$C:$C,'Audit Report'!H:H)</f>
        <v>0</v>
      </c>
      <c r="E30">
        <f>_xlfn.XLOOKUP($A30,'Audit Report'!$C:$C,'Audit Report'!X:X)</f>
        <v>0</v>
      </c>
      <c r="F30">
        <f>_xlfn.XLOOKUP($A30,'Audit Report'!$C:$C,'Audit Report'!P:P)</f>
        <v>0</v>
      </c>
    </row>
    <row r="31" spans="2:6">
      <c r="B31">
        <f>_xlfn.XLOOKUP($A31,'Audit Report'!$C:$C,'Audit Report'!D:D)</f>
        <v>0</v>
      </c>
      <c r="C31" t="str">
        <f>_xlfn.XLOOKUP($A31,'Audit Report'!$C:$C,'Audit Report'!G:G)</f>
        <v/>
      </c>
      <c r="D31">
        <f>_xlfn.XLOOKUP($A31,'Audit Report'!$C:$C,'Audit Report'!H:H)</f>
        <v>0</v>
      </c>
      <c r="E31">
        <f>_xlfn.XLOOKUP($A31,'Audit Report'!$C:$C,'Audit Report'!X:X)</f>
        <v>0</v>
      </c>
      <c r="F31">
        <f>_xlfn.XLOOKUP($A31,'Audit Report'!$C:$C,'Audit Report'!P:P)</f>
        <v>0</v>
      </c>
    </row>
    <row r="32" spans="2:6">
      <c r="B32">
        <f>_xlfn.XLOOKUP($A32,'Audit Report'!$C:$C,'Audit Report'!D:D)</f>
        <v>0</v>
      </c>
      <c r="C32" t="str">
        <f>_xlfn.XLOOKUP($A32,'Audit Report'!$C:$C,'Audit Report'!G:G)</f>
        <v/>
      </c>
      <c r="D32">
        <f>_xlfn.XLOOKUP($A32,'Audit Report'!$C:$C,'Audit Report'!H:H)</f>
        <v>0</v>
      </c>
      <c r="E32">
        <f>_xlfn.XLOOKUP($A32,'Audit Report'!$C:$C,'Audit Report'!X:X)</f>
        <v>0</v>
      </c>
      <c r="F32">
        <f>_xlfn.XLOOKUP($A32,'Audit Report'!$C:$C,'Audit Report'!P:P)</f>
        <v>0</v>
      </c>
    </row>
    <row r="33" spans="2:6">
      <c r="B33">
        <f>_xlfn.XLOOKUP($A33,'Audit Report'!$C:$C,'Audit Report'!D:D)</f>
        <v>0</v>
      </c>
      <c r="C33" t="str">
        <f>_xlfn.XLOOKUP($A33,'Audit Report'!$C:$C,'Audit Report'!G:G)</f>
        <v/>
      </c>
      <c r="D33">
        <f>_xlfn.XLOOKUP($A33,'Audit Report'!$C:$C,'Audit Report'!H:H)</f>
        <v>0</v>
      </c>
      <c r="E33">
        <f>_xlfn.XLOOKUP($A33,'Audit Report'!$C:$C,'Audit Report'!X:X)</f>
        <v>0</v>
      </c>
      <c r="F33">
        <f>_xlfn.XLOOKUP($A33,'Audit Report'!$C:$C,'Audit Report'!P:P)</f>
        <v>0</v>
      </c>
    </row>
    <row r="34" spans="2:6">
      <c r="B34">
        <f>_xlfn.XLOOKUP($A34,'Audit Report'!$C:$C,'Audit Report'!D:D)</f>
        <v>0</v>
      </c>
      <c r="C34" t="str">
        <f>_xlfn.XLOOKUP($A34,'Audit Report'!$C:$C,'Audit Report'!G:G)</f>
        <v/>
      </c>
      <c r="D34">
        <f>_xlfn.XLOOKUP($A34,'Audit Report'!$C:$C,'Audit Report'!H:H)</f>
        <v>0</v>
      </c>
      <c r="E34">
        <f>_xlfn.XLOOKUP($A34,'Audit Report'!$C:$C,'Audit Report'!X:X)</f>
        <v>0</v>
      </c>
      <c r="F34">
        <f>_xlfn.XLOOKUP($A34,'Audit Report'!$C:$C,'Audit Report'!P:P)</f>
        <v>0</v>
      </c>
    </row>
    <row r="35" spans="2:6">
      <c r="B35">
        <f>_xlfn.XLOOKUP($A35,'Audit Report'!$C:$C,'Audit Report'!D:D)</f>
        <v>0</v>
      </c>
      <c r="C35" t="str">
        <f>_xlfn.XLOOKUP($A35,'Audit Report'!$C:$C,'Audit Report'!G:G)</f>
        <v/>
      </c>
      <c r="D35">
        <f>_xlfn.XLOOKUP($A35,'Audit Report'!$C:$C,'Audit Report'!H:H)</f>
        <v>0</v>
      </c>
      <c r="E35">
        <f>_xlfn.XLOOKUP($A35,'Audit Report'!$C:$C,'Audit Report'!X:X)</f>
        <v>0</v>
      </c>
      <c r="F35">
        <f>_xlfn.XLOOKUP($A35,'Audit Report'!$C:$C,'Audit Report'!P:P)</f>
        <v>0</v>
      </c>
    </row>
    <row r="36" spans="2:6">
      <c r="B36">
        <f>_xlfn.XLOOKUP($A36,'Audit Report'!$C:$C,'Audit Report'!D:D)</f>
        <v>0</v>
      </c>
      <c r="C36" t="str">
        <f>_xlfn.XLOOKUP($A36,'Audit Report'!$C:$C,'Audit Report'!G:G)</f>
        <v/>
      </c>
      <c r="D36">
        <f>_xlfn.XLOOKUP($A36,'Audit Report'!$C:$C,'Audit Report'!H:H)</f>
        <v>0</v>
      </c>
      <c r="E36">
        <f>_xlfn.XLOOKUP($A36,'Audit Report'!$C:$C,'Audit Report'!X:X)</f>
        <v>0</v>
      </c>
      <c r="F36">
        <f>_xlfn.XLOOKUP($A36,'Audit Report'!$C:$C,'Audit Report'!P:P)</f>
        <v>0</v>
      </c>
    </row>
    <row r="37" spans="2:6">
      <c r="B37">
        <f>_xlfn.XLOOKUP($A37,'Audit Report'!$C:$C,'Audit Report'!D:D)</f>
        <v>0</v>
      </c>
      <c r="C37" t="str">
        <f>_xlfn.XLOOKUP($A37,'Audit Report'!$C:$C,'Audit Report'!G:G)</f>
        <v/>
      </c>
      <c r="D37">
        <f>_xlfn.XLOOKUP($A37,'Audit Report'!$C:$C,'Audit Report'!H:H)</f>
        <v>0</v>
      </c>
      <c r="E37">
        <f>_xlfn.XLOOKUP($A37,'Audit Report'!$C:$C,'Audit Report'!X:X)</f>
        <v>0</v>
      </c>
      <c r="F37">
        <f>_xlfn.XLOOKUP($A37,'Audit Report'!$C:$C,'Audit Report'!P:P)</f>
        <v>0</v>
      </c>
    </row>
    <row r="38" spans="2:6">
      <c r="B38">
        <f>_xlfn.XLOOKUP($A38,'Audit Report'!$C:$C,'Audit Report'!D:D)</f>
        <v>0</v>
      </c>
      <c r="C38" t="str">
        <f>_xlfn.XLOOKUP($A38,'Audit Report'!$C:$C,'Audit Report'!G:G)</f>
        <v/>
      </c>
      <c r="D38">
        <f>_xlfn.XLOOKUP($A38,'Audit Report'!$C:$C,'Audit Report'!H:H)</f>
        <v>0</v>
      </c>
      <c r="E38">
        <f>_xlfn.XLOOKUP($A38,'Audit Report'!$C:$C,'Audit Report'!X:X)</f>
        <v>0</v>
      </c>
      <c r="F38">
        <f>_xlfn.XLOOKUP($A38,'Audit Report'!$C:$C,'Audit Report'!P:P)</f>
        <v>0</v>
      </c>
    </row>
    <row r="39" spans="2:6">
      <c r="B39">
        <f>_xlfn.XLOOKUP($A39,'Audit Report'!$C:$C,'Audit Report'!D:D)</f>
        <v>0</v>
      </c>
      <c r="C39" t="str">
        <f>_xlfn.XLOOKUP($A39,'Audit Report'!$C:$C,'Audit Report'!G:G)</f>
        <v/>
      </c>
      <c r="D39">
        <f>_xlfn.XLOOKUP($A39,'Audit Report'!$C:$C,'Audit Report'!H:H)</f>
        <v>0</v>
      </c>
      <c r="E39">
        <f>_xlfn.XLOOKUP($A39,'Audit Report'!$C:$C,'Audit Report'!X:X)</f>
        <v>0</v>
      </c>
      <c r="F39">
        <f>_xlfn.XLOOKUP($A39,'Audit Report'!$C:$C,'Audit Report'!P:P)</f>
        <v>0</v>
      </c>
    </row>
    <row r="40" spans="2:6">
      <c r="B40">
        <f>_xlfn.XLOOKUP($A40,'Audit Report'!$C:$C,'Audit Report'!D:D)</f>
        <v>0</v>
      </c>
      <c r="C40" t="str">
        <f>_xlfn.XLOOKUP($A40,'Audit Report'!$C:$C,'Audit Report'!G:G)</f>
        <v/>
      </c>
      <c r="D40">
        <f>_xlfn.XLOOKUP($A40,'Audit Report'!$C:$C,'Audit Report'!H:H)</f>
        <v>0</v>
      </c>
      <c r="E40">
        <f>_xlfn.XLOOKUP($A40,'Audit Report'!$C:$C,'Audit Report'!X:X)</f>
        <v>0</v>
      </c>
      <c r="F40">
        <f>_xlfn.XLOOKUP($A40,'Audit Report'!$C:$C,'Audit Report'!P:P)</f>
        <v>0</v>
      </c>
    </row>
    <row r="41" spans="2:6">
      <c r="B41">
        <f>_xlfn.XLOOKUP($A41,'Audit Report'!$C:$C,'Audit Report'!D:D)</f>
        <v>0</v>
      </c>
      <c r="C41" t="str">
        <f>_xlfn.XLOOKUP($A41,'Audit Report'!$C:$C,'Audit Report'!G:G)</f>
        <v/>
      </c>
      <c r="D41">
        <f>_xlfn.XLOOKUP($A41,'Audit Report'!$C:$C,'Audit Report'!H:H)</f>
        <v>0</v>
      </c>
      <c r="E41">
        <f>_xlfn.XLOOKUP($A41,'Audit Report'!$C:$C,'Audit Report'!X:X)</f>
        <v>0</v>
      </c>
      <c r="F41">
        <f>_xlfn.XLOOKUP($A41,'Audit Report'!$C:$C,'Audit Report'!P:P)</f>
        <v>0</v>
      </c>
    </row>
    <row r="42" spans="2:6">
      <c r="B42">
        <f>_xlfn.XLOOKUP($A42,'Audit Report'!$C:$C,'Audit Report'!D:D)</f>
        <v>0</v>
      </c>
      <c r="C42" t="str">
        <f>_xlfn.XLOOKUP($A42,'Audit Report'!$C:$C,'Audit Report'!G:G)</f>
        <v/>
      </c>
      <c r="D42">
        <f>_xlfn.XLOOKUP($A42,'Audit Report'!$C:$C,'Audit Report'!H:H)</f>
        <v>0</v>
      </c>
      <c r="E42">
        <f>_xlfn.XLOOKUP($A42,'Audit Report'!$C:$C,'Audit Report'!X:X)</f>
        <v>0</v>
      </c>
      <c r="F42">
        <f>_xlfn.XLOOKUP($A42,'Audit Report'!$C:$C,'Audit Report'!P:P)</f>
        <v>0</v>
      </c>
    </row>
    <row r="43" spans="2:6">
      <c r="B43">
        <f>_xlfn.XLOOKUP($A43,'Audit Report'!$C:$C,'Audit Report'!D:D)</f>
        <v>0</v>
      </c>
      <c r="C43" t="str">
        <f>_xlfn.XLOOKUP($A43,'Audit Report'!$C:$C,'Audit Report'!G:G)</f>
        <v/>
      </c>
      <c r="D43">
        <f>_xlfn.XLOOKUP($A43,'Audit Report'!$C:$C,'Audit Report'!H:H)</f>
        <v>0</v>
      </c>
      <c r="E43">
        <f>_xlfn.XLOOKUP($A43,'Audit Report'!$C:$C,'Audit Report'!X:X)</f>
        <v>0</v>
      </c>
      <c r="F43">
        <f>_xlfn.XLOOKUP($A43,'Audit Report'!$C:$C,'Audit Report'!P:P)</f>
        <v>0</v>
      </c>
    </row>
    <row r="44" spans="2:6">
      <c r="B44">
        <f>_xlfn.XLOOKUP($A44,'Audit Report'!$C:$C,'Audit Report'!D:D)</f>
        <v>0</v>
      </c>
      <c r="C44" t="str">
        <f>_xlfn.XLOOKUP($A44,'Audit Report'!$C:$C,'Audit Report'!G:G)</f>
        <v/>
      </c>
      <c r="D44">
        <f>_xlfn.XLOOKUP($A44,'Audit Report'!$C:$C,'Audit Report'!H:H)</f>
        <v>0</v>
      </c>
      <c r="E44">
        <f>_xlfn.XLOOKUP($A44,'Audit Report'!$C:$C,'Audit Report'!X:X)</f>
        <v>0</v>
      </c>
      <c r="F44">
        <f>_xlfn.XLOOKUP($A44,'Audit Report'!$C:$C,'Audit Report'!P:P)</f>
        <v>0</v>
      </c>
    </row>
    <row r="45" spans="2:6">
      <c r="B45">
        <f>_xlfn.XLOOKUP($A45,'Audit Report'!$C:$C,'Audit Report'!D:D)</f>
        <v>0</v>
      </c>
      <c r="C45" t="str">
        <f>_xlfn.XLOOKUP($A45,'Audit Report'!$C:$C,'Audit Report'!G:G)</f>
        <v/>
      </c>
      <c r="D45">
        <f>_xlfn.XLOOKUP($A45,'Audit Report'!$C:$C,'Audit Report'!H:H)</f>
        <v>0</v>
      </c>
      <c r="E45">
        <f>_xlfn.XLOOKUP($A45,'Audit Report'!$C:$C,'Audit Report'!X:X)</f>
        <v>0</v>
      </c>
      <c r="F45">
        <f>_xlfn.XLOOKUP($A45,'Audit Report'!$C:$C,'Audit Report'!P:P)</f>
        <v>0</v>
      </c>
    </row>
    <row r="46" spans="2:6">
      <c r="B46">
        <f>_xlfn.XLOOKUP($A46,'Audit Report'!$C:$C,'Audit Report'!D:D)</f>
        <v>0</v>
      </c>
      <c r="C46" t="str">
        <f>_xlfn.XLOOKUP($A46,'Audit Report'!$C:$C,'Audit Report'!G:G)</f>
        <v/>
      </c>
      <c r="D46">
        <f>_xlfn.XLOOKUP($A46,'Audit Report'!$C:$C,'Audit Report'!H:H)</f>
        <v>0</v>
      </c>
      <c r="E46">
        <f>_xlfn.XLOOKUP($A46,'Audit Report'!$C:$C,'Audit Report'!X:X)</f>
        <v>0</v>
      </c>
      <c r="F46">
        <f>_xlfn.XLOOKUP($A46,'Audit Report'!$C:$C,'Audit Report'!P:P)</f>
        <v>0</v>
      </c>
    </row>
    <row r="47" spans="2:6">
      <c r="B47">
        <f>_xlfn.XLOOKUP($A47,'Audit Report'!$C:$C,'Audit Report'!D:D)</f>
        <v>0</v>
      </c>
      <c r="C47" t="str">
        <f>_xlfn.XLOOKUP($A47,'Audit Report'!$C:$C,'Audit Report'!G:G)</f>
        <v/>
      </c>
      <c r="D47">
        <f>_xlfn.XLOOKUP($A47,'Audit Report'!$C:$C,'Audit Report'!H:H)</f>
        <v>0</v>
      </c>
      <c r="E47">
        <f>_xlfn.XLOOKUP($A47,'Audit Report'!$C:$C,'Audit Report'!X:X)</f>
        <v>0</v>
      </c>
      <c r="F47">
        <f>_xlfn.XLOOKUP($A47,'Audit Report'!$C:$C,'Audit Report'!P:P)</f>
        <v>0</v>
      </c>
    </row>
    <row r="48" spans="2:6">
      <c r="B48">
        <f>_xlfn.XLOOKUP($A48,'Audit Report'!$C:$C,'Audit Report'!D:D)</f>
        <v>0</v>
      </c>
      <c r="C48" t="str">
        <f>_xlfn.XLOOKUP($A48,'Audit Report'!$C:$C,'Audit Report'!G:G)</f>
        <v/>
      </c>
      <c r="D48">
        <f>_xlfn.XLOOKUP($A48,'Audit Report'!$C:$C,'Audit Report'!H:H)</f>
        <v>0</v>
      </c>
      <c r="E48">
        <f>_xlfn.XLOOKUP($A48,'Audit Report'!$C:$C,'Audit Report'!X:X)</f>
        <v>0</v>
      </c>
      <c r="F48">
        <f>_xlfn.XLOOKUP($A48,'Audit Report'!$C:$C,'Audit Report'!P:P)</f>
        <v>0</v>
      </c>
    </row>
    <row r="49" spans="2:6">
      <c r="B49">
        <f>_xlfn.XLOOKUP($A49,'Audit Report'!$C:$C,'Audit Report'!D:D)</f>
        <v>0</v>
      </c>
      <c r="C49" t="str">
        <f>_xlfn.XLOOKUP($A49,'Audit Report'!$C:$C,'Audit Report'!G:G)</f>
        <v/>
      </c>
      <c r="D49">
        <f>_xlfn.XLOOKUP($A49,'Audit Report'!$C:$C,'Audit Report'!H:H)</f>
        <v>0</v>
      </c>
      <c r="E49">
        <f>_xlfn.XLOOKUP($A49,'Audit Report'!$C:$C,'Audit Report'!X:X)</f>
        <v>0</v>
      </c>
      <c r="F49">
        <f>_xlfn.XLOOKUP($A49,'Audit Report'!$C:$C,'Audit Report'!P:P)</f>
        <v>0</v>
      </c>
    </row>
    <row r="50" spans="2:6">
      <c r="B50">
        <f>_xlfn.XLOOKUP($A50,'Audit Report'!$C:$C,'Audit Report'!D:D)</f>
        <v>0</v>
      </c>
      <c r="C50" t="str">
        <f>_xlfn.XLOOKUP($A50,'Audit Report'!$C:$C,'Audit Report'!G:G)</f>
        <v/>
      </c>
      <c r="D50">
        <f>_xlfn.XLOOKUP($A50,'Audit Report'!$C:$C,'Audit Report'!H:H)</f>
        <v>0</v>
      </c>
      <c r="E50">
        <f>_xlfn.XLOOKUP($A50,'Audit Report'!$C:$C,'Audit Report'!X:X)</f>
        <v>0</v>
      </c>
      <c r="F50">
        <f>_xlfn.XLOOKUP($A50,'Audit Report'!$C:$C,'Audit Report'!P:P)</f>
        <v>0</v>
      </c>
    </row>
    <row r="51" spans="2:6">
      <c r="B51">
        <f>_xlfn.XLOOKUP($A51,'Audit Report'!$C:$C,'Audit Report'!D:D)</f>
        <v>0</v>
      </c>
      <c r="C51" t="str">
        <f>_xlfn.XLOOKUP($A51,'Audit Report'!$C:$C,'Audit Report'!G:G)</f>
        <v/>
      </c>
      <c r="D51">
        <f>_xlfn.XLOOKUP($A51,'Audit Report'!$C:$C,'Audit Report'!H:H)</f>
        <v>0</v>
      </c>
      <c r="E51">
        <f>_xlfn.XLOOKUP($A51,'Audit Report'!$C:$C,'Audit Report'!X:X)</f>
        <v>0</v>
      </c>
      <c r="F51">
        <f>_xlfn.XLOOKUP($A51,'Audit Report'!$C:$C,'Audit Report'!P:P)</f>
        <v>0</v>
      </c>
    </row>
    <row r="52" spans="2:6">
      <c r="B52">
        <f>_xlfn.XLOOKUP($A52,'Audit Report'!$C:$C,'Audit Report'!D:D)</f>
        <v>0</v>
      </c>
      <c r="C52" t="str">
        <f>_xlfn.XLOOKUP($A52,'Audit Report'!$C:$C,'Audit Report'!G:G)</f>
        <v/>
      </c>
      <c r="D52">
        <f>_xlfn.XLOOKUP($A52,'Audit Report'!$C:$C,'Audit Report'!H:H)</f>
        <v>0</v>
      </c>
      <c r="E52">
        <f>_xlfn.XLOOKUP($A52,'Audit Report'!$C:$C,'Audit Report'!X:X)</f>
        <v>0</v>
      </c>
      <c r="F52">
        <f>_xlfn.XLOOKUP($A52,'Audit Report'!$C:$C,'Audit Report'!P:P)</f>
        <v>0</v>
      </c>
    </row>
    <row r="53" spans="2:6">
      <c r="B53">
        <f>_xlfn.XLOOKUP($A53,'Audit Report'!$C:$C,'Audit Report'!D:D)</f>
        <v>0</v>
      </c>
      <c r="C53" t="str">
        <f>_xlfn.XLOOKUP($A53,'Audit Report'!$C:$C,'Audit Report'!G:G)</f>
        <v/>
      </c>
      <c r="D53">
        <f>_xlfn.XLOOKUP($A53,'Audit Report'!$C:$C,'Audit Report'!H:H)</f>
        <v>0</v>
      </c>
      <c r="E53">
        <f>_xlfn.XLOOKUP($A53,'Audit Report'!$C:$C,'Audit Report'!X:X)</f>
        <v>0</v>
      </c>
      <c r="F53">
        <f>_xlfn.XLOOKUP($A53,'Audit Report'!$C:$C,'Audit Report'!P:P)</f>
        <v>0</v>
      </c>
    </row>
    <row r="54" spans="2:6">
      <c r="B54">
        <f>_xlfn.XLOOKUP($A54,'Audit Report'!$C:$C,'Audit Report'!D:D)</f>
        <v>0</v>
      </c>
      <c r="C54" t="str">
        <f>_xlfn.XLOOKUP($A54,'Audit Report'!$C:$C,'Audit Report'!G:G)</f>
        <v/>
      </c>
      <c r="D54">
        <f>_xlfn.XLOOKUP($A54,'Audit Report'!$C:$C,'Audit Report'!H:H)</f>
        <v>0</v>
      </c>
      <c r="E54">
        <f>_xlfn.XLOOKUP($A54,'Audit Report'!$C:$C,'Audit Report'!X:X)</f>
        <v>0</v>
      </c>
      <c r="F54">
        <f>_xlfn.XLOOKUP($A54,'Audit Report'!$C:$C,'Audit Report'!P:P)</f>
        <v>0</v>
      </c>
    </row>
    <row r="55" spans="2:6">
      <c r="B55">
        <f>_xlfn.XLOOKUP($A55,'Audit Report'!$C:$C,'Audit Report'!D:D)</f>
        <v>0</v>
      </c>
      <c r="C55" t="str">
        <f>_xlfn.XLOOKUP($A55,'Audit Report'!$C:$C,'Audit Report'!G:G)</f>
        <v/>
      </c>
      <c r="D55">
        <f>_xlfn.XLOOKUP($A55,'Audit Report'!$C:$C,'Audit Report'!H:H)</f>
        <v>0</v>
      </c>
      <c r="E55">
        <f>_xlfn.XLOOKUP($A55,'Audit Report'!$C:$C,'Audit Report'!X:X)</f>
        <v>0</v>
      </c>
      <c r="F55">
        <f>_xlfn.XLOOKUP($A55,'Audit Report'!$C:$C,'Audit Report'!P:P)</f>
        <v>0</v>
      </c>
    </row>
    <row r="56" spans="2:6">
      <c r="B56">
        <f>_xlfn.XLOOKUP($A56,'Audit Report'!$C:$C,'Audit Report'!D:D)</f>
        <v>0</v>
      </c>
      <c r="C56" t="str">
        <f>_xlfn.XLOOKUP($A56,'Audit Report'!$C:$C,'Audit Report'!G:G)</f>
        <v/>
      </c>
      <c r="D56">
        <f>_xlfn.XLOOKUP($A56,'Audit Report'!$C:$C,'Audit Report'!H:H)</f>
        <v>0</v>
      </c>
      <c r="E56">
        <f>_xlfn.XLOOKUP($A56,'Audit Report'!$C:$C,'Audit Report'!X:X)</f>
        <v>0</v>
      </c>
      <c r="F56">
        <f>_xlfn.XLOOKUP($A56,'Audit Report'!$C:$C,'Audit Report'!P:P)</f>
        <v>0</v>
      </c>
    </row>
    <row r="57" spans="2:6">
      <c r="B57">
        <f>_xlfn.XLOOKUP($A57,'Audit Report'!$C:$C,'Audit Report'!D:D)</f>
        <v>0</v>
      </c>
      <c r="C57" t="str">
        <f>_xlfn.XLOOKUP($A57,'Audit Report'!$C:$C,'Audit Report'!G:G)</f>
        <v/>
      </c>
      <c r="D57">
        <f>_xlfn.XLOOKUP($A57,'Audit Report'!$C:$C,'Audit Report'!H:H)</f>
        <v>0</v>
      </c>
      <c r="E57">
        <f>_xlfn.XLOOKUP($A57,'Audit Report'!$C:$C,'Audit Report'!X:X)</f>
        <v>0</v>
      </c>
      <c r="F57">
        <f>_xlfn.XLOOKUP($A57,'Audit Report'!$C:$C,'Audit Report'!P:P)</f>
        <v>0</v>
      </c>
    </row>
    <row r="58" spans="2:6">
      <c r="B58">
        <f>_xlfn.XLOOKUP($A58,'Audit Report'!$C:$C,'Audit Report'!D:D)</f>
        <v>0</v>
      </c>
      <c r="C58" t="str">
        <f>_xlfn.XLOOKUP($A58,'Audit Report'!$C:$C,'Audit Report'!G:G)</f>
        <v/>
      </c>
      <c r="D58">
        <f>_xlfn.XLOOKUP($A58,'Audit Report'!$C:$C,'Audit Report'!H:H)</f>
        <v>0</v>
      </c>
      <c r="E58">
        <f>_xlfn.XLOOKUP($A58,'Audit Report'!$C:$C,'Audit Report'!X:X)</f>
        <v>0</v>
      </c>
      <c r="F58">
        <f>_xlfn.XLOOKUP($A58,'Audit Report'!$C:$C,'Audit Report'!P:P)</f>
        <v>0</v>
      </c>
    </row>
    <row r="59" spans="2:6">
      <c r="B59">
        <f>_xlfn.XLOOKUP($A59,'Audit Report'!$C:$C,'Audit Report'!D:D)</f>
        <v>0</v>
      </c>
      <c r="C59" t="str">
        <f>_xlfn.XLOOKUP($A59,'Audit Report'!$C:$C,'Audit Report'!G:G)</f>
        <v/>
      </c>
      <c r="D59">
        <f>_xlfn.XLOOKUP($A59,'Audit Report'!$C:$C,'Audit Report'!H:H)</f>
        <v>0</v>
      </c>
      <c r="E59">
        <f>_xlfn.XLOOKUP($A59,'Audit Report'!$C:$C,'Audit Report'!X:X)</f>
        <v>0</v>
      </c>
      <c r="F59">
        <f>_xlfn.XLOOKUP($A59,'Audit Report'!$C:$C,'Audit Report'!P:P)</f>
        <v>0</v>
      </c>
    </row>
    <row r="60" spans="2:6">
      <c r="B60">
        <f>_xlfn.XLOOKUP($A60,'Audit Report'!$C:$C,'Audit Report'!D:D)</f>
        <v>0</v>
      </c>
      <c r="C60" t="str">
        <f>_xlfn.XLOOKUP($A60,'Audit Report'!$C:$C,'Audit Report'!G:G)</f>
        <v/>
      </c>
      <c r="D60">
        <f>_xlfn.XLOOKUP($A60,'Audit Report'!$C:$C,'Audit Report'!H:H)</f>
        <v>0</v>
      </c>
      <c r="E60">
        <f>_xlfn.XLOOKUP($A60,'Audit Report'!$C:$C,'Audit Report'!X:X)</f>
        <v>0</v>
      </c>
      <c r="F60">
        <f>_xlfn.XLOOKUP($A60,'Audit Report'!$C:$C,'Audit Report'!P:P)</f>
        <v>0</v>
      </c>
    </row>
    <row r="61" spans="2:6">
      <c r="B61">
        <f>_xlfn.XLOOKUP($A61,'Audit Report'!$C:$C,'Audit Report'!D:D)</f>
        <v>0</v>
      </c>
      <c r="C61" t="str">
        <f>_xlfn.XLOOKUP($A61,'Audit Report'!$C:$C,'Audit Report'!G:G)</f>
        <v/>
      </c>
      <c r="D61">
        <f>_xlfn.XLOOKUP($A61,'Audit Report'!$C:$C,'Audit Report'!H:H)</f>
        <v>0</v>
      </c>
      <c r="E61">
        <f>_xlfn.XLOOKUP($A61,'Audit Report'!$C:$C,'Audit Report'!X:X)</f>
        <v>0</v>
      </c>
      <c r="F61">
        <f>_xlfn.XLOOKUP($A61,'Audit Report'!$C:$C,'Audit Report'!P:P)</f>
        <v>0</v>
      </c>
    </row>
    <row r="62" spans="2:6">
      <c r="B62">
        <f>_xlfn.XLOOKUP($A62,'Audit Report'!$C:$C,'Audit Report'!D:D)</f>
        <v>0</v>
      </c>
      <c r="C62" t="str">
        <f>_xlfn.XLOOKUP($A62,'Audit Report'!$C:$C,'Audit Report'!G:G)</f>
        <v/>
      </c>
      <c r="D62">
        <f>_xlfn.XLOOKUP($A62,'Audit Report'!$C:$C,'Audit Report'!H:H)</f>
        <v>0</v>
      </c>
      <c r="E62">
        <f>_xlfn.XLOOKUP($A62,'Audit Report'!$C:$C,'Audit Report'!X:X)</f>
        <v>0</v>
      </c>
      <c r="F62">
        <f>_xlfn.XLOOKUP($A62,'Audit Report'!$C:$C,'Audit Report'!P:P)</f>
        <v>0</v>
      </c>
    </row>
    <row r="63" spans="2:6">
      <c r="B63">
        <f>_xlfn.XLOOKUP($A63,'Audit Report'!$C:$C,'Audit Report'!D:D)</f>
        <v>0</v>
      </c>
      <c r="C63" t="str">
        <f>_xlfn.XLOOKUP($A63,'Audit Report'!$C:$C,'Audit Report'!G:G)</f>
        <v/>
      </c>
      <c r="D63">
        <f>_xlfn.XLOOKUP($A63,'Audit Report'!$C:$C,'Audit Report'!H:H)</f>
        <v>0</v>
      </c>
      <c r="E63">
        <f>_xlfn.XLOOKUP($A63,'Audit Report'!$C:$C,'Audit Report'!X:X)</f>
        <v>0</v>
      </c>
      <c r="F63">
        <f>_xlfn.XLOOKUP($A63,'Audit Report'!$C:$C,'Audit Report'!P:P)</f>
        <v>0</v>
      </c>
    </row>
    <row r="64" spans="2:6">
      <c r="B64">
        <f>_xlfn.XLOOKUP($A64,'Audit Report'!$C:$C,'Audit Report'!D:D)</f>
        <v>0</v>
      </c>
      <c r="C64" t="str">
        <f>_xlfn.XLOOKUP($A64,'Audit Report'!$C:$C,'Audit Report'!G:G)</f>
        <v/>
      </c>
      <c r="D64">
        <f>_xlfn.XLOOKUP($A64,'Audit Report'!$C:$C,'Audit Report'!H:H)</f>
        <v>0</v>
      </c>
      <c r="E64">
        <f>_xlfn.XLOOKUP($A64,'Audit Report'!$C:$C,'Audit Report'!X:X)</f>
        <v>0</v>
      </c>
      <c r="F64">
        <f>_xlfn.XLOOKUP($A64,'Audit Report'!$C:$C,'Audit Report'!P:P)</f>
        <v>0</v>
      </c>
    </row>
    <row r="65" spans="2:6">
      <c r="B65">
        <f>_xlfn.XLOOKUP($A65,'Audit Report'!$C:$C,'Audit Report'!D:D)</f>
        <v>0</v>
      </c>
      <c r="C65" t="str">
        <f>_xlfn.XLOOKUP($A65,'Audit Report'!$C:$C,'Audit Report'!G:G)</f>
        <v/>
      </c>
      <c r="D65">
        <f>_xlfn.XLOOKUP($A65,'Audit Report'!$C:$C,'Audit Report'!H:H)</f>
        <v>0</v>
      </c>
      <c r="E65">
        <f>_xlfn.XLOOKUP($A65,'Audit Report'!$C:$C,'Audit Report'!X:X)</f>
        <v>0</v>
      </c>
      <c r="F65">
        <f>_xlfn.XLOOKUP($A65,'Audit Report'!$C:$C,'Audit Report'!P:P)</f>
        <v>0</v>
      </c>
    </row>
    <row r="66" spans="2:6">
      <c r="B66">
        <f>_xlfn.XLOOKUP($A66,'Audit Report'!$C:$C,'Audit Report'!D:D)</f>
        <v>0</v>
      </c>
      <c r="C66" t="str">
        <f>_xlfn.XLOOKUP($A66,'Audit Report'!$C:$C,'Audit Report'!G:G)</f>
        <v/>
      </c>
      <c r="D66">
        <f>_xlfn.XLOOKUP($A66,'Audit Report'!$C:$C,'Audit Report'!H:H)</f>
        <v>0</v>
      </c>
      <c r="E66">
        <f>_xlfn.XLOOKUP($A66,'Audit Report'!$C:$C,'Audit Report'!X:X)</f>
        <v>0</v>
      </c>
      <c r="F66">
        <f>_xlfn.XLOOKUP($A66,'Audit Report'!$C:$C,'Audit Report'!P:P)</f>
        <v>0</v>
      </c>
    </row>
    <row r="67" spans="2:6">
      <c r="B67">
        <f>_xlfn.XLOOKUP($A67,'Audit Report'!$C:$C,'Audit Report'!D:D)</f>
        <v>0</v>
      </c>
      <c r="C67" t="str">
        <f>_xlfn.XLOOKUP($A67,'Audit Report'!$C:$C,'Audit Report'!G:G)</f>
        <v/>
      </c>
      <c r="D67">
        <f>_xlfn.XLOOKUP($A67,'Audit Report'!$C:$C,'Audit Report'!H:H)</f>
        <v>0</v>
      </c>
      <c r="E67">
        <f>_xlfn.XLOOKUP($A67,'Audit Report'!$C:$C,'Audit Report'!X:X)</f>
        <v>0</v>
      </c>
      <c r="F67">
        <f>_xlfn.XLOOKUP($A67,'Audit Report'!$C:$C,'Audit Report'!P:P)</f>
        <v>0</v>
      </c>
    </row>
    <row r="68" spans="2:6">
      <c r="B68">
        <f>_xlfn.XLOOKUP($A68,'Audit Report'!$C:$C,'Audit Report'!D:D)</f>
        <v>0</v>
      </c>
      <c r="C68" t="str">
        <f>_xlfn.XLOOKUP($A68,'Audit Report'!$C:$C,'Audit Report'!G:G)</f>
        <v/>
      </c>
      <c r="D68">
        <f>_xlfn.XLOOKUP($A68,'Audit Report'!$C:$C,'Audit Report'!H:H)</f>
        <v>0</v>
      </c>
      <c r="E68">
        <f>_xlfn.XLOOKUP($A68,'Audit Report'!$C:$C,'Audit Report'!X:X)</f>
        <v>0</v>
      </c>
      <c r="F68">
        <f>_xlfn.XLOOKUP($A68,'Audit Report'!$C:$C,'Audit Report'!P:P)</f>
        <v>0</v>
      </c>
    </row>
    <row r="69" spans="2:6">
      <c r="B69">
        <f>_xlfn.XLOOKUP($A69,'Audit Report'!$C:$C,'Audit Report'!D:D)</f>
        <v>0</v>
      </c>
      <c r="C69" t="str">
        <f>_xlfn.XLOOKUP($A69,'Audit Report'!$C:$C,'Audit Report'!G:G)</f>
        <v/>
      </c>
      <c r="D69">
        <f>_xlfn.XLOOKUP($A69,'Audit Report'!$C:$C,'Audit Report'!H:H)</f>
        <v>0</v>
      </c>
      <c r="E69">
        <f>_xlfn.XLOOKUP($A69,'Audit Report'!$C:$C,'Audit Report'!X:X)</f>
        <v>0</v>
      </c>
      <c r="F69">
        <f>_xlfn.XLOOKUP($A69,'Audit Report'!$C:$C,'Audit Report'!P:P)</f>
        <v>0</v>
      </c>
    </row>
    <row r="70" spans="2:6">
      <c r="B70">
        <f>_xlfn.XLOOKUP($A70,'Audit Report'!$C:$C,'Audit Report'!D:D)</f>
        <v>0</v>
      </c>
      <c r="C70" t="str">
        <f>_xlfn.XLOOKUP($A70,'Audit Report'!$C:$C,'Audit Report'!G:G)</f>
        <v/>
      </c>
      <c r="D70">
        <f>_xlfn.XLOOKUP($A70,'Audit Report'!$C:$C,'Audit Report'!H:H)</f>
        <v>0</v>
      </c>
      <c r="E70">
        <f>_xlfn.XLOOKUP($A70,'Audit Report'!$C:$C,'Audit Report'!X:X)</f>
        <v>0</v>
      </c>
      <c r="F70">
        <f>_xlfn.XLOOKUP($A70,'Audit Report'!$C:$C,'Audit Report'!P:P)</f>
        <v>0</v>
      </c>
    </row>
    <row r="71" spans="2:6">
      <c r="B71">
        <f>_xlfn.XLOOKUP($A71,'Audit Report'!$C:$C,'Audit Report'!D:D)</f>
        <v>0</v>
      </c>
      <c r="C71" t="str">
        <f>_xlfn.XLOOKUP($A71,'Audit Report'!$C:$C,'Audit Report'!G:G)</f>
        <v/>
      </c>
      <c r="D71">
        <f>_xlfn.XLOOKUP($A71,'Audit Report'!$C:$C,'Audit Report'!H:H)</f>
        <v>0</v>
      </c>
      <c r="E71">
        <f>_xlfn.XLOOKUP($A71,'Audit Report'!$C:$C,'Audit Report'!X:X)</f>
        <v>0</v>
      </c>
      <c r="F71">
        <f>_xlfn.XLOOKUP($A71,'Audit Report'!$C:$C,'Audit Report'!P:P)</f>
        <v>0</v>
      </c>
    </row>
    <row r="72" spans="2:6">
      <c r="B72">
        <f>_xlfn.XLOOKUP($A72,'Audit Report'!$C:$C,'Audit Report'!D:D)</f>
        <v>0</v>
      </c>
      <c r="C72" t="str">
        <f>_xlfn.XLOOKUP($A72,'Audit Report'!$C:$C,'Audit Report'!G:G)</f>
        <v/>
      </c>
      <c r="D72">
        <f>_xlfn.XLOOKUP($A72,'Audit Report'!$C:$C,'Audit Report'!H:H)</f>
        <v>0</v>
      </c>
      <c r="E72">
        <f>_xlfn.XLOOKUP($A72,'Audit Report'!$C:$C,'Audit Report'!X:X)</f>
        <v>0</v>
      </c>
      <c r="F72">
        <f>_xlfn.XLOOKUP($A72,'Audit Report'!$C:$C,'Audit Report'!P:P)</f>
        <v>0</v>
      </c>
    </row>
    <row r="73" spans="2:6">
      <c r="B73">
        <f>_xlfn.XLOOKUP($A73,'Audit Report'!$C:$C,'Audit Report'!D:D)</f>
        <v>0</v>
      </c>
      <c r="C73" t="str">
        <f>_xlfn.XLOOKUP($A73,'Audit Report'!$C:$C,'Audit Report'!G:G)</f>
        <v/>
      </c>
      <c r="D73">
        <f>_xlfn.XLOOKUP($A73,'Audit Report'!$C:$C,'Audit Report'!H:H)</f>
        <v>0</v>
      </c>
      <c r="E73">
        <f>_xlfn.XLOOKUP($A73,'Audit Report'!$C:$C,'Audit Report'!X:X)</f>
        <v>0</v>
      </c>
      <c r="F73">
        <f>_xlfn.XLOOKUP($A73,'Audit Report'!$C:$C,'Audit Report'!P:P)</f>
        <v>0</v>
      </c>
    </row>
    <row r="74" spans="2:6">
      <c r="B74">
        <f>_xlfn.XLOOKUP($A74,'Audit Report'!$C:$C,'Audit Report'!D:D)</f>
        <v>0</v>
      </c>
      <c r="C74" t="str">
        <f>_xlfn.XLOOKUP($A74,'Audit Report'!$C:$C,'Audit Report'!G:G)</f>
        <v/>
      </c>
      <c r="D74">
        <f>_xlfn.XLOOKUP($A74,'Audit Report'!$C:$C,'Audit Report'!H:H)</f>
        <v>0</v>
      </c>
      <c r="E74">
        <f>_xlfn.XLOOKUP($A74,'Audit Report'!$C:$C,'Audit Report'!X:X)</f>
        <v>0</v>
      </c>
      <c r="F74">
        <f>_xlfn.XLOOKUP($A74,'Audit Report'!$C:$C,'Audit Report'!P:P)</f>
        <v>0</v>
      </c>
    </row>
    <row r="75" spans="2:6">
      <c r="B75">
        <f>_xlfn.XLOOKUP($A75,'Audit Report'!$C:$C,'Audit Report'!D:D)</f>
        <v>0</v>
      </c>
      <c r="C75" t="str">
        <f>_xlfn.XLOOKUP($A75,'Audit Report'!$C:$C,'Audit Report'!G:G)</f>
        <v/>
      </c>
      <c r="D75">
        <f>_xlfn.XLOOKUP($A75,'Audit Report'!$C:$C,'Audit Report'!H:H)</f>
        <v>0</v>
      </c>
      <c r="E75">
        <f>_xlfn.XLOOKUP($A75,'Audit Report'!$C:$C,'Audit Report'!X:X)</f>
        <v>0</v>
      </c>
      <c r="F75">
        <f>_xlfn.XLOOKUP($A75,'Audit Report'!$C:$C,'Audit Report'!P:P)</f>
        <v>0</v>
      </c>
    </row>
    <row r="76" spans="2:6">
      <c r="B76">
        <f>_xlfn.XLOOKUP($A76,'Audit Report'!$C:$C,'Audit Report'!D:D)</f>
        <v>0</v>
      </c>
      <c r="C76" t="str">
        <f>_xlfn.XLOOKUP($A76,'Audit Report'!$C:$C,'Audit Report'!G:G)</f>
        <v/>
      </c>
      <c r="D76">
        <f>_xlfn.XLOOKUP($A76,'Audit Report'!$C:$C,'Audit Report'!H:H)</f>
        <v>0</v>
      </c>
      <c r="E76">
        <f>_xlfn.XLOOKUP($A76,'Audit Report'!$C:$C,'Audit Report'!X:X)</f>
        <v>0</v>
      </c>
      <c r="F76">
        <f>_xlfn.XLOOKUP($A76,'Audit Report'!$C:$C,'Audit Report'!P:P)</f>
        <v>0</v>
      </c>
    </row>
    <row r="77" spans="2:6">
      <c r="B77">
        <f>_xlfn.XLOOKUP($A77,'Audit Report'!$C:$C,'Audit Report'!D:D)</f>
        <v>0</v>
      </c>
      <c r="C77" t="str">
        <f>_xlfn.XLOOKUP($A77,'Audit Report'!$C:$C,'Audit Report'!G:G)</f>
        <v/>
      </c>
      <c r="D77">
        <f>_xlfn.XLOOKUP($A77,'Audit Report'!$C:$C,'Audit Report'!H:H)</f>
        <v>0</v>
      </c>
      <c r="E77">
        <f>_xlfn.XLOOKUP($A77,'Audit Report'!$C:$C,'Audit Report'!X:X)</f>
        <v>0</v>
      </c>
      <c r="F77">
        <f>_xlfn.XLOOKUP($A77,'Audit Report'!$C:$C,'Audit Report'!P:P)</f>
        <v>0</v>
      </c>
    </row>
    <row r="78" spans="2:6">
      <c r="B78">
        <f>_xlfn.XLOOKUP($A78,'Audit Report'!$C:$C,'Audit Report'!D:D)</f>
        <v>0</v>
      </c>
      <c r="C78" t="str">
        <f>_xlfn.XLOOKUP($A78,'Audit Report'!$C:$C,'Audit Report'!G:G)</f>
        <v/>
      </c>
      <c r="D78">
        <f>_xlfn.XLOOKUP($A78,'Audit Report'!$C:$C,'Audit Report'!H:H)</f>
        <v>0</v>
      </c>
      <c r="E78">
        <f>_xlfn.XLOOKUP($A78,'Audit Report'!$C:$C,'Audit Report'!X:X)</f>
        <v>0</v>
      </c>
      <c r="F78">
        <f>_xlfn.XLOOKUP($A78,'Audit Report'!$C:$C,'Audit Report'!P:P)</f>
        <v>0</v>
      </c>
    </row>
    <row r="79" spans="2:6">
      <c r="B79">
        <f>_xlfn.XLOOKUP($A79,'Audit Report'!$C:$C,'Audit Report'!D:D)</f>
        <v>0</v>
      </c>
      <c r="C79" t="str">
        <f>_xlfn.XLOOKUP($A79,'Audit Report'!$C:$C,'Audit Report'!G:G)</f>
        <v/>
      </c>
      <c r="D79">
        <f>_xlfn.XLOOKUP($A79,'Audit Report'!$C:$C,'Audit Report'!H:H)</f>
        <v>0</v>
      </c>
      <c r="E79">
        <f>_xlfn.XLOOKUP($A79,'Audit Report'!$C:$C,'Audit Report'!X:X)</f>
        <v>0</v>
      </c>
      <c r="F79">
        <f>_xlfn.XLOOKUP($A79,'Audit Report'!$C:$C,'Audit Report'!P:P)</f>
        <v>0</v>
      </c>
    </row>
    <row r="80" spans="2:6">
      <c r="B80">
        <f>_xlfn.XLOOKUP($A80,'Audit Report'!$C:$C,'Audit Report'!D:D)</f>
        <v>0</v>
      </c>
      <c r="C80" t="str">
        <f>_xlfn.XLOOKUP($A80,'Audit Report'!$C:$C,'Audit Report'!G:G)</f>
        <v/>
      </c>
      <c r="D80">
        <f>_xlfn.XLOOKUP($A80,'Audit Report'!$C:$C,'Audit Report'!H:H)</f>
        <v>0</v>
      </c>
      <c r="E80">
        <f>_xlfn.XLOOKUP($A80,'Audit Report'!$C:$C,'Audit Report'!X:X)</f>
        <v>0</v>
      </c>
      <c r="F80">
        <f>_xlfn.XLOOKUP($A80,'Audit Report'!$C:$C,'Audit Report'!P:P)</f>
        <v>0</v>
      </c>
    </row>
    <row r="81" spans="2:6">
      <c r="B81">
        <f>_xlfn.XLOOKUP($A81,'Audit Report'!$C:$C,'Audit Report'!D:D)</f>
        <v>0</v>
      </c>
      <c r="C81" t="str">
        <f>_xlfn.XLOOKUP($A81,'Audit Report'!$C:$C,'Audit Report'!G:G)</f>
        <v/>
      </c>
      <c r="D81">
        <f>_xlfn.XLOOKUP($A81,'Audit Report'!$C:$C,'Audit Report'!H:H)</f>
        <v>0</v>
      </c>
      <c r="E81">
        <f>_xlfn.XLOOKUP($A81,'Audit Report'!$C:$C,'Audit Report'!X:X)</f>
        <v>0</v>
      </c>
      <c r="F81">
        <f>_xlfn.XLOOKUP($A81,'Audit Report'!$C:$C,'Audit Report'!P:P)</f>
        <v>0</v>
      </c>
    </row>
    <row r="82" spans="2:6">
      <c r="B82">
        <f>_xlfn.XLOOKUP($A82,'Audit Report'!$C:$C,'Audit Report'!D:D)</f>
        <v>0</v>
      </c>
      <c r="C82" t="str">
        <f>_xlfn.XLOOKUP($A82,'Audit Report'!$C:$C,'Audit Report'!G:G)</f>
        <v/>
      </c>
      <c r="D82">
        <f>_xlfn.XLOOKUP($A82,'Audit Report'!$C:$C,'Audit Report'!H:H)</f>
        <v>0</v>
      </c>
      <c r="E82">
        <f>_xlfn.XLOOKUP($A82,'Audit Report'!$C:$C,'Audit Report'!X:X)</f>
        <v>0</v>
      </c>
      <c r="F82">
        <f>_xlfn.XLOOKUP($A82,'Audit Report'!$C:$C,'Audit Report'!P:P)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5AC6B-4532-43EA-9431-E69B2A6A0A8F}">
  <sheetPr codeName="Sheet2">
    <tabColor theme="3" tint="0.499984740745262"/>
  </sheetPr>
  <dimension ref="A1:X455"/>
  <sheetViews>
    <sheetView workbookViewId="0">
      <selection activeCell="O22" sqref="O22"/>
    </sheetView>
  </sheetViews>
  <sheetFormatPr defaultRowHeight="15"/>
  <cols>
    <col min="1" max="1" width="7" bestFit="1" customWidth="1"/>
    <col min="2" max="2" width="12.42578125" bestFit="1" customWidth="1"/>
    <col min="3" max="3" width="14.28515625" bestFit="1" customWidth="1"/>
    <col min="4" max="4" width="10.7109375" bestFit="1" customWidth="1"/>
    <col min="5" max="5" width="8.28515625" bestFit="1" customWidth="1"/>
    <col min="6" max="6" width="6.85546875" bestFit="1" customWidth="1"/>
    <col min="7" max="7" width="13.28515625" bestFit="1" customWidth="1"/>
    <col min="8" max="8" width="8.42578125" bestFit="1" customWidth="1"/>
    <col min="9" max="9" width="5.85546875" bestFit="1" customWidth="1"/>
    <col min="10" max="10" width="9.85546875" bestFit="1" customWidth="1"/>
    <col min="11" max="11" width="10.28515625" bestFit="1" customWidth="1"/>
    <col min="12" max="12" width="15" bestFit="1" customWidth="1"/>
    <col min="13" max="13" width="15.140625" bestFit="1" customWidth="1"/>
    <col min="14" max="14" width="19.42578125" customWidth="1"/>
    <col min="15" max="15" width="36.42578125" bestFit="1" customWidth="1"/>
    <col min="16" max="16" width="36.42578125" hidden="1" customWidth="1"/>
    <col min="17" max="17" width="16.140625" bestFit="1" customWidth="1"/>
    <col min="18" max="18" width="14.7109375" bestFit="1" customWidth="1"/>
    <col min="19" max="19" width="27.28515625" bestFit="1" customWidth="1"/>
    <col min="20" max="20" width="17.140625" bestFit="1" customWidth="1"/>
    <col min="21" max="21" width="26.7109375" bestFit="1" customWidth="1"/>
    <col min="22" max="23" width="12.5703125" bestFit="1" customWidth="1"/>
    <col min="24" max="24" width="11.28515625" bestFit="1" customWidth="1"/>
  </cols>
  <sheetData>
    <row r="1" spans="1:24" ht="18" thickBot="1">
      <c r="A1" s="1" t="s">
        <v>0</v>
      </c>
      <c r="B1" s="1" t="s">
        <v>1</v>
      </c>
      <c r="C1" s="1" t="s">
        <v>2</v>
      </c>
      <c r="D1" s="1" t="s">
        <v>487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488</v>
      </c>
      <c r="M1" s="1" t="s">
        <v>12</v>
      </c>
      <c r="N1" s="1" t="s">
        <v>494</v>
      </c>
      <c r="O1" s="1" t="s">
        <v>13</v>
      </c>
      <c r="P1" s="1"/>
      <c r="Q1" s="1" t="s">
        <v>489</v>
      </c>
      <c r="R1" s="1" t="s">
        <v>490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</row>
    <row r="2" spans="1:24" ht="15.75" thickTop="1">
      <c r="A2" t="str">
        <f>_xlfn.TEXTJOIN("",TRUE,Input!$B$2,"0",ROW(My_Audit!A1))</f>
        <v>X01</v>
      </c>
      <c r="D2" s="34"/>
      <c r="P2" t="str">
        <f>_xlfn.TEXTJOIN(", ",TRUE,N2,O2)</f>
        <v/>
      </c>
    </row>
    <row r="3" spans="1:24">
      <c r="A3" t="str">
        <f>_xlfn.TEXTJOIN("",TRUE,Input!$B$2,"0",ROW(My_Audit!A2))</f>
        <v>X02</v>
      </c>
      <c r="P3" t="str">
        <f t="shared" ref="P3:P66" si="0">_xlfn.TEXTJOIN(", ",TRUE,N3,O3)</f>
        <v/>
      </c>
    </row>
    <row r="4" spans="1:24">
      <c r="A4" t="str">
        <f>_xlfn.TEXTJOIN("",TRUE,Input!$B$2,"0",ROW(My_Audit!A3))</f>
        <v>X03</v>
      </c>
      <c r="P4" t="str">
        <f t="shared" si="0"/>
        <v/>
      </c>
    </row>
    <row r="5" spans="1:24">
      <c r="A5" t="str">
        <f>_xlfn.TEXTJOIN("",TRUE,Input!$B$2,"0",ROW(My_Audit!A4))</f>
        <v>X04</v>
      </c>
      <c r="P5" t="str">
        <f t="shared" si="0"/>
        <v/>
      </c>
    </row>
    <row r="6" spans="1:24">
      <c r="A6" t="str">
        <f>_xlfn.TEXTJOIN("",TRUE,Input!$B$2,"0",ROW(My_Audit!A5))</f>
        <v>X05</v>
      </c>
      <c r="P6" t="str">
        <f t="shared" si="0"/>
        <v/>
      </c>
    </row>
    <row r="7" spans="1:24">
      <c r="A7" t="str">
        <f>_xlfn.TEXTJOIN("",TRUE,Input!$B$2,"0",ROW(My_Audit!A6))</f>
        <v>X06</v>
      </c>
      <c r="P7" t="str">
        <f t="shared" si="0"/>
        <v/>
      </c>
    </row>
    <row r="8" spans="1:24">
      <c r="A8" t="str">
        <f>_xlfn.TEXTJOIN("",TRUE,Input!$B$2,"0",ROW(My_Audit!A7))</f>
        <v>X07</v>
      </c>
      <c r="P8" t="str">
        <f t="shared" si="0"/>
        <v/>
      </c>
    </row>
    <row r="9" spans="1:24">
      <c r="A9" t="str">
        <f>_xlfn.TEXTJOIN("",TRUE,Input!$B$2,"0",ROW(My_Audit!A8))</f>
        <v>X08</v>
      </c>
      <c r="P9" t="str">
        <f t="shared" si="0"/>
        <v/>
      </c>
    </row>
    <row r="10" spans="1:24">
      <c r="A10" t="str">
        <f>_xlfn.TEXTJOIN("",TRUE,Input!$B$2,"0",ROW(My_Audit!A9))</f>
        <v>X09</v>
      </c>
      <c r="P10" t="str">
        <f t="shared" si="0"/>
        <v/>
      </c>
    </row>
    <row r="11" spans="1:24">
      <c r="A11" t="str">
        <f>_xlfn.TEXTJOIN("",TRUE,Input!$B$2,ROW(My_Audit!A10))</f>
        <v>X10</v>
      </c>
      <c r="P11" t="str">
        <f t="shared" si="0"/>
        <v/>
      </c>
    </row>
    <row r="12" spans="1:24">
      <c r="A12" t="str">
        <f>_xlfn.TEXTJOIN("",TRUE,Input!$B$2,ROW(My_Audit!A11))</f>
        <v>X11</v>
      </c>
      <c r="P12" t="str">
        <f t="shared" si="0"/>
        <v/>
      </c>
    </row>
    <row r="13" spans="1:24">
      <c r="A13" t="str">
        <f>_xlfn.TEXTJOIN("",TRUE,Input!$B$2,ROW(My_Audit!A12))</f>
        <v>X12</v>
      </c>
      <c r="P13" t="str">
        <f t="shared" si="0"/>
        <v/>
      </c>
    </row>
    <row r="14" spans="1:24">
      <c r="A14" t="str">
        <f>_xlfn.TEXTJOIN("",TRUE,Input!$B$2,ROW(My_Audit!A13))</f>
        <v>X13</v>
      </c>
      <c r="P14" t="str">
        <f t="shared" si="0"/>
        <v/>
      </c>
    </row>
    <row r="15" spans="1:24">
      <c r="A15" t="str">
        <f>_xlfn.TEXTJOIN("",TRUE,Input!$B$2,ROW(My_Audit!A14))</f>
        <v>X14</v>
      </c>
      <c r="P15" t="str">
        <f t="shared" si="0"/>
        <v/>
      </c>
    </row>
    <row r="16" spans="1:24">
      <c r="A16" t="str">
        <f>_xlfn.TEXTJOIN("",TRUE,Input!$B$2,ROW(My_Audit!A15))</f>
        <v>X15</v>
      </c>
      <c r="P16" t="str">
        <f t="shared" si="0"/>
        <v/>
      </c>
    </row>
    <row r="17" spans="1:16">
      <c r="A17" t="str">
        <f>_xlfn.TEXTJOIN("",TRUE,Input!$B$2,ROW(My_Audit!A16))</f>
        <v>X16</v>
      </c>
      <c r="P17" t="str">
        <f t="shared" si="0"/>
        <v/>
      </c>
    </row>
    <row r="18" spans="1:16">
      <c r="A18" t="str">
        <f>_xlfn.TEXTJOIN("",TRUE,Input!$B$2,ROW(My_Audit!A17))</f>
        <v>X17</v>
      </c>
      <c r="P18" t="str">
        <f t="shared" si="0"/>
        <v/>
      </c>
    </row>
    <row r="19" spans="1:16">
      <c r="A19" t="str">
        <f>_xlfn.TEXTJOIN("",TRUE,Input!$B$2,ROW(My_Audit!A18))</f>
        <v>X18</v>
      </c>
      <c r="P19" t="str">
        <f t="shared" si="0"/>
        <v/>
      </c>
    </row>
    <row r="20" spans="1:16">
      <c r="A20" t="str">
        <f>_xlfn.TEXTJOIN("",TRUE,Input!$B$2,ROW(My_Audit!A19))</f>
        <v>X19</v>
      </c>
      <c r="P20" t="str">
        <f t="shared" si="0"/>
        <v/>
      </c>
    </row>
    <row r="21" spans="1:16">
      <c r="A21" t="str">
        <f>_xlfn.TEXTJOIN("",TRUE,Input!$B$2,ROW(My_Audit!A20))</f>
        <v>X20</v>
      </c>
      <c r="P21" t="str">
        <f t="shared" si="0"/>
        <v/>
      </c>
    </row>
    <row r="22" spans="1:16">
      <c r="A22" t="str">
        <f>_xlfn.TEXTJOIN("",TRUE,Input!$B$2,ROW(My_Audit!A21))</f>
        <v>X21</v>
      </c>
      <c r="P22" t="str">
        <f t="shared" si="0"/>
        <v/>
      </c>
    </row>
    <row r="23" spans="1:16">
      <c r="A23" t="str">
        <f>_xlfn.TEXTJOIN("",TRUE,Input!$B$2,ROW(My_Audit!A22))</f>
        <v>X22</v>
      </c>
      <c r="P23" t="str">
        <f t="shared" si="0"/>
        <v/>
      </c>
    </row>
    <row r="24" spans="1:16">
      <c r="A24" t="str">
        <f>_xlfn.TEXTJOIN("",TRUE,Input!$B$2,ROW(My_Audit!A23))</f>
        <v>X23</v>
      </c>
      <c r="P24" t="str">
        <f t="shared" si="0"/>
        <v/>
      </c>
    </row>
    <row r="25" spans="1:16">
      <c r="A25" t="str">
        <f>_xlfn.TEXTJOIN("",TRUE,Input!$B$2,ROW(My_Audit!A24))</f>
        <v>X24</v>
      </c>
      <c r="P25" t="str">
        <f t="shared" si="0"/>
        <v/>
      </c>
    </row>
    <row r="26" spans="1:16">
      <c r="A26" t="str">
        <f>_xlfn.TEXTJOIN("",TRUE,Input!$B$2,ROW(My_Audit!A25))</f>
        <v>X25</v>
      </c>
      <c r="P26" t="str">
        <f t="shared" si="0"/>
        <v/>
      </c>
    </row>
    <row r="27" spans="1:16">
      <c r="A27" t="str">
        <f>_xlfn.TEXTJOIN("",TRUE,Input!$B$2,ROW(My_Audit!A26))</f>
        <v>X26</v>
      </c>
      <c r="P27" t="str">
        <f t="shared" si="0"/>
        <v/>
      </c>
    </row>
    <row r="28" spans="1:16">
      <c r="A28" t="str">
        <f>_xlfn.TEXTJOIN("",TRUE,Input!$B$2,ROW(My_Audit!A27))</f>
        <v>X27</v>
      </c>
      <c r="P28" t="str">
        <f t="shared" si="0"/>
        <v/>
      </c>
    </row>
    <row r="29" spans="1:16">
      <c r="A29" t="str">
        <f>_xlfn.TEXTJOIN("",TRUE,Input!$B$2,ROW(My_Audit!A28))</f>
        <v>X28</v>
      </c>
      <c r="P29" t="str">
        <f t="shared" si="0"/>
        <v/>
      </c>
    </row>
    <row r="30" spans="1:16">
      <c r="A30" t="str">
        <f>_xlfn.TEXTJOIN("",TRUE,Input!$B$2,ROW(My_Audit!A29))</f>
        <v>X29</v>
      </c>
      <c r="P30" t="str">
        <f t="shared" si="0"/>
        <v/>
      </c>
    </row>
    <row r="31" spans="1:16">
      <c r="A31" t="str">
        <f>_xlfn.TEXTJOIN("",TRUE,Input!$B$2,ROW(My_Audit!A30))</f>
        <v>X30</v>
      </c>
      <c r="P31" t="str">
        <f t="shared" si="0"/>
        <v/>
      </c>
    </row>
    <row r="32" spans="1:16">
      <c r="A32" t="str">
        <f>_xlfn.TEXTJOIN("",TRUE,Input!$B$2,ROW(My_Audit!A31))</f>
        <v>X31</v>
      </c>
      <c r="P32" t="str">
        <f t="shared" si="0"/>
        <v/>
      </c>
    </row>
    <row r="33" spans="1:16">
      <c r="A33" t="str">
        <f>_xlfn.TEXTJOIN("",TRUE,Input!$B$2,ROW(My_Audit!A32))</f>
        <v>X32</v>
      </c>
      <c r="P33" t="str">
        <f t="shared" si="0"/>
        <v/>
      </c>
    </row>
    <row r="34" spans="1:16">
      <c r="A34" t="str">
        <f>_xlfn.TEXTJOIN("",TRUE,Input!$B$2,ROW(My_Audit!A33))</f>
        <v>X33</v>
      </c>
      <c r="P34" t="str">
        <f t="shared" si="0"/>
        <v/>
      </c>
    </row>
    <row r="35" spans="1:16">
      <c r="A35" t="str">
        <f>_xlfn.TEXTJOIN("",TRUE,Input!$B$2,ROW(My_Audit!A34))</f>
        <v>X34</v>
      </c>
      <c r="P35" t="str">
        <f t="shared" si="0"/>
        <v/>
      </c>
    </row>
    <row r="36" spans="1:16">
      <c r="A36" t="str">
        <f>_xlfn.TEXTJOIN("",TRUE,Input!$B$2,ROW(My_Audit!A35))</f>
        <v>X35</v>
      </c>
      <c r="P36" t="str">
        <f t="shared" si="0"/>
        <v/>
      </c>
    </row>
    <row r="37" spans="1:16">
      <c r="A37" t="str">
        <f>_xlfn.TEXTJOIN("",TRUE,Input!$B$2,ROW(My_Audit!A36))</f>
        <v>X36</v>
      </c>
      <c r="P37" t="str">
        <f t="shared" si="0"/>
        <v/>
      </c>
    </row>
    <row r="38" spans="1:16">
      <c r="A38" t="str">
        <f>_xlfn.TEXTJOIN("",TRUE,Input!$B$2,ROW(My_Audit!A37))</f>
        <v>X37</v>
      </c>
      <c r="P38" t="str">
        <f t="shared" si="0"/>
        <v/>
      </c>
    </row>
    <row r="39" spans="1:16">
      <c r="A39" t="str">
        <f>_xlfn.TEXTJOIN("",TRUE,Input!$B$2,ROW(My_Audit!A38))</f>
        <v>X38</v>
      </c>
      <c r="P39" t="str">
        <f t="shared" si="0"/>
        <v/>
      </c>
    </row>
    <row r="40" spans="1:16">
      <c r="A40" t="str">
        <f>_xlfn.TEXTJOIN("",TRUE,Input!$B$2,ROW(My_Audit!A39))</f>
        <v>X39</v>
      </c>
      <c r="P40" t="str">
        <f t="shared" si="0"/>
        <v/>
      </c>
    </row>
    <row r="41" spans="1:16">
      <c r="A41" t="str">
        <f>_xlfn.TEXTJOIN("",TRUE,Input!$B$2,ROW(My_Audit!A40))</f>
        <v>X40</v>
      </c>
      <c r="P41" t="str">
        <f t="shared" si="0"/>
        <v/>
      </c>
    </row>
    <row r="42" spans="1:16">
      <c r="A42" t="str">
        <f>_xlfn.TEXTJOIN("",TRUE,Input!$B$2,ROW(My_Audit!A41))</f>
        <v>X41</v>
      </c>
      <c r="P42" t="str">
        <f t="shared" si="0"/>
        <v/>
      </c>
    </row>
    <row r="43" spans="1:16">
      <c r="A43" t="str">
        <f>_xlfn.TEXTJOIN("",TRUE,Input!$B$2,ROW(My_Audit!A42))</f>
        <v>X42</v>
      </c>
      <c r="P43" t="str">
        <f t="shared" si="0"/>
        <v/>
      </c>
    </row>
    <row r="44" spans="1:16">
      <c r="A44" t="str">
        <f>_xlfn.TEXTJOIN("",TRUE,Input!$B$2,ROW(My_Audit!A43))</f>
        <v>X43</v>
      </c>
      <c r="P44" t="str">
        <f t="shared" si="0"/>
        <v/>
      </c>
    </row>
    <row r="45" spans="1:16">
      <c r="A45" t="str">
        <f>_xlfn.TEXTJOIN("",TRUE,Input!$B$2,ROW(My_Audit!A44))</f>
        <v>X44</v>
      </c>
      <c r="P45" t="str">
        <f t="shared" si="0"/>
        <v/>
      </c>
    </row>
    <row r="46" spans="1:16" ht="15.75" thickBot="1">
      <c r="A46" t="str">
        <f>_xlfn.TEXTJOIN("",TRUE,Input!$B$2,ROW(My_Audit!A45))</f>
        <v>X45</v>
      </c>
      <c r="P46" t="str">
        <f t="shared" si="0"/>
        <v/>
      </c>
    </row>
    <row r="47" spans="1:16" ht="15.75" thickBot="1">
      <c r="A47" t="str">
        <f>_xlfn.TEXTJOIN("",TRUE,Input!$B$2,ROW(My_Audit!A46))</f>
        <v>X46</v>
      </c>
      <c r="B47" s="35"/>
      <c r="C47" s="35"/>
      <c r="D47" s="35"/>
      <c r="E47" s="35"/>
      <c r="F47" s="35"/>
      <c r="G47" s="35"/>
      <c r="P47" t="str">
        <f t="shared" si="0"/>
        <v/>
      </c>
    </row>
    <row r="48" spans="1:16">
      <c r="A48" t="str">
        <f>_xlfn.TEXTJOIN("",TRUE,Input!$B$2,ROW(My_Audit!A47))</f>
        <v>X47</v>
      </c>
      <c r="P48" t="str">
        <f t="shared" si="0"/>
        <v/>
      </c>
    </row>
    <row r="49" spans="1:16">
      <c r="A49" t="str">
        <f>_xlfn.TEXTJOIN("",TRUE,Input!$B$2,ROW(My_Audit!A48))</f>
        <v>X48</v>
      </c>
      <c r="P49" t="str">
        <f t="shared" si="0"/>
        <v/>
      </c>
    </row>
    <row r="50" spans="1:16">
      <c r="A50" t="str">
        <f>_xlfn.TEXTJOIN("",TRUE,Input!$B$2,ROW(My_Audit!A49))</f>
        <v>X49</v>
      </c>
      <c r="P50" t="str">
        <f t="shared" si="0"/>
        <v/>
      </c>
    </row>
    <row r="51" spans="1:16">
      <c r="A51" t="str">
        <f>_xlfn.TEXTJOIN("",TRUE,Input!$B$2,ROW(My_Audit!A50))</f>
        <v>X50</v>
      </c>
      <c r="P51" t="str">
        <f t="shared" si="0"/>
        <v/>
      </c>
    </row>
    <row r="52" spans="1:16">
      <c r="A52" t="str">
        <f>_xlfn.TEXTJOIN("",TRUE,Input!$B$2,ROW(My_Audit!A51))</f>
        <v>X51</v>
      </c>
      <c r="P52" t="str">
        <f t="shared" si="0"/>
        <v/>
      </c>
    </row>
    <row r="53" spans="1:16">
      <c r="A53" t="str">
        <f>_xlfn.TEXTJOIN("",TRUE,Input!$B$2,ROW(My_Audit!A52))</f>
        <v>X52</v>
      </c>
      <c r="P53" t="str">
        <f t="shared" si="0"/>
        <v/>
      </c>
    </row>
    <row r="54" spans="1:16">
      <c r="A54" t="str">
        <f>_xlfn.TEXTJOIN("",TRUE,Input!$B$2,ROW(My_Audit!A53))</f>
        <v>X53</v>
      </c>
      <c r="P54" t="str">
        <f t="shared" si="0"/>
        <v/>
      </c>
    </row>
    <row r="55" spans="1:16">
      <c r="A55" t="str">
        <f>_xlfn.TEXTJOIN("",TRUE,Input!$B$2,ROW(My_Audit!A54))</f>
        <v>X54</v>
      </c>
      <c r="P55" t="str">
        <f t="shared" si="0"/>
        <v/>
      </c>
    </row>
    <row r="56" spans="1:16">
      <c r="A56" t="str">
        <f>_xlfn.TEXTJOIN("",TRUE,Input!$B$2,ROW(My_Audit!A55))</f>
        <v>X55</v>
      </c>
      <c r="P56" t="str">
        <f t="shared" si="0"/>
        <v/>
      </c>
    </row>
    <row r="57" spans="1:16">
      <c r="A57" t="str">
        <f>_xlfn.TEXTJOIN("",TRUE,Input!$B$2,ROW(My_Audit!A56))</f>
        <v>X56</v>
      </c>
      <c r="P57" t="str">
        <f t="shared" si="0"/>
        <v/>
      </c>
    </row>
    <row r="58" spans="1:16">
      <c r="A58" t="str">
        <f>_xlfn.TEXTJOIN("",TRUE,Input!$B$2,ROW(My_Audit!A57))</f>
        <v>X57</v>
      </c>
      <c r="P58" t="str">
        <f t="shared" si="0"/>
        <v/>
      </c>
    </row>
    <row r="59" spans="1:16">
      <c r="A59" t="str">
        <f>_xlfn.TEXTJOIN("",TRUE,Input!$B$2,ROW(My_Audit!A58))</f>
        <v>X58</v>
      </c>
      <c r="P59" t="str">
        <f t="shared" si="0"/>
        <v/>
      </c>
    </row>
    <row r="60" spans="1:16">
      <c r="A60" t="str">
        <f>_xlfn.TEXTJOIN("",TRUE,Input!$B$2,ROW(My_Audit!A59))</f>
        <v>X59</v>
      </c>
      <c r="P60" t="str">
        <f t="shared" si="0"/>
        <v/>
      </c>
    </row>
    <row r="61" spans="1:16">
      <c r="A61" t="str">
        <f>_xlfn.TEXTJOIN("",TRUE,Input!$B$2,ROW(My_Audit!A60))</f>
        <v>X60</v>
      </c>
      <c r="P61" t="str">
        <f t="shared" si="0"/>
        <v/>
      </c>
    </row>
    <row r="62" spans="1:16">
      <c r="A62" t="str">
        <f>_xlfn.TEXTJOIN("",TRUE,Input!$B$2,ROW(My_Audit!A61))</f>
        <v>X61</v>
      </c>
      <c r="P62" t="str">
        <f t="shared" si="0"/>
        <v/>
      </c>
    </row>
    <row r="63" spans="1:16">
      <c r="A63" t="str">
        <f>_xlfn.TEXTJOIN("",TRUE,Input!$B$2,ROW(My_Audit!A62))</f>
        <v>X62</v>
      </c>
      <c r="P63" t="str">
        <f t="shared" si="0"/>
        <v/>
      </c>
    </row>
    <row r="64" spans="1:16">
      <c r="A64" t="str">
        <f>_xlfn.TEXTJOIN("",TRUE,Input!$B$2,ROW(My_Audit!A63))</f>
        <v>X63</v>
      </c>
      <c r="P64" t="str">
        <f t="shared" si="0"/>
        <v/>
      </c>
    </row>
    <row r="65" spans="1:16">
      <c r="A65" t="str">
        <f>_xlfn.TEXTJOIN("",TRUE,Input!$B$2,ROW(My_Audit!A64))</f>
        <v>X64</v>
      </c>
      <c r="P65" t="str">
        <f t="shared" si="0"/>
        <v/>
      </c>
    </row>
    <row r="66" spans="1:16">
      <c r="A66" t="str">
        <f>_xlfn.TEXTJOIN("",TRUE,Input!$B$2,ROW(My_Audit!A65))</f>
        <v>X65</v>
      </c>
      <c r="P66" t="str">
        <f t="shared" si="0"/>
        <v/>
      </c>
    </row>
    <row r="67" spans="1:16">
      <c r="A67" t="str">
        <f>_xlfn.TEXTJOIN("",TRUE,Input!$B$2,ROW(My_Audit!A66))</f>
        <v>X66</v>
      </c>
      <c r="P67" t="str">
        <f t="shared" ref="P67:P130" si="1">_xlfn.TEXTJOIN(", ",TRUE,N67,O67)</f>
        <v/>
      </c>
    </row>
    <row r="68" spans="1:16">
      <c r="A68" t="str">
        <f>_xlfn.TEXTJOIN("",TRUE,Input!$B$2,ROW(My_Audit!A67))</f>
        <v>X67</v>
      </c>
      <c r="P68" t="str">
        <f t="shared" si="1"/>
        <v/>
      </c>
    </row>
    <row r="69" spans="1:16">
      <c r="A69" t="str">
        <f>_xlfn.TEXTJOIN("",TRUE,Input!$B$2,ROW(My_Audit!A68))</f>
        <v>X68</v>
      </c>
      <c r="P69" t="str">
        <f t="shared" si="1"/>
        <v/>
      </c>
    </row>
    <row r="70" spans="1:16">
      <c r="A70" t="str">
        <f>_xlfn.TEXTJOIN("",TRUE,Input!$B$2,ROW(My_Audit!A69))</f>
        <v>X69</v>
      </c>
      <c r="P70" t="str">
        <f t="shared" si="1"/>
        <v/>
      </c>
    </row>
    <row r="71" spans="1:16">
      <c r="A71" t="str">
        <f>_xlfn.TEXTJOIN("",TRUE,Input!$B$2,ROW(My_Audit!A70))</f>
        <v>X70</v>
      </c>
      <c r="P71" t="str">
        <f t="shared" si="1"/>
        <v/>
      </c>
    </row>
    <row r="72" spans="1:16">
      <c r="A72" t="str">
        <f>_xlfn.TEXTJOIN("",TRUE,Input!$B$2,ROW(My_Audit!A71))</f>
        <v>X71</v>
      </c>
      <c r="P72" t="str">
        <f t="shared" si="1"/>
        <v/>
      </c>
    </row>
    <row r="73" spans="1:16">
      <c r="A73" t="str">
        <f>_xlfn.TEXTJOIN("",TRUE,Input!$B$2,ROW(My_Audit!A72))</f>
        <v>X72</v>
      </c>
      <c r="P73" t="str">
        <f t="shared" si="1"/>
        <v/>
      </c>
    </row>
    <row r="74" spans="1:16">
      <c r="A74" t="str">
        <f>_xlfn.TEXTJOIN("",TRUE,Input!$B$2,ROW(My_Audit!A73))</f>
        <v>X73</v>
      </c>
      <c r="P74" t="str">
        <f t="shared" si="1"/>
        <v/>
      </c>
    </row>
    <row r="75" spans="1:16">
      <c r="A75" t="str">
        <f>_xlfn.TEXTJOIN("",TRUE,Input!$B$2,ROW(My_Audit!A74))</f>
        <v>X74</v>
      </c>
      <c r="P75" t="str">
        <f t="shared" si="1"/>
        <v/>
      </c>
    </row>
    <row r="76" spans="1:16">
      <c r="A76" t="str">
        <f>_xlfn.TEXTJOIN("",TRUE,Input!$B$2,ROW(My_Audit!A75))</f>
        <v>X75</v>
      </c>
      <c r="P76" t="str">
        <f t="shared" si="1"/>
        <v/>
      </c>
    </row>
    <row r="77" spans="1:16">
      <c r="A77" t="str">
        <f>_xlfn.TEXTJOIN("",TRUE,Input!$B$2,ROW(My_Audit!A76))</f>
        <v>X76</v>
      </c>
      <c r="P77" t="str">
        <f t="shared" si="1"/>
        <v/>
      </c>
    </row>
    <row r="78" spans="1:16">
      <c r="A78" t="str">
        <f>_xlfn.TEXTJOIN("",TRUE,Input!$B$2,ROW(My_Audit!A77))</f>
        <v>X77</v>
      </c>
      <c r="P78" t="str">
        <f t="shared" si="1"/>
        <v/>
      </c>
    </row>
    <row r="79" spans="1:16">
      <c r="A79" t="str">
        <f>_xlfn.TEXTJOIN("",TRUE,Input!$B$2,ROW(My_Audit!A78))</f>
        <v>X78</v>
      </c>
      <c r="P79" t="str">
        <f t="shared" si="1"/>
        <v/>
      </c>
    </row>
    <row r="80" spans="1:16">
      <c r="A80" t="str">
        <f>_xlfn.TEXTJOIN("",TRUE,Input!$B$2,ROW(My_Audit!A79))</f>
        <v>X79</v>
      </c>
      <c r="P80" t="str">
        <f t="shared" si="1"/>
        <v/>
      </c>
    </row>
    <row r="81" spans="1:16">
      <c r="A81" t="str">
        <f>_xlfn.TEXTJOIN("",TRUE,Input!$B$2,ROW(My_Audit!A80))</f>
        <v>X80</v>
      </c>
      <c r="P81" t="str">
        <f t="shared" si="1"/>
        <v/>
      </c>
    </row>
    <row r="82" spans="1:16">
      <c r="A82" t="str">
        <f>_xlfn.TEXTJOIN("",TRUE,Input!$B$2,ROW(My_Audit!A81))</f>
        <v>X81</v>
      </c>
      <c r="P82" t="str">
        <f t="shared" si="1"/>
        <v/>
      </c>
    </row>
    <row r="83" spans="1:16">
      <c r="A83" t="str">
        <f>_xlfn.TEXTJOIN("",TRUE,Input!$B$2,ROW(My_Audit!A82))</f>
        <v>X82</v>
      </c>
      <c r="P83" t="str">
        <f t="shared" si="1"/>
        <v/>
      </c>
    </row>
    <row r="84" spans="1:16">
      <c r="A84" t="str">
        <f>_xlfn.TEXTJOIN("",TRUE,Input!$B$2,ROW(My_Audit!A83))</f>
        <v>X83</v>
      </c>
      <c r="P84" t="str">
        <f t="shared" si="1"/>
        <v/>
      </c>
    </row>
    <row r="85" spans="1:16">
      <c r="A85" t="str">
        <f>_xlfn.TEXTJOIN("",TRUE,Input!$B$2,ROW(My_Audit!A84))</f>
        <v>X84</v>
      </c>
      <c r="P85" t="str">
        <f t="shared" si="1"/>
        <v/>
      </c>
    </row>
    <row r="86" spans="1:16">
      <c r="A86" t="str">
        <f>_xlfn.TEXTJOIN("",TRUE,Input!$B$2,ROW(My_Audit!A85))</f>
        <v>X85</v>
      </c>
      <c r="P86" t="str">
        <f t="shared" si="1"/>
        <v/>
      </c>
    </row>
    <row r="87" spans="1:16">
      <c r="A87" t="str">
        <f>_xlfn.TEXTJOIN("",TRUE,Input!$B$2,ROW(My_Audit!A86))</f>
        <v>X86</v>
      </c>
      <c r="P87" t="str">
        <f t="shared" si="1"/>
        <v/>
      </c>
    </row>
    <row r="88" spans="1:16">
      <c r="A88" t="str">
        <f>_xlfn.TEXTJOIN("",TRUE,Input!$B$2,ROW(My_Audit!A87))</f>
        <v>X87</v>
      </c>
      <c r="P88" t="str">
        <f t="shared" si="1"/>
        <v/>
      </c>
    </row>
    <row r="89" spans="1:16">
      <c r="A89" t="str">
        <f>_xlfn.TEXTJOIN("",TRUE,Input!$B$2,ROW(My_Audit!A88))</f>
        <v>X88</v>
      </c>
      <c r="P89" t="str">
        <f t="shared" si="1"/>
        <v/>
      </c>
    </row>
    <row r="90" spans="1:16">
      <c r="A90" t="str">
        <f>_xlfn.TEXTJOIN("",TRUE,Input!$B$2,ROW(My_Audit!A89))</f>
        <v>X89</v>
      </c>
      <c r="P90" t="str">
        <f t="shared" si="1"/>
        <v/>
      </c>
    </row>
    <row r="91" spans="1:16">
      <c r="A91" t="str">
        <f>_xlfn.TEXTJOIN("",TRUE,Input!$B$2,ROW(My_Audit!A90))</f>
        <v>X90</v>
      </c>
      <c r="P91" t="str">
        <f t="shared" si="1"/>
        <v/>
      </c>
    </row>
    <row r="92" spans="1:16">
      <c r="A92" t="str">
        <f>_xlfn.TEXTJOIN("",TRUE,Input!$B$2,ROW(My_Audit!A91))</f>
        <v>X91</v>
      </c>
      <c r="P92" t="str">
        <f t="shared" si="1"/>
        <v/>
      </c>
    </row>
    <row r="93" spans="1:16">
      <c r="A93" t="str">
        <f>_xlfn.TEXTJOIN("",TRUE,Input!$B$2,ROW(My_Audit!A92))</f>
        <v>X92</v>
      </c>
      <c r="P93" t="str">
        <f t="shared" si="1"/>
        <v/>
      </c>
    </row>
    <row r="94" spans="1:16">
      <c r="A94" t="str">
        <f>_xlfn.TEXTJOIN("",TRUE,Input!$B$2,ROW(My_Audit!A93))</f>
        <v>X93</v>
      </c>
      <c r="P94" t="str">
        <f t="shared" si="1"/>
        <v/>
      </c>
    </row>
    <row r="95" spans="1:16">
      <c r="A95" t="str">
        <f>_xlfn.TEXTJOIN("",TRUE,Input!$B$2,ROW(My_Audit!A94))</f>
        <v>X94</v>
      </c>
      <c r="P95" t="str">
        <f t="shared" si="1"/>
        <v/>
      </c>
    </row>
    <row r="96" spans="1:16">
      <c r="A96" t="str">
        <f>_xlfn.TEXTJOIN("",TRUE,Input!$B$2,ROW(My_Audit!A95))</f>
        <v>X95</v>
      </c>
      <c r="P96" t="str">
        <f t="shared" si="1"/>
        <v/>
      </c>
    </row>
    <row r="97" spans="1:16">
      <c r="A97" t="str">
        <f>_xlfn.TEXTJOIN("",TRUE,Input!$B$2,ROW(My_Audit!A96))</f>
        <v>X96</v>
      </c>
      <c r="P97" t="str">
        <f t="shared" si="1"/>
        <v/>
      </c>
    </row>
    <row r="98" spans="1:16">
      <c r="A98" t="str">
        <f>_xlfn.TEXTJOIN("",TRUE,Input!$B$2,ROW(My_Audit!A97))</f>
        <v>X97</v>
      </c>
      <c r="P98" t="str">
        <f t="shared" si="1"/>
        <v/>
      </c>
    </row>
    <row r="99" spans="1:16">
      <c r="A99" t="str">
        <f>_xlfn.TEXTJOIN("",TRUE,Input!$B$2,ROW(My_Audit!A98))</f>
        <v>X98</v>
      </c>
      <c r="P99" t="str">
        <f t="shared" si="1"/>
        <v/>
      </c>
    </row>
    <row r="100" spans="1:16">
      <c r="A100" t="str">
        <f>_xlfn.TEXTJOIN("",TRUE,Input!$B$2,ROW(My_Audit!A99))</f>
        <v>X99</v>
      </c>
      <c r="P100" t="str">
        <f t="shared" si="1"/>
        <v/>
      </c>
    </row>
    <row r="101" spans="1:16">
      <c r="A101" t="str">
        <f>_xlfn.TEXTJOIN("",TRUE,Input!$B$2,ROW(My_Audit!A100))</f>
        <v>X100</v>
      </c>
      <c r="P101" t="str">
        <f t="shared" si="1"/>
        <v/>
      </c>
    </row>
    <row r="102" spans="1:16">
      <c r="A102" t="str">
        <f>_xlfn.TEXTJOIN("",TRUE,Input!$B$2,ROW(My_Audit!A101))</f>
        <v>X101</v>
      </c>
      <c r="P102" t="str">
        <f t="shared" si="1"/>
        <v/>
      </c>
    </row>
    <row r="103" spans="1:16">
      <c r="A103" t="str">
        <f>_xlfn.TEXTJOIN("",TRUE,Input!$B$2,ROW(My_Audit!A102))</f>
        <v>X102</v>
      </c>
      <c r="P103" t="str">
        <f t="shared" si="1"/>
        <v/>
      </c>
    </row>
    <row r="104" spans="1:16">
      <c r="A104" t="str">
        <f>_xlfn.TEXTJOIN("",TRUE,Input!$B$2,ROW(My_Audit!A103))</f>
        <v>X103</v>
      </c>
      <c r="P104" t="str">
        <f t="shared" si="1"/>
        <v/>
      </c>
    </row>
    <row r="105" spans="1:16">
      <c r="A105" t="str">
        <f>_xlfn.TEXTJOIN("",TRUE,Input!$B$2,ROW(My_Audit!A104))</f>
        <v>X104</v>
      </c>
      <c r="P105" t="str">
        <f t="shared" si="1"/>
        <v/>
      </c>
    </row>
    <row r="106" spans="1:16">
      <c r="A106" t="str">
        <f>_xlfn.TEXTJOIN("",TRUE,Input!$B$2,ROW(My_Audit!A105))</f>
        <v>X105</v>
      </c>
      <c r="P106" t="str">
        <f t="shared" si="1"/>
        <v/>
      </c>
    </row>
    <row r="107" spans="1:16">
      <c r="A107" t="str">
        <f>_xlfn.TEXTJOIN("",TRUE,Input!$B$2,ROW(My_Audit!A106))</f>
        <v>X106</v>
      </c>
      <c r="P107" t="str">
        <f t="shared" si="1"/>
        <v/>
      </c>
    </row>
    <row r="108" spans="1:16">
      <c r="A108" t="str">
        <f>_xlfn.TEXTJOIN("",TRUE,Input!$B$2,ROW(My_Audit!A107))</f>
        <v>X107</v>
      </c>
      <c r="P108" t="str">
        <f t="shared" si="1"/>
        <v/>
      </c>
    </row>
    <row r="109" spans="1:16">
      <c r="A109" t="str">
        <f>_xlfn.TEXTJOIN("",TRUE,Input!$B$2,ROW(My_Audit!A108))</f>
        <v>X108</v>
      </c>
      <c r="P109" t="str">
        <f t="shared" si="1"/>
        <v/>
      </c>
    </row>
    <row r="110" spans="1:16">
      <c r="A110" t="str">
        <f>_xlfn.TEXTJOIN("",TRUE,Input!$B$2,ROW(My_Audit!A109))</f>
        <v>X109</v>
      </c>
      <c r="P110" t="str">
        <f t="shared" si="1"/>
        <v/>
      </c>
    </row>
    <row r="111" spans="1:16">
      <c r="A111" t="str">
        <f>_xlfn.TEXTJOIN("",TRUE,Input!$B$2,ROW(My_Audit!A110))</f>
        <v>X110</v>
      </c>
      <c r="P111" t="str">
        <f t="shared" si="1"/>
        <v/>
      </c>
    </row>
    <row r="112" spans="1:16">
      <c r="A112" t="str">
        <f>_xlfn.TEXTJOIN("",TRUE,Input!$B$2,ROW(My_Audit!A111))</f>
        <v>X111</v>
      </c>
      <c r="P112" t="str">
        <f t="shared" si="1"/>
        <v/>
      </c>
    </row>
    <row r="113" spans="1:16">
      <c r="A113" t="str">
        <f>_xlfn.TEXTJOIN("",TRUE,Input!$B$2,ROW(My_Audit!A112))</f>
        <v>X112</v>
      </c>
      <c r="P113" t="str">
        <f t="shared" si="1"/>
        <v/>
      </c>
    </row>
    <row r="114" spans="1:16">
      <c r="A114" t="str">
        <f>_xlfn.TEXTJOIN("",TRUE,Input!$B$2,ROW(My_Audit!A113))</f>
        <v>X113</v>
      </c>
      <c r="P114" t="str">
        <f t="shared" si="1"/>
        <v/>
      </c>
    </row>
    <row r="115" spans="1:16">
      <c r="A115" t="str">
        <f>_xlfn.TEXTJOIN("",TRUE,Input!$B$2,ROW(My_Audit!A114))</f>
        <v>X114</v>
      </c>
      <c r="P115" t="str">
        <f t="shared" si="1"/>
        <v/>
      </c>
    </row>
    <row r="116" spans="1:16">
      <c r="A116" t="str">
        <f>_xlfn.TEXTJOIN("",TRUE,Input!$B$2,ROW(My_Audit!A115))</f>
        <v>X115</v>
      </c>
      <c r="P116" t="str">
        <f t="shared" si="1"/>
        <v/>
      </c>
    </row>
    <row r="117" spans="1:16">
      <c r="A117" t="str">
        <f>_xlfn.TEXTJOIN("",TRUE,Input!$B$2,ROW(My_Audit!A116))</f>
        <v>X116</v>
      </c>
      <c r="P117" t="str">
        <f t="shared" si="1"/>
        <v/>
      </c>
    </row>
    <row r="118" spans="1:16">
      <c r="A118" t="str">
        <f>_xlfn.TEXTJOIN("",TRUE,Input!$B$2,ROW(My_Audit!A117))</f>
        <v>X117</v>
      </c>
      <c r="P118" t="str">
        <f t="shared" si="1"/>
        <v/>
      </c>
    </row>
    <row r="119" spans="1:16">
      <c r="A119" t="str">
        <f>_xlfn.TEXTJOIN("",TRUE,Input!$B$2,ROW(My_Audit!A118))</f>
        <v>X118</v>
      </c>
      <c r="P119" t="str">
        <f t="shared" si="1"/>
        <v/>
      </c>
    </row>
    <row r="120" spans="1:16">
      <c r="A120" t="str">
        <f>_xlfn.TEXTJOIN("",TRUE,Input!$B$2,ROW(My_Audit!A119))</f>
        <v>X119</v>
      </c>
      <c r="P120" t="str">
        <f t="shared" si="1"/>
        <v/>
      </c>
    </row>
    <row r="121" spans="1:16">
      <c r="A121" t="str">
        <f>_xlfn.TEXTJOIN("",TRUE,Input!$B$2,ROW(My_Audit!A120))</f>
        <v>X120</v>
      </c>
      <c r="P121" t="str">
        <f t="shared" si="1"/>
        <v/>
      </c>
    </row>
    <row r="122" spans="1:16">
      <c r="A122" t="str">
        <f>_xlfn.TEXTJOIN("",TRUE,Input!$B$2,ROW(My_Audit!A121))</f>
        <v>X121</v>
      </c>
      <c r="P122" t="str">
        <f t="shared" si="1"/>
        <v/>
      </c>
    </row>
    <row r="123" spans="1:16">
      <c r="A123" t="str">
        <f>_xlfn.TEXTJOIN("",TRUE,Input!$B$2,ROW(My_Audit!A122))</f>
        <v>X122</v>
      </c>
      <c r="P123" t="str">
        <f t="shared" si="1"/>
        <v/>
      </c>
    </row>
    <row r="124" spans="1:16">
      <c r="A124" t="str">
        <f>_xlfn.TEXTJOIN("",TRUE,Input!$B$2,ROW(My_Audit!A123))</f>
        <v>X123</v>
      </c>
      <c r="P124" t="str">
        <f t="shared" si="1"/>
        <v/>
      </c>
    </row>
    <row r="125" spans="1:16">
      <c r="A125" t="str">
        <f>_xlfn.TEXTJOIN("",TRUE,Input!$B$2,ROW(My_Audit!A124))</f>
        <v>X124</v>
      </c>
      <c r="P125" t="str">
        <f t="shared" si="1"/>
        <v/>
      </c>
    </row>
    <row r="126" spans="1:16">
      <c r="A126" t="str">
        <f>_xlfn.TEXTJOIN("",TRUE,Input!$B$2,ROW(My_Audit!A125))</f>
        <v>X125</v>
      </c>
      <c r="P126" t="str">
        <f t="shared" si="1"/>
        <v/>
      </c>
    </row>
    <row r="127" spans="1:16">
      <c r="A127" t="str">
        <f>_xlfn.TEXTJOIN("",TRUE,Input!$B$2,ROW(My_Audit!A126))</f>
        <v>X126</v>
      </c>
      <c r="P127" t="str">
        <f t="shared" si="1"/>
        <v/>
      </c>
    </row>
    <row r="128" spans="1:16">
      <c r="A128" t="str">
        <f>_xlfn.TEXTJOIN("",TRUE,Input!$B$2,ROW(My_Audit!A127))</f>
        <v>X127</v>
      </c>
      <c r="P128" t="str">
        <f t="shared" si="1"/>
        <v/>
      </c>
    </row>
    <row r="129" spans="1:16">
      <c r="A129" t="str">
        <f>_xlfn.TEXTJOIN("",TRUE,Input!$B$2,ROW(My_Audit!A128))</f>
        <v>X128</v>
      </c>
      <c r="P129" t="str">
        <f t="shared" si="1"/>
        <v/>
      </c>
    </row>
    <row r="130" spans="1:16">
      <c r="A130" t="str">
        <f>_xlfn.TEXTJOIN("",TRUE,Input!$B$2,ROW(My_Audit!A129))</f>
        <v>X129</v>
      </c>
      <c r="P130" t="str">
        <f t="shared" si="1"/>
        <v/>
      </c>
    </row>
    <row r="131" spans="1:16">
      <c r="A131" t="str">
        <f>_xlfn.TEXTJOIN("",TRUE,Input!$B$2,ROW(My_Audit!A130))</f>
        <v>X130</v>
      </c>
      <c r="P131" t="str">
        <f t="shared" ref="P131:P194" si="2">_xlfn.TEXTJOIN(", ",TRUE,N131,O131)</f>
        <v/>
      </c>
    </row>
    <row r="132" spans="1:16">
      <c r="A132" t="str">
        <f>_xlfn.TEXTJOIN("",TRUE,Input!$B$2,ROW(My_Audit!A131))</f>
        <v>X131</v>
      </c>
      <c r="P132" t="str">
        <f t="shared" si="2"/>
        <v/>
      </c>
    </row>
    <row r="133" spans="1:16">
      <c r="A133" t="str">
        <f>_xlfn.TEXTJOIN("",TRUE,Input!$B$2,ROW(My_Audit!A132))</f>
        <v>X132</v>
      </c>
      <c r="P133" t="str">
        <f t="shared" si="2"/>
        <v/>
      </c>
    </row>
    <row r="134" spans="1:16">
      <c r="A134" t="str">
        <f>_xlfn.TEXTJOIN("",TRUE,Input!$B$2,ROW(My_Audit!A133))</f>
        <v>X133</v>
      </c>
      <c r="P134" t="str">
        <f t="shared" si="2"/>
        <v/>
      </c>
    </row>
    <row r="135" spans="1:16">
      <c r="A135" t="str">
        <f>_xlfn.TEXTJOIN("",TRUE,Input!$B$2,ROW(My_Audit!A134))</f>
        <v>X134</v>
      </c>
      <c r="P135" t="str">
        <f t="shared" si="2"/>
        <v/>
      </c>
    </row>
    <row r="136" spans="1:16">
      <c r="A136" t="str">
        <f>_xlfn.TEXTJOIN("",TRUE,Input!$B$2,ROW(My_Audit!A135))</f>
        <v>X135</v>
      </c>
      <c r="P136" t="str">
        <f t="shared" si="2"/>
        <v/>
      </c>
    </row>
    <row r="137" spans="1:16">
      <c r="A137" t="str">
        <f>_xlfn.TEXTJOIN("",TRUE,Input!$B$2,ROW(My_Audit!A136))</f>
        <v>X136</v>
      </c>
      <c r="P137" t="str">
        <f t="shared" si="2"/>
        <v/>
      </c>
    </row>
    <row r="138" spans="1:16">
      <c r="A138" t="str">
        <f>_xlfn.TEXTJOIN("",TRUE,Input!$B$2,ROW(My_Audit!A137))</f>
        <v>X137</v>
      </c>
      <c r="P138" t="str">
        <f t="shared" si="2"/>
        <v/>
      </c>
    </row>
    <row r="139" spans="1:16">
      <c r="A139" t="str">
        <f>_xlfn.TEXTJOIN("",TRUE,Input!$B$2,ROW(My_Audit!A138))</f>
        <v>X138</v>
      </c>
      <c r="P139" t="str">
        <f t="shared" si="2"/>
        <v/>
      </c>
    </row>
    <row r="140" spans="1:16">
      <c r="A140" t="str">
        <f>_xlfn.TEXTJOIN("",TRUE,Input!$B$2,ROW(My_Audit!A139))</f>
        <v>X139</v>
      </c>
      <c r="P140" t="str">
        <f t="shared" si="2"/>
        <v/>
      </c>
    </row>
    <row r="141" spans="1:16">
      <c r="A141" t="str">
        <f>_xlfn.TEXTJOIN("",TRUE,Input!$B$2,ROW(My_Audit!A140))</f>
        <v>X140</v>
      </c>
      <c r="P141" t="str">
        <f t="shared" si="2"/>
        <v/>
      </c>
    </row>
    <row r="142" spans="1:16">
      <c r="A142" t="str">
        <f>_xlfn.TEXTJOIN("",TRUE,Input!$B$2,ROW(My_Audit!A141))</f>
        <v>X141</v>
      </c>
      <c r="P142" t="str">
        <f t="shared" si="2"/>
        <v/>
      </c>
    </row>
    <row r="143" spans="1:16">
      <c r="A143" t="str">
        <f>_xlfn.TEXTJOIN("",TRUE,Input!$B$2,ROW(My_Audit!A142))</f>
        <v>X142</v>
      </c>
      <c r="P143" t="str">
        <f t="shared" si="2"/>
        <v/>
      </c>
    </row>
    <row r="144" spans="1:16">
      <c r="A144" t="str">
        <f>_xlfn.TEXTJOIN("",TRUE,Input!$B$2,ROW(My_Audit!A143))</f>
        <v>X143</v>
      </c>
      <c r="P144" t="str">
        <f t="shared" si="2"/>
        <v/>
      </c>
    </row>
    <row r="145" spans="1:16">
      <c r="A145" t="str">
        <f>_xlfn.TEXTJOIN("",TRUE,Input!$B$2,ROW(My_Audit!A144))</f>
        <v>X144</v>
      </c>
      <c r="P145" t="str">
        <f t="shared" si="2"/>
        <v/>
      </c>
    </row>
    <row r="146" spans="1:16">
      <c r="A146" t="str">
        <f>_xlfn.TEXTJOIN("",TRUE,Input!$B$2,ROW(My_Audit!A145))</f>
        <v>X145</v>
      </c>
      <c r="P146" t="str">
        <f t="shared" si="2"/>
        <v/>
      </c>
    </row>
    <row r="147" spans="1:16">
      <c r="A147" t="str">
        <f>_xlfn.TEXTJOIN("",TRUE,Input!$B$2,ROW(My_Audit!A146))</f>
        <v>X146</v>
      </c>
      <c r="P147" t="str">
        <f t="shared" si="2"/>
        <v/>
      </c>
    </row>
    <row r="148" spans="1:16">
      <c r="A148" t="str">
        <f>_xlfn.TEXTJOIN("",TRUE,Input!$B$2,ROW(My_Audit!A147))</f>
        <v>X147</v>
      </c>
      <c r="P148" t="str">
        <f t="shared" si="2"/>
        <v/>
      </c>
    </row>
    <row r="149" spans="1:16">
      <c r="A149" t="str">
        <f>_xlfn.TEXTJOIN("",TRUE,Input!$B$2,ROW(My_Audit!A148))</f>
        <v>X148</v>
      </c>
      <c r="P149" t="str">
        <f t="shared" si="2"/>
        <v/>
      </c>
    </row>
    <row r="150" spans="1:16">
      <c r="A150" t="str">
        <f>_xlfn.TEXTJOIN("",TRUE,Input!$B$2,ROW(My_Audit!A149))</f>
        <v>X149</v>
      </c>
      <c r="P150" t="str">
        <f t="shared" si="2"/>
        <v/>
      </c>
    </row>
    <row r="151" spans="1:16">
      <c r="A151" t="str">
        <f>_xlfn.TEXTJOIN("",TRUE,Input!$B$2,ROW(My_Audit!A150))</f>
        <v>X150</v>
      </c>
      <c r="P151" t="str">
        <f t="shared" si="2"/>
        <v/>
      </c>
    </row>
    <row r="152" spans="1:16">
      <c r="A152" t="str">
        <f>_xlfn.TEXTJOIN("",TRUE,Input!$B$2,ROW(My_Audit!A151))</f>
        <v>X151</v>
      </c>
      <c r="P152" t="str">
        <f t="shared" si="2"/>
        <v/>
      </c>
    </row>
    <row r="153" spans="1:16">
      <c r="A153" t="str">
        <f>_xlfn.TEXTJOIN("",TRUE,Input!$B$2,ROW(My_Audit!A152))</f>
        <v>X152</v>
      </c>
      <c r="P153" t="str">
        <f t="shared" si="2"/>
        <v/>
      </c>
    </row>
    <row r="154" spans="1:16">
      <c r="A154" t="str">
        <f>_xlfn.TEXTJOIN("",TRUE,Input!$B$2,ROW(My_Audit!A153))</f>
        <v>X153</v>
      </c>
      <c r="P154" t="str">
        <f t="shared" si="2"/>
        <v/>
      </c>
    </row>
    <row r="155" spans="1:16">
      <c r="A155" t="str">
        <f>_xlfn.TEXTJOIN("",TRUE,Input!$B$2,ROW(My_Audit!A154))</f>
        <v>X154</v>
      </c>
      <c r="P155" t="str">
        <f t="shared" si="2"/>
        <v/>
      </c>
    </row>
    <row r="156" spans="1:16">
      <c r="A156" t="str">
        <f>_xlfn.TEXTJOIN("",TRUE,Input!$B$2,ROW(My_Audit!A155))</f>
        <v>X155</v>
      </c>
      <c r="P156" t="str">
        <f t="shared" si="2"/>
        <v/>
      </c>
    </row>
    <row r="157" spans="1:16">
      <c r="A157" t="str">
        <f>_xlfn.TEXTJOIN("",TRUE,Input!$B$2,ROW(My_Audit!A156))</f>
        <v>X156</v>
      </c>
      <c r="P157" t="str">
        <f t="shared" si="2"/>
        <v/>
      </c>
    </row>
    <row r="158" spans="1:16">
      <c r="A158" t="str">
        <f>_xlfn.TEXTJOIN("",TRUE,Input!$B$2,ROW(My_Audit!A157))</f>
        <v>X157</v>
      </c>
      <c r="P158" t="str">
        <f t="shared" si="2"/>
        <v/>
      </c>
    </row>
    <row r="159" spans="1:16">
      <c r="A159" t="str">
        <f>_xlfn.TEXTJOIN("",TRUE,Input!$B$2,ROW(My_Audit!A158))</f>
        <v>X158</v>
      </c>
      <c r="P159" t="str">
        <f t="shared" si="2"/>
        <v/>
      </c>
    </row>
    <row r="160" spans="1:16">
      <c r="A160" t="str">
        <f>_xlfn.TEXTJOIN("",TRUE,Input!$B$2,ROW(My_Audit!A159))</f>
        <v>X159</v>
      </c>
      <c r="P160" t="str">
        <f t="shared" si="2"/>
        <v/>
      </c>
    </row>
    <row r="161" spans="1:16">
      <c r="A161" t="str">
        <f>_xlfn.TEXTJOIN("",TRUE,Input!$B$2,ROW(My_Audit!A160))</f>
        <v>X160</v>
      </c>
      <c r="P161" t="str">
        <f t="shared" si="2"/>
        <v/>
      </c>
    </row>
    <row r="162" spans="1:16">
      <c r="A162" t="str">
        <f>_xlfn.TEXTJOIN("",TRUE,Input!$B$2,ROW(My_Audit!A161))</f>
        <v>X161</v>
      </c>
      <c r="P162" t="str">
        <f t="shared" si="2"/>
        <v/>
      </c>
    </row>
    <row r="163" spans="1:16">
      <c r="A163" t="str">
        <f>_xlfn.TEXTJOIN("",TRUE,Input!$B$2,ROW(My_Audit!A162))</f>
        <v>X162</v>
      </c>
      <c r="P163" t="str">
        <f t="shared" si="2"/>
        <v/>
      </c>
    </row>
    <row r="164" spans="1:16">
      <c r="A164" t="str">
        <f>_xlfn.TEXTJOIN("",TRUE,Input!$B$2,ROW(My_Audit!A163))</f>
        <v>X163</v>
      </c>
      <c r="P164" t="str">
        <f t="shared" si="2"/>
        <v/>
      </c>
    </row>
    <row r="165" spans="1:16">
      <c r="A165" t="str">
        <f>_xlfn.TEXTJOIN("",TRUE,Input!$B$2,ROW(My_Audit!A164))</f>
        <v>X164</v>
      </c>
      <c r="P165" t="str">
        <f t="shared" si="2"/>
        <v/>
      </c>
    </row>
    <row r="166" spans="1:16">
      <c r="A166" t="str">
        <f>_xlfn.TEXTJOIN("",TRUE,Input!$B$2,ROW(My_Audit!A165))</f>
        <v>X165</v>
      </c>
      <c r="P166" t="str">
        <f t="shared" si="2"/>
        <v/>
      </c>
    </row>
    <row r="167" spans="1:16">
      <c r="A167" t="str">
        <f>_xlfn.TEXTJOIN("",TRUE,Input!$B$2,ROW(My_Audit!A166))</f>
        <v>X166</v>
      </c>
      <c r="P167" t="str">
        <f t="shared" si="2"/>
        <v/>
      </c>
    </row>
    <row r="168" spans="1:16">
      <c r="A168" t="str">
        <f>_xlfn.TEXTJOIN("",TRUE,Input!$B$2,ROW(My_Audit!A167))</f>
        <v>X167</v>
      </c>
      <c r="P168" t="str">
        <f t="shared" si="2"/>
        <v/>
      </c>
    </row>
    <row r="169" spans="1:16">
      <c r="A169" t="str">
        <f>_xlfn.TEXTJOIN("",TRUE,Input!$B$2,ROW(My_Audit!A168))</f>
        <v>X168</v>
      </c>
      <c r="P169" t="str">
        <f t="shared" si="2"/>
        <v/>
      </c>
    </row>
    <row r="170" spans="1:16">
      <c r="A170" t="str">
        <f>_xlfn.TEXTJOIN("",TRUE,Input!$B$2,ROW(My_Audit!A169))</f>
        <v>X169</v>
      </c>
      <c r="P170" t="str">
        <f t="shared" si="2"/>
        <v/>
      </c>
    </row>
    <row r="171" spans="1:16">
      <c r="A171" t="str">
        <f>_xlfn.TEXTJOIN("",TRUE,Input!$B$2,ROW(My_Audit!A170))</f>
        <v>X170</v>
      </c>
      <c r="P171" t="str">
        <f t="shared" si="2"/>
        <v/>
      </c>
    </row>
    <row r="172" spans="1:16">
      <c r="A172" t="str">
        <f>_xlfn.TEXTJOIN("",TRUE,Input!$B$2,ROW(My_Audit!A171))</f>
        <v>X171</v>
      </c>
      <c r="P172" t="str">
        <f t="shared" si="2"/>
        <v/>
      </c>
    </row>
    <row r="173" spans="1:16">
      <c r="A173" t="str">
        <f>_xlfn.TEXTJOIN("",TRUE,Input!$B$2,ROW(My_Audit!A172))</f>
        <v>X172</v>
      </c>
      <c r="P173" t="str">
        <f t="shared" si="2"/>
        <v/>
      </c>
    </row>
    <row r="174" spans="1:16">
      <c r="A174" t="str">
        <f>_xlfn.TEXTJOIN("",TRUE,Input!$B$2,ROW(My_Audit!A173))</f>
        <v>X173</v>
      </c>
      <c r="P174" t="str">
        <f t="shared" si="2"/>
        <v/>
      </c>
    </row>
    <row r="175" spans="1:16">
      <c r="A175" t="str">
        <f>_xlfn.TEXTJOIN("",TRUE,Input!$B$2,ROW(My_Audit!A174))</f>
        <v>X174</v>
      </c>
      <c r="P175" t="str">
        <f t="shared" si="2"/>
        <v/>
      </c>
    </row>
    <row r="176" spans="1:16">
      <c r="A176" t="str">
        <f>_xlfn.TEXTJOIN("",TRUE,Input!$B$2,ROW(My_Audit!A175))</f>
        <v>X175</v>
      </c>
      <c r="P176" t="str">
        <f t="shared" si="2"/>
        <v/>
      </c>
    </row>
    <row r="177" spans="1:16">
      <c r="A177" t="str">
        <f>_xlfn.TEXTJOIN("",TRUE,Input!$B$2,ROW(My_Audit!A176))</f>
        <v>X176</v>
      </c>
      <c r="P177" t="str">
        <f t="shared" si="2"/>
        <v/>
      </c>
    </row>
    <row r="178" spans="1:16">
      <c r="A178" t="str">
        <f>_xlfn.TEXTJOIN("",TRUE,Input!$B$2,ROW(My_Audit!A177))</f>
        <v>X177</v>
      </c>
      <c r="P178" t="str">
        <f t="shared" si="2"/>
        <v/>
      </c>
    </row>
    <row r="179" spans="1:16">
      <c r="A179" t="str">
        <f>_xlfn.TEXTJOIN("",TRUE,Input!$B$2,ROW(My_Audit!A178))</f>
        <v>X178</v>
      </c>
      <c r="P179" t="str">
        <f t="shared" si="2"/>
        <v/>
      </c>
    </row>
    <row r="180" spans="1:16">
      <c r="A180" t="str">
        <f>_xlfn.TEXTJOIN("",TRUE,Input!$B$2,ROW(My_Audit!A179))</f>
        <v>X179</v>
      </c>
      <c r="P180" t="str">
        <f t="shared" si="2"/>
        <v/>
      </c>
    </row>
    <row r="181" spans="1:16">
      <c r="A181" t="str">
        <f>_xlfn.TEXTJOIN("",TRUE,Input!$B$2,ROW(My_Audit!A180))</f>
        <v>X180</v>
      </c>
      <c r="P181" t="str">
        <f t="shared" si="2"/>
        <v/>
      </c>
    </row>
    <row r="182" spans="1:16">
      <c r="A182" t="str">
        <f>_xlfn.TEXTJOIN("",TRUE,Input!$B$2,ROW(My_Audit!A181))</f>
        <v>X181</v>
      </c>
      <c r="P182" t="str">
        <f t="shared" si="2"/>
        <v/>
      </c>
    </row>
    <row r="183" spans="1:16">
      <c r="A183" t="str">
        <f>_xlfn.TEXTJOIN("",TRUE,Input!$B$2,ROW(My_Audit!A182))</f>
        <v>X182</v>
      </c>
      <c r="P183" t="str">
        <f t="shared" si="2"/>
        <v/>
      </c>
    </row>
    <row r="184" spans="1:16">
      <c r="A184" t="str">
        <f>_xlfn.TEXTJOIN("",TRUE,Input!$B$2,ROW(My_Audit!A183))</f>
        <v>X183</v>
      </c>
      <c r="P184" t="str">
        <f t="shared" si="2"/>
        <v/>
      </c>
    </row>
    <row r="185" spans="1:16">
      <c r="A185" t="str">
        <f>_xlfn.TEXTJOIN("",TRUE,Input!$B$2,ROW(My_Audit!A184))</f>
        <v>X184</v>
      </c>
      <c r="P185" t="str">
        <f t="shared" si="2"/>
        <v/>
      </c>
    </row>
    <row r="186" spans="1:16">
      <c r="A186" t="str">
        <f>_xlfn.TEXTJOIN("",TRUE,Input!$B$2,ROW(My_Audit!A185))</f>
        <v>X185</v>
      </c>
      <c r="P186" t="str">
        <f t="shared" si="2"/>
        <v/>
      </c>
    </row>
    <row r="187" spans="1:16">
      <c r="A187" t="str">
        <f>_xlfn.TEXTJOIN("",TRUE,Input!$B$2,ROW(My_Audit!A186))</f>
        <v>X186</v>
      </c>
      <c r="P187" t="str">
        <f t="shared" si="2"/>
        <v/>
      </c>
    </row>
    <row r="188" spans="1:16">
      <c r="A188" t="str">
        <f>_xlfn.TEXTJOIN("",TRUE,Input!$B$2,ROW(My_Audit!A187))</f>
        <v>X187</v>
      </c>
      <c r="P188" t="str">
        <f t="shared" si="2"/>
        <v/>
      </c>
    </row>
    <row r="189" spans="1:16">
      <c r="A189" t="str">
        <f>_xlfn.TEXTJOIN("",TRUE,Input!$B$2,ROW(My_Audit!A188))</f>
        <v>X188</v>
      </c>
      <c r="P189" t="str">
        <f t="shared" si="2"/>
        <v/>
      </c>
    </row>
    <row r="190" spans="1:16">
      <c r="A190" t="str">
        <f>_xlfn.TEXTJOIN("",TRUE,Input!$B$2,ROW(My_Audit!A189))</f>
        <v>X189</v>
      </c>
      <c r="P190" t="str">
        <f t="shared" si="2"/>
        <v/>
      </c>
    </row>
    <row r="191" spans="1:16">
      <c r="P191" t="str">
        <f t="shared" si="2"/>
        <v/>
      </c>
    </row>
    <row r="192" spans="1:16">
      <c r="P192" t="str">
        <f t="shared" si="2"/>
        <v/>
      </c>
    </row>
    <row r="193" spans="16:16">
      <c r="P193" t="str">
        <f t="shared" si="2"/>
        <v/>
      </c>
    </row>
    <row r="194" spans="16:16">
      <c r="P194" t="str">
        <f t="shared" si="2"/>
        <v/>
      </c>
    </row>
    <row r="195" spans="16:16">
      <c r="P195" t="str">
        <f t="shared" ref="P195:P258" si="3">_xlfn.TEXTJOIN(", ",TRUE,N195,O195)</f>
        <v/>
      </c>
    </row>
    <row r="196" spans="16:16">
      <c r="P196" t="str">
        <f t="shared" si="3"/>
        <v/>
      </c>
    </row>
    <row r="197" spans="16:16">
      <c r="P197" t="str">
        <f t="shared" si="3"/>
        <v/>
      </c>
    </row>
    <row r="198" spans="16:16">
      <c r="P198" t="str">
        <f t="shared" si="3"/>
        <v/>
      </c>
    </row>
    <row r="199" spans="16:16">
      <c r="P199" t="str">
        <f t="shared" si="3"/>
        <v/>
      </c>
    </row>
    <row r="200" spans="16:16">
      <c r="P200" t="str">
        <f t="shared" si="3"/>
        <v/>
      </c>
    </row>
    <row r="201" spans="16:16">
      <c r="P201" t="str">
        <f t="shared" si="3"/>
        <v/>
      </c>
    </row>
    <row r="202" spans="16:16">
      <c r="P202" t="str">
        <f t="shared" si="3"/>
        <v/>
      </c>
    </row>
    <row r="203" spans="16:16">
      <c r="P203" t="str">
        <f t="shared" si="3"/>
        <v/>
      </c>
    </row>
    <row r="204" spans="16:16">
      <c r="P204" t="str">
        <f t="shared" si="3"/>
        <v/>
      </c>
    </row>
    <row r="205" spans="16:16">
      <c r="P205" t="str">
        <f t="shared" si="3"/>
        <v/>
      </c>
    </row>
    <row r="206" spans="16:16">
      <c r="P206" t="str">
        <f t="shared" si="3"/>
        <v/>
      </c>
    </row>
    <row r="207" spans="16:16">
      <c r="P207" t="str">
        <f t="shared" si="3"/>
        <v/>
      </c>
    </row>
    <row r="208" spans="16:16">
      <c r="P208" t="str">
        <f t="shared" si="3"/>
        <v/>
      </c>
    </row>
    <row r="209" spans="16:16">
      <c r="P209" t="str">
        <f t="shared" si="3"/>
        <v/>
      </c>
    </row>
    <row r="210" spans="16:16">
      <c r="P210" t="str">
        <f t="shared" si="3"/>
        <v/>
      </c>
    </row>
    <row r="211" spans="16:16">
      <c r="P211" t="str">
        <f t="shared" si="3"/>
        <v/>
      </c>
    </row>
    <row r="212" spans="16:16">
      <c r="P212" t="str">
        <f t="shared" si="3"/>
        <v/>
      </c>
    </row>
    <row r="213" spans="16:16">
      <c r="P213" t="str">
        <f t="shared" si="3"/>
        <v/>
      </c>
    </row>
    <row r="214" spans="16:16">
      <c r="P214" t="str">
        <f t="shared" si="3"/>
        <v/>
      </c>
    </row>
    <row r="215" spans="16:16">
      <c r="P215" t="str">
        <f t="shared" si="3"/>
        <v/>
      </c>
    </row>
    <row r="216" spans="16:16">
      <c r="P216" t="str">
        <f t="shared" si="3"/>
        <v/>
      </c>
    </row>
    <row r="217" spans="16:16">
      <c r="P217" t="str">
        <f t="shared" si="3"/>
        <v/>
      </c>
    </row>
    <row r="218" spans="16:16">
      <c r="P218" t="str">
        <f t="shared" si="3"/>
        <v/>
      </c>
    </row>
    <row r="219" spans="16:16">
      <c r="P219" t="str">
        <f t="shared" si="3"/>
        <v/>
      </c>
    </row>
    <row r="220" spans="16:16">
      <c r="P220" t="str">
        <f t="shared" si="3"/>
        <v/>
      </c>
    </row>
    <row r="221" spans="16:16">
      <c r="P221" t="str">
        <f t="shared" si="3"/>
        <v/>
      </c>
    </row>
    <row r="222" spans="16:16">
      <c r="P222" t="str">
        <f t="shared" si="3"/>
        <v/>
      </c>
    </row>
    <row r="223" spans="16:16">
      <c r="P223" t="str">
        <f t="shared" si="3"/>
        <v/>
      </c>
    </row>
    <row r="224" spans="16:16">
      <c r="P224" t="str">
        <f t="shared" si="3"/>
        <v/>
      </c>
    </row>
    <row r="225" spans="16:16">
      <c r="P225" t="str">
        <f t="shared" si="3"/>
        <v/>
      </c>
    </row>
    <row r="226" spans="16:16">
      <c r="P226" t="str">
        <f t="shared" si="3"/>
        <v/>
      </c>
    </row>
    <row r="227" spans="16:16">
      <c r="P227" t="str">
        <f t="shared" si="3"/>
        <v/>
      </c>
    </row>
    <row r="228" spans="16:16">
      <c r="P228" t="str">
        <f t="shared" si="3"/>
        <v/>
      </c>
    </row>
    <row r="229" spans="16:16">
      <c r="P229" t="str">
        <f t="shared" si="3"/>
        <v/>
      </c>
    </row>
    <row r="230" spans="16:16">
      <c r="P230" t="str">
        <f t="shared" si="3"/>
        <v/>
      </c>
    </row>
    <row r="231" spans="16:16">
      <c r="P231" t="str">
        <f t="shared" si="3"/>
        <v/>
      </c>
    </row>
    <row r="232" spans="16:16">
      <c r="P232" t="str">
        <f t="shared" si="3"/>
        <v/>
      </c>
    </row>
    <row r="233" spans="16:16">
      <c r="P233" t="str">
        <f t="shared" si="3"/>
        <v/>
      </c>
    </row>
    <row r="234" spans="16:16">
      <c r="P234" t="str">
        <f t="shared" si="3"/>
        <v/>
      </c>
    </row>
    <row r="235" spans="16:16">
      <c r="P235" t="str">
        <f t="shared" si="3"/>
        <v/>
      </c>
    </row>
    <row r="236" spans="16:16">
      <c r="P236" t="str">
        <f t="shared" si="3"/>
        <v/>
      </c>
    </row>
    <row r="237" spans="16:16">
      <c r="P237" t="str">
        <f t="shared" si="3"/>
        <v/>
      </c>
    </row>
    <row r="238" spans="16:16">
      <c r="P238" t="str">
        <f t="shared" si="3"/>
        <v/>
      </c>
    </row>
    <row r="239" spans="16:16">
      <c r="P239" t="str">
        <f t="shared" si="3"/>
        <v/>
      </c>
    </row>
    <row r="240" spans="16:16">
      <c r="P240" t="str">
        <f t="shared" si="3"/>
        <v/>
      </c>
    </row>
    <row r="241" spans="16:16">
      <c r="P241" t="str">
        <f t="shared" si="3"/>
        <v/>
      </c>
    </row>
    <row r="242" spans="16:16">
      <c r="P242" t="str">
        <f t="shared" si="3"/>
        <v/>
      </c>
    </row>
    <row r="243" spans="16:16">
      <c r="P243" t="str">
        <f t="shared" si="3"/>
        <v/>
      </c>
    </row>
    <row r="244" spans="16:16">
      <c r="P244" t="str">
        <f t="shared" si="3"/>
        <v/>
      </c>
    </row>
    <row r="245" spans="16:16">
      <c r="P245" t="str">
        <f t="shared" si="3"/>
        <v/>
      </c>
    </row>
    <row r="246" spans="16:16">
      <c r="P246" t="str">
        <f t="shared" si="3"/>
        <v/>
      </c>
    </row>
    <row r="247" spans="16:16">
      <c r="P247" t="str">
        <f t="shared" si="3"/>
        <v/>
      </c>
    </row>
    <row r="248" spans="16:16">
      <c r="P248" t="str">
        <f t="shared" si="3"/>
        <v/>
      </c>
    </row>
    <row r="249" spans="16:16">
      <c r="P249" t="str">
        <f t="shared" si="3"/>
        <v/>
      </c>
    </row>
    <row r="250" spans="16:16">
      <c r="P250" t="str">
        <f t="shared" si="3"/>
        <v/>
      </c>
    </row>
    <row r="251" spans="16:16">
      <c r="P251" t="str">
        <f t="shared" si="3"/>
        <v/>
      </c>
    </row>
    <row r="252" spans="16:16">
      <c r="P252" t="str">
        <f t="shared" si="3"/>
        <v/>
      </c>
    </row>
    <row r="253" spans="16:16">
      <c r="P253" t="str">
        <f t="shared" si="3"/>
        <v/>
      </c>
    </row>
    <row r="254" spans="16:16">
      <c r="P254" t="str">
        <f t="shared" si="3"/>
        <v/>
      </c>
    </row>
    <row r="255" spans="16:16">
      <c r="P255" t="str">
        <f t="shared" si="3"/>
        <v/>
      </c>
    </row>
    <row r="256" spans="16:16">
      <c r="P256" t="str">
        <f t="shared" si="3"/>
        <v/>
      </c>
    </row>
    <row r="257" spans="16:16">
      <c r="P257" t="str">
        <f t="shared" si="3"/>
        <v/>
      </c>
    </row>
    <row r="258" spans="16:16">
      <c r="P258" t="str">
        <f t="shared" si="3"/>
        <v/>
      </c>
    </row>
    <row r="259" spans="16:16">
      <c r="P259" t="str">
        <f t="shared" ref="P259:P322" si="4">_xlfn.TEXTJOIN(", ",TRUE,N259,O259)</f>
        <v/>
      </c>
    </row>
    <row r="260" spans="16:16">
      <c r="P260" t="str">
        <f t="shared" si="4"/>
        <v/>
      </c>
    </row>
    <row r="261" spans="16:16">
      <c r="P261" t="str">
        <f t="shared" si="4"/>
        <v/>
      </c>
    </row>
    <row r="262" spans="16:16">
      <c r="P262" t="str">
        <f t="shared" si="4"/>
        <v/>
      </c>
    </row>
    <row r="263" spans="16:16">
      <c r="P263" t="str">
        <f t="shared" si="4"/>
        <v/>
      </c>
    </row>
    <row r="264" spans="16:16">
      <c r="P264" t="str">
        <f t="shared" si="4"/>
        <v/>
      </c>
    </row>
    <row r="265" spans="16:16">
      <c r="P265" t="str">
        <f t="shared" si="4"/>
        <v/>
      </c>
    </row>
    <row r="266" spans="16:16">
      <c r="P266" t="str">
        <f t="shared" si="4"/>
        <v/>
      </c>
    </row>
    <row r="267" spans="16:16">
      <c r="P267" t="str">
        <f t="shared" si="4"/>
        <v/>
      </c>
    </row>
    <row r="268" spans="16:16">
      <c r="P268" t="str">
        <f t="shared" si="4"/>
        <v/>
      </c>
    </row>
    <row r="269" spans="16:16">
      <c r="P269" t="str">
        <f t="shared" si="4"/>
        <v/>
      </c>
    </row>
    <row r="270" spans="16:16">
      <c r="P270" t="str">
        <f t="shared" si="4"/>
        <v/>
      </c>
    </row>
    <row r="271" spans="16:16">
      <c r="P271" t="str">
        <f t="shared" si="4"/>
        <v/>
      </c>
    </row>
    <row r="272" spans="16:16">
      <c r="P272" t="str">
        <f t="shared" si="4"/>
        <v/>
      </c>
    </row>
    <row r="273" spans="16:16">
      <c r="P273" t="str">
        <f t="shared" si="4"/>
        <v/>
      </c>
    </row>
    <row r="274" spans="16:16">
      <c r="P274" t="str">
        <f t="shared" si="4"/>
        <v/>
      </c>
    </row>
    <row r="275" spans="16:16">
      <c r="P275" t="str">
        <f t="shared" si="4"/>
        <v/>
      </c>
    </row>
    <row r="276" spans="16:16">
      <c r="P276" t="str">
        <f t="shared" si="4"/>
        <v/>
      </c>
    </row>
    <row r="277" spans="16:16">
      <c r="P277" t="str">
        <f t="shared" si="4"/>
        <v/>
      </c>
    </row>
    <row r="278" spans="16:16">
      <c r="P278" t="str">
        <f t="shared" si="4"/>
        <v/>
      </c>
    </row>
    <row r="279" spans="16:16">
      <c r="P279" t="str">
        <f t="shared" si="4"/>
        <v/>
      </c>
    </row>
    <row r="280" spans="16:16">
      <c r="P280" t="str">
        <f t="shared" si="4"/>
        <v/>
      </c>
    </row>
    <row r="281" spans="16:16">
      <c r="P281" t="str">
        <f t="shared" si="4"/>
        <v/>
      </c>
    </row>
    <row r="282" spans="16:16">
      <c r="P282" t="str">
        <f t="shared" si="4"/>
        <v/>
      </c>
    </row>
    <row r="283" spans="16:16">
      <c r="P283" t="str">
        <f t="shared" si="4"/>
        <v/>
      </c>
    </row>
    <row r="284" spans="16:16">
      <c r="P284" t="str">
        <f t="shared" si="4"/>
        <v/>
      </c>
    </row>
    <row r="285" spans="16:16">
      <c r="P285" t="str">
        <f t="shared" si="4"/>
        <v/>
      </c>
    </row>
    <row r="286" spans="16:16">
      <c r="P286" t="str">
        <f t="shared" si="4"/>
        <v/>
      </c>
    </row>
    <row r="287" spans="16:16">
      <c r="P287" t="str">
        <f t="shared" si="4"/>
        <v/>
      </c>
    </row>
    <row r="288" spans="16:16">
      <c r="P288" t="str">
        <f t="shared" si="4"/>
        <v/>
      </c>
    </row>
    <row r="289" spans="16:16">
      <c r="P289" t="str">
        <f t="shared" si="4"/>
        <v/>
      </c>
    </row>
    <row r="290" spans="16:16">
      <c r="P290" t="str">
        <f t="shared" si="4"/>
        <v/>
      </c>
    </row>
    <row r="291" spans="16:16">
      <c r="P291" t="str">
        <f t="shared" si="4"/>
        <v/>
      </c>
    </row>
    <row r="292" spans="16:16">
      <c r="P292" t="str">
        <f t="shared" si="4"/>
        <v/>
      </c>
    </row>
    <row r="293" spans="16:16">
      <c r="P293" t="str">
        <f t="shared" si="4"/>
        <v/>
      </c>
    </row>
    <row r="294" spans="16:16">
      <c r="P294" t="str">
        <f t="shared" si="4"/>
        <v/>
      </c>
    </row>
    <row r="295" spans="16:16">
      <c r="P295" t="str">
        <f t="shared" si="4"/>
        <v/>
      </c>
    </row>
    <row r="296" spans="16:16">
      <c r="P296" t="str">
        <f t="shared" si="4"/>
        <v/>
      </c>
    </row>
    <row r="297" spans="16:16">
      <c r="P297" t="str">
        <f t="shared" si="4"/>
        <v/>
      </c>
    </row>
    <row r="298" spans="16:16">
      <c r="P298" t="str">
        <f t="shared" si="4"/>
        <v/>
      </c>
    </row>
    <row r="299" spans="16:16">
      <c r="P299" t="str">
        <f t="shared" si="4"/>
        <v/>
      </c>
    </row>
    <row r="300" spans="16:16">
      <c r="P300" t="str">
        <f t="shared" si="4"/>
        <v/>
      </c>
    </row>
    <row r="301" spans="16:16">
      <c r="P301" t="str">
        <f t="shared" si="4"/>
        <v/>
      </c>
    </row>
    <row r="302" spans="16:16">
      <c r="P302" t="str">
        <f t="shared" si="4"/>
        <v/>
      </c>
    </row>
    <row r="303" spans="16:16">
      <c r="P303" t="str">
        <f t="shared" si="4"/>
        <v/>
      </c>
    </row>
    <row r="304" spans="16:16">
      <c r="P304" t="str">
        <f t="shared" si="4"/>
        <v/>
      </c>
    </row>
    <row r="305" spans="16:16">
      <c r="P305" t="str">
        <f t="shared" si="4"/>
        <v/>
      </c>
    </row>
    <row r="306" spans="16:16">
      <c r="P306" t="str">
        <f t="shared" si="4"/>
        <v/>
      </c>
    </row>
    <row r="307" spans="16:16">
      <c r="P307" t="str">
        <f t="shared" si="4"/>
        <v/>
      </c>
    </row>
    <row r="308" spans="16:16">
      <c r="P308" t="str">
        <f t="shared" si="4"/>
        <v/>
      </c>
    </row>
    <row r="309" spans="16:16">
      <c r="P309" t="str">
        <f t="shared" si="4"/>
        <v/>
      </c>
    </row>
    <row r="310" spans="16:16">
      <c r="P310" t="str">
        <f t="shared" si="4"/>
        <v/>
      </c>
    </row>
    <row r="311" spans="16:16">
      <c r="P311" t="str">
        <f t="shared" si="4"/>
        <v/>
      </c>
    </row>
    <row r="312" spans="16:16">
      <c r="P312" t="str">
        <f t="shared" si="4"/>
        <v/>
      </c>
    </row>
    <row r="313" spans="16:16">
      <c r="P313" t="str">
        <f t="shared" si="4"/>
        <v/>
      </c>
    </row>
    <row r="314" spans="16:16">
      <c r="P314" t="str">
        <f t="shared" si="4"/>
        <v/>
      </c>
    </row>
    <row r="315" spans="16:16">
      <c r="P315" t="str">
        <f t="shared" si="4"/>
        <v/>
      </c>
    </row>
    <row r="316" spans="16:16">
      <c r="P316" t="str">
        <f t="shared" si="4"/>
        <v/>
      </c>
    </row>
    <row r="317" spans="16:16">
      <c r="P317" t="str">
        <f t="shared" si="4"/>
        <v/>
      </c>
    </row>
    <row r="318" spans="16:16">
      <c r="P318" t="str">
        <f t="shared" si="4"/>
        <v/>
      </c>
    </row>
    <row r="319" spans="16:16">
      <c r="P319" t="str">
        <f t="shared" si="4"/>
        <v/>
      </c>
    </row>
    <row r="320" spans="16:16">
      <c r="P320" t="str">
        <f t="shared" si="4"/>
        <v/>
      </c>
    </row>
    <row r="321" spans="16:16">
      <c r="P321" t="str">
        <f t="shared" si="4"/>
        <v/>
      </c>
    </row>
    <row r="322" spans="16:16">
      <c r="P322" t="str">
        <f t="shared" si="4"/>
        <v/>
      </c>
    </row>
    <row r="323" spans="16:16">
      <c r="P323" t="str">
        <f t="shared" ref="P323:P386" si="5">_xlfn.TEXTJOIN(", ",TRUE,N323,O323)</f>
        <v/>
      </c>
    </row>
    <row r="324" spans="16:16">
      <c r="P324" t="str">
        <f t="shared" si="5"/>
        <v/>
      </c>
    </row>
    <row r="325" spans="16:16">
      <c r="P325" t="str">
        <f t="shared" si="5"/>
        <v/>
      </c>
    </row>
    <row r="326" spans="16:16">
      <c r="P326" t="str">
        <f t="shared" si="5"/>
        <v/>
      </c>
    </row>
    <row r="327" spans="16:16">
      <c r="P327" t="str">
        <f t="shared" si="5"/>
        <v/>
      </c>
    </row>
    <row r="328" spans="16:16">
      <c r="P328" t="str">
        <f t="shared" si="5"/>
        <v/>
      </c>
    </row>
    <row r="329" spans="16:16">
      <c r="P329" t="str">
        <f t="shared" si="5"/>
        <v/>
      </c>
    </row>
    <row r="330" spans="16:16">
      <c r="P330" t="str">
        <f t="shared" si="5"/>
        <v/>
      </c>
    </row>
    <row r="331" spans="16:16">
      <c r="P331" t="str">
        <f t="shared" si="5"/>
        <v/>
      </c>
    </row>
    <row r="332" spans="16:16">
      <c r="P332" t="str">
        <f t="shared" si="5"/>
        <v/>
      </c>
    </row>
    <row r="333" spans="16:16">
      <c r="P333" t="str">
        <f t="shared" si="5"/>
        <v/>
      </c>
    </row>
    <row r="334" spans="16:16">
      <c r="P334" t="str">
        <f t="shared" si="5"/>
        <v/>
      </c>
    </row>
    <row r="335" spans="16:16">
      <c r="P335" t="str">
        <f t="shared" si="5"/>
        <v/>
      </c>
    </row>
    <row r="336" spans="16:16">
      <c r="P336" t="str">
        <f t="shared" si="5"/>
        <v/>
      </c>
    </row>
    <row r="337" spans="16:16">
      <c r="P337" t="str">
        <f t="shared" si="5"/>
        <v/>
      </c>
    </row>
    <row r="338" spans="16:16">
      <c r="P338" t="str">
        <f t="shared" si="5"/>
        <v/>
      </c>
    </row>
    <row r="339" spans="16:16">
      <c r="P339" t="str">
        <f t="shared" si="5"/>
        <v/>
      </c>
    </row>
    <row r="340" spans="16:16">
      <c r="P340" t="str">
        <f t="shared" si="5"/>
        <v/>
      </c>
    </row>
    <row r="341" spans="16:16">
      <c r="P341" t="str">
        <f t="shared" si="5"/>
        <v/>
      </c>
    </row>
    <row r="342" spans="16:16">
      <c r="P342" t="str">
        <f t="shared" si="5"/>
        <v/>
      </c>
    </row>
    <row r="343" spans="16:16">
      <c r="P343" t="str">
        <f t="shared" si="5"/>
        <v/>
      </c>
    </row>
    <row r="344" spans="16:16">
      <c r="P344" t="str">
        <f t="shared" si="5"/>
        <v/>
      </c>
    </row>
    <row r="345" spans="16:16">
      <c r="P345" t="str">
        <f t="shared" si="5"/>
        <v/>
      </c>
    </row>
    <row r="346" spans="16:16">
      <c r="P346" t="str">
        <f t="shared" si="5"/>
        <v/>
      </c>
    </row>
    <row r="347" spans="16:16">
      <c r="P347" t="str">
        <f t="shared" si="5"/>
        <v/>
      </c>
    </row>
    <row r="348" spans="16:16">
      <c r="P348" t="str">
        <f t="shared" si="5"/>
        <v/>
      </c>
    </row>
    <row r="349" spans="16:16">
      <c r="P349" t="str">
        <f t="shared" si="5"/>
        <v/>
      </c>
    </row>
    <row r="350" spans="16:16">
      <c r="P350" t="str">
        <f t="shared" si="5"/>
        <v/>
      </c>
    </row>
    <row r="351" spans="16:16">
      <c r="P351" t="str">
        <f t="shared" si="5"/>
        <v/>
      </c>
    </row>
    <row r="352" spans="16:16">
      <c r="P352" t="str">
        <f t="shared" si="5"/>
        <v/>
      </c>
    </row>
    <row r="353" spans="16:16">
      <c r="P353" t="str">
        <f t="shared" si="5"/>
        <v/>
      </c>
    </row>
    <row r="354" spans="16:16">
      <c r="P354" t="str">
        <f t="shared" si="5"/>
        <v/>
      </c>
    </row>
    <row r="355" spans="16:16">
      <c r="P355" t="str">
        <f t="shared" si="5"/>
        <v/>
      </c>
    </row>
    <row r="356" spans="16:16">
      <c r="P356" t="str">
        <f t="shared" si="5"/>
        <v/>
      </c>
    </row>
    <row r="357" spans="16:16">
      <c r="P357" t="str">
        <f t="shared" si="5"/>
        <v/>
      </c>
    </row>
    <row r="358" spans="16:16">
      <c r="P358" t="str">
        <f t="shared" si="5"/>
        <v/>
      </c>
    </row>
    <row r="359" spans="16:16">
      <c r="P359" t="str">
        <f t="shared" si="5"/>
        <v/>
      </c>
    </row>
    <row r="360" spans="16:16">
      <c r="P360" t="str">
        <f t="shared" si="5"/>
        <v/>
      </c>
    </row>
    <row r="361" spans="16:16">
      <c r="P361" t="str">
        <f t="shared" si="5"/>
        <v/>
      </c>
    </row>
    <row r="362" spans="16:16">
      <c r="P362" t="str">
        <f t="shared" si="5"/>
        <v/>
      </c>
    </row>
    <row r="363" spans="16:16">
      <c r="P363" t="str">
        <f t="shared" si="5"/>
        <v/>
      </c>
    </row>
    <row r="364" spans="16:16">
      <c r="P364" t="str">
        <f t="shared" si="5"/>
        <v/>
      </c>
    </row>
    <row r="365" spans="16:16">
      <c r="P365" t="str">
        <f t="shared" si="5"/>
        <v/>
      </c>
    </row>
    <row r="366" spans="16:16">
      <c r="P366" t="str">
        <f t="shared" si="5"/>
        <v/>
      </c>
    </row>
    <row r="367" spans="16:16">
      <c r="P367" t="str">
        <f t="shared" si="5"/>
        <v/>
      </c>
    </row>
    <row r="368" spans="16:16">
      <c r="P368" t="str">
        <f t="shared" si="5"/>
        <v/>
      </c>
    </row>
    <row r="369" spans="16:16">
      <c r="P369" t="str">
        <f t="shared" si="5"/>
        <v/>
      </c>
    </row>
    <row r="370" spans="16:16">
      <c r="P370" t="str">
        <f t="shared" si="5"/>
        <v/>
      </c>
    </row>
    <row r="371" spans="16:16">
      <c r="P371" t="str">
        <f t="shared" si="5"/>
        <v/>
      </c>
    </row>
    <row r="372" spans="16:16">
      <c r="P372" t="str">
        <f t="shared" si="5"/>
        <v/>
      </c>
    </row>
    <row r="373" spans="16:16">
      <c r="P373" t="str">
        <f t="shared" si="5"/>
        <v/>
      </c>
    </row>
    <row r="374" spans="16:16">
      <c r="P374" t="str">
        <f t="shared" si="5"/>
        <v/>
      </c>
    </row>
    <row r="375" spans="16:16">
      <c r="P375" t="str">
        <f t="shared" si="5"/>
        <v/>
      </c>
    </row>
    <row r="376" spans="16:16">
      <c r="P376" t="str">
        <f t="shared" si="5"/>
        <v/>
      </c>
    </row>
    <row r="377" spans="16:16">
      <c r="P377" t="str">
        <f t="shared" si="5"/>
        <v/>
      </c>
    </row>
    <row r="378" spans="16:16">
      <c r="P378" t="str">
        <f t="shared" si="5"/>
        <v/>
      </c>
    </row>
    <row r="379" spans="16:16">
      <c r="P379" t="str">
        <f t="shared" si="5"/>
        <v/>
      </c>
    </row>
    <row r="380" spans="16:16">
      <c r="P380" t="str">
        <f t="shared" si="5"/>
        <v/>
      </c>
    </row>
    <row r="381" spans="16:16">
      <c r="P381" t="str">
        <f t="shared" si="5"/>
        <v/>
      </c>
    </row>
    <row r="382" spans="16:16">
      <c r="P382" t="str">
        <f t="shared" si="5"/>
        <v/>
      </c>
    </row>
    <row r="383" spans="16:16">
      <c r="P383" t="str">
        <f t="shared" si="5"/>
        <v/>
      </c>
    </row>
    <row r="384" spans="16:16">
      <c r="P384" t="str">
        <f t="shared" si="5"/>
        <v/>
      </c>
    </row>
    <row r="385" spans="16:16">
      <c r="P385" t="str">
        <f t="shared" si="5"/>
        <v/>
      </c>
    </row>
    <row r="386" spans="16:16">
      <c r="P386" t="str">
        <f t="shared" si="5"/>
        <v/>
      </c>
    </row>
    <row r="387" spans="16:16">
      <c r="P387" t="str">
        <f t="shared" ref="P387:P450" si="6">_xlfn.TEXTJOIN(", ",TRUE,N387,O387)</f>
        <v/>
      </c>
    </row>
    <row r="388" spans="16:16">
      <c r="P388" t="str">
        <f t="shared" si="6"/>
        <v/>
      </c>
    </row>
    <row r="389" spans="16:16">
      <c r="P389" t="str">
        <f t="shared" si="6"/>
        <v/>
      </c>
    </row>
    <row r="390" spans="16:16">
      <c r="P390" t="str">
        <f t="shared" si="6"/>
        <v/>
      </c>
    </row>
    <row r="391" spans="16:16">
      <c r="P391" t="str">
        <f t="shared" si="6"/>
        <v/>
      </c>
    </row>
    <row r="392" spans="16:16">
      <c r="P392" t="str">
        <f t="shared" si="6"/>
        <v/>
      </c>
    </row>
    <row r="393" spans="16:16">
      <c r="P393" t="str">
        <f t="shared" si="6"/>
        <v/>
      </c>
    </row>
    <row r="394" spans="16:16">
      <c r="P394" t="str">
        <f t="shared" si="6"/>
        <v/>
      </c>
    </row>
    <row r="395" spans="16:16">
      <c r="P395" t="str">
        <f t="shared" si="6"/>
        <v/>
      </c>
    </row>
    <row r="396" spans="16:16">
      <c r="P396" t="str">
        <f t="shared" si="6"/>
        <v/>
      </c>
    </row>
    <row r="397" spans="16:16">
      <c r="P397" t="str">
        <f t="shared" si="6"/>
        <v/>
      </c>
    </row>
    <row r="398" spans="16:16">
      <c r="P398" t="str">
        <f t="shared" si="6"/>
        <v/>
      </c>
    </row>
    <row r="399" spans="16:16">
      <c r="P399" t="str">
        <f t="shared" si="6"/>
        <v/>
      </c>
    </row>
    <row r="400" spans="16:16">
      <c r="P400" t="str">
        <f t="shared" si="6"/>
        <v/>
      </c>
    </row>
    <row r="401" spans="16:16">
      <c r="P401" t="str">
        <f t="shared" si="6"/>
        <v/>
      </c>
    </row>
    <row r="402" spans="16:16">
      <c r="P402" t="str">
        <f t="shared" si="6"/>
        <v/>
      </c>
    </row>
    <row r="403" spans="16:16">
      <c r="P403" t="str">
        <f t="shared" si="6"/>
        <v/>
      </c>
    </row>
    <row r="404" spans="16:16">
      <c r="P404" t="str">
        <f t="shared" si="6"/>
        <v/>
      </c>
    </row>
    <row r="405" spans="16:16">
      <c r="P405" t="str">
        <f t="shared" si="6"/>
        <v/>
      </c>
    </row>
    <row r="406" spans="16:16">
      <c r="P406" t="str">
        <f t="shared" si="6"/>
        <v/>
      </c>
    </row>
    <row r="407" spans="16:16">
      <c r="P407" t="str">
        <f t="shared" si="6"/>
        <v/>
      </c>
    </row>
    <row r="408" spans="16:16">
      <c r="P408" t="str">
        <f t="shared" si="6"/>
        <v/>
      </c>
    </row>
    <row r="409" spans="16:16">
      <c r="P409" t="str">
        <f t="shared" si="6"/>
        <v/>
      </c>
    </row>
    <row r="410" spans="16:16">
      <c r="P410" t="str">
        <f t="shared" si="6"/>
        <v/>
      </c>
    </row>
    <row r="411" spans="16:16">
      <c r="P411" t="str">
        <f t="shared" si="6"/>
        <v/>
      </c>
    </row>
    <row r="412" spans="16:16">
      <c r="P412" t="str">
        <f t="shared" si="6"/>
        <v/>
      </c>
    </row>
    <row r="413" spans="16:16">
      <c r="P413" t="str">
        <f t="shared" si="6"/>
        <v/>
      </c>
    </row>
    <row r="414" spans="16:16">
      <c r="P414" t="str">
        <f t="shared" si="6"/>
        <v/>
      </c>
    </row>
    <row r="415" spans="16:16">
      <c r="P415" t="str">
        <f t="shared" si="6"/>
        <v/>
      </c>
    </row>
    <row r="416" spans="16:16">
      <c r="P416" t="str">
        <f t="shared" si="6"/>
        <v/>
      </c>
    </row>
    <row r="417" spans="16:16">
      <c r="P417" t="str">
        <f t="shared" si="6"/>
        <v/>
      </c>
    </row>
    <row r="418" spans="16:16">
      <c r="P418" t="str">
        <f t="shared" si="6"/>
        <v/>
      </c>
    </row>
    <row r="419" spans="16:16">
      <c r="P419" t="str">
        <f t="shared" si="6"/>
        <v/>
      </c>
    </row>
    <row r="420" spans="16:16">
      <c r="P420" t="str">
        <f t="shared" si="6"/>
        <v/>
      </c>
    </row>
    <row r="421" spans="16:16">
      <c r="P421" t="str">
        <f t="shared" si="6"/>
        <v/>
      </c>
    </row>
    <row r="422" spans="16:16">
      <c r="P422" t="str">
        <f t="shared" si="6"/>
        <v/>
      </c>
    </row>
    <row r="423" spans="16:16">
      <c r="P423" t="str">
        <f t="shared" si="6"/>
        <v/>
      </c>
    </row>
    <row r="424" spans="16:16">
      <c r="P424" t="str">
        <f t="shared" si="6"/>
        <v/>
      </c>
    </row>
    <row r="425" spans="16:16">
      <c r="P425" t="str">
        <f t="shared" si="6"/>
        <v/>
      </c>
    </row>
    <row r="426" spans="16:16">
      <c r="P426" t="str">
        <f t="shared" si="6"/>
        <v/>
      </c>
    </row>
    <row r="427" spans="16:16">
      <c r="P427" t="str">
        <f t="shared" si="6"/>
        <v/>
      </c>
    </row>
    <row r="428" spans="16:16">
      <c r="P428" t="str">
        <f t="shared" si="6"/>
        <v/>
      </c>
    </row>
    <row r="429" spans="16:16">
      <c r="P429" t="str">
        <f t="shared" si="6"/>
        <v/>
      </c>
    </row>
    <row r="430" spans="16:16">
      <c r="P430" t="str">
        <f t="shared" si="6"/>
        <v/>
      </c>
    </row>
    <row r="431" spans="16:16">
      <c r="P431" t="str">
        <f t="shared" si="6"/>
        <v/>
      </c>
    </row>
    <row r="432" spans="16:16">
      <c r="P432" t="str">
        <f t="shared" si="6"/>
        <v/>
      </c>
    </row>
    <row r="433" spans="16:16">
      <c r="P433" t="str">
        <f t="shared" si="6"/>
        <v/>
      </c>
    </row>
    <row r="434" spans="16:16">
      <c r="P434" t="str">
        <f t="shared" si="6"/>
        <v/>
      </c>
    </row>
    <row r="435" spans="16:16">
      <c r="P435" t="str">
        <f t="shared" si="6"/>
        <v/>
      </c>
    </row>
    <row r="436" spans="16:16">
      <c r="P436" t="str">
        <f t="shared" si="6"/>
        <v/>
      </c>
    </row>
    <row r="437" spans="16:16">
      <c r="P437" t="str">
        <f t="shared" si="6"/>
        <v/>
      </c>
    </row>
    <row r="438" spans="16:16">
      <c r="P438" t="str">
        <f t="shared" si="6"/>
        <v/>
      </c>
    </row>
    <row r="439" spans="16:16">
      <c r="P439" t="str">
        <f t="shared" si="6"/>
        <v/>
      </c>
    </row>
    <row r="440" spans="16:16">
      <c r="P440" t="str">
        <f t="shared" si="6"/>
        <v/>
      </c>
    </row>
    <row r="441" spans="16:16">
      <c r="P441" t="str">
        <f t="shared" si="6"/>
        <v/>
      </c>
    </row>
    <row r="442" spans="16:16">
      <c r="P442" t="str">
        <f t="shared" si="6"/>
        <v/>
      </c>
    </row>
    <row r="443" spans="16:16">
      <c r="P443" t="str">
        <f t="shared" si="6"/>
        <v/>
      </c>
    </row>
    <row r="444" spans="16:16">
      <c r="P444" t="str">
        <f t="shared" si="6"/>
        <v/>
      </c>
    </row>
    <row r="445" spans="16:16">
      <c r="P445" t="str">
        <f t="shared" si="6"/>
        <v/>
      </c>
    </row>
    <row r="446" spans="16:16">
      <c r="P446" t="str">
        <f t="shared" si="6"/>
        <v/>
      </c>
    </row>
    <row r="447" spans="16:16">
      <c r="P447" t="str">
        <f t="shared" si="6"/>
        <v/>
      </c>
    </row>
    <row r="448" spans="16:16">
      <c r="P448" t="str">
        <f t="shared" si="6"/>
        <v/>
      </c>
    </row>
    <row r="449" spans="16:16">
      <c r="P449" t="str">
        <f t="shared" si="6"/>
        <v/>
      </c>
    </row>
    <row r="450" spans="16:16">
      <c r="P450" t="str">
        <f t="shared" si="6"/>
        <v/>
      </c>
    </row>
    <row r="451" spans="16:16">
      <c r="P451" t="str">
        <f t="shared" ref="P451:P453" si="7">_xlfn.TEXTJOIN(", ",TRUE,N451,O451)</f>
        <v/>
      </c>
    </row>
    <row r="452" spans="16:16">
      <c r="P452" t="str">
        <f t="shared" si="7"/>
        <v/>
      </c>
    </row>
    <row r="453" spans="16:16">
      <c r="P453" t="str">
        <f t="shared" si="7"/>
        <v/>
      </c>
    </row>
    <row r="454" spans="16:16">
      <c r="P454" t="str">
        <f t="shared" ref="P454:P455" si="8">_xlfn.TEXTJOIN(", ",TRUE,N454,O454)</f>
        <v/>
      </c>
    </row>
    <row r="455" spans="16:16">
      <c r="P455" t="str">
        <f t="shared" si="8"/>
        <v/>
      </c>
    </row>
  </sheetData>
  <phoneticPr fontId="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66252-D64F-4C71-A887-23E8A9710AD7}">
  <sheetPr codeName="Sheet3">
    <tabColor theme="3" tint="0.499984740745262"/>
  </sheetPr>
  <dimension ref="A1:AO101"/>
  <sheetViews>
    <sheetView topLeftCell="N1" workbookViewId="0">
      <selection activeCell="P10" sqref="P10"/>
    </sheetView>
  </sheetViews>
  <sheetFormatPr defaultRowHeight="15"/>
  <cols>
    <col min="1" max="1" width="144.7109375" bestFit="1" customWidth="1"/>
    <col min="2" max="2" width="11.7109375" customWidth="1"/>
    <col min="3" max="3" width="20.7109375" customWidth="1"/>
    <col min="4" max="4" width="16.7109375" customWidth="1"/>
    <col min="5" max="5" width="22.42578125" customWidth="1"/>
    <col min="6" max="6" width="21.42578125" customWidth="1"/>
    <col min="7" max="7" width="11.7109375" customWidth="1"/>
    <col min="8" max="8" width="18.28515625" customWidth="1"/>
    <col min="9" max="9" width="36.28515625" bestFit="1" customWidth="1"/>
    <col min="10" max="10" width="15.28515625" customWidth="1"/>
    <col min="11" max="11" width="19.85546875" bestFit="1" customWidth="1"/>
    <col min="12" max="12" width="33.85546875" bestFit="1" customWidth="1"/>
    <col min="13" max="13" width="13.5703125" customWidth="1"/>
    <col min="14" max="14" width="22.85546875" customWidth="1"/>
    <col min="15" max="15" width="24.5703125" customWidth="1"/>
    <col min="16" max="16" width="15.42578125" customWidth="1"/>
    <col min="17" max="17" width="22.7109375" customWidth="1"/>
    <col min="18" max="18" width="32.5703125" customWidth="1"/>
    <col min="19" max="19" width="35.42578125" bestFit="1" customWidth="1"/>
    <col min="20" max="20" width="46" bestFit="1" customWidth="1"/>
    <col min="21" max="21" width="23.85546875" bestFit="1" customWidth="1"/>
    <col min="22" max="22" width="15" customWidth="1"/>
    <col min="23" max="23" width="20.140625" customWidth="1"/>
    <col min="24" max="24" width="24.7109375" style="18" bestFit="1" customWidth="1"/>
    <col min="25" max="25" width="34.5703125" bestFit="1" customWidth="1"/>
    <col min="26" max="26" width="49" bestFit="1" customWidth="1"/>
    <col min="27" max="27" width="17.42578125" customWidth="1"/>
    <col min="28" max="28" width="64.5703125" bestFit="1" customWidth="1"/>
    <col min="29" max="29" width="19.85546875" customWidth="1"/>
    <col min="30" max="30" width="38.28515625" bestFit="1" customWidth="1"/>
  </cols>
  <sheetData>
    <row r="1" spans="1:32">
      <c r="A1" s="36" t="s">
        <v>56</v>
      </c>
      <c r="B1" t="s">
        <v>57</v>
      </c>
      <c r="C1" s="36" t="s">
        <v>58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  <c r="I1" t="s">
        <v>29</v>
      </c>
      <c r="J1" t="s">
        <v>30</v>
      </c>
      <c r="K1" t="s">
        <v>31</v>
      </c>
      <c r="L1" t="s">
        <v>32</v>
      </c>
      <c r="M1" t="s">
        <v>497</v>
      </c>
      <c r="N1" t="s">
        <v>498</v>
      </c>
      <c r="O1" t="s">
        <v>499</v>
      </c>
      <c r="P1" t="s">
        <v>500</v>
      </c>
      <c r="Q1" t="s">
        <v>501</v>
      </c>
      <c r="R1" t="s">
        <v>502</v>
      </c>
      <c r="S1" t="s">
        <v>503</v>
      </c>
      <c r="T1" t="s">
        <v>504</v>
      </c>
      <c r="U1" t="s">
        <v>505</v>
      </c>
      <c r="V1" t="s">
        <v>33</v>
      </c>
      <c r="W1" t="s">
        <v>34</v>
      </c>
      <c r="X1" t="s">
        <v>35</v>
      </c>
      <c r="Y1" t="s">
        <v>36</v>
      </c>
      <c r="Z1" t="s">
        <v>37</v>
      </c>
      <c r="AA1" t="s">
        <v>38</v>
      </c>
      <c r="AB1" t="s">
        <v>39</v>
      </c>
      <c r="AC1" t="s">
        <v>40</v>
      </c>
      <c r="AD1" t="s">
        <v>41</v>
      </c>
      <c r="AE1" t="s">
        <v>42</v>
      </c>
      <c r="AF1" t="s">
        <v>43</v>
      </c>
    </row>
    <row r="2" spans="1:32">
      <c r="A2" s="36" t="s">
        <v>506</v>
      </c>
      <c r="B2" s="36" t="s">
        <v>509</v>
      </c>
      <c r="C2" s="36" t="s">
        <v>507</v>
      </c>
      <c r="X2"/>
      <c r="AC2" s="3"/>
    </row>
    <row r="3" spans="1:32">
      <c r="B3" s="40" t="s">
        <v>22</v>
      </c>
      <c r="C3" s="41" t="s">
        <v>23</v>
      </c>
      <c r="X3"/>
      <c r="AC3" s="3"/>
    </row>
    <row r="4" spans="1:32">
      <c r="B4" s="40"/>
      <c r="C4" s="41"/>
      <c r="X4"/>
      <c r="AC4" s="3"/>
    </row>
    <row r="5" spans="1:32">
      <c r="B5" s="40"/>
      <c r="C5" s="41"/>
      <c r="X5"/>
    </row>
    <row r="6" spans="1:32">
      <c r="B6" s="40"/>
      <c r="C6" s="41"/>
      <c r="X6"/>
      <c r="AC6" s="3"/>
    </row>
    <row r="7" spans="1:32">
      <c r="B7" s="40"/>
      <c r="C7" s="41"/>
      <c r="X7"/>
      <c r="AC7" s="3"/>
    </row>
    <row r="8" spans="1:32">
      <c r="B8" s="40"/>
      <c r="C8" s="41"/>
      <c r="X8"/>
      <c r="AC8" s="3"/>
    </row>
    <row r="9" spans="1:32">
      <c r="B9" s="40"/>
      <c r="C9" s="41"/>
      <c r="X9"/>
      <c r="AC9" s="3"/>
    </row>
    <row r="10" spans="1:32">
      <c r="B10" s="40"/>
      <c r="C10" s="41"/>
      <c r="X10"/>
    </row>
    <row r="11" spans="1:32">
      <c r="B11" s="40"/>
      <c r="C11" s="41"/>
      <c r="X11"/>
      <c r="AC11" s="3"/>
    </row>
    <row r="12" spans="1:32">
      <c r="B12" s="40"/>
      <c r="C12" s="41"/>
      <c r="X12"/>
    </row>
    <row r="13" spans="1:32">
      <c r="B13" s="40"/>
      <c r="C13" s="41"/>
      <c r="X13"/>
      <c r="AF13" s="4"/>
    </row>
    <row r="14" spans="1:32">
      <c r="B14" s="40"/>
      <c r="C14" s="41"/>
      <c r="X14"/>
      <c r="AC14" s="3"/>
    </row>
    <row r="15" spans="1:32">
      <c r="B15" s="40"/>
      <c r="C15" s="41"/>
      <c r="X15"/>
    </row>
    <row r="16" spans="1:32">
      <c r="B16" s="40"/>
      <c r="C16" s="41"/>
      <c r="X16"/>
      <c r="AC16" s="3"/>
    </row>
    <row r="17" spans="2:37">
      <c r="B17" s="40"/>
      <c r="C17" s="41"/>
      <c r="X17"/>
    </row>
    <row r="18" spans="2:37">
      <c r="B18" s="40"/>
      <c r="C18" s="41"/>
      <c r="X18"/>
      <c r="AC18" s="3"/>
    </row>
    <row r="19" spans="2:37">
      <c r="B19" s="40"/>
      <c r="C19" s="41"/>
      <c r="X19"/>
      <c r="AC19" s="3"/>
    </row>
    <row r="20" spans="2:37">
      <c r="B20" s="40"/>
      <c r="C20" s="41"/>
      <c r="X20"/>
      <c r="AC20" s="3"/>
    </row>
    <row r="21" spans="2:37">
      <c r="B21" s="40"/>
      <c r="C21" s="41"/>
      <c r="X21"/>
      <c r="AC21" s="3"/>
    </row>
    <row r="22" spans="2:37">
      <c r="B22" s="40"/>
      <c r="C22" s="41"/>
      <c r="X22"/>
      <c r="AC22" s="3"/>
    </row>
    <row r="23" spans="2:37">
      <c r="B23" s="40"/>
      <c r="C23" s="41"/>
      <c r="X23"/>
      <c r="AC23" s="3"/>
    </row>
    <row r="24" spans="2:37">
      <c r="B24" s="40"/>
      <c r="C24" s="41"/>
      <c r="X24"/>
      <c r="AC24" s="3"/>
    </row>
    <row r="25" spans="2:37">
      <c r="B25" s="40"/>
      <c r="C25" s="41"/>
      <c r="X25"/>
      <c r="AC25" s="3"/>
      <c r="AK25" s="3"/>
    </row>
    <row r="26" spans="2:37">
      <c r="B26" s="40"/>
      <c r="C26" s="41"/>
      <c r="X26"/>
      <c r="AK26" s="3"/>
    </row>
    <row r="27" spans="2:37">
      <c r="B27" s="40"/>
      <c r="C27" s="41"/>
      <c r="X27"/>
      <c r="AK27" s="3"/>
    </row>
    <row r="28" spans="2:37">
      <c r="B28" s="40"/>
      <c r="C28" s="41"/>
      <c r="X28"/>
      <c r="AK28" s="3"/>
    </row>
    <row r="29" spans="2:37">
      <c r="B29" s="40"/>
      <c r="C29" s="41"/>
      <c r="X29"/>
      <c r="AK29" s="3"/>
    </row>
    <row r="30" spans="2:37">
      <c r="B30" s="40"/>
      <c r="C30" s="41"/>
      <c r="X30"/>
    </row>
    <row r="31" spans="2:37">
      <c r="B31" s="40"/>
      <c r="C31" s="41"/>
      <c r="X31"/>
      <c r="AK31" s="3"/>
    </row>
    <row r="32" spans="2:37">
      <c r="B32" s="40"/>
      <c r="C32" s="41"/>
      <c r="X32"/>
    </row>
    <row r="33" spans="2:41">
      <c r="B33" s="40"/>
      <c r="C33" s="41"/>
      <c r="X33"/>
      <c r="AK33" s="3"/>
    </row>
    <row r="34" spans="2:41">
      <c r="B34" s="40"/>
      <c r="C34" s="41"/>
      <c r="X34"/>
      <c r="AK34" s="3"/>
    </row>
    <row r="35" spans="2:41">
      <c r="B35" s="40"/>
      <c r="C35" s="41"/>
      <c r="X35"/>
      <c r="AK35" s="3"/>
    </row>
    <row r="36" spans="2:41">
      <c r="B36" s="40"/>
      <c r="C36" s="41"/>
      <c r="X36"/>
      <c r="AK36" s="3"/>
    </row>
    <row r="37" spans="2:41">
      <c r="B37" s="40"/>
      <c r="C37" s="41"/>
      <c r="X37"/>
    </row>
    <row r="38" spans="2:41">
      <c r="B38" s="40"/>
      <c r="C38" s="41"/>
      <c r="X38"/>
      <c r="AK38" s="3"/>
    </row>
    <row r="39" spans="2:41">
      <c r="B39" s="40"/>
      <c r="C39" s="41"/>
      <c r="X39"/>
      <c r="AK39" s="3"/>
    </row>
    <row r="40" spans="2:41">
      <c r="B40" s="40"/>
      <c r="C40" s="41"/>
      <c r="X40"/>
      <c r="AK40" s="3"/>
    </row>
    <row r="41" spans="2:41">
      <c r="B41" s="40"/>
      <c r="C41" s="41"/>
      <c r="X41"/>
      <c r="AK41" s="3"/>
    </row>
    <row r="42" spans="2:41">
      <c r="B42" s="40"/>
      <c r="C42" s="41"/>
      <c r="X42"/>
      <c r="AK42" s="3"/>
    </row>
    <row r="43" spans="2:41">
      <c r="B43" s="40"/>
      <c r="C43" s="41"/>
      <c r="X43"/>
      <c r="AO43" s="4"/>
    </row>
    <row r="44" spans="2:41">
      <c r="B44" s="40"/>
      <c r="C44" s="41"/>
      <c r="X44"/>
    </row>
    <row r="45" spans="2:41">
      <c r="B45" s="40"/>
      <c r="C45" s="41"/>
      <c r="X45"/>
      <c r="AK45" s="3"/>
    </row>
    <row r="46" spans="2:41">
      <c r="B46" s="40"/>
      <c r="C46" s="41"/>
      <c r="X46"/>
      <c r="AK46" s="3"/>
    </row>
    <row r="47" spans="2:41">
      <c r="B47" s="40"/>
      <c r="C47" s="41"/>
      <c r="X47"/>
      <c r="AK47" s="3"/>
    </row>
    <row r="48" spans="2:41">
      <c r="B48" s="40"/>
      <c r="C48" s="41"/>
      <c r="X48"/>
    </row>
    <row r="49" spans="2:37">
      <c r="B49" s="40"/>
      <c r="C49" s="41"/>
      <c r="X49"/>
      <c r="AK49" s="3"/>
    </row>
    <row r="50" spans="2:37">
      <c r="B50" s="40"/>
      <c r="C50" s="41"/>
      <c r="X50"/>
      <c r="AK50" s="3"/>
    </row>
    <row r="51" spans="2:37">
      <c r="B51" s="40"/>
      <c r="C51" s="41"/>
      <c r="X51"/>
      <c r="AK51" s="3"/>
    </row>
    <row r="52" spans="2:37">
      <c r="B52" s="40"/>
      <c r="C52" s="41"/>
      <c r="X52"/>
      <c r="AK52" s="3"/>
    </row>
    <row r="53" spans="2:37">
      <c r="B53" s="40"/>
      <c r="C53" s="41"/>
      <c r="X53"/>
    </row>
    <row r="54" spans="2:37">
      <c r="B54" s="40"/>
      <c r="C54" s="41"/>
      <c r="X54"/>
      <c r="AK54" s="3"/>
    </row>
    <row r="55" spans="2:37">
      <c r="B55" s="40"/>
      <c r="C55" s="41"/>
      <c r="U55" s="30"/>
    </row>
    <row r="56" spans="2:37">
      <c r="B56" s="40"/>
      <c r="C56" s="41"/>
      <c r="U56" s="30"/>
    </row>
    <row r="57" spans="2:37">
      <c r="B57" s="40"/>
      <c r="C57" s="41"/>
      <c r="U57" s="30"/>
    </row>
    <row r="58" spans="2:37">
      <c r="B58" s="40"/>
      <c r="C58" s="41"/>
      <c r="U58" s="30"/>
    </row>
    <row r="59" spans="2:37">
      <c r="B59" s="40"/>
      <c r="C59" s="41"/>
      <c r="U59" s="30"/>
    </row>
    <row r="60" spans="2:37">
      <c r="B60" s="40"/>
      <c r="C60" s="41"/>
      <c r="U60" s="30"/>
    </row>
    <row r="61" spans="2:37">
      <c r="B61" s="40"/>
      <c r="C61" s="41"/>
      <c r="U61" s="30"/>
    </row>
    <row r="62" spans="2:37">
      <c r="B62" s="40"/>
      <c r="C62" s="41"/>
      <c r="U62" s="30"/>
    </row>
    <row r="63" spans="2:37">
      <c r="B63" s="40"/>
      <c r="C63" s="41"/>
      <c r="U63" s="30"/>
    </row>
    <row r="64" spans="2:37">
      <c r="B64" s="40"/>
      <c r="C64" s="41"/>
      <c r="U64" s="30"/>
    </row>
    <row r="65" spans="2:26">
      <c r="B65" s="40"/>
      <c r="C65" s="41"/>
      <c r="U65" s="30"/>
    </row>
    <row r="66" spans="2:26">
      <c r="B66" s="40"/>
      <c r="C66" s="41"/>
      <c r="U66" s="30"/>
    </row>
    <row r="67" spans="2:26">
      <c r="B67" s="40"/>
      <c r="C67" s="41"/>
      <c r="U67" s="30"/>
    </row>
    <row r="68" spans="2:26">
      <c r="B68" s="40"/>
      <c r="C68" s="41"/>
      <c r="U68" s="30"/>
    </row>
    <row r="69" spans="2:26">
      <c r="B69" s="40"/>
      <c r="C69" s="41"/>
      <c r="U69" s="30"/>
    </row>
    <row r="70" spans="2:26">
      <c r="B70" s="40"/>
      <c r="C70" s="41"/>
      <c r="U70" s="30"/>
    </row>
    <row r="71" spans="2:26">
      <c r="B71" s="40"/>
      <c r="C71" s="41"/>
      <c r="U71" s="30"/>
    </row>
    <row r="72" spans="2:26">
      <c r="B72" s="40"/>
      <c r="C72" s="41"/>
      <c r="U72" s="30"/>
      <c r="Z72" s="3"/>
    </row>
    <row r="73" spans="2:26">
      <c r="B73" s="40"/>
      <c r="C73" s="41"/>
      <c r="U73" s="30"/>
    </row>
    <row r="74" spans="2:26">
      <c r="B74" s="40"/>
      <c r="C74" s="41"/>
      <c r="U74" s="30"/>
      <c r="Z74" s="3"/>
    </row>
    <row r="75" spans="2:26">
      <c r="B75" s="40"/>
      <c r="C75" s="41"/>
      <c r="U75" s="30"/>
    </row>
    <row r="76" spans="2:26">
      <c r="B76" s="40"/>
      <c r="C76" s="41"/>
      <c r="U76" s="30"/>
    </row>
    <row r="77" spans="2:26">
      <c r="B77" s="40"/>
      <c r="C77" s="41"/>
      <c r="U77" s="30"/>
      <c r="Z77" s="3"/>
    </row>
    <row r="78" spans="2:26">
      <c r="B78" s="40"/>
      <c r="C78" s="41"/>
      <c r="U78" s="30"/>
    </row>
    <row r="79" spans="2:26">
      <c r="B79" s="40"/>
      <c r="C79" s="41"/>
      <c r="U79" s="30"/>
    </row>
    <row r="80" spans="2:26">
      <c r="B80" s="40"/>
      <c r="C80" s="41"/>
      <c r="U80" s="30"/>
    </row>
    <row r="81" spans="2:26">
      <c r="B81" s="40"/>
      <c r="C81" s="41"/>
      <c r="U81" s="30"/>
    </row>
    <row r="82" spans="2:26">
      <c r="B82" s="40"/>
      <c r="C82" s="41"/>
      <c r="U82" s="30"/>
    </row>
    <row r="83" spans="2:26">
      <c r="B83" s="40"/>
      <c r="C83" s="41"/>
      <c r="U83" s="30"/>
    </row>
    <row r="84" spans="2:26">
      <c r="B84" s="40"/>
      <c r="C84" s="41"/>
      <c r="U84" s="30"/>
    </row>
    <row r="85" spans="2:26">
      <c r="B85" s="40"/>
      <c r="C85" s="41"/>
      <c r="U85" s="30"/>
    </row>
    <row r="86" spans="2:26">
      <c r="B86" s="40"/>
      <c r="C86" s="41"/>
      <c r="U86" s="30"/>
    </row>
    <row r="87" spans="2:26">
      <c r="B87" s="40"/>
      <c r="C87" s="41"/>
      <c r="U87" s="30"/>
    </row>
    <row r="88" spans="2:26">
      <c r="B88" s="40"/>
      <c r="C88" s="41"/>
      <c r="U88" s="30"/>
    </row>
    <row r="89" spans="2:26">
      <c r="B89" s="40"/>
      <c r="C89" s="41"/>
      <c r="U89" s="30"/>
    </row>
    <row r="90" spans="2:26">
      <c r="B90" s="40"/>
      <c r="C90" s="41"/>
      <c r="U90" s="30"/>
    </row>
    <row r="91" spans="2:26">
      <c r="B91" s="40"/>
      <c r="C91" s="41"/>
      <c r="U91" s="30"/>
    </row>
    <row r="92" spans="2:26">
      <c r="B92" s="40"/>
      <c r="C92" s="41"/>
      <c r="U92" s="30"/>
    </row>
    <row r="93" spans="2:26">
      <c r="B93" s="40"/>
      <c r="C93" s="41"/>
      <c r="U93" s="30"/>
      <c r="Z93" s="3"/>
    </row>
    <row r="94" spans="2:26">
      <c r="B94" s="40"/>
      <c r="C94" s="41"/>
      <c r="U94" s="30"/>
    </row>
    <row r="95" spans="2:26">
      <c r="B95" s="40"/>
      <c r="C95" s="41"/>
      <c r="U95" s="30"/>
    </row>
    <row r="96" spans="2:26">
      <c r="B96" s="40"/>
      <c r="C96" s="41"/>
      <c r="U96" s="30"/>
    </row>
    <row r="97" spans="2:21">
      <c r="B97" s="40"/>
      <c r="C97" s="41"/>
      <c r="U97" s="30"/>
    </row>
    <row r="98" spans="2:21">
      <c r="U98" s="30"/>
    </row>
    <row r="101" spans="2:21">
      <c r="U101" s="30"/>
    </row>
  </sheetData>
  <mergeCells count="2">
    <mergeCell ref="B3:B97"/>
    <mergeCell ref="C3:C97"/>
  </mergeCells>
  <phoneticPr fontId="9" type="noConversion"/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E69DC-F6C4-4E41-A71B-F79D50C279FE}">
  <sheetPr codeName="Sheet4"/>
  <dimension ref="A1:N446"/>
  <sheetViews>
    <sheetView workbookViewId="0">
      <selection activeCell="C2" sqref="C2"/>
    </sheetView>
  </sheetViews>
  <sheetFormatPr defaultRowHeight="15"/>
  <cols>
    <col min="1" max="1" width="26.7109375" bestFit="1" customWidth="1"/>
    <col min="2" max="2" width="16.85546875" bestFit="1" customWidth="1"/>
    <col min="3" max="4" width="11.28515625" bestFit="1" customWidth="1"/>
    <col min="5" max="5" width="19.85546875" bestFit="1" customWidth="1"/>
    <col min="6" max="6" width="31.7109375" bestFit="1" customWidth="1"/>
    <col min="7" max="7" width="12.85546875" bestFit="1" customWidth="1"/>
    <col min="8" max="8" width="13" style="13" customWidth="1"/>
    <col min="9" max="9" width="17.28515625" bestFit="1" customWidth="1"/>
    <col min="10" max="13" width="17.28515625" style="13" customWidth="1"/>
    <col min="14" max="14" width="15.85546875" bestFit="1" customWidth="1"/>
    <col min="18" max="18" width="13.42578125" bestFit="1" customWidth="1"/>
    <col min="19" max="19" width="16.85546875" bestFit="1" customWidth="1"/>
    <col min="20" max="20" width="7.85546875" bestFit="1" customWidth="1"/>
    <col min="21" max="21" width="8.5703125" bestFit="1" customWidth="1"/>
    <col min="22" max="22" width="8.140625" bestFit="1" customWidth="1"/>
    <col min="23" max="23" width="9" bestFit="1" customWidth="1"/>
    <col min="24" max="24" width="8.28515625" bestFit="1" customWidth="1"/>
    <col min="25" max="25" width="9.42578125" bestFit="1" customWidth="1"/>
    <col min="26" max="26" width="8.28515625" bestFit="1" customWidth="1"/>
    <col min="27" max="27" width="8.5703125" bestFit="1" customWidth="1"/>
    <col min="28" max="28" width="8.7109375" bestFit="1" customWidth="1"/>
    <col min="29" max="29" width="8.28515625" bestFit="1" customWidth="1"/>
    <col min="30" max="30" width="9" bestFit="1" customWidth="1"/>
    <col min="31" max="31" width="8.28515625" bestFit="1" customWidth="1"/>
    <col min="32" max="32" width="8.7109375" bestFit="1" customWidth="1"/>
    <col min="33" max="33" width="7.85546875" bestFit="1" customWidth="1"/>
    <col min="34" max="34" width="7.5703125" bestFit="1" customWidth="1"/>
    <col min="35" max="35" width="7.7109375" bestFit="1" customWidth="1"/>
    <col min="36" max="36" width="9.85546875" bestFit="1" customWidth="1"/>
    <col min="38" max="38" width="9" bestFit="1" customWidth="1"/>
    <col min="39" max="39" width="8.42578125" bestFit="1" customWidth="1"/>
    <col min="40" max="40" width="8.5703125" bestFit="1" customWidth="1"/>
    <col min="41" max="41" width="8.140625" bestFit="1" customWidth="1"/>
    <col min="42" max="42" width="8.7109375" bestFit="1" customWidth="1"/>
    <col min="43" max="44" width="8.28515625" bestFit="1" customWidth="1"/>
    <col min="45" max="45" width="8.7109375" bestFit="1" customWidth="1"/>
    <col min="46" max="46" width="8.85546875" bestFit="1" customWidth="1"/>
    <col min="47" max="47" width="8.7109375" bestFit="1" customWidth="1"/>
    <col min="48" max="48" width="9.42578125" bestFit="1" customWidth="1"/>
    <col min="49" max="49" width="8" bestFit="1" customWidth="1"/>
    <col min="50" max="50" width="14.28515625" bestFit="1" customWidth="1"/>
    <col min="51" max="51" width="14.7109375" bestFit="1" customWidth="1"/>
    <col min="52" max="52" width="15.28515625" bestFit="1" customWidth="1"/>
    <col min="53" max="53" width="12.5703125" bestFit="1" customWidth="1"/>
    <col min="54" max="54" width="8.7109375" bestFit="1" customWidth="1"/>
    <col min="55" max="55" width="8.5703125" bestFit="1" customWidth="1"/>
    <col min="56" max="56" width="10" bestFit="1" customWidth="1"/>
    <col min="57" max="57" width="13.85546875" bestFit="1" customWidth="1"/>
    <col min="58" max="58" width="9" bestFit="1" customWidth="1"/>
    <col min="59" max="60" width="8.5703125" bestFit="1" customWidth="1"/>
    <col min="61" max="61" width="12.85546875" bestFit="1" customWidth="1"/>
    <col min="62" max="62" width="9.42578125" bestFit="1" customWidth="1"/>
    <col min="63" max="63" width="8.5703125" bestFit="1" customWidth="1"/>
    <col min="64" max="64" width="8.85546875" bestFit="1" customWidth="1"/>
    <col min="65" max="65" width="8.5703125" bestFit="1" customWidth="1"/>
    <col min="66" max="66" width="8.85546875" bestFit="1" customWidth="1"/>
    <col min="67" max="67" width="10.140625" bestFit="1" customWidth="1"/>
    <col min="68" max="68" width="7.7109375" bestFit="1" customWidth="1"/>
    <col min="69" max="69" width="8.42578125" bestFit="1" customWidth="1"/>
    <col min="70" max="70" width="8.28515625" bestFit="1" customWidth="1"/>
    <col min="71" max="71" width="8.140625" bestFit="1" customWidth="1"/>
    <col min="72" max="72" width="9.5703125" bestFit="1" customWidth="1"/>
    <col min="73" max="73" width="10.28515625" bestFit="1" customWidth="1"/>
    <col min="74" max="74" width="10.42578125" bestFit="1" customWidth="1"/>
    <col min="75" max="75" width="9.85546875" bestFit="1" customWidth="1"/>
    <col min="76" max="76" width="10.5703125" bestFit="1" customWidth="1"/>
    <col min="77" max="77" width="10.140625" bestFit="1" customWidth="1"/>
    <col min="78" max="78" width="10.7109375" bestFit="1" customWidth="1"/>
    <col min="79" max="79" width="9.7109375" bestFit="1" customWidth="1"/>
    <col min="80" max="80" width="9.85546875" bestFit="1" customWidth="1"/>
    <col min="81" max="81" width="10.85546875" bestFit="1" customWidth="1"/>
    <col min="82" max="82" width="10.42578125" bestFit="1" customWidth="1"/>
    <col min="83" max="84" width="9.5703125" bestFit="1" customWidth="1"/>
    <col min="85" max="85" width="10.140625" bestFit="1" customWidth="1"/>
    <col min="86" max="86" width="9.85546875" bestFit="1" customWidth="1"/>
    <col min="87" max="87" width="9.7109375" bestFit="1" customWidth="1"/>
    <col min="88" max="88" width="10.140625" bestFit="1" customWidth="1"/>
    <col min="89" max="89" width="9.42578125" bestFit="1" customWidth="1"/>
    <col min="90" max="90" width="9.5703125" bestFit="1" customWidth="1"/>
    <col min="91" max="91" width="10.7109375" bestFit="1" customWidth="1"/>
    <col min="92" max="92" width="10.42578125" bestFit="1" customWidth="1"/>
    <col min="93" max="93" width="10.85546875" bestFit="1" customWidth="1"/>
    <col min="94" max="98" width="10.7109375" bestFit="1" customWidth="1"/>
    <col min="99" max="99" width="11.140625" bestFit="1" customWidth="1"/>
    <col min="100" max="100" width="10" bestFit="1" customWidth="1"/>
    <col min="101" max="101" width="11.42578125" bestFit="1" customWidth="1"/>
    <col min="102" max="102" width="11.5703125" bestFit="1" customWidth="1"/>
    <col min="103" max="105" width="10.7109375" bestFit="1" customWidth="1"/>
    <col min="106" max="106" width="10.28515625" bestFit="1" customWidth="1"/>
    <col min="107" max="108" width="10.140625" bestFit="1" customWidth="1"/>
    <col min="109" max="109" width="11" bestFit="1" customWidth="1"/>
    <col min="110" max="110" width="10.28515625" bestFit="1" customWidth="1"/>
    <col min="111" max="111" width="10.42578125" bestFit="1" customWidth="1"/>
    <col min="112" max="112" width="13.28515625" bestFit="1" customWidth="1"/>
    <col min="113" max="113" width="12" bestFit="1" customWidth="1"/>
    <col min="114" max="114" width="13.7109375" bestFit="1" customWidth="1"/>
    <col min="115" max="115" width="7.28515625" bestFit="1" customWidth="1"/>
    <col min="116" max="116" width="11.28515625" bestFit="1" customWidth="1"/>
  </cols>
  <sheetData>
    <row r="1" spans="1:14" ht="18" thickBot="1">
      <c r="A1" s="31" t="s">
        <v>295</v>
      </c>
      <c r="B1" s="31" t="s">
        <v>294</v>
      </c>
      <c r="G1" s="33" t="s">
        <v>59</v>
      </c>
      <c r="H1" s="12" t="s">
        <v>291</v>
      </c>
      <c r="I1" s="1" t="s">
        <v>14</v>
      </c>
      <c r="J1" s="12" t="s">
        <v>296</v>
      </c>
      <c r="K1" s="12" t="s">
        <v>297</v>
      </c>
      <c r="L1" s="12" t="s">
        <v>298</v>
      </c>
      <c r="M1" s="12" t="s">
        <v>299</v>
      </c>
      <c r="N1" s="1" t="s">
        <v>15</v>
      </c>
    </row>
    <row r="2" spans="1:14" ht="15.75" thickTop="1">
      <c r="A2" s="31" t="s">
        <v>292</v>
      </c>
      <c r="B2" t="s">
        <v>510</v>
      </c>
      <c r="C2" t="s">
        <v>293</v>
      </c>
      <c r="G2" cm="1">
        <f t="array" ref="G2">_xlfn.UNIQUE(Input!J2:J101)</f>
        <v>0</v>
      </c>
      <c r="H2" s="13">
        <f>IFERROR(GETPIVOTDATA("Successful / Failed",$A$1,"System serial",G2),0)</f>
        <v>1</v>
      </c>
      <c r="I2" t="str" cm="1">
        <f t="array" ref="I2">_xlfn.IFS(H2&lt;1,"No",H2=1,"Yes",H2&gt;1,_xlfn.TEXTJOIN("",TRUE,"Yes x",H2))</f>
        <v>Yes</v>
      </c>
      <c r="J2" s="13">
        <f>IFERROR(GETPIVOTDATA("Successful / Failed",$A$1,"System serial",G2,"Successful / Failed","Successful"),0)</f>
        <v>0</v>
      </c>
      <c r="K2" s="13">
        <f>IFERROR(GETPIVOTDATA("Successful / Failed",$A$1,"System serial",G2,"Successful / Failed","Failed"),0)</f>
        <v>1</v>
      </c>
      <c r="L2" s="13" t="str" cm="1">
        <f t="array" ref="L2">_xlfn.IFS(J2&lt;1,"",J2=1,"Pass",J2&gt;1,_xlfn.TEXTJOIN("",TRUE,"Pass x",J2))</f>
        <v/>
      </c>
      <c r="M2" s="13" t="str" cm="1">
        <f t="array" ref="M2">_xlfn.IFS(K2&lt;1,"",K2=1,"Fail",K2&gt;1,_xlfn.TEXTJOIN("",TRUE,"Fail x",K2))</f>
        <v>Fail</v>
      </c>
      <c r="N2" t="str">
        <f>_xlfn.TEXTJOIN(", ",TRUE, L2, M2)</f>
        <v>Fail</v>
      </c>
    </row>
    <row r="3" spans="1:14">
      <c r="A3" s="32">
        <v>0</v>
      </c>
      <c r="B3" s="43">
        <v>1</v>
      </c>
      <c r="C3" s="43">
        <v>1</v>
      </c>
      <c r="H3" s="13">
        <f t="shared" ref="H3:H66" si="0">IFERROR(GETPIVOTDATA("Successful / Failed",$A$1,"System serial",G3),0)</f>
        <v>1</v>
      </c>
      <c r="I3" t="str" cm="1">
        <f t="array" ref="I3">_xlfn.IFS(H3&lt;1,"No",H3=1,"Yes",H3&gt;1,_xlfn.TEXTJOIN("",TRUE,"Yes x",H3))</f>
        <v>Yes</v>
      </c>
      <c r="J3" s="13">
        <f t="shared" ref="J3:J66" si="1">IFERROR(GETPIVOTDATA("Successful / Failed",$A$1,"System serial",G3,"Successful / Failed","Successful"),0)</f>
        <v>0</v>
      </c>
      <c r="K3" s="13">
        <f t="shared" ref="K3:K66" si="2">IFERROR(GETPIVOTDATA("Successful / Failed",$A$1,"System serial",G3,"Successful / Failed","Failed"),0)</f>
        <v>1</v>
      </c>
      <c r="L3" s="13" t="str" cm="1">
        <f t="array" ref="L3">_xlfn.IFS(J3&lt;1,"",J3=1,"Pass",J3&gt;1,_xlfn.TEXTJOIN("",TRUE,"Pass x",J3))</f>
        <v/>
      </c>
      <c r="M3" s="13" t="str" cm="1">
        <f t="array" ref="M3">_xlfn.IFS(K3&lt;1,"",K3=1,"Fail",K3&gt;1,_xlfn.TEXTJOIN("",TRUE,"Fail x",K3))</f>
        <v>Fail</v>
      </c>
      <c r="N3" t="str">
        <f t="shared" ref="N3:N66" si="3">_xlfn.TEXTJOIN(", ",TRUE, L3, M3)</f>
        <v>Fail</v>
      </c>
    </row>
    <row r="4" spans="1:14">
      <c r="A4" s="32" t="s">
        <v>293</v>
      </c>
      <c r="B4" s="43">
        <v>1</v>
      </c>
      <c r="C4" s="43">
        <v>1</v>
      </c>
      <c r="H4" s="13">
        <f t="shared" si="0"/>
        <v>1</v>
      </c>
      <c r="I4" t="str" cm="1">
        <f t="array" ref="I4">_xlfn.IFS(H4&lt;1,"No",H4=1,"Yes",H4&gt;1,_xlfn.TEXTJOIN("",TRUE,"Yes x",H4))</f>
        <v>Yes</v>
      </c>
      <c r="J4" s="13">
        <f t="shared" si="1"/>
        <v>0</v>
      </c>
      <c r="K4" s="13">
        <f t="shared" si="2"/>
        <v>1</v>
      </c>
      <c r="L4" s="13" t="str" cm="1">
        <f t="array" ref="L4">_xlfn.IFS(J4&lt;1,"",J4=1,"Pass",J4&gt;1,_xlfn.TEXTJOIN("",TRUE,"Pass x",J4))</f>
        <v/>
      </c>
      <c r="M4" s="13" t="str" cm="1">
        <f t="array" ref="M4">_xlfn.IFS(K4&lt;1,"",K4=1,"Fail",K4&gt;1,_xlfn.TEXTJOIN("",TRUE,"Fail x",K4))</f>
        <v>Fail</v>
      </c>
      <c r="N4" t="str">
        <f t="shared" si="3"/>
        <v>Fail</v>
      </c>
    </row>
    <row r="5" spans="1:14">
      <c r="H5" s="13">
        <f t="shared" si="0"/>
        <v>1</v>
      </c>
      <c r="I5" t="str" cm="1">
        <f t="array" ref="I5">_xlfn.IFS(H5&lt;1,"No",H5=1,"Yes",H5&gt;1,_xlfn.TEXTJOIN("",TRUE,"Yes x",H5))</f>
        <v>Yes</v>
      </c>
      <c r="J5" s="13">
        <f t="shared" si="1"/>
        <v>0</v>
      </c>
      <c r="K5" s="13">
        <f t="shared" si="2"/>
        <v>1</v>
      </c>
      <c r="L5" s="13" t="str" cm="1">
        <f t="array" ref="L5">_xlfn.IFS(J5&lt;1,"",J5=1,"Pass",J5&gt;1,_xlfn.TEXTJOIN("",TRUE,"Pass x",J5))</f>
        <v/>
      </c>
      <c r="M5" s="13" t="str" cm="1">
        <f t="array" ref="M5">_xlfn.IFS(K5&lt;1,"",K5=1,"Fail",K5&gt;1,_xlfn.TEXTJOIN("",TRUE,"Fail x",K5))</f>
        <v>Fail</v>
      </c>
      <c r="N5" t="str">
        <f t="shared" si="3"/>
        <v>Fail</v>
      </c>
    </row>
    <row r="6" spans="1:14">
      <c r="H6" s="13">
        <f t="shared" si="0"/>
        <v>1</v>
      </c>
      <c r="I6" t="str" cm="1">
        <f t="array" ref="I6">_xlfn.IFS(H6&lt;1,"No",H6=1,"Yes",H6&gt;1,_xlfn.TEXTJOIN("",TRUE,"Yes x",H6))</f>
        <v>Yes</v>
      </c>
      <c r="J6" s="13">
        <f t="shared" si="1"/>
        <v>0</v>
      </c>
      <c r="K6" s="13">
        <f t="shared" si="2"/>
        <v>1</v>
      </c>
      <c r="L6" s="13" t="str" cm="1">
        <f t="array" ref="L6">_xlfn.IFS(J6&lt;1,"",J6=1,"Pass",J6&gt;1,_xlfn.TEXTJOIN("",TRUE,"Pass x",J6))</f>
        <v/>
      </c>
      <c r="M6" s="13" t="str" cm="1">
        <f t="array" ref="M6">_xlfn.IFS(K6&lt;1,"",K6=1,"Fail",K6&gt;1,_xlfn.TEXTJOIN("",TRUE,"Fail x",K6))</f>
        <v>Fail</v>
      </c>
      <c r="N6" t="str">
        <f t="shared" si="3"/>
        <v>Fail</v>
      </c>
    </row>
    <row r="7" spans="1:14">
      <c r="H7" s="13">
        <f t="shared" si="0"/>
        <v>1</v>
      </c>
      <c r="I7" t="str" cm="1">
        <f t="array" ref="I7">_xlfn.IFS(H7&lt;1,"No",H7=1,"Yes",H7&gt;1,_xlfn.TEXTJOIN("",TRUE,"Yes x",H7))</f>
        <v>Yes</v>
      </c>
      <c r="J7" s="13">
        <f t="shared" si="1"/>
        <v>0</v>
      </c>
      <c r="K7" s="13">
        <f t="shared" si="2"/>
        <v>1</v>
      </c>
      <c r="L7" s="13" t="str" cm="1">
        <f t="array" ref="L7">_xlfn.IFS(J7&lt;1,"",J7=1,"Pass",J7&gt;1,_xlfn.TEXTJOIN("",TRUE,"Pass x",J7))</f>
        <v/>
      </c>
      <c r="M7" s="13" t="str" cm="1">
        <f t="array" ref="M7">_xlfn.IFS(K7&lt;1,"",K7=1,"Fail",K7&gt;1,_xlfn.TEXTJOIN("",TRUE,"Fail x",K7))</f>
        <v>Fail</v>
      </c>
      <c r="N7" t="str">
        <f t="shared" si="3"/>
        <v>Fail</v>
      </c>
    </row>
    <row r="8" spans="1:14">
      <c r="H8" s="13">
        <f t="shared" si="0"/>
        <v>1</v>
      </c>
      <c r="I8" t="str" cm="1">
        <f t="array" ref="I8">_xlfn.IFS(H8&lt;1,"No",H8=1,"Yes",H8&gt;1,_xlfn.TEXTJOIN("",TRUE,"Yes x",H8))</f>
        <v>Yes</v>
      </c>
      <c r="J8" s="13">
        <f t="shared" si="1"/>
        <v>0</v>
      </c>
      <c r="K8" s="13">
        <f t="shared" si="2"/>
        <v>1</v>
      </c>
      <c r="L8" s="13" t="str" cm="1">
        <f t="array" ref="L8">_xlfn.IFS(J8&lt;1,"",J8=1,"Pass",J8&gt;1,_xlfn.TEXTJOIN("",TRUE,"Pass x",J8))</f>
        <v/>
      </c>
      <c r="M8" s="13" t="str" cm="1">
        <f t="array" ref="M8">_xlfn.IFS(K8&lt;1,"",K8=1,"Fail",K8&gt;1,_xlfn.TEXTJOIN("",TRUE,"Fail x",K8))</f>
        <v>Fail</v>
      </c>
      <c r="N8" t="str">
        <f t="shared" si="3"/>
        <v>Fail</v>
      </c>
    </row>
    <row r="9" spans="1:14">
      <c r="H9" s="13">
        <f t="shared" si="0"/>
        <v>1</v>
      </c>
      <c r="I9" t="str" cm="1">
        <f t="array" ref="I9">_xlfn.IFS(H9&lt;1,"No",H9=1,"Yes",H9&gt;1,_xlfn.TEXTJOIN("",TRUE,"Yes x",H9))</f>
        <v>Yes</v>
      </c>
      <c r="J9" s="13">
        <f t="shared" si="1"/>
        <v>0</v>
      </c>
      <c r="K9" s="13">
        <f t="shared" si="2"/>
        <v>1</v>
      </c>
      <c r="L9" s="13" t="str" cm="1">
        <f t="array" ref="L9">_xlfn.IFS(J9&lt;1,"",J9=1,"Pass",J9&gt;1,_xlfn.TEXTJOIN("",TRUE,"Pass x",J9))</f>
        <v/>
      </c>
      <c r="M9" s="13" t="str" cm="1">
        <f t="array" ref="M9">_xlfn.IFS(K9&lt;1,"",K9=1,"Fail",K9&gt;1,_xlfn.TEXTJOIN("",TRUE,"Fail x",K9))</f>
        <v>Fail</v>
      </c>
      <c r="N9" t="str">
        <f t="shared" si="3"/>
        <v>Fail</v>
      </c>
    </row>
    <row r="10" spans="1:14">
      <c r="H10" s="13">
        <f t="shared" si="0"/>
        <v>1</v>
      </c>
      <c r="I10" t="str" cm="1">
        <f t="array" ref="I10">_xlfn.IFS(H10&lt;1,"No",H10=1,"Yes",H10&gt;1,_xlfn.TEXTJOIN("",TRUE,"Yes x",H10))</f>
        <v>Yes</v>
      </c>
      <c r="J10" s="13">
        <f t="shared" si="1"/>
        <v>0</v>
      </c>
      <c r="K10" s="13">
        <f t="shared" si="2"/>
        <v>1</v>
      </c>
      <c r="L10" s="13" t="str" cm="1">
        <f t="array" ref="L10">_xlfn.IFS(J10&lt;1,"",J10=1,"Pass",J10&gt;1,_xlfn.TEXTJOIN("",TRUE,"Pass x",J10))</f>
        <v/>
      </c>
      <c r="M10" s="13" t="str" cm="1">
        <f t="array" ref="M10">_xlfn.IFS(K10&lt;1,"",K10=1,"Fail",K10&gt;1,_xlfn.TEXTJOIN("",TRUE,"Fail x",K10))</f>
        <v>Fail</v>
      </c>
      <c r="N10" t="str">
        <f t="shared" si="3"/>
        <v>Fail</v>
      </c>
    </row>
    <row r="11" spans="1:14">
      <c r="H11" s="13">
        <f t="shared" si="0"/>
        <v>1</v>
      </c>
      <c r="I11" t="str" cm="1">
        <f t="array" ref="I11">_xlfn.IFS(H11&lt;1,"No",H11=1,"Yes",H11&gt;1,_xlfn.TEXTJOIN("",TRUE,"Yes x",H11))</f>
        <v>Yes</v>
      </c>
      <c r="J11" s="13">
        <f t="shared" si="1"/>
        <v>0</v>
      </c>
      <c r="K11" s="13">
        <f t="shared" si="2"/>
        <v>1</v>
      </c>
      <c r="L11" s="13" t="str" cm="1">
        <f t="array" ref="L11">_xlfn.IFS(J11&lt;1,"",J11=1,"Pass",J11&gt;1,_xlfn.TEXTJOIN("",TRUE,"Pass x",J11))</f>
        <v/>
      </c>
      <c r="M11" s="13" t="str" cm="1">
        <f t="array" ref="M11">_xlfn.IFS(K11&lt;1,"",K11=1,"Fail",K11&gt;1,_xlfn.TEXTJOIN("",TRUE,"Fail x",K11))</f>
        <v>Fail</v>
      </c>
      <c r="N11" t="str">
        <f t="shared" si="3"/>
        <v>Fail</v>
      </c>
    </row>
    <row r="12" spans="1:14">
      <c r="H12" s="13">
        <f t="shared" si="0"/>
        <v>1</v>
      </c>
      <c r="I12" t="str" cm="1">
        <f t="array" ref="I12">_xlfn.IFS(H12&lt;1,"No",H12=1,"Yes",H12&gt;1,_xlfn.TEXTJOIN("",TRUE,"Yes x",H12))</f>
        <v>Yes</v>
      </c>
      <c r="J12" s="13">
        <f t="shared" si="1"/>
        <v>0</v>
      </c>
      <c r="K12" s="13">
        <f t="shared" si="2"/>
        <v>1</v>
      </c>
      <c r="L12" s="13" t="str" cm="1">
        <f t="array" ref="L12">_xlfn.IFS(J12&lt;1,"",J12=1,"Pass",J12&gt;1,_xlfn.TEXTJOIN("",TRUE,"Pass x",J12))</f>
        <v/>
      </c>
      <c r="M12" s="13" t="str" cm="1">
        <f t="array" ref="M12">_xlfn.IFS(K12&lt;1,"",K12=1,"Fail",K12&gt;1,_xlfn.TEXTJOIN("",TRUE,"Fail x",K12))</f>
        <v>Fail</v>
      </c>
      <c r="N12" t="str">
        <f t="shared" si="3"/>
        <v>Fail</v>
      </c>
    </row>
    <row r="13" spans="1:14">
      <c r="H13" s="13">
        <f t="shared" si="0"/>
        <v>1</v>
      </c>
      <c r="I13" t="str" cm="1">
        <f t="array" ref="I13">_xlfn.IFS(H13&lt;1,"No",H13=1,"Yes",H13&gt;1,_xlfn.TEXTJOIN("",TRUE,"Yes x",H13))</f>
        <v>Yes</v>
      </c>
      <c r="J13" s="13">
        <f t="shared" si="1"/>
        <v>0</v>
      </c>
      <c r="K13" s="13">
        <f t="shared" si="2"/>
        <v>1</v>
      </c>
      <c r="L13" s="13" t="str" cm="1">
        <f t="array" ref="L13">_xlfn.IFS(J13&lt;1,"",J13=1,"Pass",J13&gt;1,_xlfn.TEXTJOIN("",TRUE,"Pass x",J13))</f>
        <v/>
      </c>
      <c r="M13" s="13" t="str" cm="1">
        <f t="array" ref="M13">_xlfn.IFS(K13&lt;1,"",K13=1,"Fail",K13&gt;1,_xlfn.TEXTJOIN("",TRUE,"Fail x",K13))</f>
        <v>Fail</v>
      </c>
      <c r="N13" t="str">
        <f t="shared" si="3"/>
        <v>Fail</v>
      </c>
    </row>
    <row r="14" spans="1:14">
      <c r="H14" s="13">
        <f t="shared" si="0"/>
        <v>1</v>
      </c>
      <c r="I14" t="str" cm="1">
        <f t="array" ref="I14">_xlfn.IFS(H14&lt;1,"No",H14=1,"Yes",H14&gt;1,_xlfn.TEXTJOIN("",TRUE,"Yes x",H14))</f>
        <v>Yes</v>
      </c>
      <c r="J14" s="13">
        <f t="shared" si="1"/>
        <v>0</v>
      </c>
      <c r="K14" s="13">
        <f t="shared" si="2"/>
        <v>1</v>
      </c>
      <c r="L14" s="13" t="str" cm="1">
        <f t="array" ref="L14">_xlfn.IFS(J14&lt;1,"",J14=1,"Pass",J14&gt;1,_xlfn.TEXTJOIN("",TRUE,"Pass x",J14))</f>
        <v/>
      </c>
      <c r="M14" s="13" t="str" cm="1">
        <f t="array" ref="M14">_xlfn.IFS(K14&lt;1,"",K14=1,"Fail",K14&gt;1,_xlfn.TEXTJOIN("",TRUE,"Fail x",K14))</f>
        <v>Fail</v>
      </c>
      <c r="N14" t="str">
        <f t="shared" si="3"/>
        <v>Fail</v>
      </c>
    </row>
    <row r="15" spans="1:14">
      <c r="H15" s="13">
        <f t="shared" si="0"/>
        <v>1</v>
      </c>
      <c r="I15" t="str" cm="1">
        <f t="array" ref="I15">_xlfn.IFS(H15&lt;1,"No",H15=1,"Yes",H15&gt;1,_xlfn.TEXTJOIN("",TRUE,"Yes x",H15))</f>
        <v>Yes</v>
      </c>
      <c r="J15" s="13">
        <f t="shared" si="1"/>
        <v>0</v>
      </c>
      <c r="K15" s="13">
        <f t="shared" si="2"/>
        <v>1</v>
      </c>
      <c r="L15" s="13" t="str" cm="1">
        <f t="array" ref="L15">_xlfn.IFS(J15&lt;1,"",J15=1,"Pass",J15&gt;1,_xlfn.TEXTJOIN("",TRUE,"Pass x",J15))</f>
        <v/>
      </c>
      <c r="M15" s="13" t="str" cm="1">
        <f t="array" ref="M15">_xlfn.IFS(K15&lt;1,"",K15=1,"Fail",K15&gt;1,_xlfn.TEXTJOIN("",TRUE,"Fail x",K15))</f>
        <v>Fail</v>
      </c>
      <c r="N15" t="str">
        <f t="shared" si="3"/>
        <v>Fail</v>
      </c>
    </row>
    <row r="16" spans="1:14">
      <c r="H16" s="13">
        <f t="shared" si="0"/>
        <v>1</v>
      </c>
      <c r="I16" t="str" cm="1">
        <f t="array" ref="I16">_xlfn.IFS(H16&lt;1,"No",H16=1,"Yes",H16&gt;1,_xlfn.TEXTJOIN("",TRUE,"Yes x",H16))</f>
        <v>Yes</v>
      </c>
      <c r="J16" s="13">
        <f t="shared" si="1"/>
        <v>0</v>
      </c>
      <c r="K16" s="13">
        <f t="shared" si="2"/>
        <v>1</v>
      </c>
      <c r="L16" s="13" t="str" cm="1">
        <f t="array" ref="L16">_xlfn.IFS(J16&lt;1,"",J16=1,"Pass",J16&gt;1,_xlfn.TEXTJOIN("",TRUE,"Pass x",J16))</f>
        <v/>
      </c>
      <c r="M16" s="13" t="str" cm="1">
        <f t="array" ref="M16">_xlfn.IFS(K16&lt;1,"",K16=1,"Fail",K16&gt;1,_xlfn.TEXTJOIN("",TRUE,"Fail x",K16))</f>
        <v>Fail</v>
      </c>
      <c r="N16" t="str">
        <f t="shared" si="3"/>
        <v>Fail</v>
      </c>
    </row>
    <row r="17" spans="8:14">
      <c r="H17" s="13">
        <f t="shared" si="0"/>
        <v>1</v>
      </c>
      <c r="I17" t="str" cm="1">
        <f t="array" ref="I17">_xlfn.IFS(H17&lt;1,"No",H17=1,"Yes",H17&gt;1,_xlfn.TEXTJOIN("",TRUE,"Yes x",H17))</f>
        <v>Yes</v>
      </c>
      <c r="J17" s="13">
        <f t="shared" si="1"/>
        <v>0</v>
      </c>
      <c r="K17" s="13">
        <f t="shared" si="2"/>
        <v>1</v>
      </c>
      <c r="L17" s="13" t="str" cm="1">
        <f t="array" ref="L17">_xlfn.IFS(J17&lt;1,"",J17=1,"Pass",J17&gt;1,_xlfn.TEXTJOIN("",TRUE,"Pass x",J17))</f>
        <v/>
      </c>
      <c r="M17" s="13" t="str" cm="1">
        <f t="array" ref="M17">_xlfn.IFS(K17&lt;1,"",K17=1,"Fail",K17&gt;1,_xlfn.TEXTJOIN("",TRUE,"Fail x",K17))</f>
        <v>Fail</v>
      </c>
      <c r="N17" t="str">
        <f t="shared" si="3"/>
        <v>Fail</v>
      </c>
    </row>
    <row r="18" spans="8:14">
      <c r="H18" s="13">
        <f t="shared" si="0"/>
        <v>1</v>
      </c>
      <c r="I18" t="str" cm="1">
        <f t="array" ref="I18">_xlfn.IFS(H18&lt;1,"No",H18=1,"Yes",H18&gt;1,_xlfn.TEXTJOIN("",TRUE,"Yes x",H18))</f>
        <v>Yes</v>
      </c>
      <c r="J18" s="13">
        <f t="shared" si="1"/>
        <v>0</v>
      </c>
      <c r="K18" s="13">
        <f t="shared" si="2"/>
        <v>1</v>
      </c>
      <c r="L18" s="13" t="str" cm="1">
        <f t="array" ref="L18">_xlfn.IFS(J18&lt;1,"",J18=1,"Pass",J18&gt;1,_xlfn.TEXTJOIN("",TRUE,"Pass x",J18))</f>
        <v/>
      </c>
      <c r="M18" s="13" t="str" cm="1">
        <f t="array" ref="M18">_xlfn.IFS(K18&lt;1,"",K18=1,"Fail",K18&gt;1,_xlfn.TEXTJOIN("",TRUE,"Fail x",K18))</f>
        <v>Fail</v>
      </c>
      <c r="N18" t="str">
        <f t="shared" si="3"/>
        <v>Fail</v>
      </c>
    </row>
    <row r="19" spans="8:14">
      <c r="H19" s="13">
        <f t="shared" si="0"/>
        <v>1</v>
      </c>
      <c r="I19" t="str" cm="1">
        <f t="array" ref="I19">_xlfn.IFS(H19&lt;1,"No",H19=1,"Yes",H19&gt;1,_xlfn.TEXTJOIN("",TRUE,"Yes x",H19))</f>
        <v>Yes</v>
      </c>
      <c r="J19" s="13">
        <f t="shared" si="1"/>
        <v>0</v>
      </c>
      <c r="K19" s="13">
        <f t="shared" si="2"/>
        <v>1</v>
      </c>
      <c r="L19" s="13" t="str" cm="1">
        <f t="array" ref="L19">_xlfn.IFS(J19&lt;1,"",J19=1,"Pass",J19&gt;1,_xlfn.TEXTJOIN("",TRUE,"Pass x",J19))</f>
        <v/>
      </c>
      <c r="M19" s="13" t="str" cm="1">
        <f t="array" ref="M19">_xlfn.IFS(K19&lt;1,"",K19=1,"Fail",K19&gt;1,_xlfn.TEXTJOIN("",TRUE,"Fail x",K19))</f>
        <v>Fail</v>
      </c>
      <c r="N19" t="str">
        <f t="shared" si="3"/>
        <v>Fail</v>
      </c>
    </row>
    <row r="20" spans="8:14">
      <c r="H20" s="13">
        <f t="shared" si="0"/>
        <v>1</v>
      </c>
      <c r="I20" t="str" cm="1">
        <f t="array" ref="I20">_xlfn.IFS(H20&lt;1,"No",H20=1,"Yes",H20&gt;1,_xlfn.TEXTJOIN("",TRUE,"Yes x",H20))</f>
        <v>Yes</v>
      </c>
      <c r="J20" s="13">
        <f t="shared" si="1"/>
        <v>0</v>
      </c>
      <c r="K20" s="13">
        <f t="shared" si="2"/>
        <v>1</v>
      </c>
      <c r="L20" s="13" t="str" cm="1">
        <f t="array" ref="L20">_xlfn.IFS(J20&lt;1,"",J20=1,"Pass",J20&gt;1,_xlfn.TEXTJOIN("",TRUE,"Pass x",J20))</f>
        <v/>
      </c>
      <c r="M20" s="13" t="str" cm="1">
        <f t="array" ref="M20">_xlfn.IFS(K20&lt;1,"",K20=1,"Fail",K20&gt;1,_xlfn.TEXTJOIN("",TRUE,"Fail x",K20))</f>
        <v>Fail</v>
      </c>
      <c r="N20" t="str">
        <f t="shared" si="3"/>
        <v>Fail</v>
      </c>
    </row>
    <row r="21" spans="8:14">
      <c r="H21" s="13">
        <f t="shared" si="0"/>
        <v>1</v>
      </c>
      <c r="I21" t="str" cm="1">
        <f t="array" ref="I21">_xlfn.IFS(H21&lt;1,"No",H21=1,"Yes",H21&gt;1,_xlfn.TEXTJOIN("",TRUE,"Yes x",H21))</f>
        <v>Yes</v>
      </c>
      <c r="J21" s="13">
        <f t="shared" si="1"/>
        <v>0</v>
      </c>
      <c r="K21" s="13">
        <f t="shared" si="2"/>
        <v>1</v>
      </c>
      <c r="L21" s="13" t="str" cm="1">
        <f t="array" ref="L21">_xlfn.IFS(J21&lt;1,"",J21=1,"Pass",J21&gt;1,_xlfn.TEXTJOIN("",TRUE,"Pass x",J21))</f>
        <v/>
      </c>
      <c r="M21" s="13" t="str" cm="1">
        <f t="array" ref="M21">_xlfn.IFS(K21&lt;1,"",K21=1,"Fail",K21&gt;1,_xlfn.TEXTJOIN("",TRUE,"Fail x",K21))</f>
        <v>Fail</v>
      </c>
      <c r="N21" t="str">
        <f t="shared" si="3"/>
        <v>Fail</v>
      </c>
    </row>
    <row r="22" spans="8:14">
      <c r="H22" s="13">
        <f t="shared" si="0"/>
        <v>1</v>
      </c>
      <c r="I22" t="str" cm="1">
        <f t="array" ref="I22">_xlfn.IFS(H22&lt;1,"No",H22=1,"Yes",H22&gt;1,_xlfn.TEXTJOIN("",TRUE,"Yes x",H22))</f>
        <v>Yes</v>
      </c>
      <c r="J22" s="13">
        <f t="shared" si="1"/>
        <v>0</v>
      </c>
      <c r="K22" s="13">
        <f t="shared" si="2"/>
        <v>1</v>
      </c>
      <c r="L22" s="13" t="str" cm="1">
        <f t="array" ref="L22">_xlfn.IFS(J22&lt;1,"",J22=1,"Pass",J22&gt;1,_xlfn.TEXTJOIN("",TRUE,"Pass x",J22))</f>
        <v/>
      </c>
      <c r="M22" s="13" t="str" cm="1">
        <f t="array" ref="M22">_xlfn.IFS(K22&lt;1,"",K22=1,"Fail",K22&gt;1,_xlfn.TEXTJOIN("",TRUE,"Fail x",K22))</f>
        <v>Fail</v>
      </c>
      <c r="N22" t="str">
        <f t="shared" si="3"/>
        <v>Fail</v>
      </c>
    </row>
    <row r="23" spans="8:14">
      <c r="H23" s="13">
        <f t="shared" si="0"/>
        <v>1</v>
      </c>
      <c r="I23" t="str" cm="1">
        <f t="array" ref="I23">_xlfn.IFS(H23&lt;1,"No",H23=1,"Yes",H23&gt;1,_xlfn.TEXTJOIN("",TRUE,"Yes x",H23))</f>
        <v>Yes</v>
      </c>
      <c r="J23" s="13">
        <f t="shared" si="1"/>
        <v>0</v>
      </c>
      <c r="K23" s="13">
        <f t="shared" si="2"/>
        <v>1</v>
      </c>
      <c r="L23" s="13" t="str" cm="1">
        <f t="array" ref="L23">_xlfn.IFS(J23&lt;1,"",J23=1,"Pass",J23&gt;1,_xlfn.TEXTJOIN("",TRUE,"Pass x",J23))</f>
        <v/>
      </c>
      <c r="M23" s="13" t="str" cm="1">
        <f t="array" ref="M23">_xlfn.IFS(K23&lt;1,"",K23=1,"Fail",K23&gt;1,_xlfn.TEXTJOIN("",TRUE,"Fail x",K23))</f>
        <v>Fail</v>
      </c>
      <c r="N23" t="str">
        <f t="shared" si="3"/>
        <v>Fail</v>
      </c>
    </row>
    <row r="24" spans="8:14">
      <c r="H24" s="13">
        <f t="shared" si="0"/>
        <v>1</v>
      </c>
      <c r="I24" t="str" cm="1">
        <f t="array" ref="I24">_xlfn.IFS(H24&lt;1,"No",H24=1,"Yes",H24&gt;1,_xlfn.TEXTJOIN("",TRUE,"Yes x",H24))</f>
        <v>Yes</v>
      </c>
      <c r="J24" s="13">
        <f t="shared" si="1"/>
        <v>0</v>
      </c>
      <c r="K24" s="13">
        <f t="shared" si="2"/>
        <v>1</v>
      </c>
      <c r="L24" s="13" t="str" cm="1">
        <f t="array" ref="L24">_xlfn.IFS(J24&lt;1,"",J24=1,"Pass",J24&gt;1,_xlfn.TEXTJOIN("",TRUE,"Pass x",J24))</f>
        <v/>
      </c>
      <c r="M24" s="13" t="str" cm="1">
        <f t="array" ref="M24">_xlfn.IFS(K24&lt;1,"",K24=1,"Fail",K24&gt;1,_xlfn.TEXTJOIN("",TRUE,"Fail x",K24))</f>
        <v>Fail</v>
      </c>
      <c r="N24" t="str">
        <f t="shared" si="3"/>
        <v>Fail</v>
      </c>
    </row>
    <row r="25" spans="8:14">
      <c r="H25" s="13">
        <f t="shared" si="0"/>
        <v>1</v>
      </c>
      <c r="I25" t="str" cm="1">
        <f t="array" ref="I25">_xlfn.IFS(H25&lt;1,"No",H25=1,"Yes",H25&gt;1,_xlfn.TEXTJOIN("",TRUE,"Yes x",H25))</f>
        <v>Yes</v>
      </c>
      <c r="J25" s="13">
        <f t="shared" si="1"/>
        <v>0</v>
      </c>
      <c r="K25" s="13">
        <f t="shared" si="2"/>
        <v>1</v>
      </c>
      <c r="L25" s="13" t="str" cm="1">
        <f t="array" ref="L25">_xlfn.IFS(J25&lt;1,"",J25=1,"Pass",J25&gt;1,_xlfn.TEXTJOIN("",TRUE,"Pass x",J25))</f>
        <v/>
      </c>
      <c r="M25" s="13" t="str" cm="1">
        <f t="array" ref="M25">_xlfn.IFS(K25&lt;1,"",K25=1,"Fail",K25&gt;1,_xlfn.TEXTJOIN("",TRUE,"Fail x",K25))</f>
        <v>Fail</v>
      </c>
      <c r="N25" t="str">
        <f t="shared" si="3"/>
        <v>Fail</v>
      </c>
    </row>
    <row r="26" spans="8:14">
      <c r="H26" s="13">
        <f t="shared" si="0"/>
        <v>1</v>
      </c>
      <c r="I26" t="str" cm="1">
        <f t="array" ref="I26">_xlfn.IFS(H26&lt;1,"No",H26=1,"Yes",H26&gt;1,_xlfn.TEXTJOIN("",TRUE,"Yes x",H26))</f>
        <v>Yes</v>
      </c>
      <c r="J26" s="13">
        <f t="shared" si="1"/>
        <v>0</v>
      </c>
      <c r="K26" s="13">
        <f t="shared" si="2"/>
        <v>1</v>
      </c>
      <c r="L26" s="13" t="str" cm="1">
        <f t="array" ref="L26">_xlfn.IFS(J26&lt;1,"",J26=1,"Pass",J26&gt;1,_xlfn.TEXTJOIN("",TRUE,"Pass x",J26))</f>
        <v/>
      </c>
      <c r="M26" s="13" t="str" cm="1">
        <f t="array" ref="M26">_xlfn.IFS(K26&lt;1,"",K26=1,"Fail",K26&gt;1,_xlfn.TEXTJOIN("",TRUE,"Fail x",K26))</f>
        <v>Fail</v>
      </c>
      <c r="N26" t="str">
        <f t="shared" si="3"/>
        <v>Fail</v>
      </c>
    </row>
    <row r="27" spans="8:14">
      <c r="H27" s="13">
        <f t="shared" si="0"/>
        <v>1</v>
      </c>
      <c r="I27" t="str" cm="1">
        <f t="array" ref="I27">_xlfn.IFS(H27&lt;1,"No",H27=1,"Yes",H27&gt;1,_xlfn.TEXTJOIN("",TRUE,"Yes x",H27))</f>
        <v>Yes</v>
      </c>
      <c r="J27" s="13">
        <f t="shared" si="1"/>
        <v>0</v>
      </c>
      <c r="K27" s="13">
        <f t="shared" si="2"/>
        <v>1</v>
      </c>
      <c r="L27" s="13" t="str" cm="1">
        <f t="array" ref="L27">_xlfn.IFS(J27&lt;1,"",J27=1,"Pass",J27&gt;1,_xlfn.TEXTJOIN("",TRUE,"Pass x",J27))</f>
        <v/>
      </c>
      <c r="M27" s="13" t="str" cm="1">
        <f t="array" ref="M27">_xlfn.IFS(K27&lt;1,"",K27=1,"Fail",K27&gt;1,_xlfn.TEXTJOIN("",TRUE,"Fail x",K27))</f>
        <v>Fail</v>
      </c>
      <c r="N27" t="str">
        <f t="shared" si="3"/>
        <v>Fail</v>
      </c>
    </row>
    <row r="28" spans="8:14">
      <c r="H28" s="13">
        <f t="shared" si="0"/>
        <v>1</v>
      </c>
      <c r="I28" t="str" cm="1">
        <f t="array" ref="I28">_xlfn.IFS(H28&lt;1,"No",H28=1,"Yes",H28&gt;1,_xlfn.TEXTJOIN("",TRUE,"Yes x",H28))</f>
        <v>Yes</v>
      </c>
      <c r="J28" s="13">
        <f t="shared" si="1"/>
        <v>0</v>
      </c>
      <c r="K28" s="13">
        <f t="shared" si="2"/>
        <v>1</v>
      </c>
      <c r="L28" s="13" t="str" cm="1">
        <f t="array" ref="L28">_xlfn.IFS(J28&lt;1,"",J28=1,"Pass",J28&gt;1,_xlfn.TEXTJOIN("",TRUE,"Pass x",J28))</f>
        <v/>
      </c>
      <c r="M28" s="13" t="str" cm="1">
        <f t="array" ref="M28">_xlfn.IFS(K28&lt;1,"",K28=1,"Fail",K28&gt;1,_xlfn.TEXTJOIN("",TRUE,"Fail x",K28))</f>
        <v>Fail</v>
      </c>
      <c r="N28" t="str">
        <f t="shared" si="3"/>
        <v>Fail</v>
      </c>
    </row>
    <row r="29" spans="8:14">
      <c r="H29" s="13">
        <f t="shared" si="0"/>
        <v>1</v>
      </c>
      <c r="I29" t="str" cm="1">
        <f t="array" ref="I29">_xlfn.IFS(H29&lt;1,"No",H29=1,"Yes",H29&gt;1,_xlfn.TEXTJOIN("",TRUE,"Yes x",H29))</f>
        <v>Yes</v>
      </c>
      <c r="J29" s="13">
        <f t="shared" si="1"/>
        <v>0</v>
      </c>
      <c r="K29" s="13">
        <f t="shared" si="2"/>
        <v>1</v>
      </c>
      <c r="L29" s="13" t="str" cm="1">
        <f t="array" ref="L29">_xlfn.IFS(J29&lt;1,"",J29=1,"Pass",J29&gt;1,_xlfn.TEXTJOIN("",TRUE,"Pass x",J29))</f>
        <v/>
      </c>
      <c r="M29" s="13" t="str" cm="1">
        <f t="array" ref="M29">_xlfn.IFS(K29&lt;1,"",K29=1,"Fail",K29&gt;1,_xlfn.TEXTJOIN("",TRUE,"Fail x",K29))</f>
        <v>Fail</v>
      </c>
      <c r="N29" t="str">
        <f t="shared" si="3"/>
        <v>Fail</v>
      </c>
    </row>
    <row r="30" spans="8:14">
      <c r="H30" s="13">
        <f t="shared" si="0"/>
        <v>1</v>
      </c>
      <c r="I30" t="str" cm="1">
        <f t="array" ref="I30">_xlfn.IFS(H30&lt;1,"No",H30=1,"Yes",H30&gt;1,_xlfn.TEXTJOIN("",TRUE,"Yes x",H30))</f>
        <v>Yes</v>
      </c>
      <c r="J30" s="13">
        <f t="shared" si="1"/>
        <v>0</v>
      </c>
      <c r="K30" s="13">
        <f t="shared" si="2"/>
        <v>1</v>
      </c>
      <c r="L30" s="13" t="str" cm="1">
        <f t="array" ref="L30">_xlfn.IFS(J30&lt;1,"",J30=1,"Pass",J30&gt;1,_xlfn.TEXTJOIN("",TRUE,"Pass x",J30))</f>
        <v/>
      </c>
      <c r="M30" s="13" t="str" cm="1">
        <f t="array" ref="M30">_xlfn.IFS(K30&lt;1,"",K30=1,"Fail",K30&gt;1,_xlfn.TEXTJOIN("",TRUE,"Fail x",K30))</f>
        <v>Fail</v>
      </c>
      <c r="N30" t="str">
        <f t="shared" si="3"/>
        <v>Fail</v>
      </c>
    </row>
    <row r="31" spans="8:14">
      <c r="H31" s="13">
        <f t="shared" si="0"/>
        <v>1</v>
      </c>
      <c r="I31" t="str" cm="1">
        <f t="array" ref="I31">_xlfn.IFS(H31&lt;1,"No",H31=1,"Yes",H31&gt;1,_xlfn.TEXTJOIN("",TRUE,"Yes x",H31))</f>
        <v>Yes</v>
      </c>
      <c r="J31" s="13">
        <f t="shared" si="1"/>
        <v>0</v>
      </c>
      <c r="K31" s="13">
        <f t="shared" si="2"/>
        <v>1</v>
      </c>
      <c r="L31" s="13" t="str" cm="1">
        <f t="array" ref="L31">_xlfn.IFS(J31&lt;1,"",J31=1,"Pass",J31&gt;1,_xlfn.TEXTJOIN("",TRUE,"Pass x",J31))</f>
        <v/>
      </c>
      <c r="M31" s="13" t="str" cm="1">
        <f t="array" ref="M31">_xlfn.IFS(K31&lt;1,"",K31=1,"Fail",K31&gt;1,_xlfn.TEXTJOIN("",TRUE,"Fail x",K31))</f>
        <v>Fail</v>
      </c>
      <c r="N31" t="str">
        <f t="shared" si="3"/>
        <v>Fail</v>
      </c>
    </row>
    <row r="32" spans="8:14">
      <c r="H32" s="13">
        <f t="shared" si="0"/>
        <v>1</v>
      </c>
      <c r="I32" t="str" cm="1">
        <f t="array" ref="I32">_xlfn.IFS(H32&lt;1,"No",H32=1,"Yes",H32&gt;1,_xlfn.TEXTJOIN("",TRUE,"Yes x",H32))</f>
        <v>Yes</v>
      </c>
      <c r="J32" s="13">
        <f t="shared" si="1"/>
        <v>0</v>
      </c>
      <c r="K32" s="13">
        <f t="shared" si="2"/>
        <v>1</v>
      </c>
      <c r="L32" s="13" t="str" cm="1">
        <f t="array" ref="L32">_xlfn.IFS(J32&lt;1,"",J32=1,"Pass",J32&gt;1,_xlfn.TEXTJOIN("",TRUE,"Pass x",J32))</f>
        <v/>
      </c>
      <c r="M32" s="13" t="str" cm="1">
        <f t="array" ref="M32">_xlfn.IFS(K32&lt;1,"",K32=1,"Fail",K32&gt;1,_xlfn.TEXTJOIN("",TRUE,"Fail x",K32))</f>
        <v>Fail</v>
      </c>
      <c r="N32" t="str">
        <f t="shared" si="3"/>
        <v>Fail</v>
      </c>
    </row>
    <row r="33" spans="8:14">
      <c r="H33" s="13">
        <f t="shared" si="0"/>
        <v>1</v>
      </c>
      <c r="I33" t="str" cm="1">
        <f t="array" ref="I33">_xlfn.IFS(H33&lt;1,"No",H33=1,"Yes",H33&gt;1,_xlfn.TEXTJOIN("",TRUE,"Yes x",H33))</f>
        <v>Yes</v>
      </c>
      <c r="J33" s="13">
        <f t="shared" si="1"/>
        <v>0</v>
      </c>
      <c r="K33" s="13">
        <f t="shared" si="2"/>
        <v>1</v>
      </c>
      <c r="L33" s="13" t="str" cm="1">
        <f t="array" ref="L33">_xlfn.IFS(J33&lt;1,"",J33=1,"Pass",J33&gt;1,_xlfn.TEXTJOIN("",TRUE,"Pass x",J33))</f>
        <v/>
      </c>
      <c r="M33" s="13" t="str" cm="1">
        <f t="array" ref="M33">_xlfn.IFS(K33&lt;1,"",K33=1,"Fail",K33&gt;1,_xlfn.TEXTJOIN("",TRUE,"Fail x",K33))</f>
        <v>Fail</v>
      </c>
      <c r="N33" t="str">
        <f t="shared" si="3"/>
        <v>Fail</v>
      </c>
    </row>
    <row r="34" spans="8:14">
      <c r="H34" s="13">
        <f t="shared" si="0"/>
        <v>1</v>
      </c>
      <c r="I34" t="str" cm="1">
        <f t="array" ref="I34">_xlfn.IFS(H34&lt;1,"No",H34=1,"Yes",H34&gt;1,_xlfn.TEXTJOIN("",TRUE,"Yes x",H34))</f>
        <v>Yes</v>
      </c>
      <c r="J34" s="13">
        <f t="shared" si="1"/>
        <v>0</v>
      </c>
      <c r="K34" s="13">
        <f t="shared" si="2"/>
        <v>1</v>
      </c>
      <c r="L34" s="13" t="str" cm="1">
        <f t="array" ref="L34">_xlfn.IFS(J34&lt;1,"",J34=1,"Pass",J34&gt;1,_xlfn.TEXTJOIN("",TRUE,"Pass x",J34))</f>
        <v/>
      </c>
      <c r="M34" s="13" t="str" cm="1">
        <f t="array" ref="M34">_xlfn.IFS(K34&lt;1,"",K34=1,"Fail",K34&gt;1,_xlfn.TEXTJOIN("",TRUE,"Fail x",K34))</f>
        <v>Fail</v>
      </c>
      <c r="N34" t="str">
        <f t="shared" si="3"/>
        <v>Fail</v>
      </c>
    </row>
    <row r="35" spans="8:14">
      <c r="H35" s="13">
        <f t="shared" si="0"/>
        <v>1</v>
      </c>
      <c r="I35" t="str" cm="1">
        <f t="array" ref="I35">_xlfn.IFS(H35&lt;1,"No",H35=1,"Yes",H35&gt;1,_xlfn.TEXTJOIN("",TRUE,"Yes x",H35))</f>
        <v>Yes</v>
      </c>
      <c r="J35" s="13">
        <f t="shared" si="1"/>
        <v>0</v>
      </c>
      <c r="K35" s="13">
        <f t="shared" si="2"/>
        <v>1</v>
      </c>
      <c r="L35" s="13" t="str" cm="1">
        <f t="array" ref="L35">_xlfn.IFS(J35&lt;1,"",J35=1,"Pass",J35&gt;1,_xlfn.TEXTJOIN("",TRUE,"Pass x",J35))</f>
        <v/>
      </c>
      <c r="M35" s="13" t="str" cm="1">
        <f t="array" ref="M35">_xlfn.IFS(K35&lt;1,"",K35=1,"Fail",K35&gt;1,_xlfn.TEXTJOIN("",TRUE,"Fail x",K35))</f>
        <v>Fail</v>
      </c>
      <c r="N35" t="str">
        <f t="shared" si="3"/>
        <v>Fail</v>
      </c>
    </row>
    <row r="36" spans="8:14">
      <c r="H36" s="13">
        <f t="shared" si="0"/>
        <v>1</v>
      </c>
      <c r="I36" t="str" cm="1">
        <f t="array" ref="I36">_xlfn.IFS(H36&lt;1,"No",H36=1,"Yes",H36&gt;1,_xlfn.TEXTJOIN("",TRUE,"Yes x",H36))</f>
        <v>Yes</v>
      </c>
      <c r="J36" s="13">
        <f t="shared" si="1"/>
        <v>0</v>
      </c>
      <c r="K36" s="13">
        <f t="shared" si="2"/>
        <v>1</v>
      </c>
      <c r="L36" s="13" t="str" cm="1">
        <f t="array" ref="L36">_xlfn.IFS(J36&lt;1,"",J36=1,"Pass",J36&gt;1,_xlfn.TEXTJOIN("",TRUE,"Pass x",J36))</f>
        <v/>
      </c>
      <c r="M36" s="13" t="str" cm="1">
        <f t="array" ref="M36">_xlfn.IFS(K36&lt;1,"",K36=1,"Fail",K36&gt;1,_xlfn.TEXTJOIN("",TRUE,"Fail x",K36))</f>
        <v>Fail</v>
      </c>
      <c r="N36" t="str">
        <f t="shared" si="3"/>
        <v>Fail</v>
      </c>
    </row>
    <row r="37" spans="8:14">
      <c r="H37" s="13">
        <f t="shared" si="0"/>
        <v>1</v>
      </c>
      <c r="I37" t="str" cm="1">
        <f t="array" ref="I37">_xlfn.IFS(H37&lt;1,"No",H37=1,"Yes",H37&gt;1,_xlfn.TEXTJOIN("",TRUE,"Yes x",H37))</f>
        <v>Yes</v>
      </c>
      <c r="J37" s="13">
        <f t="shared" si="1"/>
        <v>0</v>
      </c>
      <c r="K37" s="13">
        <f t="shared" si="2"/>
        <v>1</v>
      </c>
      <c r="L37" s="13" t="str" cm="1">
        <f t="array" ref="L37">_xlfn.IFS(J37&lt;1,"",J37=1,"Pass",J37&gt;1,_xlfn.TEXTJOIN("",TRUE,"Pass x",J37))</f>
        <v/>
      </c>
      <c r="M37" s="13" t="str" cm="1">
        <f t="array" ref="M37">_xlfn.IFS(K37&lt;1,"",K37=1,"Fail",K37&gt;1,_xlfn.TEXTJOIN("",TRUE,"Fail x",K37))</f>
        <v>Fail</v>
      </c>
      <c r="N37" t="str">
        <f t="shared" si="3"/>
        <v>Fail</v>
      </c>
    </row>
    <row r="38" spans="8:14">
      <c r="H38" s="13">
        <f t="shared" si="0"/>
        <v>1</v>
      </c>
      <c r="I38" t="str" cm="1">
        <f t="array" ref="I38">_xlfn.IFS(H38&lt;1,"No",H38=1,"Yes",H38&gt;1,_xlfn.TEXTJOIN("",TRUE,"Yes x",H38))</f>
        <v>Yes</v>
      </c>
      <c r="J38" s="13">
        <f t="shared" si="1"/>
        <v>0</v>
      </c>
      <c r="K38" s="13">
        <f t="shared" si="2"/>
        <v>1</v>
      </c>
      <c r="L38" s="13" t="str" cm="1">
        <f t="array" ref="L38">_xlfn.IFS(J38&lt;1,"",J38=1,"Pass",J38&gt;1,_xlfn.TEXTJOIN("",TRUE,"Pass x",J38))</f>
        <v/>
      </c>
      <c r="M38" s="13" t="str" cm="1">
        <f t="array" ref="M38">_xlfn.IFS(K38&lt;1,"",K38=1,"Fail",K38&gt;1,_xlfn.TEXTJOIN("",TRUE,"Fail x",K38))</f>
        <v>Fail</v>
      </c>
      <c r="N38" t="str">
        <f t="shared" si="3"/>
        <v>Fail</v>
      </c>
    </row>
    <row r="39" spans="8:14">
      <c r="H39" s="13">
        <f t="shared" si="0"/>
        <v>1</v>
      </c>
      <c r="I39" t="str" cm="1">
        <f t="array" ref="I39">_xlfn.IFS(H39&lt;1,"No",H39=1,"Yes",H39&gt;1,_xlfn.TEXTJOIN("",TRUE,"Yes x",H39))</f>
        <v>Yes</v>
      </c>
      <c r="J39" s="13">
        <f t="shared" si="1"/>
        <v>0</v>
      </c>
      <c r="K39" s="13">
        <f t="shared" si="2"/>
        <v>1</v>
      </c>
      <c r="L39" s="13" t="str" cm="1">
        <f t="array" ref="L39">_xlfn.IFS(J39&lt;1,"",J39=1,"Pass",J39&gt;1,_xlfn.TEXTJOIN("",TRUE,"Pass x",J39))</f>
        <v/>
      </c>
      <c r="M39" s="13" t="str" cm="1">
        <f t="array" ref="M39">_xlfn.IFS(K39&lt;1,"",K39=1,"Fail",K39&gt;1,_xlfn.TEXTJOIN("",TRUE,"Fail x",K39))</f>
        <v>Fail</v>
      </c>
      <c r="N39" t="str">
        <f t="shared" si="3"/>
        <v>Fail</v>
      </c>
    </row>
    <row r="40" spans="8:14">
      <c r="H40" s="13">
        <f t="shared" si="0"/>
        <v>1</v>
      </c>
      <c r="I40" t="str" cm="1">
        <f t="array" ref="I40">_xlfn.IFS(H40&lt;1,"No",H40=1,"Yes",H40&gt;1,_xlfn.TEXTJOIN("",TRUE,"Yes x",H40))</f>
        <v>Yes</v>
      </c>
      <c r="J40" s="13">
        <f t="shared" si="1"/>
        <v>0</v>
      </c>
      <c r="K40" s="13">
        <f t="shared" si="2"/>
        <v>1</v>
      </c>
      <c r="L40" s="13" t="str" cm="1">
        <f t="array" ref="L40">_xlfn.IFS(J40&lt;1,"",J40=1,"Pass",J40&gt;1,_xlfn.TEXTJOIN("",TRUE,"Pass x",J40))</f>
        <v/>
      </c>
      <c r="M40" s="13" t="str" cm="1">
        <f t="array" ref="M40">_xlfn.IFS(K40&lt;1,"",K40=1,"Fail",K40&gt;1,_xlfn.TEXTJOIN("",TRUE,"Fail x",K40))</f>
        <v>Fail</v>
      </c>
      <c r="N40" t="str">
        <f t="shared" si="3"/>
        <v>Fail</v>
      </c>
    </row>
    <row r="41" spans="8:14">
      <c r="H41" s="13">
        <f t="shared" si="0"/>
        <v>1</v>
      </c>
      <c r="I41" t="str" cm="1">
        <f t="array" ref="I41">_xlfn.IFS(H41&lt;1,"No",H41=1,"Yes",H41&gt;1,_xlfn.TEXTJOIN("",TRUE,"Yes x",H41))</f>
        <v>Yes</v>
      </c>
      <c r="J41" s="13">
        <f t="shared" si="1"/>
        <v>0</v>
      </c>
      <c r="K41" s="13">
        <f t="shared" si="2"/>
        <v>1</v>
      </c>
      <c r="L41" s="13" t="str" cm="1">
        <f t="array" ref="L41">_xlfn.IFS(J41&lt;1,"",J41=1,"Pass",J41&gt;1,_xlfn.TEXTJOIN("",TRUE,"Pass x",J41))</f>
        <v/>
      </c>
      <c r="M41" s="13" t="str" cm="1">
        <f t="array" ref="M41">_xlfn.IFS(K41&lt;1,"",K41=1,"Fail",K41&gt;1,_xlfn.TEXTJOIN("",TRUE,"Fail x",K41))</f>
        <v>Fail</v>
      </c>
      <c r="N41" t="str">
        <f t="shared" si="3"/>
        <v>Fail</v>
      </c>
    </row>
    <row r="42" spans="8:14">
      <c r="H42" s="13">
        <f t="shared" si="0"/>
        <v>1</v>
      </c>
      <c r="I42" t="str" cm="1">
        <f t="array" ref="I42">_xlfn.IFS(H42&lt;1,"No",H42=1,"Yes",H42&gt;1,_xlfn.TEXTJOIN("",TRUE,"Yes x",H42))</f>
        <v>Yes</v>
      </c>
      <c r="J42" s="13">
        <f t="shared" si="1"/>
        <v>0</v>
      </c>
      <c r="K42" s="13">
        <f t="shared" si="2"/>
        <v>1</v>
      </c>
      <c r="L42" s="13" t="str" cm="1">
        <f t="array" ref="L42">_xlfn.IFS(J42&lt;1,"",J42=1,"Pass",J42&gt;1,_xlfn.TEXTJOIN("",TRUE,"Pass x",J42))</f>
        <v/>
      </c>
      <c r="M42" s="13" t="str" cm="1">
        <f t="array" ref="M42">_xlfn.IFS(K42&lt;1,"",K42=1,"Fail",K42&gt;1,_xlfn.TEXTJOIN("",TRUE,"Fail x",K42))</f>
        <v>Fail</v>
      </c>
      <c r="N42" t="str">
        <f t="shared" si="3"/>
        <v>Fail</v>
      </c>
    </row>
    <row r="43" spans="8:14">
      <c r="H43" s="13">
        <f t="shared" si="0"/>
        <v>1</v>
      </c>
      <c r="I43" t="str" cm="1">
        <f t="array" ref="I43">_xlfn.IFS(H43&lt;1,"No",H43=1,"Yes",H43&gt;1,_xlfn.TEXTJOIN("",TRUE,"Yes x",H43))</f>
        <v>Yes</v>
      </c>
      <c r="J43" s="13">
        <f t="shared" si="1"/>
        <v>0</v>
      </c>
      <c r="K43" s="13">
        <f t="shared" si="2"/>
        <v>1</v>
      </c>
      <c r="L43" s="13" t="str" cm="1">
        <f t="array" ref="L43">_xlfn.IFS(J43&lt;1,"",J43=1,"Pass",J43&gt;1,_xlfn.TEXTJOIN("",TRUE,"Pass x",J43))</f>
        <v/>
      </c>
      <c r="M43" s="13" t="str" cm="1">
        <f t="array" ref="M43">_xlfn.IFS(K43&lt;1,"",K43=1,"Fail",K43&gt;1,_xlfn.TEXTJOIN("",TRUE,"Fail x",K43))</f>
        <v>Fail</v>
      </c>
      <c r="N43" t="str">
        <f t="shared" si="3"/>
        <v>Fail</v>
      </c>
    </row>
    <row r="44" spans="8:14">
      <c r="H44" s="13">
        <f t="shared" si="0"/>
        <v>1</v>
      </c>
      <c r="I44" t="str" cm="1">
        <f t="array" ref="I44">_xlfn.IFS(H44&lt;1,"No",H44=1,"Yes",H44&gt;1,_xlfn.TEXTJOIN("",TRUE,"Yes x",H44))</f>
        <v>Yes</v>
      </c>
      <c r="J44" s="13">
        <f t="shared" si="1"/>
        <v>0</v>
      </c>
      <c r="K44" s="13">
        <f t="shared" si="2"/>
        <v>1</v>
      </c>
      <c r="L44" s="13" t="str" cm="1">
        <f t="array" ref="L44">_xlfn.IFS(J44&lt;1,"",J44=1,"Pass",J44&gt;1,_xlfn.TEXTJOIN("",TRUE,"Pass x",J44))</f>
        <v/>
      </c>
      <c r="M44" s="13" t="str" cm="1">
        <f t="array" ref="M44">_xlfn.IFS(K44&lt;1,"",K44=1,"Fail",K44&gt;1,_xlfn.TEXTJOIN("",TRUE,"Fail x",K44))</f>
        <v>Fail</v>
      </c>
      <c r="N44" t="str">
        <f t="shared" si="3"/>
        <v>Fail</v>
      </c>
    </row>
    <row r="45" spans="8:14">
      <c r="H45" s="13">
        <f t="shared" si="0"/>
        <v>1</v>
      </c>
      <c r="I45" t="str" cm="1">
        <f t="array" ref="I45">_xlfn.IFS(H45&lt;1,"No",H45=1,"Yes",H45&gt;1,_xlfn.TEXTJOIN("",TRUE,"Yes x",H45))</f>
        <v>Yes</v>
      </c>
      <c r="J45" s="13">
        <f t="shared" si="1"/>
        <v>0</v>
      </c>
      <c r="K45" s="13">
        <f t="shared" si="2"/>
        <v>1</v>
      </c>
      <c r="L45" s="13" t="str" cm="1">
        <f t="array" ref="L45">_xlfn.IFS(J45&lt;1,"",J45=1,"Pass",J45&gt;1,_xlfn.TEXTJOIN("",TRUE,"Pass x",J45))</f>
        <v/>
      </c>
      <c r="M45" s="13" t="str" cm="1">
        <f t="array" ref="M45">_xlfn.IFS(K45&lt;1,"",K45=1,"Fail",K45&gt;1,_xlfn.TEXTJOIN("",TRUE,"Fail x",K45))</f>
        <v>Fail</v>
      </c>
      <c r="N45" t="str">
        <f t="shared" si="3"/>
        <v>Fail</v>
      </c>
    </row>
    <row r="46" spans="8:14">
      <c r="H46" s="13">
        <f t="shared" si="0"/>
        <v>1</v>
      </c>
      <c r="I46" t="str" cm="1">
        <f t="array" ref="I46">_xlfn.IFS(H46&lt;1,"No",H46=1,"Yes",H46&gt;1,_xlfn.TEXTJOIN("",TRUE,"Yes x",H46))</f>
        <v>Yes</v>
      </c>
      <c r="J46" s="13">
        <f t="shared" si="1"/>
        <v>0</v>
      </c>
      <c r="K46" s="13">
        <f t="shared" si="2"/>
        <v>1</v>
      </c>
      <c r="L46" s="13" t="str" cm="1">
        <f t="array" ref="L46">_xlfn.IFS(J46&lt;1,"",J46=1,"Pass",J46&gt;1,_xlfn.TEXTJOIN("",TRUE,"Pass x",J46))</f>
        <v/>
      </c>
      <c r="M46" s="13" t="str" cm="1">
        <f t="array" ref="M46">_xlfn.IFS(K46&lt;1,"",K46=1,"Fail",K46&gt;1,_xlfn.TEXTJOIN("",TRUE,"Fail x",K46))</f>
        <v>Fail</v>
      </c>
      <c r="N46" t="str">
        <f t="shared" si="3"/>
        <v>Fail</v>
      </c>
    </row>
    <row r="47" spans="8:14">
      <c r="H47" s="13">
        <f t="shared" si="0"/>
        <v>1</v>
      </c>
      <c r="I47" t="str" cm="1">
        <f t="array" ref="I47">_xlfn.IFS(H47&lt;1,"No",H47=1,"Yes",H47&gt;1,_xlfn.TEXTJOIN("",TRUE,"Yes x",H47))</f>
        <v>Yes</v>
      </c>
      <c r="J47" s="13">
        <f t="shared" si="1"/>
        <v>0</v>
      </c>
      <c r="K47" s="13">
        <f t="shared" si="2"/>
        <v>1</v>
      </c>
      <c r="L47" s="13" t="str" cm="1">
        <f t="array" ref="L47">_xlfn.IFS(J47&lt;1,"",J47=1,"Pass",J47&gt;1,_xlfn.TEXTJOIN("",TRUE,"Pass x",J47))</f>
        <v/>
      </c>
      <c r="M47" s="13" t="str" cm="1">
        <f t="array" ref="M47">_xlfn.IFS(K47&lt;1,"",K47=1,"Fail",K47&gt;1,_xlfn.TEXTJOIN("",TRUE,"Fail x",K47))</f>
        <v>Fail</v>
      </c>
      <c r="N47" t="str">
        <f t="shared" si="3"/>
        <v>Fail</v>
      </c>
    </row>
    <row r="48" spans="8:14">
      <c r="H48" s="13">
        <f t="shared" si="0"/>
        <v>1</v>
      </c>
      <c r="I48" t="str" cm="1">
        <f t="array" ref="I48">_xlfn.IFS(H48&lt;1,"No",H48=1,"Yes",H48&gt;1,_xlfn.TEXTJOIN("",TRUE,"Yes x",H48))</f>
        <v>Yes</v>
      </c>
      <c r="J48" s="13">
        <f t="shared" si="1"/>
        <v>0</v>
      </c>
      <c r="K48" s="13">
        <f t="shared" si="2"/>
        <v>1</v>
      </c>
      <c r="L48" s="13" t="str" cm="1">
        <f t="array" ref="L48">_xlfn.IFS(J48&lt;1,"",J48=1,"Pass",J48&gt;1,_xlfn.TEXTJOIN("",TRUE,"Pass x",J48))</f>
        <v/>
      </c>
      <c r="M48" s="13" t="str" cm="1">
        <f t="array" ref="M48">_xlfn.IFS(K48&lt;1,"",K48=1,"Fail",K48&gt;1,_xlfn.TEXTJOIN("",TRUE,"Fail x",K48))</f>
        <v>Fail</v>
      </c>
      <c r="N48" t="str">
        <f t="shared" si="3"/>
        <v>Fail</v>
      </c>
    </row>
    <row r="49" spans="8:14">
      <c r="H49" s="13">
        <f t="shared" si="0"/>
        <v>1</v>
      </c>
      <c r="I49" t="str" cm="1">
        <f t="array" ref="I49">_xlfn.IFS(H49&lt;1,"No",H49=1,"Yes",H49&gt;1,_xlfn.TEXTJOIN("",TRUE,"Yes x",H49))</f>
        <v>Yes</v>
      </c>
      <c r="J49" s="13">
        <f t="shared" si="1"/>
        <v>0</v>
      </c>
      <c r="K49" s="13">
        <f t="shared" si="2"/>
        <v>1</v>
      </c>
      <c r="L49" s="13" t="str" cm="1">
        <f t="array" ref="L49">_xlfn.IFS(J49&lt;1,"",J49=1,"Pass",J49&gt;1,_xlfn.TEXTJOIN("",TRUE,"Pass x",J49))</f>
        <v/>
      </c>
      <c r="M49" s="13" t="str" cm="1">
        <f t="array" ref="M49">_xlfn.IFS(K49&lt;1,"",K49=1,"Fail",K49&gt;1,_xlfn.TEXTJOIN("",TRUE,"Fail x",K49))</f>
        <v>Fail</v>
      </c>
      <c r="N49" t="str">
        <f t="shared" si="3"/>
        <v>Fail</v>
      </c>
    </row>
    <row r="50" spans="8:14">
      <c r="H50" s="13">
        <f t="shared" si="0"/>
        <v>1</v>
      </c>
      <c r="I50" t="str" cm="1">
        <f t="array" ref="I50">_xlfn.IFS(H50&lt;1,"No",H50=1,"Yes",H50&gt;1,_xlfn.TEXTJOIN("",TRUE,"Yes x",H50))</f>
        <v>Yes</v>
      </c>
      <c r="J50" s="13">
        <f t="shared" si="1"/>
        <v>0</v>
      </c>
      <c r="K50" s="13">
        <f t="shared" si="2"/>
        <v>1</v>
      </c>
      <c r="L50" s="13" t="str" cm="1">
        <f t="array" ref="L50">_xlfn.IFS(J50&lt;1,"",J50=1,"Pass",J50&gt;1,_xlfn.TEXTJOIN("",TRUE,"Pass x",J50))</f>
        <v/>
      </c>
      <c r="M50" s="13" t="str" cm="1">
        <f t="array" ref="M50">_xlfn.IFS(K50&lt;1,"",K50=1,"Fail",K50&gt;1,_xlfn.TEXTJOIN("",TRUE,"Fail x",K50))</f>
        <v>Fail</v>
      </c>
      <c r="N50" t="str">
        <f t="shared" si="3"/>
        <v>Fail</v>
      </c>
    </row>
    <row r="51" spans="8:14">
      <c r="H51" s="13">
        <f t="shared" si="0"/>
        <v>1</v>
      </c>
      <c r="I51" t="str" cm="1">
        <f t="array" ref="I51">_xlfn.IFS(H51&lt;1,"No",H51=1,"Yes",H51&gt;1,_xlfn.TEXTJOIN("",TRUE,"Yes x",H51))</f>
        <v>Yes</v>
      </c>
      <c r="J51" s="13">
        <f t="shared" si="1"/>
        <v>0</v>
      </c>
      <c r="K51" s="13">
        <f t="shared" si="2"/>
        <v>1</v>
      </c>
      <c r="L51" s="13" t="str" cm="1">
        <f t="array" ref="L51">_xlfn.IFS(J51&lt;1,"",J51=1,"Pass",J51&gt;1,_xlfn.TEXTJOIN("",TRUE,"Pass x",J51))</f>
        <v/>
      </c>
      <c r="M51" s="13" t="str" cm="1">
        <f t="array" ref="M51">_xlfn.IFS(K51&lt;1,"",K51=1,"Fail",K51&gt;1,_xlfn.TEXTJOIN("",TRUE,"Fail x",K51))</f>
        <v>Fail</v>
      </c>
      <c r="N51" t="str">
        <f t="shared" si="3"/>
        <v>Fail</v>
      </c>
    </row>
    <row r="52" spans="8:14">
      <c r="H52" s="13">
        <f t="shared" si="0"/>
        <v>1</v>
      </c>
      <c r="I52" t="str" cm="1">
        <f t="array" ref="I52">_xlfn.IFS(H52&lt;1,"No",H52=1,"Yes",H52&gt;1,_xlfn.TEXTJOIN("",TRUE,"Yes x",H52))</f>
        <v>Yes</v>
      </c>
      <c r="J52" s="13">
        <f t="shared" si="1"/>
        <v>0</v>
      </c>
      <c r="K52" s="13">
        <f t="shared" si="2"/>
        <v>1</v>
      </c>
      <c r="L52" s="13" t="str" cm="1">
        <f t="array" ref="L52">_xlfn.IFS(J52&lt;1,"",J52=1,"Pass",J52&gt;1,_xlfn.TEXTJOIN("",TRUE,"Pass x",J52))</f>
        <v/>
      </c>
      <c r="M52" s="13" t="str" cm="1">
        <f t="array" ref="M52">_xlfn.IFS(K52&lt;1,"",K52=1,"Fail",K52&gt;1,_xlfn.TEXTJOIN("",TRUE,"Fail x",K52))</f>
        <v>Fail</v>
      </c>
      <c r="N52" t="str">
        <f t="shared" si="3"/>
        <v>Fail</v>
      </c>
    </row>
    <row r="53" spans="8:14">
      <c r="H53" s="13">
        <f t="shared" si="0"/>
        <v>1</v>
      </c>
      <c r="I53" t="str" cm="1">
        <f t="array" ref="I53">_xlfn.IFS(H53&lt;1,"No",H53=1,"Yes",H53&gt;1,_xlfn.TEXTJOIN("",TRUE,"Yes x",H53))</f>
        <v>Yes</v>
      </c>
      <c r="J53" s="13">
        <f t="shared" si="1"/>
        <v>0</v>
      </c>
      <c r="K53" s="13">
        <f t="shared" si="2"/>
        <v>1</v>
      </c>
      <c r="L53" s="13" t="str" cm="1">
        <f t="array" ref="L53">_xlfn.IFS(J53&lt;1,"",J53=1,"Pass",J53&gt;1,_xlfn.TEXTJOIN("",TRUE,"Pass x",J53))</f>
        <v/>
      </c>
      <c r="M53" s="13" t="str" cm="1">
        <f t="array" ref="M53">_xlfn.IFS(K53&lt;1,"",K53=1,"Fail",K53&gt;1,_xlfn.TEXTJOIN("",TRUE,"Fail x",K53))</f>
        <v>Fail</v>
      </c>
      <c r="N53" t="str">
        <f t="shared" si="3"/>
        <v>Fail</v>
      </c>
    </row>
    <row r="54" spans="8:14">
      <c r="H54" s="13">
        <f t="shared" si="0"/>
        <v>1</v>
      </c>
      <c r="I54" t="str" cm="1">
        <f t="array" ref="I54">_xlfn.IFS(H54&lt;1,"No",H54=1,"Yes",H54&gt;1,_xlfn.TEXTJOIN("",TRUE,"Yes x",H54))</f>
        <v>Yes</v>
      </c>
      <c r="J54" s="13">
        <f t="shared" si="1"/>
        <v>0</v>
      </c>
      <c r="K54" s="13">
        <f t="shared" si="2"/>
        <v>1</v>
      </c>
      <c r="L54" s="13" t="str" cm="1">
        <f t="array" ref="L54">_xlfn.IFS(J54&lt;1,"",J54=1,"Pass",J54&gt;1,_xlfn.TEXTJOIN("",TRUE,"Pass x",J54))</f>
        <v/>
      </c>
      <c r="M54" s="13" t="str" cm="1">
        <f t="array" ref="M54">_xlfn.IFS(K54&lt;1,"",K54=1,"Fail",K54&gt;1,_xlfn.TEXTJOIN("",TRUE,"Fail x",K54))</f>
        <v>Fail</v>
      </c>
      <c r="N54" t="str">
        <f t="shared" si="3"/>
        <v>Fail</v>
      </c>
    </row>
    <row r="55" spans="8:14">
      <c r="H55" s="13">
        <f t="shared" si="0"/>
        <v>1</v>
      </c>
      <c r="I55" t="str" cm="1">
        <f t="array" ref="I55">_xlfn.IFS(H55&lt;1,"No",H55=1,"Yes",H55&gt;1,_xlfn.TEXTJOIN("",TRUE,"Yes x",H55))</f>
        <v>Yes</v>
      </c>
      <c r="J55" s="13">
        <f t="shared" si="1"/>
        <v>0</v>
      </c>
      <c r="K55" s="13">
        <f t="shared" si="2"/>
        <v>1</v>
      </c>
      <c r="L55" s="13" t="str" cm="1">
        <f t="array" ref="L55">_xlfn.IFS(J55&lt;1,"",J55=1,"Pass",J55&gt;1,_xlfn.TEXTJOIN("",TRUE,"Pass x",J55))</f>
        <v/>
      </c>
      <c r="M55" s="13" t="str" cm="1">
        <f t="array" ref="M55">_xlfn.IFS(K55&lt;1,"",K55=1,"Fail",K55&gt;1,_xlfn.TEXTJOIN("",TRUE,"Fail x",K55))</f>
        <v>Fail</v>
      </c>
      <c r="N55" t="str">
        <f t="shared" si="3"/>
        <v>Fail</v>
      </c>
    </row>
    <row r="56" spans="8:14">
      <c r="H56" s="13">
        <f t="shared" si="0"/>
        <v>1</v>
      </c>
      <c r="I56" t="str" cm="1">
        <f t="array" ref="I56">_xlfn.IFS(H56&lt;1,"No",H56=1,"Yes",H56&gt;1,_xlfn.TEXTJOIN("",TRUE,"Yes x",H56))</f>
        <v>Yes</v>
      </c>
      <c r="J56" s="13">
        <f t="shared" si="1"/>
        <v>0</v>
      </c>
      <c r="K56" s="13">
        <f t="shared" si="2"/>
        <v>1</v>
      </c>
      <c r="L56" s="13" t="str" cm="1">
        <f t="array" ref="L56">_xlfn.IFS(J56&lt;1,"",J56=1,"Pass",J56&gt;1,_xlfn.TEXTJOIN("",TRUE,"Pass x",J56))</f>
        <v/>
      </c>
      <c r="M56" s="13" t="str" cm="1">
        <f t="array" ref="M56">_xlfn.IFS(K56&lt;1,"",K56=1,"Fail",K56&gt;1,_xlfn.TEXTJOIN("",TRUE,"Fail x",K56))</f>
        <v>Fail</v>
      </c>
      <c r="N56" t="str">
        <f t="shared" si="3"/>
        <v>Fail</v>
      </c>
    </row>
    <row r="57" spans="8:14">
      <c r="H57" s="13">
        <f t="shared" si="0"/>
        <v>1</v>
      </c>
      <c r="I57" t="str" cm="1">
        <f t="array" ref="I57">_xlfn.IFS(H57&lt;1,"No",H57=1,"Yes",H57&gt;1,_xlfn.TEXTJOIN("",TRUE,"Yes x",H57))</f>
        <v>Yes</v>
      </c>
      <c r="J57" s="13">
        <f t="shared" si="1"/>
        <v>0</v>
      </c>
      <c r="K57" s="13">
        <f t="shared" si="2"/>
        <v>1</v>
      </c>
      <c r="L57" s="13" t="str" cm="1">
        <f t="array" ref="L57">_xlfn.IFS(J57&lt;1,"",J57=1,"Pass",J57&gt;1,_xlfn.TEXTJOIN("",TRUE,"Pass x",J57))</f>
        <v/>
      </c>
      <c r="M57" s="13" t="str" cm="1">
        <f t="array" ref="M57">_xlfn.IFS(K57&lt;1,"",K57=1,"Fail",K57&gt;1,_xlfn.TEXTJOIN("",TRUE,"Fail x",K57))</f>
        <v>Fail</v>
      </c>
      <c r="N57" t="str">
        <f t="shared" si="3"/>
        <v>Fail</v>
      </c>
    </row>
    <row r="58" spans="8:14">
      <c r="H58" s="13">
        <f t="shared" si="0"/>
        <v>1</v>
      </c>
      <c r="I58" t="str" cm="1">
        <f t="array" ref="I58">_xlfn.IFS(H58&lt;1,"No",H58=1,"Yes",H58&gt;1,_xlfn.TEXTJOIN("",TRUE,"Yes x",H58))</f>
        <v>Yes</v>
      </c>
      <c r="J58" s="13">
        <f t="shared" si="1"/>
        <v>0</v>
      </c>
      <c r="K58" s="13">
        <f t="shared" si="2"/>
        <v>1</v>
      </c>
      <c r="L58" s="13" t="str" cm="1">
        <f t="array" ref="L58">_xlfn.IFS(J58&lt;1,"",J58=1,"Pass",J58&gt;1,_xlfn.TEXTJOIN("",TRUE,"Pass x",J58))</f>
        <v/>
      </c>
      <c r="M58" s="13" t="str" cm="1">
        <f t="array" ref="M58">_xlfn.IFS(K58&lt;1,"",K58=1,"Fail",K58&gt;1,_xlfn.TEXTJOIN("",TRUE,"Fail x",K58))</f>
        <v>Fail</v>
      </c>
      <c r="N58" t="str">
        <f t="shared" si="3"/>
        <v>Fail</v>
      </c>
    </row>
    <row r="59" spans="8:14">
      <c r="H59" s="13">
        <f t="shared" si="0"/>
        <v>1</v>
      </c>
      <c r="I59" t="str" cm="1">
        <f t="array" ref="I59">_xlfn.IFS(H59&lt;1,"No",H59=1,"Yes",H59&gt;1,_xlfn.TEXTJOIN("",TRUE,"Yes x",H59))</f>
        <v>Yes</v>
      </c>
      <c r="J59" s="13">
        <f t="shared" si="1"/>
        <v>0</v>
      </c>
      <c r="K59" s="13">
        <f t="shared" si="2"/>
        <v>1</v>
      </c>
      <c r="L59" s="13" t="str" cm="1">
        <f t="array" ref="L59">_xlfn.IFS(J59&lt;1,"",J59=1,"Pass",J59&gt;1,_xlfn.TEXTJOIN("",TRUE,"Pass x",J59))</f>
        <v/>
      </c>
      <c r="M59" s="13" t="str" cm="1">
        <f t="array" ref="M59">_xlfn.IFS(K59&lt;1,"",K59=1,"Fail",K59&gt;1,_xlfn.TEXTJOIN("",TRUE,"Fail x",K59))</f>
        <v>Fail</v>
      </c>
      <c r="N59" t="str">
        <f t="shared" si="3"/>
        <v>Fail</v>
      </c>
    </row>
    <row r="60" spans="8:14">
      <c r="H60" s="13">
        <f t="shared" si="0"/>
        <v>1</v>
      </c>
      <c r="I60" t="str" cm="1">
        <f t="array" ref="I60">_xlfn.IFS(H60&lt;1,"No",H60=1,"Yes",H60&gt;1,_xlfn.TEXTJOIN("",TRUE,"Yes x",H60))</f>
        <v>Yes</v>
      </c>
      <c r="J60" s="13">
        <f t="shared" si="1"/>
        <v>0</v>
      </c>
      <c r="K60" s="13">
        <f t="shared" si="2"/>
        <v>1</v>
      </c>
      <c r="L60" s="13" t="str" cm="1">
        <f t="array" ref="L60">_xlfn.IFS(J60&lt;1,"",J60=1,"Pass",J60&gt;1,_xlfn.TEXTJOIN("",TRUE,"Pass x",J60))</f>
        <v/>
      </c>
      <c r="M60" s="13" t="str" cm="1">
        <f t="array" ref="M60">_xlfn.IFS(K60&lt;1,"",K60=1,"Fail",K60&gt;1,_xlfn.TEXTJOIN("",TRUE,"Fail x",K60))</f>
        <v>Fail</v>
      </c>
      <c r="N60" t="str">
        <f t="shared" si="3"/>
        <v>Fail</v>
      </c>
    </row>
    <row r="61" spans="8:14">
      <c r="H61" s="13">
        <f t="shared" si="0"/>
        <v>1</v>
      </c>
      <c r="I61" t="str" cm="1">
        <f t="array" ref="I61">_xlfn.IFS(H61&lt;1,"No",H61=1,"Yes",H61&gt;1,_xlfn.TEXTJOIN("",TRUE,"Yes x",H61))</f>
        <v>Yes</v>
      </c>
      <c r="J61" s="13">
        <f t="shared" si="1"/>
        <v>0</v>
      </c>
      <c r="K61" s="13">
        <f t="shared" si="2"/>
        <v>1</v>
      </c>
      <c r="L61" s="13" t="str" cm="1">
        <f t="array" ref="L61">_xlfn.IFS(J61&lt;1,"",J61=1,"Pass",J61&gt;1,_xlfn.TEXTJOIN("",TRUE,"Pass x",J61))</f>
        <v/>
      </c>
      <c r="M61" s="13" t="str" cm="1">
        <f t="array" ref="M61">_xlfn.IFS(K61&lt;1,"",K61=1,"Fail",K61&gt;1,_xlfn.TEXTJOIN("",TRUE,"Fail x",K61))</f>
        <v>Fail</v>
      </c>
      <c r="N61" t="str">
        <f t="shared" si="3"/>
        <v>Fail</v>
      </c>
    </row>
    <row r="62" spans="8:14">
      <c r="H62" s="13">
        <f t="shared" si="0"/>
        <v>1</v>
      </c>
      <c r="I62" t="str" cm="1">
        <f t="array" ref="I62">_xlfn.IFS(H62&lt;1,"No",H62=1,"Yes",H62&gt;1,_xlfn.TEXTJOIN("",TRUE,"Yes x",H62))</f>
        <v>Yes</v>
      </c>
      <c r="J62" s="13">
        <f t="shared" si="1"/>
        <v>0</v>
      </c>
      <c r="K62" s="13">
        <f t="shared" si="2"/>
        <v>1</v>
      </c>
      <c r="L62" s="13" t="str" cm="1">
        <f t="array" ref="L62">_xlfn.IFS(J62&lt;1,"",J62=1,"Pass",J62&gt;1,_xlfn.TEXTJOIN("",TRUE,"Pass x",J62))</f>
        <v/>
      </c>
      <c r="M62" s="13" t="str" cm="1">
        <f t="array" ref="M62">_xlfn.IFS(K62&lt;1,"",K62=1,"Fail",K62&gt;1,_xlfn.TEXTJOIN("",TRUE,"Fail x",K62))</f>
        <v>Fail</v>
      </c>
      <c r="N62" t="str">
        <f t="shared" si="3"/>
        <v>Fail</v>
      </c>
    </row>
    <row r="63" spans="8:14">
      <c r="H63" s="13">
        <f t="shared" si="0"/>
        <v>1</v>
      </c>
      <c r="I63" t="str" cm="1">
        <f t="array" ref="I63">_xlfn.IFS(H63&lt;1,"No",H63=1,"Yes",H63&gt;1,_xlfn.TEXTJOIN("",TRUE,"Yes x",H63))</f>
        <v>Yes</v>
      </c>
      <c r="J63" s="13">
        <f t="shared" si="1"/>
        <v>0</v>
      </c>
      <c r="K63" s="13">
        <f t="shared" si="2"/>
        <v>1</v>
      </c>
      <c r="L63" s="13" t="str" cm="1">
        <f t="array" ref="L63">_xlfn.IFS(J63&lt;1,"",J63=1,"Pass",J63&gt;1,_xlfn.TEXTJOIN("",TRUE,"Pass x",J63))</f>
        <v/>
      </c>
      <c r="M63" s="13" t="str" cm="1">
        <f t="array" ref="M63">_xlfn.IFS(K63&lt;1,"",K63=1,"Fail",K63&gt;1,_xlfn.TEXTJOIN("",TRUE,"Fail x",K63))</f>
        <v>Fail</v>
      </c>
      <c r="N63" t="str">
        <f t="shared" si="3"/>
        <v>Fail</v>
      </c>
    </row>
    <row r="64" spans="8:14">
      <c r="H64" s="13">
        <f t="shared" si="0"/>
        <v>1</v>
      </c>
      <c r="I64" t="str" cm="1">
        <f t="array" ref="I64">_xlfn.IFS(H64&lt;1,"No",H64=1,"Yes",H64&gt;1,_xlfn.TEXTJOIN("",TRUE,"Yes x",H64))</f>
        <v>Yes</v>
      </c>
      <c r="J64" s="13">
        <f t="shared" si="1"/>
        <v>0</v>
      </c>
      <c r="K64" s="13">
        <f t="shared" si="2"/>
        <v>1</v>
      </c>
      <c r="L64" s="13" t="str" cm="1">
        <f t="array" ref="L64">_xlfn.IFS(J64&lt;1,"",J64=1,"Pass",J64&gt;1,_xlfn.TEXTJOIN("",TRUE,"Pass x",J64))</f>
        <v/>
      </c>
      <c r="M64" s="13" t="str" cm="1">
        <f t="array" ref="M64">_xlfn.IFS(K64&lt;1,"",K64=1,"Fail",K64&gt;1,_xlfn.TEXTJOIN("",TRUE,"Fail x",K64))</f>
        <v>Fail</v>
      </c>
      <c r="N64" t="str">
        <f t="shared" si="3"/>
        <v>Fail</v>
      </c>
    </row>
    <row r="65" spans="8:14">
      <c r="H65" s="13">
        <f t="shared" si="0"/>
        <v>1</v>
      </c>
      <c r="I65" t="str" cm="1">
        <f t="array" ref="I65">_xlfn.IFS(H65&lt;1,"No",H65=1,"Yes",H65&gt;1,_xlfn.TEXTJOIN("",TRUE,"Yes x",H65))</f>
        <v>Yes</v>
      </c>
      <c r="J65" s="13">
        <f t="shared" si="1"/>
        <v>0</v>
      </c>
      <c r="K65" s="13">
        <f t="shared" si="2"/>
        <v>1</v>
      </c>
      <c r="L65" s="13" t="str" cm="1">
        <f t="array" ref="L65">_xlfn.IFS(J65&lt;1,"",J65=1,"Pass",J65&gt;1,_xlfn.TEXTJOIN("",TRUE,"Pass x",J65))</f>
        <v/>
      </c>
      <c r="M65" s="13" t="str" cm="1">
        <f t="array" ref="M65">_xlfn.IFS(K65&lt;1,"",K65=1,"Fail",K65&gt;1,_xlfn.TEXTJOIN("",TRUE,"Fail x",K65))</f>
        <v>Fail</v>
      </c>
      <c r="N65" t="str">
        <f t="shared" si="3"/>
        <v>Fail</v>
      </c>
    </row>
    <row r="66" spans="8:14">
      <c r="H66" s="13">
        <f t="shared" si="0"/>
        <v>1</v>
      </c>
      <c r="I66" t="str" cm="1">
        <f t="array" ref="I66">_xlfn.IFS(H66&lt;1,"No",H66=1,"Yes",H66&gt;1,_xlfn.TEXTJOIN("",TRUE,"Yes x",H66))</f>
        <v>Yes</v>
      </c>
      <c r="J66" s="13">
        <f t="shared" si="1"/>
        <v>0</v>
      </c>
      <c r="K66" s="13">
        <f t="shared" si="2"/>
        <v>1</v>
      </c>
      <c r="L66" s="13" t="str" cm="1">
        <f t="array" ref="L66">_xlfn.IFS(J66&lt;1,"",J66=1,"Pass",J66&gt;1,_xlfn.TEXTJOIN("",TRUE,"Pass x",J66))</f>
        <v/>
      </c>
      <c r="M66" s="13" t="str" cm="1">
        <f t="array" ref="M66">_xlfn.IFS(K66&lt;1,"",K66=1,"Fail",K66&gt;1,_xlfn.TEXTJOIN("",TRUE,"Fail x",K66))</f>
        <v>Fail</v>
      </c>
      <c r="N66" t="str">
        <f t="shared" si="3"/>
        <v>Fail</v>
      </c>
    </row>
    <row r="67" spans="8:14">
      <c r="H67" s="13">
        <f t="shared" ref="H67:H130" si="4">IFERROR(GETPIVOTDATA("Successful / Failed",$A$1,"System serial",G67),0)</f>
        <v>1</v>
      </c>
      <c r="I67" t="str" cm="1">
        <f t="array" ref="I67">_xlfn.IFS(H67&lt;1,"No",H67=1,"Yes",H67&gt;1,_xlfn.TEXTJOIN("",TRUE,"Yes x",H67))</f>
        <v>Yes</v>
      </c>
      <c r="J67" s="13">
        <f t="shared" ref="J67:J130" si="5">IFERROR(GETPIVOTDATA("Successful / Failed",$A$1,"System serial",G67,"Successful / Failed","Successful"),0)</f>
        <v>0</v>
      </c>
      <c r="K67" s="13">
        <f t="shared" ref="K67:K130" si="6">IFERROR(GETPIVOTDATA("Successful / Failed",$A$1,"System serial",G67,"Successful / Failed","Failed"),0)</f>
        <v>1</v>
      </c>
      <c r="L67" s="13" t="str" cm="1">
        <f t="array" ref="L67">_xlfn.IFS(J67&lt;1,"",J67=1,"Pass",J67&gt;1,_xlfn.TEXTJOIN("",TRUE,"Pass x",J67))</f>
        <v/>
      </c>
      <c r="M67" s="13" t="str" cm="1">
        <f t="array" ref="M67">_xlfn.IFS(K67&lt;1,"",K67=1,"Fail",K67&gt;1,_xlfn.TEXTJOIN("",TRUE,"Fail x",K67))</f>
        <v>Fail</v>
      </c>
      <c r="N67" t="str">
        <f t="shared" ref="N67:N113" si="7">_xlfn.TEXTJOIN(", ",TRUE, L67, M67)</f>
        <v>Fail</v>
      </c>
    </row>
    <row r="68" spans="8:14">
      <c r="H68" s="13">
        <f t="shared" si="4"/>
        <v>1</v>
      </c>
      <c r="I68" t="str" cm="1">
        <f t="array" ref="I68">_xlfn.IFS(H68&lt;1,"No",H68=1,"Yes",H68&gt;1,_xlfn.TEXTJOIN("",TRUE,"Yes x",H68))</f>
        <v>Yes</v>
      </c>
      <c r="J68" s="13">
        <f t="shared" si="5"/>
        <v>0</v>
      </c>
      <c r="K68" s="13">
        <f t="shared" si="6"/>
        <v>1</v>
      </c>
      <c r="L68" s="13" t="str" cm="1">
        <f t="array" ref="L68">_xlfn.IFS(J68&lt;1,"",J68=1,"Pass",J68&gt;1,_xlfn.TEXTJOIN("",TRUE,"Pass x",J68))</f>
        <v/>
      </c>
      <c r="M68" s="13" t="str" cm="1">
        <f t="array" ref="M68">_xlfn.IFS(K68&lt;1,"",K68=1,"Fail",K68&gt;1,_xlfn.TEXTJOIN("",TRUE,"Fail x",K68))</f>
        <v>Fail</v>
      </c>
      <c r="N68" t="str">
        <f t="shared" si="7"/>
        <v>Fail</v>
      </c>
    </row>
    <row r="69" spans="8:14">
      <c r="H69" s="13">
        <f t="shared" si="4"/>
        <v>1</v>
      </c>
      <c r="I69" t="str" cm="1">
        <f t="array" ref="I69">_xlfn.IFS(H69&lt;1,"No",H69=1,"Yes",H69&gt;1,_xlfn.TEXTJOIN("",TRUE,"Yes x",H69))</f>
        <v>Yes</v>
      </c>
      <c r="J69" s="13">
        <f t="shared" si="5"/>
        <v>0</v>
      </c>
      <c r="K69" s="13">
        <f t="shared" si="6"/>
        <v>1</v>
      </c>
      <c r="L69" s="13" t="str" cm="1">
        <f t="array" ref="L69">_xlfn.IFS(J69&lt;1,"",J69=1,"Pass",J69&gt;1,_xlfn.TEXTJOIN("",TRUE,"Pass x",J69))</f>
        <v/>
      </c>
      <c r="M69" s="13" t="str" cm="1">
        <f t="array" ref="M69">_xlfn.IFS(K69&lt;1,"",K69=1,"Fail",K69&gt;1,_xlfn.TEXTJOIN("",TRUE,"Fail x",K69))</f>
        <v>Fail</v>
      </c>
      <c r="N69" t="str">
        <f t="shared" si="7"/>
        <v>Fail</v>
      </c>
    </row>
    <row r="70" spans="8:14">
      <c r="H70" s="13">
        <f t="shared" si="4"/>
        <v>1</v>
      </c>
      <c r="I70" t="str" cm="1">
        <f t="array" ref="I70">_xlfn.IFS(H70&lt;1,"No",H70=1,"Yes",H70&gt;1,_xlfn.TEXTJOIN("",TRUE,"Yes x",H70))</f>
        <v>Yes</v>
      </c>
      <c r="J70" s="13">
        <f t="shared" si="5"/>
        <v>0</v>
      </c>
      <c r="K70" s="13">
        <f t="shared" si="6"/>
        <v>1</v>
      </c>
      <c r="L70" s="13" t="str" cm="1">
        <f t="array" ref="L70">_xlfn.IFS(J70&lt;1,"",J70=1,"Pass",J70&gt;1,_xlfn.TEXTJOIN("",TRUE,"Pass x",J70))</f>
        <v/>
      </c>
      <c r="M70" s="13" t="str" cm="1">
        <f t="array" ref="M70">_xlfn.IFS(K70&lt;1,"",K70=1,"Fail",K70&gt;1,_xlfn.TEXTJOIN("",TRUE,"Fail x",K70))</f>
        <v>Fail</v>
      </c>
      <c r="N70" t="str">
        <f t="shared" si="7"/>
        <v>Fail</v>
      </c>
    </row>
    <row r="71" spans="8:14">
      <c r="H71" s="13">
        <f t="shared" si="4"/>
        <v>1</v>
      </c>
      <c r="I71" t="str" cm="1">
        <f t="array" ref="I71">_xlfn.IFS(H71&lt;1,"No",H71=1,"Yes",H71&gt;1,_xlfn.TEXTJOIN("",TRUE,"Yes x",H71))</f>
        <v>Yes</v>
      </c>
      <c r="J71" s="13">
        <f t="shared" si="5"/>
        <v>0</v>
      </c>
      <c r="K71" s="13">
        <f t="shared" si="6"/>
        <v>1</v>
      </c>
      <c r="L71" s="13" t="str" cm="1">
        <f t="array" ref="L71">_xlfn.IFS(J71&lt;1,"",J71=1,"Pass",J71&gt;1,_xlfn.TEXTJOIN("",TRUE,"Pass x",J71))</f>
        <v/>
      </c>
      <c r="M71" s="13" t="str" cm="1">
        <f t="array" ref="M71">_xlfn.IFS(K71&lt;1,"",K71=1,"Fail",K71&gt;1,_xlfn.TEXTJOIN("",TRUE,"Fail x",K71))</f>
        <v>Fail</v>
      </c>
      <c r="N71" t="str">
        <f t="shared" si="7"/>
        <v>Fail</v>
      </c>
    </row>
    <row r="72" spans="8:14">
      <c r="H72" s="13">
        <f t="shared" si="4"/>
        <v>1</v>
      </c>
      <c r="I72" t="str" cm="1">
        <f t="array" ref="I72">_xlfn.IFS(H72&lt;1,"No",H72=1,"Yes",H72&gt;1,_xlfn.TEXTJOIN("",TRUE,"Yes x",H72))</f>
        <v>Yes</v>
      </c>
      <c r="J72" s="13">
        <f t="shared" si="5"/>
        <v>0</v>
      </c>
      <c r="K72" s="13">
        <f t="shared" si="6"/>
        <v>1</v>
      </c>
      <c r="L72" s="13" t="str" cm="1">
        <f t="array" ref="L72">_xlfn.IFS(J72&lt;1,"",J72=1,"Pass",J72&gt;1,_xlfn.TEXTJOIN("",TRUE,"Pass x",J72))</f>
        <v/>
      </c>
      <c r="M72" s="13" t="str" cm="1">
        <f t="array" ref="M72">_xlfn.IFS(K72&lt;1,"",K72=1,"Fail",K72&gt;1,_xlfn.TEXTJOIN("",TRUE,"Fail x",K72))</f>
        <v>Fail</v>
      </c>
      <c r="N72" t="str">
        <f t="shared" si="7"/>
        <v>Fail</v>
      </c>
    </row>
    <row r="73" spans="8:14">
      <c r="H73" s="13">
        <f t="shared" si="4"/>
        <v>1</v>
      </c>
      <c r="I73" t="str" cm="1">
        <f t="array" ref="I73">_xlfn.IFS(H73&lt;1,"No",H73=1,"Yes",H73&gt;1,_xlfn.TEXTJOIN("",TRUE,"Yes x",H73))</f>
        <v>Yes</v>
      </c>
      <c r="J73" s="13">
        <f t="shared" si="5"/>
        <v>0</v>
      </c>
      <c r="K73" s="13">
        <f t="shared" si="6"/>
        <v>1</v>
      </c>
      <c r="L73" s="13" t="str" cm="1">
        <f t="array" ref="L73">_xlfn.IFS(J73&lt;1,"",J73=1,"Pass",J73&gt;1,_xlfn.TEXTJOIN("",TRUE,"Pass x",J73))</f>
        <v/>
      </c>
      <c r="M73" s="13" t="str" cm="1">
        <f t="array" ref="M73">_xlfn.IFS(K73&lt;1,"",K73=1,"Fail",K73&gt;1,_xlfn.TEXTJOIN("",TRUE,"Fail x",K73))</f>
        <v>Fail</v>
      </c>
      <c r="N73" t="str">
        <f t="shared" si="7"/>
        <v>Fail</v>
      </c>
    </row>
    <row r="74" spans="8:14">
      <c r="H74" s="13">
        <f t="shared" si="4"/>
        <v>1</v>
      </c>
      <c r="I74" t="str" cm="1">
        <f t="array" ref="I74">_xlfn.IFS(H74&lt;1,"No",H74=1,"Yes",H74&gt;1,_xlfn.TEXTJOIN("",TRUE,"Yes x",H74))</f>
        <v>Yes</v>
      </c>
      <c r="J74" s="13">
        <f t="shared" si="5"/>
        <v>0</v>
      </c>
      <c r="K74" s="13">
        <f t="shared" si="6"/>
        <v>1</v>
      </c>
      <c r="L74" s="13" t="str" cm="1">
        <f t="array" ref="L74">_xlfn.IFS(J74&lt;1,"",J74=1,"Pass",J74&gt;1,_xlfn.TEXTJOIN("",TRUE,"Pass x",J74))</f>
        <v/>
      </c>
      <c r="M74" s="13" t="str" cm="1">
        <f t="array" ref="M74">_xlfn.IFS(K74&lt;1,"",K74=1,"Fail",K74&gt;1,_xlfn.TEXTJOIN("",TRUE,"Fail x",K74))</f>
        <v>Fail</v>
      </c>
      <c r="N74" t="str">
        <f t="shared" si="7"/>
        <v>Fail</v>
      </c>
    </row>
    <row r="75" spans="8:14">
      <c r="H75" s="13">
        <f t="shared" si="4"/>
        <v>1</v>
      </c>
      <c r="I75" t="str" cm="1">
        <f t="array" ref="I75">_xlfn.IFS(H75&lt;1,"No",H75=1,"Yes",H75&gt;1,_xlfn.TEXTJOIN("",TRUE,"Yes x",H75))</f>
        <v>Yes</v>
      </c>
      <c r="J75" s="13">
        <f t="shared" si="5"/>
        <v>0</v>
      </c>
      <c r="K75" s="13">
        <f t="shared" si="6"/>
        <v>1</v>
      </c>
      <c r="L75" s="13" t="str" cm="1">
        <f t="array" ref="L75">_xlfn.IFS(J75&lt;1,"",J75=1,"Pass",J75&gt;1,_xlfn.TEXTJOIN("",TRUE,"Pass x",J75))</f>
        <v/>
      </c>
      <c r="M75" s="13" t="str" cm="1">
        <f t="array" ref="M75">_xlfn.IFS(K75&lt;1,"",K75=1,"Fail",K75&gt;1,_xlfn.TEXTJOIN("",TRUE,"Fail x",K75))</f>
        <v>Fail</v>
      </c>
      <c r="N75" t="str">
        <f t="shared" si="7"/>
        <v>Fail</v>
      </c>
    </row>
    <row r="76" spans="8:14">
      <c r="H76" s="13">
        <f t="shared" si="4"/>
        <v>1</v>
      </c>
      <c r="I76" t="str" cm="1">
        <f t="array" ref="I76">_xlfn.IFS(H76&lt;1,"No",H76=1,"Yes",H76&gt;1,_xlfn.TEXTJOIN("",TRUE,"Yes x",H76))</f>
        <v>Yes</v>
      </c>
      <c r="J76" s="13">
        <f t="shared" si="5"/>
        <v>0</v>
      </c>
      <c r="K76" s="13">
        <f t="shared" si="6"/>
        <v>1</v>
      </c>
      <c r="L76" s="13" t="str" cm="1">
        <f t="array" ref="L76">_xlfn.IFS(J76&lt;1,"",J76=1,"Pass",J76&gt;1,_xlfn.TEXTJOIN("",TRUE,"Pass x",J76))</f>
        <v/>
      </c>
      <c r="M76" s="13" t="str" cm="1">
        <f t="array" ref="M76">_xlfn.IFS(K76&lt;1,"",K76=1,"Fail",K76&gt;1,_xlfn.TEXTJOIN("",TRUE,"Fail x",K76))</f>
        <v>Fail</v>
      </c>
      <c r="N76" t="str">
        <f t="shared" si="7"/>
        <v>Fail</v>
      </c>
    </row>
    <row r="77" spans="8:14">
      <c r="H77" s="13">
        <f t="shared" si="4"/>
        <v>1</v>
      </c>
      <c r="I77" t="str" cm="1">
        <f t="array" ref="I77">_xlfn.IFS(H77&lt;1,"No",H77=1,"Yes",H77&gt;1,_xlfn.TEXTJOIN("",TRUE,"Yes x",H77))</f>
        <v>Yes</v>
      </c>
      <c r="J77" s="13">
        <f t="shared" si="5"/>
        <v>0</v>
      </c>
      <c r="K77" s="13">
        <f t="shared" si="6"/>
        <v>1</v>
      </c>
      <c r="L77" s="13" t="str" cm="1">
        <f t="array" ref="L77">_xlfn.IFS(J77&lt;1,"",J77=1,"Pass",J77&gt;1,_xlfn.TEXTJOIN("",TRUE,"Pass x",J77))</f>
        <v/>
      </c>
      <c r="M77" s="13" t="str" cm="1">
        <f t="array" ref="M77">_xlfn.IFS(K77&lt;1,"",K77=1,"Fail",K77&gt;1,_xlfn.TEXTJOIN("",TRUE,"Fail x",K77))</f>
        <v>Fail</v>
      </c>
      <c r="N77" t="str">
        <f t="shared" si="7"/>
        <v>Fail</v>
      </c>
    </row>
    <row r="78" spans="8:14">
      <c r="H78" s="13">
        <f t="shared" si="4"/>
        <v>1</v>
      </c>
      <c r="I78" t="str" cm="1">
        <f t="array" ref="I78">_xlfn.IFS(H78&lt;1,"No",H78=1,"Yes",H78&gt;1,_xlfn.TEXTJOIN("",TRUE,"Yes x",H78))</f>
        <v>Yes</v>
      </c>
      <c r="J78" s="13">
        <f t="shared" si="5"/>
        <v>0</v>
      </c>
      <c r="K78" s="13">
        <f t="shared" si="6"/>
        <v>1</v>
      </c>
      <c r="L78" s="13" t="str" cm="1">
        <f t="array" ref="L78">_xlfn.IFS(J78&lt;1,"",J78=1,"Pass",J78&gt;1,_xlfn.TEXTJOIN("",TRUE,"Pass x",J78))</f>
        <v/>
      </c>
      <c r="M78" s="13" t="str" cm="1">
        <f t="array" ref="M78">_xlfn.IFS(K78&lt;1,"",K78=1,"Fail",K78&gt;1,_xlfn.TEXTJOIN("",TRUE,"Fail x",K78))</f>
        <v>Fail</v>
      </c>
      <c r="N78" t="str">
        <f t="shared" si="7"/>
        <v>Fail</v>
      </c>
    </row>
    <row r="79" spans="8:14">
      <c r="H79" s="13">
        <f t="shared" si="4"/>
        <v>1</v>
      </c>
      <c r="I79" t="str" cm="1">
        <f t="array" ref="I79">_xlfn.IFS(H79&lt;1,"No",H79=1,"Yes",H79&gt;1,_xlfn.TEXTJOIN("",TRUE,"Yes x",H79))</f>
        <v>Yes</v>
      </c>
      <c r="J79" s="13">
        <f t="shared" si="5"/>
        <v>0</v>
      </c>
      <c r="K79" s="13">
        <f t="shared" si="6"/>
        <v>1</v>
      </c>
      <c r="L79" s="13" t="str" cm="1">
        <f t="array" ref="L79">_xlfn.IFS(J79&lt;1,"",J79=1,"Pass",J79&gt;1,_xlfn.TEXTJOIN("",TRUE,"Pass x",J79))</f>
        <v/>
      </c>
      <c r="M79" s="13" t="str" cm="1">
        <f t="array" ref="M79">_xlfn.IFS(K79&lt;1,"",K79=1,"Fail",K79&gt;1,_xlfn.TEXTJOIN("",TRUE,"Fail x",K79))</f>
        <v>Fail</v>
      </c>
      <c r="N79" t="str">
        <f t="shared" si="7"/>
        <v>Fail</v>
      </c>
    </row>
    <row r="80" spans="8:14">
      <c r="H80" s="13">
        <f t="shared" si="4"/>
        <v>1</v>
      </c>
      <c r="I80" t="str" cm="1">
        <f t="array" ref="I80">_xlfn.IFS(H80&lt;1,"No",H80=1,"Yes",H80&gt;1,_xlfn.TEXTJOIN("",TRUE,"Yes x",H80))</f>
        <v>Yes</v>
      </c>
      <c r="J80" s="13">
        <f t="shared" si="5"/>
        <v>0</v>
      </c>
      <c r="K80" s="13">
        <f t="shared" si="6"/>
        <v>1</v>
      </c>
      <c r="L80" s="13" t="str" cm="1">
        <f t="array" ref="L80">_xlfn.IFS(J80&lt;1,"",J80=1,"Pass",J80&gt;1,_xlfn.TEXTJOIN("",TRUE,"Pass x",J80))</f>
        <v/>
      </c>
      <c r="M80" s="13" t="str" cm="1">
        <f t="array" ref="M80">_xlfn.IFS(K80&lt;1,"",K80=1,"Fail",K80&gt;1,_xlfn.TEXTJOIN("",TRUE,"Fail x",K80))</f>
        <v>Fail</v>
      </c>
      <c r="N80" t="str">
        <f t="shared" si="7"/>
        <v>Fail</v>
      </c>
    </row>
    <row r="81" spans="8:14">
      <c r="H81" s="13">
        <f t="shared" si="4"/>
        <v>1</v>
      </c>
      <c r="I81" t="str" cm="1">
        <f t="array" ref="I81">_xlfn.IFS(H81&lt;1,"No",H81=1,"Yes",H81&gt;1,_xlfn.TEXTJOIN("",TRUE,"Yes x",H81))</f>
        <v>Yes</v>
      </c>
      <c r="J81" s="13">
        <f t="shared" si="5"/>
        <v>0</v>
      </c>
      <c r="K81" s="13">
        <f t="shared" si="6"/>
        <v>1</v>
      </c>
      <c r="L81" s="13" t="str" cm="1">
        <f t="array" ref="L81">_xlfn.IFS(J81&lt;1,"",J81=1,"Pass",J81&gt;1,_xlfn.TEXTJOIN("",TRUE,"Pass x",J81))</f>
        <v/>
      </c>
      <c r="M81" s="13" t="str" cm="1">
        <f t="array" ref="M81">_xlfn.IFS(K81&lt;1,"",K81=1,"Fail",K81&gt;1,_xlfn.TEXTJOIN("",TRUE,"Fail x",K81))</f>
        <v>Fail</v>
      </c>
      <c r="N81" t="str">
        <f t="shared" si="7"/>
        <v>Fail</v>
      </c>
    </row>
    <row r="82" spans="8:14">
      <c r="H82" s="13">
        <f t="shared" si="4"/>
        <v>1</v>
      </c>
      <c r="I82" t="str" cm="1">
        <f t="array" ref="I82">_xlfn.IFS(H82&lt;1,"No",H82=1,"Yes",H82&gt;1,_xlfn.TEXTJOIN("",TRUE,"Yes x",H82))</f>
        <v>Yes</v>
      </c>
      <c r="J82" s="13">
        <f t="shared" si="5"/>
        <v>0</v>
      </c>
      <c r="K82" s="13">
        <f t="shared" si="6"/>
        <v>1</v>
      </c>
      <c r="L82" s="13" t="str" cm="1">
        <f t="array" ref="L82">_xlfn.IFS(J82&lt;1,"",J82=1,"Pass",J82&gt;1,_xlfn.TEXTJOIN("",TRUE,"Pass x",J82))</f>
        <v/>
      </c>
      <c r="M82" s="13" t="str" cm="1">
        <f t="array" ref="M82">_xlfn.IFS(K82&lt;1,"",K82=1,"Fail",K82&gt;1,_xlfn.TEXTJOIN("",TRUE,"Fail x",K82))</f>
        <v>Fail</v>
      </c>
      <c r="N82" t="str">
        <f t="shared" si="7"/>
        <v>Fail</v>
      </c>
    </row>
    <row r="83" spans="8:14">
      <c r="H83" s="13">
        <f t="shared" si="4"/>
        <v>1</v>
      </c>
      <c r="I83" t="str" cm="1">
        <f t="array" ref="I83">_xlfn.IFS(H83&lt;1,"No",H83=1,"Yes",H83&gt;1,_xlfn.TEXTJOIN("",TRUE,"Yes x",H83))</f>
        <v>Yes</v>
      </c>
      <c r="J83" s="13">
        <f t="shared" si="5"/>
        <v>0</v>
      </c>
      <c r="K83" s="13">
        <f t="shared" si="6"/>
        <v>1</v>
      </c>
      <c r="L83" s="13" t="str" cm="1">
        <f t="array" ref="L83">_xlfn.IFS(J83&lt;1,"",J83=1,"Pass",J83&gt;1,_xlfn.TEXTJOIN("",TRUE,"Pass x",J83))</f>
        <v/>
      </c>
      <c r="M83" s="13" t="str" cm="1">
        <f t="array" ref="M83">_xlfn.IFS(K83&lt;1,"",K83=1,"Fail",K83&gt;1,_xlfn.TEXTJOIN("",TRUE,"Fail x",K83))</f>
        <v>Fail</v>
      </c>
      <c r="N83" t="str">
        <f t="shared" si="7"/>
        <v>Fail</v>
      </c>
    </row>
    <row r="84" spans="8:14">
      <c r="H84" s="13">
        <f t="shared" si="4"/>
        <v>1</v>
      </c>
      <c r="I84" t="str" cm="1">
        <f t="array" ref="I84">_xlfn.IFS(H84&lt;1,"No",H84=1,"Yes",H84&gt;1,_xlfn.TEXTJOIN("",TRUE,"Yes x",H84))</f>
        <v>Yes</v>
      </c>
      <c r="J84" s="13">
        <f t="shared" si="5"/>
        <v>0</v>
      </c>
      <c r="K84" s="13">
        <f t="shared" si="6"/>
        <v>1</v>
      </c>
      <c r="L84" s="13" t="str" cm="1">
        <f t="array" ref="L84">_xlfn.IFS(J84&lt;1,"",J84=1,"Pass",J84&gt;1,_xlfn.TEXTJOIN("",TRUE,"Pass x",J84))</f>
        <v/>
      </c>
      <c r="M84" s="13" t="str" cm="1">
        <f t="array" ref="M84">_xlfn.IFS(K84&lt;1,"",K84=1,"Fail",K84&gt;1,_xlfn.TEXTJOIN("",TRUE,"Fail x",K84))</f>
        <v>Fail</v>
      </c>
      <c r="N84" t="str">
        <f t="shared" si="7"/>
        <v>Fail</v>
      </c>
    </row>
    <row r="85" spans="8:14">
      <c r="H85" s="13">
        <f t="shared" si="4"/>
        <v>1</v>
      </c>
      <c r="I85" t="str" cm="1">
        <f t="array" ref="I85">_xlfn.IFS(H85&lt;1,"No",H85=1,"Yes",H85&gt;1,_xlfn.TEXTJOIN("",TRUE,"Yes x",H85))</f>
        <v>Yes</v>
      </c>
      <c r="J85" s="13">
        <f t="shared" si="5"/>
        <v>0</v>
      </c>
      <c r="K85" s="13">
        <f t="shared" si="6"/>
        <v>1</v>
      </c>
      <c r="L85" s="13" t="str" cm="1">
        <f t="array" ref="L85">_xlfn.IFS(J85&lt;1,"",J85=1,"Pass",J85&gt;1,_xlfn.TEXTJOIN("",TRUE,"Pass x",J85))</f>
        <v/>
      </c>
      <c r="M85" s="13" t="str" cm="1">
        <f t="array" ref="M85">_xlfn.IFS(K85&lt;1,"",K85=1,"Fail",K85&gt;1,_xlfn.TEXTJOIN("",TRUE,"Fail x",K85))</f>
        <v>Fail</v>
      </c>
      <c r="N85" t="str">
        <f t="shared" si="7"/>
        <v>Fail</v>
      </c>
    </row>
    <row r="86" spans="8:14">
      <c r="H86" s="13">
        <f t="shared" si="4"/>
        <v>1</v>
      </c>
      <c r="I86" t="str" cm="1">
        <f t="array" ref="I86">_xlfn.IFS(H86&lt;1,"No",H86=1,"Yes",H86&gt;1,_xlfn.TEXTJOIN("",TRUE,"Yes x",H86))</f>
        <v>Yes</v>
      </c>
      <c r="J86" s="13">
        <f t="shared" si="5"/>
        <v>0</v>
      </c>
      <c r="K86" s="13">
        <f t="shared" si="6"/>
        <v>1</v>
      </c>
      <c r="L86" s="13" t="str" cm="1">
        <f t="array" ref="L86">_xlfn.IFS(J86&lt;1,"",J86=1,"Pass",J86&gt;1,_xlfn.TEXTJOIN("",TRUE,"Pass x",J86))</f>
        <v/>
      </c>
      <c r="M86" s="13" t="str" cm="1">
        <f t="array" ref="M86">_xlfn.IFS(K86&lt;1,"",K86=1,"Fail",K86&gt;1,_xlfn.TEXTJOIN("",TRUE,"Fail x",K86))</f>
        <v>Fail</v>
      </c>
      <c r="N86" t="str">
        <f t="shared" si="7"/>
        <v>Fail</v>
      </c>
    </row>
    <row r="87" spans="8:14">
      <c r="H87" s="13">
        <f t="shared" si="4"/>
        <v>1</v>
      </c>
      <c r="I87" t="str" cm="1">
        <f t="array" ref="I87">_xlfn.IFS(H87&lt;1,"No",H87=1,"Yes",H87&gt;1,_xlfn.TEXTJOIN("",TRUE,"Yes x",H87))</f>
        <v>Yes</v>
      </c>
      <c r="J87" s="13">
        <f t="shared" si="5"/>
        <v>0</v>
      </c>
      <c r="K87" s="13">
        <f t="shared" si="6"/>
        <v>1</v>
      </c>
      <c r="L87" s="13" t="str" cm="1">
        <f t="array" ref="L87">_xlfn.IFS(J87&lt;1,"",J87=1,"Pass",J87&gt;1,_xlfn.TEXTJOIN("",TRUE,"Pass x",J87))</f>
        <v/>
      </c>
      <c r="M87" s="13" t="str" cm="1">
        <f t="array" ref="M87">_xlfn.IFS(K87&lt;1,"",K87=1,"Fail",K87&gt;1,_xlfn.TEXTJOIN("",TRUE,"Fail x",K87))</f>
        <v>Fail</v>
      </c>
      <c r="N87" t="str">
        <f t="shared" si="7"/>
        <v>Fail</v>
      </c>
    </row>
    <row r="88" spans="8:14">
      <c r="H88" s="13">
        <f t="shared" si="4"/>
        <v>1</v>
      </c>
      <c r="I88" t="str" cm="1">
        <f t="array" ref="I88">_xlfn.IFS(H88&lt;1,"No",H88=1,"Yes",H88&gt;1,_xlfn.TEXTJOIN("",TRUE,"Yes x",H88))</f>
        <v>Yes</v>
      </c>
      <c r="J88" s="13">
        <f t="shared" si="5"/>
        <v>0</v>
      </c>
      <c r="K88" s="13">
        <f t="shared" si="6"/>
        <v>1</v>
      </c>
      <c r="L88" s="13" t="str" cm="1">
        <f t="array" ref="L88">_xlfn.IFS(J88&lt;1,"",J88=1,"Pass",J88&gt;1,_xlfn.TEXTJOIN("",TRUE,"Pass x",J88))</f>
        <v/>
      </c>
      <c r="M88" s="13" t="str" cm="1">
        <f t="array" ref="M88">_xlfn.IFS(K88&lt;1,"",K88=1,"Fail",K88&gt;1,_xlfn.TEXTJOIN("",TRUE,"Fail x",K88))</f>
        <v>Fail</v>
      </c>
      <c r="N88" t="str">
        <f t="shared" si="7"/>
        <v>Fail</v>
      </c>
    </row>
    <row r="89" spans="8:14">
      <c r="H89" s="13">
        <f t="shared" si="4"/>
        <v>1</v>
      </c>
      <c r="I89" t="str" cm="1">
        <f t="array" ref="I89">_xlfn.IFS(H89&lt;1,"No",H89=1,"Yes",H89&gt;1,_xlfn.TEXTJOIN("",TRUE,"Yes x",H89))</f>
        <v>Yes</v>
      </c>
      <c r="J89" s="13">
        <f t="shared" si="5"/>
        <v>0</v>
      </c>
      <c r="K89" s="13">
        <f t="shared" si="6"/>
        <v>1</v>
      </c>
      <c r="L89" s="13" t="str" cm="1">
        <f t="array" ref="L89">_xlfn.IFS(J89&lt;1,"",J89=1,"Pass",J89&gt;1,_xlfn.TEXTJOIN("",TRUE,"Pass x",J89))</f>
        <v/>
      </c>
      <c r="M89" s="13" t="str" cm="1">
        <f t="array" ref="M89">_xlfn.IFS(K89&lt;1,"",K89=1,"Fail",K89&gt;1,_xlfn.TEXTJOIN("",TRUE,"Fail x",K89))</f>
        <v>Fail</v>
      </c>
      <c r="N89" t="str">
        <f t="shared" si="7"/>
        <v>Fail</v>
      </c>
    </row>
    <row r="90" spans="8:14">
      <c r="H90" s="13">
        <f t="shared" si="4"/>
        <v>1</v>
      </c>
      <c r="I90" t="str" cm="1">
        <f t="array" ref="I90">_xlfn.IFS(H90&lt;1,"No",H90=1,"Yes",H90&gt;1,_xlfn.TEXTJOIN("",TRUE,"Yes x",H90))</f>
        <v>Yes</v>
      </c>
      <c r="J90" s="13">
        <f t="shared" si="5"/>
        <v>0</v>
      </c>
      <c r="K90" s="13">
        <f t="shared" si="6"/>
        <v>1</v>
      </c>
      <c r="L90" s="13" t="str" cm="1">
        <f t="array" ref="L90">_xlfn.IFS(J90&lt;1,"",J90=1,"Pass",J90&gt;1,_xlfn.TEXTJOIN("",TRUE,"Pass x",J90))</f>
        <v/>
      </c>
      <c r="M90" s="13" t="str" cm="1">
        <f t="array" ref="M90">_xlfn.IFS(K90&lt;1,"",K90=1,"Fail",K90&gt;1,_xlfn.TEXTJOIN("",TRUE,"Fail x",K90))</f>
        <v>Fail</v>
      </c>
      <c r="N90" t="str">
        <f t="shared" si="7"/>
        <v>Fail</v>
      </c>
    </row>
    <row r="91" spans="8:14">
      <c r="H91" s="13">
        <f t="shared" si="4"/>
        <v>1</v>
      </c>
      <c r="I91" t="str" cm="1">
        <f t="array" ref="I91">_xlfn.IFS(H91&lt;1,"No",H91=1,"Yes",H91&gt;1,_xlfn.TEXTJOIN("",TRUE,"Yes x",H91))</f>
        <v>Yes</v>
      </c>
      <c r="J91" s="13">
        <f t="shared" si="5"/>
        <v>0</v>
      </c>
      <c r="K91" s="13">
        <f t="shared" si="6"/>
        <v>1</v>
      </c>
      <c r="L91" s="13" t="str" cm="1">
        <f t="array" ref="L91">_xlfn.IFS(J91&lt;1,"",J91=1,"Pass",J91&gt;1,_xlfn.TEXTJOIN("",TRUE,"Pass x",J91))</f>
        <v/>
      </c>
      <c r="M91" s="13" t="str" cm="1">
        <f t="array" ref="M91">_xlfn.IFS(K91&lt;1,"",K91=1,"Fail",K91&gt;1,_xlfn.TEXTJOIN("",TRUE,"Fail x",K91))</f>
        <v>Fail</v>
      </c>
      <c r="N91" t="str">
        <f t="shared" si="7"/>
        <v>Fail</v>
      </c>
    </row>
    <row r="92" spans="8:14">
      <c r="H92" s="13">
        <f t="shared" si="4"/>
        <v>1</v>
      </c>
      <c r="I92" t="str" cm="1">
        <f t="array" ref="I92">_xlfn.IFS(H92&lt;1,"No",H92=1,"Yes",H92&gt;1,_xlfn.TEXTJOIN("",TRUE,"Yes x",H92))</f>
        <v>Yes</v>
      </c>
      <c r="J92" s="13">
        <f t="shared" si="5"/>
        <v>0</v>
      </c>
      <c r="K92" s="13">
        <f t="shared" si="6"/>
        <v>1</v>
      </c>
      <c r="L92" s="13" t="str" cm="1">
        <f t="array" ref="L92">_xlfn.IFS(J92&lt;1,"",J92=1,"Pass",J92&gt;1,_xlfn.TEXTJOIN("",TRUE,"Pass x",J92))</f>
        <v/>
      </c>
      <c r="M92" s="13" t="str" cm="1">
        <f t="array" ref="M92">_xlfn.IFS(K92&lt;1,"",K92=1,"Fail",K92&gt;1,_xlfn.TEXTJOIN("",TRUE,"Fail x",K92))</f>
        <v>Fail</v>
      </c>
      <c r="N92" t="str">
        <f t="shared" si="7"/>
        <v>Fail</v>
      </c>
    </row>
    <row r="93" spans="8:14">
      <c r="H93" s="13">
        <f t="shared" si="4"/>
        <v>1</v>
      </c>
      <c r="I93" t="str" cm="1">
        <f t="array" ref="I93">_xlfn.IFS(H93&lt;1,"No",H93=1,"Yes",H93&gt;1,_xlfn.TEXTJOIN("",TRUE,"Yes x",H93))</f>
        <v>Yes</v>
      </c>
      <c r="J93" s="13">
        <f t="shared" si="5"/>
        <v>0</v>
      </c>
      <c r="K93" s="13">
        <f t="shared" si="6"/>
        <v>1</v>
      </c>
      <c r="L93" s="13" t="str" cm="1">
        <f t="array" ref="L93">_xlfn.IFS(J93&lt;1,"",J93=1,"Pass",J93&gt;1,_xlfn.TEXTJOIN("",TRUE,"Pass x",J93))</f>
        <v/>
      </c>
      <c r="M93" s="13" t="str" cm="1">
        <f t="array" ref="M93">_xlfn.IFS(K93&lt;1,"",K93=1,"Fail",K93&gt;1,_xlfn.TEXTJOIN("",TRUE,"Fail x",K93))</f>
        <v>Fail</v>
      </c>
      <c r="N93" t="str">
        <f t="shared" si="7"/>
        <v>Fail</v>
      </c>
    </row>
    <row r="94" spans="8:14">
      <c r="H94" s="13">
        <f t="shared" si="4"/>
        <v>1</v>
      </c>
      <c r="I94" t="str" cm="1">
        <f t="array" ref="I94">_xlfn.IFS(H94&lt;1,"No",H94=1,"Yes",H94&gt;1,_xlfn.TEXTJOIN("",TRUE,"Yes x",H94))</f>
        <v>Yes</v>
      </c>
      <c r="J94" s="13">
        <f t="shared" si="5"/>
        <v>0</v>
      </c>
      <c r="K94" s="13">
        <f t="shared" si="6"/>
        <v>1</v>
      </c>
      <c r="L94" s="13" t="str" cm="1">
        <f t="array" ref="L94">_xlfn.IFS(J94&lt;1,"",J94=1,"Pass",J94&gt;1,_xlfn.TEXTJOIN("",TRUE,"Pass x",J94))</f>
        <v/>
      </c>
      <c r="M94" s="13" t="str" cm="1">
        <f t="array" ref="M94">_xlfn.IFS(K94&lt;1,"",K94=1,"Fail",K94&gt;1,_xlfn.TEXTJOIN("",TRUE,"Fail x",K94))</f>
        <v>Fail</v>
      </c>
      <c r="N94" t="str">
        <f t="shared" si="7"/>
        <v>Fail</v>
      </c>
    </row>
    <row r="95" spans="8:14">
      <c r="H95" s="13">
        <f t="shared" si="4"/>
        <v>1</v>
      </c>
      <c r="I95" t="str" cm="1">
        <f t="array" ref="I95">_xlfn.IFS(H95&lt;1,"No",H95=1,"Yes",H95&gt;1,_xlfn.TEXTJOIN("",TRUE,"Yes x",H95))</f>
        <v>Yes</v>
      </c>
      <c r="J95" s="13">
        <f t="shared" si="5"/>
        <v>0</v>
      </c>
      <c r="K95" s="13">
        <f t="shared" si="6"/>
        <v>1</v>
      </c>
      <c r="L95" s="13" t="str" cm="1">
        <f t="array" ref="L95">_xlfn.IFS(J95&lt;1,"",J95=1,"Pass",J95&gt;1,_xlfn.TEXTJOIN("",TRUE,"Pass x",J95))</f>
        <v/>
      </c>
      <c r="M95" s="13" t="str" cm="1">
        <f t="array" ref="M95">_xlfn.IFS(K95&lt;1,"",K95=1,"Fail",K95&gt;1,_xlfn.TEXTJOIN("",TRUE,"Fail x",K95))</f>
        <v>Fail</v>
      </c>
      <c r="N95" t="str">
        <f t="shared" si="7"/>
        <v>Fail</v>
      </c>
    </row>
    <row r="96" spans="8:14">
      <c r="H96" s="13">
        <f t="shared" si="4"/>
        <v>1</v>
      </c>
      <c r="I96" t="str" cm="1">
        <f t="array" ref="I96">_xlfn.IFS(H96&lt;1,"No",H96=1,"Yes",H96&gt;1,_xlfn.TEXTJOIN("",TRUE,"Yes x",H96))</f>
        <v>Yes</v>
      </c>
      <c r="J96" s="13">
        <f t="shared" si="5"/>
        <v>0</v>
      </c>
      <c r="K96" s="13">
        <f t="shared" si="6"/>
        <v>1</v>
      </c>
      <c r="L96" s="13" t="str" cm="1">
        <f t="array" ref="L96">_xlfn.IFS(J96&lt;1,"",J96=1,"Pass",J96&gt;1,_xlfn.TEXTJOIN("",TRUE,"Pass x",J96))</f>
        <v/>
      </c>
      <c r="M96" s="13" t="str" cm="1">
        <f t="array" ref="M96">_xlfn.IFS(K96&lt;1,"",K96=1,"Fail",K96&gt;1,_xlfn.TEXTJOIN("",TRUE,"Fail x",K96))</f>
        <v>Fail</v>
      </c>
      <c r="N96" t="str">
        <f t="shared" si="7"/>
        <v>Fail</v>
      </c>
    </row>
    <row r="97" spans="8:14">
      <c r="H97" s="13">
        <f t="shared" si="4"/>
        <v>1</v>
      </c>
      <c r="I97" t="str" cm="1">
        <f t="array" ref="I97">_xlfn.IFS(H97&lt;1,"No",H97=1,"Yes",H97&gt;1,_xlfn.TEXTJOIN("",TRUE,"Yes x",H97))</f>
        <v>Yes</v>
      </c>
      <c r="J97" s="13">
        <f t="shared" si="5"/>
        <v>0</v>
      </c>
      <c r="K97" s="13">
        <f t="shared" si="6"/>
        <v>1</v>
      </c>
      <c r="L97" s="13" t="str" cm="1">
        <f t="array" ref="L97">_xlfn.IFS(J97&lt;1,"",J97=1,"Pass",J97&gt;1,_xlfn.TEXTJOIN("",TRUE,"Pass x",J97))</f>
        <v/>
      </c>
      <c r="M97" s="13" t="str" cm="1">
        <f t="array" ref="M97">_xlfn.IFS(K97&lt;1,"",K97=1,"Fail",K97&gt;1,_xlfn.TEXTJOIN("",TRUE,"Fail x",K97))</f>
        <v>Fail</v>
      </c>
      <c r="N97" t="str">
        <f t="shared" si="7"/>
        <v>Fail</v>
      </c>
    </row>
    <row r="98" spans="8:14">
      <c r="H98" s="13">
        <f t="shared" si="4"/>
        <v>1</v>
      </c>
      <c r="I98" t="str" cm="1">
        <f t="array" ref="I98">_xlfn.IFS(H98&lt;1,"No",H98=1,"Yes",H98&gt;1,_xlfn.TEXTJOIN("",TRUE,"Yes x",H98))</f>
        <v>Yes</v>
      </c>
      <c r="J98" s="13">
        <f t="shared" si="5"/>
        <v>0</v>
      </c>
      <c r="K98" s="13">
        <f t="shared" si="6"/>
        <v>1</v>
      </c>
      <c r="L98" s="13" t="str" cm="1">
        <f t="array" ref="L98">_xlfn.IFS(J98&lt;1,"",J98=1,"Pass",J98&gt;1,_xlfn.TEXTJOIN("",TRUE,"Pass x",J98))</f>
        <v/>
      </c>
      <c r="M98" s="13" t="str" cm="1">
        <f t="array" ref="M98">_xlfn.IFS(K98&lt;1,"",K98=1,"Fail",K98&gt;1,_xlfn.TEXTJOIN("",TRUE,"Fail x",K98))</f>
        <v>Fail</v>
      </c>
      <c r="N98" t="str">
        <f t="shared" si="7"/>
        <v>Fail</v>
      </c>
    </row>
    <row r="99" spans="8:14">
      <c r="H99" s="13">
        <f t="shared" si="4"/>
        <v>1</v>
      </c>
      <c r="I99" t="str" cm="1">
        <f t="array" ref="I99">_xlfn.IFS(H99&lt;1,"No",H99=1,"Yes",H99&gt;1,_xlfn.TEXTJOIN("",TRUE,"Yes x",H99))</f>
        <v>Yes</v>
      </c>
      <c r="J99" s="13">
        <f t="shared" si="5"/>
        <v>0</v>
      </c>
      <c r="K99" s="13">
        <f t="shared" si="6"/>
        <v>1</v>
      </c>
      <c r="L99" s="13" t="str" cm="1">
        <f t="array" ref="L99">_xlfn.IFS(J99&lt;1,"",J99=1,"Pass",J99&gt;1,_xlfn.TEXTJOIN("",TRUE,"Pass x",J99))</f>
        <v/>
      </c>
      <c r="M99" s="13" t="str" cm="1">
        <f t="array" ref="M99">_xlfn.IFS(K99&lt;1,"",K99=1,"Fail",K99&gt;1,_xlfn.TEXTJOIN("",TRUE,"Fail x",K99))</f>
        <v>Fail</v>
      </c>
      <c r="N99" t="str">
        <f t="shared" si="7"/>
        <v>Fail</v>
      </c>
    </row>
    <row r="100" spans="8:14">
      <c r="H100" s="13">
        <f t="shared" si="4"/>
        <v>1</v>
      </c>
      <c r="I100" t="str" cm="1">
        <f t="array" ref="I100">_xlfn.IFS(H100&lt;1,"No",H100=1,"Yes",H100&gt;1,_xlfn.TEXTJOIN("",TRUE,"Yes x",H100))</f>
        <v>Yes</v>
      </c>
      <c r="J100" s="13">
        <f t="shared" si="5"/>
        <v>0</v>
      </c>
      <c r="K100" s="13">
        <f t="shared" si="6"/>
        <v>1</v>
      </c>
      <c r="L100" s="13" t="str" cm="1">
        <f t="array" ref="L100">_xlfn.IFS(J100&lt;1,"",J100=1,"Pass",J100&gt;1,_xlfn.TEXTJOIN("",TRUE,"Pass x",J100))</f>
        <v/>
      </c>
      <c r="M100" s="13" t="str" cm="1">
        <f t="array" ref="M100">_xlfn.IFS(K100&lt;1,"",K100=1,"Fail",K100&gt;1,_xlfn.TEXTJOIN("",TRUE,"Fail x",K100))</f>
        <v>Fail</v>
      </c>
      <c r="N100" t="str">
        <f t="shared" si="7"/>
        <v>Fail</v>
      </c>
    </row>
    <row r="101" spans="8:14">
      <c r="H101" s="13">
        <f t="shared" si="4"/>
        <v>1</v>
      </c>
      <c r="J101" s="13">
        <f t="shared" si="5"/>
        <v>0</v>
      </c>
      <c r="K101" s="13">
        <f t="shared" si="6"/>
        <v>1</v>
      </c>
      <c r="L101" s="13" t="str" cm="1">
        <f t="array" ref="L101">_xlfn.IFS(J101&lt;1,"",J101=1,"Pass",J101&gt;1,_xlfn.TEXTJOIN("",TRUE,"Pass x",J101))</f>
        <v/>
      </c>
      <c r="M101" s="13" t="str" cm="1">
        <f t="array" ref="M101">_xlfn.IFS(K101&lt;1,"",K101=1,"Fail",K101&gt;1,_xlfn.TEXTJOIN("",TRUE,"Fail x",K101))</f>
        <v>Fail</v>
      </c>
      <c r="N101" t="str">
        <f t="shared" si="7"/>
        <v>Fail</v>
      </c>
    </row>
    <row r="102" spans="8:14">
      <c r="H102" s="13">
        <f t="shared" si="4"/>
        <v>1</v>
      </c>
      <c r="J102" s="13">
        <f t="shared" si="5"/>
        <v>0</v>
      </c>
      <c r="K102" s="13">
        <f t="shared" si="6"/>
        <v>1</v>
      </c>
      <c r="L102" s="13" t="str" cm="1">
        <f t="array" ref="L102">_xlfn.IFS(J102&lt;1,"",J102=1,"Pass",J102&gt;1,_xlfn.TEXTJOIN("",TRUE,"Pass x",J102))</f>
        <v/>
      </c>
      <c r="M102" s="13" t="str" cm="1">
        <f t="array" ref="M102">_xlfn.IFS(K102&lt;1,"",K102=1,"Fail",K102&gt;1,_xlfn.TEXTJOIN("",TRUE,"Fail x",K102))</f>
        <v>Fail</v>
      </c>
      <c r="N102" t="str">
        <f t="shared" si="7"/>
        <v>Fail</v>
      </c>
    </row>
    <row r="103" spans="8:14">
      <c r="H103" s="13">
        <f t="shared" si="4"/>
        <v>1</v>
      </c>
      <c r="J103" s="13">
        <f t="shared" si="5"/>
        <v>0</v>
      </c>
      <c r="K103" s="13">
        <f t="shared" si="6"/>
        <v>1</v>
      </c>
      <c r="L103" s="13" t="str" cm="1">
        <f t="array" ref="L103">_xlfn.IFS(J103&lt;1,"",J103=1,"Pass",J103&gt;1,_xlfn.TEXTJOIN("",TRUE,"Pass x",J103))</f>
        <v/>
      </c>
      <c r="M103" s="13" t="str" cm="1">
        <f t="array" ref="M103">_xlfn.IFS(K103&lt;1,"",K103=1,"Fail",K103&gt;1,_xlfn.TEXTJOIN("",TRUE,"Fail x",K103))</f>
        <v>Fail</v>
      </c>
      <c r="N103" t="str">
        <f t="shared" si="7"/>
        <v>Fail</v>
      </c>
    </row>
    <row r="104" spans="8:14">
      <c r="H104" s="13">
        <f t="shared" si="4"/>
        <v>1</v>
      </c>
      <c r="J104" s="13">
        <f t="shared" si="5"/>
        <v>0</v>
      </c>
      <c r="K104" s="13">
        <f t="shared" si="6"/>
        <v>1</v>
      </c>
      <c r="L104" s="13" t="str" cm="1">
        <f t="array" ref="L104">_xlfn.IFS(J104&lt;1,"",J104=1,"Pass",J104&gt;1,_xlfn.TEXTJOIN("",TRUE,"Pass x",J104))</f>
        <v/>
      </c>
      <c r="M104" s="13" t="str" cm="1">
        <f t="array" ref="M104">_xlfn.IFS(K104&lt;1,"",K104=1,"Fail",K104&gt;1,_xlfn.TEXTJOIN("",TRUE,"Fail x",K104))</f>
        <v>Fail</v>
      </c>
      <c r="N104" t="str">
        <f t="shared" si="7"/>
        <v>Fail</v>
      </c>
    </row>
    <row r="105" spans="8:14">
      <c r="H105" s="13">
        <f t="shared" si="4"/>
        <v>1</v>
      </c>
      <c r="J105" s="13">
        <f t="shared" si="5"/>
        <v>0</v>
      </c>
      <c r="K105" s="13">
        <f t="shared" si="6"/>
        <v>1</v>
      </c>
      <c r="L105" s="13" t="str" cm="1">
        <f t="array" ref="L105">_xlfn.IFS(J105&lt;1,"",J105=1,"Pass",J105&gt;1,_xlfn.TEXTJOIN("",TRUE,"Pass x",J105))</f>
        <v/>
      </c>
      <c r="M105" s="13" t="str" cm="1">
        <f t="array" ref="M105">_xlfn.IFS(K105&lt;1,"",K105=1,"Fail",K105&gt;1,_xlfn.TEXTJOIN("",TRUE,"Fail x",K105))</f>
        <v>Fail</v>
      </c>
      <c r="N105" t="str">
        <f t="shared" si="7"/>
        <v>Fail</v>
      </c>
    </row>
    <row r="106" spans="8:14">
      <c r="H106" s="13">
        <f t="shared" si="4"/>
        <v>1</v>
      </c>
      <c r="J106" s="13">
        <f t="shared" si="5"/>
        <v>0</v>
      </c>
      <c r="K106" s="13">
        <f t="shared" si="6"/>
        <v>1</v>
      </c>
      <c r="L106" s="13" t="str" cm="1">
        <f t="array" ref="L106">_xlfn.IFS(J106&lt;1,"",J106=1,"Pass",J106&gt;1,_xlfn.TEXTJOIN("",TRUE,"Pass x",J106))</f>
        <v/>
      </c>
      <c r="M106" s="13" t="str" cm="1">
        <f t="array" ref="M106">_xlfn.IFS(K106&lt;1,"",K106=1,"Fail",K106&gt;1,_xlfn.TEXTJOIN("",TRUE,"Fail x",K106))</f>
        <v>Fail</v>
      </c>
      <c r="N106" t="str">
        <f t="shared" si="7"/>
        <v>Fail</v>
      </c>
    </row>
    <row r="107" spans="8:14">
      <c r="H107" s="13">
        <f t="shared" si="4"/>
        <v>1</v>
      </c>
      <c r="J107" s="13">
        <f t="shared" si="5"/>
        <v>0</v>
      </c>
      <c r="K107" s="13">
        <f t="shared" si="6"/>
        <v>1</v>
      </c>
      <c r="L107" s="13" t="str" cm="1">
        <f t="array" ref="L107">_xlfn.IFS(J107&lt;1,"",J107=1,"Pass",J107&gt;1,_xlfn.TEXTJOIN("",TRUE,"Pass x",J107))</f>
        <v/>
      </c>
      <c r="M107" s="13" t="str" cm="1">
        <f t="array" ref="M107">_xlfn.IFS(K107&lt;1,"",K107=1,"Fail",K107&gt;1,_xlfn.TEXTJOIN("",TRUE,"Fail x",K107))</f>
        <v>Fail</v>
      </c>
      <c r="N107" t="str">
        <f t="shared" si="7"/>
        <v>Fail</v>
      </c>
    </row>
    <row r="108" spans="8:14">
      <c r="H108" s="13">
        <f t="shared" si="4"/>
        <v>1</v>
      </c>
      <c r="J108" s="13">
        <f t="shared" si="5"/>
        <v>0</v>
      </c>
      <c r="K108" s="13">
        <f t="shared" si="6"/>
        <v>1</v>
      </c>
      <c r="L108" s="13" t="str" cm="1">
        <f t="array" ref="L108">_xlfn.IFS(J108&lt;1,"",J108=1,"Pass",J108&gt;1,_xlfn.TEXTJOIN("",TRUE,"Pass x",J108))</f>
        <v/>
      </c>
      <c r="M108" s="13" t="str" cm="1">
        <f t="array" ref="M108">_xlfn.IFS(K108&lt;1,"",K108=1,"Fail",K108&gt;1,_xlfn.TEXTJOIN("",TRUE,"Fail x",K108))</f>
        <v>Fail</v>
      </c>
      <c r="N108" t="str">
        <f t="shared" si="7"/>
        <v>Fail</v>
      </c>
    </row>
    <row r="109" spans="8:14">
      <c r="H109" s="13">
        <f t="shared" si="4"/>
        <v>1</v>
      </c>
      <c r="J109" s="13">
        <f t="shared" si="5"/>
        <v>0</v>
      </c>
      <c r="K109" s="13">
        <f t="shared" si="6"/>
        <v>1</v>
      </c>
      <c r="L109" s="13" t="str" cm="1">
        <f t="array" ref="L109">_xlfn.IFS(J109&lt;1,"",J109=1,"Pass",J109&gt;1,_xlfn.TEXTJOIN("",TRUE,"Pass x",J109))</f>
        <v/>
      </c>
      <c r="M109" s="13" t="str" cm="1">
        <f t="array" ref="M109">_xlfn.IFS(K109&lt;1,"",K109=1,"Fail",K109&gt;1,_xlfn.TEXTJOIN("",TRUE,"Fail x",K109))</f>
        <v>Fail</v>
      </c>
      <c r="N109" t="str">
        <f t="shared" si="7"/>
        <v>Fail</v>
      </c>
    </row>
    <row r="110" spans="8:14">
      <c r="H110" s="13">
        <f t="shared" si="4"/>
        <v>1</v>
      </c>
      <c r="J110" s="13">
        <f t="shared" si="5"/>
        <v>0</v>
      </c>
      <c r="K110" s="13">
        <f t="shared" si="6"/>
        <v>1</v>
      </c>
      <c r="L110" s="13" t="str" cm="1">
        <f t="array" ref="L110">_xlfn.IFS(J110&lt;1,"",J110=1,"Pass",J110&gt;1,_xlfn.TEXTJOIN("",TRUE,"Pass x",J110))</f>
        <v/>
      </c>
      <c r="M110" s="13" t="str" cm="1">
        <f t="array" ref="M110">_xlfn.IFS(K110&lt;1,"",K110=1,"Fail",K110&gt;1,_xlfn.TEXTJOIN("",TRUE,"Fail x",K110))</f>
        <v>Fail</v>
      </c>
      <c r="N110" t="str">
        <f t="shared" si="7"/>
        <v>Fail</v>
      </c>
    </row>
    <row r="111" spans="8:14">
      <c r="H111" s="13">
        <f t="shared" si="4"/>
        <v>1</v>
      </c>
      <c r="J111" s="13">
        <f t="shared" si="5"/>
        <v>0</v>
      </c>
      <c r="K111" s="13">
        <f t="shared" si="6"/>
        <v>1</v>
      </c>
      <c r="L111" s="13" t="str" cm="1">
        <f t="array" ref="L111">_xlfn.IFS(J111&lt;1,"",J111=1,"Pass",J111&gt;1,_xlfn.TEXTJOIN("",TRUE,"Pass x",J111))</f>
        <v/>
      </c>
      <c r="M111" s="13" t="str" cm="1">
        <f t="array" ref="M111">_xlfn.IFS(K111&lt;1,"",K111=1,"Fail",K111&gt;1,_xlfn.TEXTJOIN("",TRUE,"Fail x",K111))</f>
        <v>Fail</v>
      </c>
      <c r="N111" t="str">
        <f t="shared" si="7"/>
        <v>Fail</v>
      </c>
    </row>
    <row r="112" spans="8:14">
      <c r="H112" s="13">
        <f t="shared" si="4"/>
        <v>1</v>
      </c>
      <c r="J112" s="13">
        <f t="shared" si="5"/>
        <v>0</v>
      </c>
      <c r="K112" s="13">
        <f t="shared" si="6"/>
        <v>1</v>
      </c>
      <c r="L112" s="13" t="str" cm="1">
        <f t="array" ref="L112">_xlfn.IFS(J112&lt;1,"",J112=1,"Pass",J112&gt;1,_xlfn.TEXTJOIN("",TRUE,"Pass x",J112))</f>
        <v/>
      </c>
      <c r="M112" s="13" t="str" cm="1">
        <f t="array" ref="M112">_xlfn.IFS(K112&lt;1,"",K112=1,"Fail",K112&gt;1,_xlfn.TEXTJOIN("",TRUE,"Fail x",K112))</f>
        <v>Fail</v>
      </c>
      <c r="N112" t="str">
        <f t="shared" si="7"/>
        <v>Fail</v>
      </c>
    </row>
    <row r="113" spans="8:14">
      <c r="H113" s="13">
        <f t="shared" si="4"/>
        <v>1</v>
      </c>
      <c r="J113" s="13">
        <f t="shared" si="5"/>
        <v>0</v>
      </c>
      <c r="K113" s="13">
        <f t="shared" si="6"/>
        <v>1</v>
      </c>
      <c r="L113" s="13" t="str" cm="1">
        <f t="array" ref="L113">_xlfn.IFS(J113&lt;1,"",J113=1,"Pass",J113&gt;1,_xlfn.TEXTJOIN("",TRUE,"Pass x",J113))</f>
        <v/>
      </c>
      <c r="M113" s="13" t="str" cm="1">
        <f t="array" ref="M113">_xlfn.IFS(K113&lt;1,"",K113=1,"Fail",K113&gt;1,_xlfn.TEXTJOIN("",TRUE,"Fail x",K113))</f>
        <v>Fail</v>
      </c>
      <c r="N113" t="str">
        <f t="shared" si="7"/>
        <v>Fail</v>
      </c>
    </row>
    <row r="114" spans="8:14">
      <c r="H114" s="13">
        <f t="shared" si="4"/>
        <v>1</v>
      </c>
      <c r="J114" s="13">
        <f t="shared" si="5"/>
        <v>0</v>
      </c>
      <c r="K114" s="13">
        <f t="shared" si="6"/>
        <v>1</v>
      </c>
      <c r="L114" s="13" t="str" cm="1">
        <f t="array" ref="L114">_xlfn.IFS(J114&lt;1,"",J114=1,"Pass",J114&gt;1,_xlfn.TEXTJOIN("",TRUE,"Pass x",J114))</f>
        <v/>
      </c>
      <c r="M114" s="13" t="str" cm="1">
        <f t="array" ref="M114">_xlfn.IFS(K114&lt;1,"",K114=1,"Fail",K114&gt;1,_xlfn.TEXTJOIN("",TRUE,"Fail x",K114))</f>
        <v>Fail</v>
      </c>
    </row>
    <row r="115" spans="8:14">
      <c r="H115" s="13">
        <f t="shared" si="4"/>
        <v>1</v>
      </c>
      <c r="J115" s="13">
        <f t="shared" si="5"/>
        <v>0</v>
      </c>
      <c r="K115" s="13">
        <f t="shared" si="6"/>
        <v>1</v>
      </c>
      <c r="L115" s="13" t="str" cm="1">
        <f t="array" ref="L115">_xlfn.IFS(J115&lt;1,"",J115=1,"Pass",J115&gt;1,_xlfn.TEXTJOIN("",TRUE,"Pass x",J115))</f>
        <v/>
      </c>
      <c r="M115" s="13" t="str" cm="1">
        <f t="array" ref="M115">_xlfn.IFS(K115&lt;1,"",K115=1,"Fail",K115&gt;1,_xlfn.TEXTJOIN("",TRUE,"Fail x",K115))</f>
        <v>Fail</v>
      </c>
    </row>
    <row r="116" spans="8:14">
      <c r="H116" s="13">
        <f t="shared" si="4"/>
        <v>1</v>
      </c>
      <c r="J116" s="13">
        <f t="shared" si="5"/>
        <v>0</v>
      </c>
      <c r="K116" s="13">
        <f t="shared" si="6"/>
        <v>1</v>
      </c>
      <c r="L116" s="13" t="str" cm="1">
        <f t="array" ref="L116">_xlfn.IFS(J116&lt;1,"",J116=1,"Pass",J116&gt;1,_xlfn.TEXTJOIN("",TRUE,"Pass x",J116))</f>
        <v/>
      </c>
      <c r="M116" s="13" t="str" cm="1">
        <f t="array" ref="M116">_xlfn.IFS(K116&lt;1,"",K116=1,"Fail",K116&gt;1,_xlfn.TEXTJOIN("",TRUE,"Fail x",K116))</f>
        <v>Fail</v>
      </c>
    </row>
    <row r="117" spans="8:14">
      <c r="H117" s="13">
        <f t="shared" si="4"/>
        <v>1</v>
      </c>
      <c r="J117" s="13">
        <f t="shared" si="5"/>
        <v>0</v>
      </c>
      <c r="K117" s="13">
        <f t="shared" si="6"/>
        <v>1</v>
      </c>
      <c r="L117" s="13" t="str" cm="1">
        <f t="array" ref="L117">_xlfn.IFS(J117&lt;1,"",J117=1,"Pass",J117&gt;1,_xlfn.TEXTJOIN("",TRUE,"Pass x",J117))</f>
        <v/>
      </c>
      <c r="M117" s="13" t="str" cm="1">
        <f t="array" ref="M117">_xlfn.IFS(K117&lt;1,"",K117=1,"Fail",K117&gt;1,_xlfn.TEXTJOIN("",TRUE,"Fail x",K117))</f>
        <v>Fail</v>
      </c>
    </row>
    <row r="118" spans="8:14">
      <c r="H118" s="13">
        <f t="shared" si="4"/>
        <v>1</v>
      </c>
      <c r="J118" s="13">
        <f t="shared" si="5"/>
        <v>0</v>
      </c>
      <c r="K118" s="13">
        <f t="shared" si="6"/>
        <v>1</v>
      </c>
      <c r="L118" s="13" t="str" cm="1">
        <f t="array" ref="L118">_xlfn.IFS(J118&lt;1,"",J118=1,"Pass",J118&gt;1,_xlfn.TEXTJOIN("",TRUE,"Pass x",J118))</f>
        <v/>
      </c>
      <c r="M118" s="13" t="str" cm="1">
        <f t="array" ref="M118">_xlfn.IFS(K118&lt;1,"",K118=1,"Fail",K118&gt;1,_xlfn.TEXTJOIN("",TRUE,"Fail x",K118))</f>
        <v>Fail</v>
      </c>
    </row>
    <row r="119" spans="8:14">
      <c r="H119" s="13">
        <f t="shared" si="4"/>
        <v>1</v>
      </c>
      <c r="J119" s="13">
        <f t="shared" si="5"/>
        <v>0</v>
      </c>
      <c r="K119" s="13">
        <f t="shared" si="6"/>
        <v>1</v>
      </c>
      <c r="L119" s="13" t="str" cm="1">
        <f t="array" ref="L119">_xlfn.IFS(J119&lt;1,"",J119=1,"Pass",J119&gt;1,_xlfn.TEXTJOIN("",TRUE,"Pass x",J119))</f>
        <v/>
      </c>
      <c r="M119" s="13" t="str" cm="1">
        <f t="array" ref="M119">_xlfn.IFS(K119&lt;1,"",K119=1,"Fail",K119&gt;1,_xlfn.TEXTJOIN("",TRUE,"Fail x",K119))</f>
        <v>Fail</v>
      </c>
    </row>
    <row r="120" spans="8:14">
      <c r="H120" s="13">
        <f t="shared" si="4"/>
        <v>1</v>
      </c>
      <c r="J120" s="13">
        <f t="shared" si="5"/>
        <v>0</v>
      </c>
      <c r="K120" s="13">
        <f t="shared" si="6"/>
        <v>1</v>
      </c>
      <c r="L120" s="13" t="str" cm="1">
        <f t="array" ref="L120">_xlfn.IFS(J120&lt;1,"",J120=1,"Pass",J120&gt;1,_xlfn.TEXTJOIN("",TRUE,"Pass x",J120))</f>
        <v/>
      </c>
      <c r="M120" s="13" t="str" cm="1">
        <f t="array" ref="M120">_xlfn.IFS(K120&lt;1,"",K120=1,"Fail",K120&gt;1,_xlfn.TEXTJOIN("",TRUE,"Fail x",K120))</f>
        <v>Fail</v>
      </c>
    </row>
    <row r="121" spans="8:14">
      <c r="H121" s="13">
        <f t="shared" si="4"/>
        <v>1</v>
      </c>
      <c r="J121" s="13">
        <f t="shared" si="5"/>
        <v>0</v>
      </c>
      <c r="K121" s="13">
        <f t="shared" si="6"/>
        <v>1</v>
      </c>
      <c r="L121" s="13" t="str" cm="1">
        <f t="array" ref="L121">_xlfn.IFS(J121&lt;1,"",J121=1,"Pass",J121&gt;1,_xlfn.TEXTJOIN("",TRUE,"Pass x",J121))</f>
        <v/>
      </c>
      <c r="M121" s="13" t="str" cm="1">
        <f t="array" ref="M121">_xlfn.IFS(K121&lt;1,"",K121=1,"Fail",K121&gt;1,_xlfn.TEXTJOIN("",TRUE,"Fail x",K121))</f>
        <v>Fail</v>
      </c>
    </row>
    <row r="122" spans="8:14">
      <c r="H122" s="13">
        <f t="shared" si="4"/>
        <v>1</v>
      </c>
      <c r="J122" s="13">
        <f t="shared" si="5"/>
        <v>0</v>
      </c>
      <c r="K122" s="13">
        <f t="shared" si="6"/>
        <v>1</v>
      </c>
      <c r="L122" s="13" t="str" cm="1">
        <f t="array" ref="L122">_xlfn.IFS(J122&lt;1,"",J122=1,"Pass",J122&gt;1,_xlfn.TEXTJOIN("",TRUE,"Pass x",J122))</f>
        <v/>
      </c>
      <c r="M122" s="13" t="str" cm="1">
        <f t="array" ref="M122">_xlfn.IFS(K122&lt;1,"",K122=1,"Fail",K122&gt;1,_xlfn.TEXTJOIN("",TRUE,"Fail x",K122))</f>
        <v>Fail</v>
      </c>
    </row>
    <row r="123" spans="8:14">
      <c r="H123" s="13">
        <f t="shared" si="4"/>
        <v>1</v>
      </c>
      <c r="J123" s="13">
        <f t="shared" si="5"/>
        <v>0</v>
      </c>
      <c r="K123" s="13">
        <f t="shared" si="6"/>
        <v>1</v>
      </c>
      <c r="L123" s="13" t="str" cm="1">
        <f t="array" ref="L123">_xlfn.IFS(J123&lt;1,"",J123=1,"Pass",J123&gt;1,_xlfn.TEXTJOIN("",TRUE,"Pass x",J123))</f>
        <v/>
      </c>
      <c r="M123" s="13" t="str" cm="1">
        <f t="array" ref="M123">_xlfn.IFS(K123&lt;1,"",K123=1,"Fail",K123&gt;1,_xlfn.TEXTJOIN("",TRUE,"Fail x",K123))</f>
        <v>Fail</v>
      </c>
    </row>
    <row r="124" spans="8:14">
      <c r="H124" s="13">
        <f t="shared" si="4"/>
        <v>1</v>
      </c>
      <c r="J124" s="13">
        <f t="shared" si="5"/>
        <v>0</v>
      </c>
      <c r="K124" s="13">
        <f t="shared" si="6"/>
        <v>1</v>
      </c>
      <c r="L124" s="13" t="str" cm="1">
        <f t="array" ref="L124">_xlfn.IFS(J124&lt;1,"",J124=1,"Pass",J124&gt;1,_xlfn.TEXTJOIN("",TRUE,"Pass x",J124))</f>
        <v/>
      </c>
      <c r="M124" s="13" t="str" cm="1">
        <f t="array" ref="M124">_xlfn.IFS(K124&lt;1,"",K124=1,"Fail",K124&gt;1,_xlfn.TEXTJOIN("",TRUE,"Fail x",K124))</f>
        <v>Fail</v>
      </c>
    </row>
    <row r="125" spans="8:14">
      <c r="H125" s="13">
        <f t="shared" si="4"/>
        <v>1</v>
      </c>
      <c r="J125" s="13">
        <f t="shared" si="5"/>
        <v>0</v>
      </c>
      <c r="K125" s="13">
        <f t="shared" si="6"/>
        <v>1</v>
      </c>
      <c r="L125" s="13" t="str" cm="1">
        <f t="array" ref="L125">_xlfn.IFS(J125&lt;1,"",J125=1,"Pass",J125&gt;1,_xlfn.TEXTJOIN("",TRUE,"Pass x",J125))</f>
        <v/>
      </c>
      <c r="M125" s="13" t="str" cm="1">
        <f t="array" ref="M125">_xlfn.IFS(K125&lt;1,"",K125=1,"Fail",K125&gt;1,_xlfn.TEXTJOIN("",TRUE,"Fail x",K125))</f>
        <v>Fail</v>
      </c>
    </row>
    <row r="126" spans="8:14">
      <c r="H126" s="13">
        <f t="shared" si="4"/>
        <v>1</v>
      </c>
      <c r="J126" s="13">
        <f t="shared" si="5"/>
        <v>0</v>
      </c>
      <c r="K126" s="13">
        <f t="shared" si="6"/>
        <v>1</v>
      </c>
      <c r="L126" s="13" t="str" cm="1">
        <f t="array" ref="L126">_xlfn.IFS(J126&lt;1,"",J126=1,"Pass",J126&gt;1,_xlfn.TEXTJOIN("",TRUE,"Pass x",J126))</f>
        <v/>
      </c>
      <c r="M126" s="13" t="str" cm="1">
        <f t="array" ref="M126">_xlfn.IFS(K126&lt;1,"",K126=1,"Fail",K126&gt;1,_xlfn.TEXTJOIN("",TRUE,"Fail x",K126))</f>
        <v>Fail</v>
      </c>
    </row>
    <row r="127" spans="8:14">
      <c r="H127" s="13">
        <f t="shared" si="4"/>
        <v>1</v>
      </c>
      <c r="J127" s="13">
        <f t="shared" si="5"/>
        <v>0</v>
      </c>
      <c r="K127" s="13">
        <f t="shared" si="6"/>
        <v>1</v>
      </c>
      <c r="L127" s="13" t="str" cm="1">
        <f t="array" ref="L127">_xlfn.IFS(J127&lt;1,"",J127=1,"Pass",J127&gt;1,_xlfn.TEXTJOIN("",TRUE,"Pass x",J127))</f>
        <v/>
      </c>
      <c r="M127" s="13" t="str" cm="1">
        <f t="array" ref="M127">_xlfn.IFS(K127&lt;1,"",K127=1,"Fail",K127&gt;1,_xlfn.TEXTJOIN("",TRUE,"Fail x",K127))</f>
        <v>Fail</v>
      </c>
    </row>
    <row r="128" spans="8:14">
      <c r="H128" s="13">
        <f t="shared" si="4"/>
        <v>1</v>
      </c>
      <c r="J128" s="13">
        <f t="shared" si="5"/>
        <v>0</v>
      </c>
      <c r="K128" s="13">
        <f t="shared" si="6"/>
        <v>1</v>
      </c>
      <c r="L128" s="13" t="str" cm="1">
        <f t="array" ref="L128">_xlfn.IFS(J128&lt;1,"",J128=1,"Pass",J128&gt;1,_xlfn.TEXTJOIN("",TRUE,"Pass x",J128))</f>
        <v/>
      </c>
      <c r="M128" s="13" t="str" cm="1">
        <f t="array" ref="M128">_xlfn.IFS(K128&lt;1,"",K128=1,"Fail",K128&gt;1,_xlfn.TEXTJOIN("",TRUE,"Fail x",K128))</f>
        <v>Fail</v>
      </c>
    </row>
    <row r="129" spans="8:13">
      <c r="H129" s="13">
        <f t="shared" si="4"/>
        <v>1</v>
      </c>
      <c r="J129" s="13">
        <f t="shared" si="5"/>
        <v>0</v>
      </c>
      <c r="K129" s="13">
        <f t="shared" si="6"/>
        <v>1</v>
      </c>
      <c r="L129" s="13" t="str" cm="1">
        <f t="array" ref="L129">_xlfn.IFS(J129&lt;1,"",J129=1,"Pass",J129&gt;1,_xlfn.TEXTJOIN("",TRUE,"Pass x",J129))</f>
        <v/>
      </c>
      <c r="M129" s="13" t="str" cm="1">
        <f t="array" ref="M129">_xlfn.IFS(K129&lt;1,"",K129=1,"Fail",K129&gt;1,_xlfn.TEXTJOIN("",TRUE,"Fail x",K129))</f>
        <v>Fail</v>
      </c>
    </row>
    <row r="130" spans="8:13">
      <c r="H130" s="13">
        <f t="shared" si="4"/>
        <v>1</v>
      </c>
      <c r="J130" s="13">
        <f t="shared" si="5"/>
        <v>0</v>
      </c>
      <c r="K130" s="13">
        <f t="shared" si="6"/>
        <v>1</v>
      </c>
      <c r="L130" s="13" t="str" cm="1">
        <f t="array" ref="L130">_xlfn.IFS(J130&lt;1,"",J130=1,"Pass",J130&gt;1,_xlfn.TEXTJOIN("",TRUE,"Pass x",J130))</f>
        <v/>
      </c>
      <c r="M130" s="13" t="str" cm="1">
        <f t="array" ref="M130">_xlfn.IFS(K130&lt;1,"",K130=1,"Fail",K130&gt;1,_xlfn.TEXTJOIN("",TRUE,"Fail x",K130))</f>
        <v>Fail</v>
      </c>
    </row>
    <row r="131" spans="8:13">
      <c r="H131" s="13">
        <f t="shared" ref="H131:H194" si="8">IFERROR(GETPIVOTDATA("Successful / Failed",$A$1,"System serial",G131),0)</f>
        <v>1</v>
      </c>
      <c r="J131" s="13">
        <f t="shared" ref="J131:J194" si="9">IFERROR(GETPIVOTDATA("Successful / Failed",$A$1,"System serial",G131,"Successful / Failed","Successful"),0)</f>
        <v>0</v>
      </c>
      <c r="K131" s="13">
        <f t="shared" ref="K131:K194" si="10">IFERROR(GETPIVOTDATA("Successful / Failed",$A$1,"System serial",G131,"Successful / Failed","Failed"),0)</f>
        <v>1</v>
      </c>
      <c r="L131" s="13" t="str" cm="1">
        <f t="array" ref="L131">_xlfn.IFS(J131&lt;1,"",J131=1,"Pass",J131&gt;1,_xlfn.TEXTJOIN("",TRUE,"Pass x",J131))</f>
        <v/>
      </c>
      <c r="M131" s="13" t="str" cm="1">
        <f t="array" ref="M131">_xlfn.IFS(K131&lt;1,"",K131=1,"Fail",K131&gt;1,_xlfn.TEXTJOIN("",TRUE,"Fail x",K131))</f>
        <v>Fail</v>
      </c>
    </row>
    <row r="132" spans="8:13">
      <c r="H132" s="13">
        <f t="shared" si="8"/>
        <v>1</v>
      </c>
      <c r="J132" s="13">
        <f t="shared" si="9"/>
        <v>0</v>
      </c>
      <c r="K132" s="13">
        <f t="shared" si="10"/>
        <v>1</v>
      </c>
      <c r="L132" s="13" t="str" cm="1">
        <f t="array" ref="L132">_xlfn.IFS(J132&lt;1,"",J132=1,"Pass",J132&gt;1,_xlfn.TEXTJOIN("",TRUE,"Pass x",J132))</f>
        <v/>
      </c>
      <c r="M132" s="13" t="str" cm="1">
        <f t="array" ref="M132">_xlfn.IFS(K132&lt;1,"",K132=1,"Fail",K132&gt;1,_xlfn.TEXTJOIN("",TRUE,"Fail x",K132))</f>
        <v>Fail</v>
      </c>
    </row>
    <row r="133" spans="8:13">
      <c r="H133" s="13">
        <f t="shared" si="8"/>
        <v>1</v>
      </c>
      <c r="J133" s="13">
        <f t="shared" si="9"/>
        <v>0</v>
      </c>
      <c r="K133" s="13">
        <f t="shared" si="10"/>
        <v>1</v>
      </c>
      <c r="L133" s="13" t="str" cm="1">
        <f t="array" ref="L133">_xlfn.IFS(J133&lt;1,"",J133=1,"Pass",J133&gt;1,_xlfn.TEXTJOIN("",TRUE,"Pass x",J133))</f>
        <v/>
      </c>
      <c r="M133" s="13" t="str" cm="1">
        <f t="array" ref="M133">_xlfn.IFS(K133&lt;1,"",K133=1,"Fail",K133&gt;1,_xlfn.TEXTJOIN("",TRUE,"Fail x",K133))</f>
        <v>Fail</v>
      </c>
    </row>
    <row r="134" spans="8:13">
      <c r="H134" s="13">
        <f t="shared" si="8"/>
        <v>1</v>
      </c>
      <c r="J134" s="13">
        <f t="shared" si="9"/>
        <v>0</v>
      </c>
      <c r="K134" s="13">
        <f t="shared" si="10"/>
        <v>1</v>
      </c>
      <c r="L134" s="13" t="str" cm="1">
        <f t="array" ref="L134">_xlfn.IFS(J134&lt;1,"",J134=1,"Pass",J134&gt;1,_xlfn.TEXTJOIN("",TRUE,"Pass x",J134))</f>
        <v/>
      </c>
      <c r="M134" s="13" t="str" cm="1">
        <f t="array" ref="M134">_xlfn.IFS(K134&lt;1,"",K134=1,"Fail",K134&gt;1,_xlfn.TEXTJOIN("",TRUE,"Fail x",K134))</f>
        <v>Fail</v>
      </c>
    </row>
    <row r="135" spans="8:13">
      <c r="H135" s="13">
        <f t="shared" si="8"/>
        <v>1</v>
      </c>
      <c r="J135" s="13">
        <f t="shared" si="9"/>
        <v>0</v>
      </c>
      <c r="K135" s="13">
        <f t="shared" si="10"/>
        <v>1</v>
      </c>
      <c r="L135" s="13" t="str" cm="1">
        <f t="array" ref="L135">_xlfn.IFS(J135&lt;1,"",J135=1,"Pass",J135&gt;1,_xlfn.TEXTJOIN("",TRUE,"Pass x",J135))</f>
        <v/>
      </c>
      <c r="M135" s="13" t="str" cm="1">
        <f t="array" ref="M135">_xlfn.IFS(K135&lt;1,"",K135=1,"Fail",K135&gt;1,_xlfn.TEXTJOIN("",TRUE,"Fail x",K135))</f>
        <v>Fail</v>
      </c>
    </row>
    <row r="136" spans="8:13">
      <c r="H136" s="13">
        <f t="shared" si="8"/>
        <v>1</v>
      </c>
      <c r="J136" s="13">
        <f t="shared" si="9"/>
        <v>0</v>
      </c>
      <c r="K136" s="13">
        <f t="shared" si="10"/>
        <v>1</v>
      </c>
      <c r="L136" s="13" t="str" cm="1">
        <f t="array" ref="L136">_xlfn.IFS(J136&lt;1,"",J136=1,"Pass",J136&gt;1,_xlfn.TEXTJOIN("",TRUE,"Pass x",J136))</f>
        <v/>
      </c>
      <c r="M136" s="13" t="str" cm="1">
        <f t="array" ref="M136">_xlfn.IFS(K136&lt;1,"",K136=1,"Fail",K136&gt;1,_xlfn.TEXTJOIN("",TRUE,"Fail x",K136))</f>
        <v>Fail</v>
      </c>
    </row>
    <row r="137" spans="8:13">
      <c r="H137" s="13">
        <f t="shared" si="8"/>
        <v>1</v>
      </c>
      <c r="J137" s="13">
        <f t="shared" si="9"/>
        <v>0</v>
      </c>
      <c r="K137" s="13">
        <f t="shared" si="10"/>
        <v>1</v>
      </c>
      <c r="L137" s="13" t="str" cm="1">
        <f t="array" ref="L137">_xlfn.IFS(J137&lt;1,"",J137=1,"Pass",J137&gt;1,_xlfn.TEXTJOIN("",TRUE,"Pass x",J137))</f>
        <v/>
      </c>
      <c r="M137" s="13" t="str" cm="1">
        <f t="array" ref="M137">_xlfn.IFS(K137&lt;1,"",K137=1,"Fail",K137&gt;1,_xlfn.TEXTJOIN("",TRUE,"Fail x",K137))</f>
        <v>Fail</v>
      </c>
    </row>
    <row r="138" spans="8:13">
      <c r="H138" s="13">
        <f t="shared" si="8"/>
        <v>1</v>
      </c>
      <c r="J138" s="13">
        <f t="shared" si="9"/>
        <v>0</v>
      </c>
      <c r="K138" s="13">
        <f t="shared" si="10"/>
        <v>1</v>
      </c>
      <c r="L138" s="13" t="str" cm="1">
        <f t="array" ref="L138">_xlfn.IFS(J138&lt;1,"",J138=1,"Pass",J138&gt;1,_xlfn.TEXTJOIN("",TRUE,"Pass x",J138))</f>
        <v/>
      </c>
      <c r="M138" s="13" t="str" cm="1">
        <f t="array" ref="M138">_xlfn.IFS(K138&lt;1,"",K138=1,"Fail",K138&gt;1,_xlfn.TEXTJOIN("",TRUE,"Fail x",K138))</f>
        <v>Fail</v>
      </c>
    </row>
    <row r="139" spans="8:13">
      <c r="H139" s="13">
        <f t="shared" si="8"/>
        <v>1</v>
      </c>
      <c r="J139" s="13">
        <f t="shared" si="9"/>
        <v>0</v>
      </c>
      <c r="K139" s="13">
        <f t="shared" si="10"/>
        <v>1</v>
      </c>
      <c r="L139" s="13" t="str" cm="1">
        <f t="array" ref="L139">_xlfn.IFS(J139&lt;1,"",J139=1,"Pass",J139&gt;1,_xlfn.TEXTJOIN("",TRUE,"Pass x",J139))</f>
        <v/>
      </c>
      <c r="M139" s="13" t="str" cm="1">
        <f t="array" ref="M139">_xlfn.IFS(K139&lt;1,"",K139=1,"Fail",K139&gt;1,_xlfn.TEXTJOIN("",TRUE,"Fail x",K139))</f>
        <v>Fail</v>
      </c>
    </row>
    <row r="140" spans="8:13">
      <c r="H140" s="13">
        <f t="shared" si="8"/>
        <v>1</v>
      </c>
      <c r="J140" s="13">
        <f t="shared" si="9"/>
        <v>0</v>
      </c>
      <c r="K140" s="13">
        <f t="shared" si="10"/>
        <v>1</v>
      </c>
      <c r="L140" s="13" t="str" cm="1">
        <f t="array" ref="L140">_xlfn.IFS(J140&lt;1,"",J140=1,"Pass",J140&gt;1,_xlfn.TEXTJOIN("",TRUE,"Pass x",J140))</f>
        <v/>
      </c>
      <c r="M140" s="13" t="str" cm="1">
        <f t="array" ref="M140">_xlfn.IFS(K140&lt;1,"",K140=1,"Fail",K140&gt;1,_xlfn.TEXTJOIN("",TRUE,"Fail x",K140))</f>
        <v>Fail</v>
      </c>
    </row>
    <row r="141" spans="8:13">
      <c r="H141" s="13">
        <f t="shared" si="8"/>
        <v>1</v>
      </c>
      <c r="J141" s="13">
        <f t="shared" si="9"/>
        <v>0</v>
      </c>
      <c r="K141" s="13">
        <f t="shared" si="10"/>
        <v>1</v>
      </c>
      <c r="L141" s="13" t="str" cm="1">
        <f t="array" ref="L141">_xlfn.IFS(J141&lt;1,"",J141=1,"Pass",J141&gt;1,_xlfn.TEXTJOIN("",TRUE,"Pass x",J141))</f>
        <v/>
      </c>
      <c r="M141" s="13" t="str" cm="1">
        <f t="array" ref="M141">_xlfn.IFS(K141&lt;1,"",K141=1,"Fail",K141&gt;1,_xlfn.TEXTJOIN("",TRUE,"Fail x",K141))</f>
        <v>Fail</v>
      </c>
    </row>
    <row r="142" spans="8:13">
      <c r="H142" s="13">
        <f t="shared" si="8"/>
        <v>1</v>
      </c>
      <c r="J142" s="13">
        <f t="shared" si="9"/>
        <v>0</v>
      </c>
      <c r="K142" s="13">
        <f t="shared" si="10"/>
        <v>1</v>
      </c>
      <c r="L142" s="13" t="str" cm="1">
        <f t="array" ref="L142">_xlfn.IFS(J142&lt;1,"",J142=1,"Pass",J142&gt;1,_xlfn.TEXTJOIN("",TRUE,"Pass x",J142))</f>
        <v/>
      </c>
      <c r="M142" s="13" t="str" cm="1">
        <f t="array" ref="M142">_xlfn.IFS(K142&lt;1,"",K142=1,"Fail",K142&gt;1,_xlfn.TEXTJOIN("",TRUE,"Fail x",K142))</f>
        <v>Fail</v>
      </c>
    </row>
    <row r="143" spans="8:13">
      <c r="H143" s="13">
        <f t="shared" si="8"/>
        <v>1</v>
      </c>
      <c r="J143" s="13">
        <f t="shared" si="9"/>
        <v>0</v>
      </c>
      <c r="K143" s="13">
        <f t="shared" si="10"/>
        <v>1</v>
      </c>
      <c r="L143" s="13" t="str" cm="1">
        <f t="array" ref="L143">_xlfn.IFS(J143&lt;1,"",J143=1,"Pass",J143&gt;1,_xlfn.TEXTJOIN("",TRUE,"Pass x",J143))</f>
        <v/>
      </c>
      <c r="M143" s="13" t="str" cm="1">
        <f t="array" ref="M143">_xlfn.IFS(K143&lt;1,"",K143=1,"Fail",K143&gt;1,_xlfn.TEXTJOIN("",TRUE,"Fail x",K143))</f>
        <v>Fail</v>
      </c>
    </row>
    <row r="144" spans="8:13">
      <c r="H144" s="13">
        <f t="shared" si="8"/>
        <v>1</v>
      </c>
      <c r="J144" s="13">
        <f t="shared" si="9"/>
        <v>0</v>
      </c>
      <c r="K144" s="13">
        <f t="shared" si="10"/>
        <v>1</v>
      </c>
      <c r="L144" s="13" t="str" cm="1">
        <f t="array" ref="L144">_xlfn.IFS(J144&lt;1,"",J144=1,"Pass",J144&gt;1,_xlfn.TEXTJOIN("",TRUE,"Pass x",J144))</f>
        <v/>
      </c>
      <c r="M144" s="13" t="str" cm="1">
        <f t="array" ref="M144">_xlfn.IFS(K144&lt;1,"",K144=1,"Fail",K144&gt;1,_xlfn.TEXTJOIN("",TRUE,"Fail x",K144))</f>
        <v>Fail</v>
      </c>
    </row>
    <row r="145" spans="8:13">
      <c r="H145" s="13">
        <f t="shared" si="8"/>
        <v>1</v>
      </c>
      <c r="J145" s="13">
        <f t="shared" si="9"/>
        <v>0</v>
      </c>
      <c r="K145" s="13">
        <f t="shared" si="10"/>
        <v>1</v>
      </c>
      <c r="L145" s="13" t="str" cm="1">
        <f t="array" ref="L145">_xlfn.IFS(J145&lt;1,"",J145=1,"Pass",J145&gt;1,_xlfn.TEXTJOIN("",TRUE,"Pass x",J145))</f>
        <v/>
      </c>
      <c r="M145" s="13" t="str" cm="1">
        <f t="array" ref="M145">_xlfn.IFS(K145&lt;1,"",K145=1,"Fail",K145&gt;1,_xlfn.TEXTJOIN("",TRUE,"Fail x",K145))</f>
        <v>Fail</v>
      </c>
    </row>
    <row r="146" spans="8:13">
      <c r="H146" s="13">
        <f t="shared" si="8"/>
        <v>1</v>
      </c>
      <c r="J146" s="13">
        <f t="shared" si="9"/>
        <v>0</v>
      </c>
      <c r="K146" s="13">
        <f t="shared" si="10"/>
        <v>1</v>
      </c>
      <c r="L146" s="13" t="str" cm="1">
        <f t="array" ref="L146">_xlfn.IFS(J146&lt;1,"",J146=1,"Pass",J146&gt;1,_xlfn.TEXTJOIN("",TRUE,"Pass x",J146))</f>
        <v/>
      </c>
      <c r="M146" s="13" t="str" cm="1">
        <f t="array" ref="M146">_xlfn.IFS(K146&lt;1,"",K146=1,"Fail",K146&gt;1,_xlfn.TEXTJOIN("",TRUE,"Fail x",K146))</f>
        <v>Fail</v>
      </c>
    </row>
    <row r="147" spans="8:13">
      <c r="H147" s="13">
        <f t="shared" si="8"/>
        <v>1</v>
      </c>
      <c r="J147" s="13">
        <f t="shared" si="9"/>
        <v>0</v>
      </c>
      <c r="K147" s="13">
        <f t="shared" si="10"/>
        <v>1</v>
      </c>
      <c r="L147" s="13" t="str" cm="1">
        <f t="array" ref="L147">_xlfn.IFS(J147&lt;1,"",J147=1,"Pass",J147&gt;1,_xlfn.TEXTJOIN("",TRUE,"Pass x",J147))</f>
        <v/>
      </c>
      <c r="M147" s="13" t="str" cm="1">
        <f t="array" ref="M147">_xlfn.IFS(K147&lt;1,"",K147=1,"Fail",K147&gt;1,_xlfn.TEXTJOIN("",TRUE,"Fail x",K147))</f>
        <v>Fail</v>
      </c>
    </row>
    <row r="148" spans="8:13">
      <c r="H148" s="13">
        <f t="shared" si="8"/>
        <v>1</v>
      </c>
      <c r="J148" s="13">
        <f t="shared" si="9"/>
        <v>0</v>
      </c>
      <c r="K148" s="13">
        <f t="shared" si="10"/>
        <v>1</v>
      </c>
      <c r="L148" s="13" t="str" cm="1">
        <f t="array" ref="L148">_xlfn.IFS(J148&lt;1,"",J148=1,"Pass",J148&gt;1,_xlfn.TEXTJOIN("",TRUE,"Pass x",J148))</f>
        <v/>
      </c>
      <c r="M148" s="13" t="str" cm="1">
        <f t="array" ref="M148">_xlfn.IFS(K148&lt;1,"",K148=1,"Fail",K148&gt;1,_xlfn.TEXTJOIN("",TRUE,"Fail x",K148))</f>
        <v>Fail</v>
      </c>
    </row>
    <row r="149" spans="8:13">
      <c r="H149" s="13">
        <f t="shared" si="8"/>
        <v>1</v>
      </c>
      <c r="J149" s="13">
        <f t="shared" si="9"/>
        <v>0</v>
      </c>
      <c r="K149" s="13">
        <f t="shared" si="10"/>
        <v>1</v>
      </c>
      <c r="L149" s="13" t="str" cm="1">
        <f t="array" ref="L149">_xlfn.IFS(J149&lt;1,"",J149=1,"Pass",J149&gt;1,_xlfn.TEXTJOIN("",TRUE,"Pass x",J149))</f>
        <v/>
      </c>
      <c r="M149" s="13" t="str" cm="1">
        <f t="array" ref="M149">_xlfn.IFS(K149&lt;1,"",K149=1,"Fail",K149&gt;1,_xlfn.TEXTJOIN("",TRUE,"Fail x",K149))</f>
        <v>Fail</v>
      </c>
    </row>
    <row r="150" spans="8:13">
      <c r="H150" s="13">
        <f t="shared" si="8"/>
        <v>1</v>
      </c>
      <c r="J150" s="13">
        <f t="shared" si="9"/>
        <v>0</v>
      </c>
      <c r="K150" s="13">
        <f t="shared" si="10"/>
        <v>1</v>
      </c>
      <c r="L150" s="13" t="str" cm="1">
        <f t="array" ref="L150">_xlfn.IFS(J150&lt;1,"",J150=1,"Pass",J150&gt;1,_xlfn.TEXTJOIN("",TRUE,"Pass x",J150))</f>
        <v/>
      </c>
      <c r="M150" s="13" t="str" cm="1">
        <f t="array" ref="M150">_xlfn.IFS(K150&lt;1,"",K150=1,"Fail",K150&gt;1,_xlfn.TEXTJOIN("",TRUE,"Fail x",K150))</f>
        <v>Fail</v>
      </c>
    </row>
    <row r="151" spans="8:13">
      <c r="H151" s="13">
        <f t="shared" si="8"/>
        <v>1</v>
      </c>
      <c r="J151" s="13">
        <f t="shared" si="9"/>
        <v>0</v>
      </c>
      <c r="K151" s="13">
        <f t="shared" si="10"/>
        <v>1</v>
      </c>
      <c r="L151" s="13" t="str" cm="1">
        <f t="array" ref="L151">_xlfn.IFS(J151&lt;1,"",J151=1,"Pass",J151&gt;1,_xlfn.TEXTJOIN("",TRUE,"Pass x",J151))</f>
        <v/>
      </c>
      <c r="M151" s="13" t="str" cm="1">
        <f t="array" ref="M151">_xlfn.IFS(K151&lt;1,"",K151=1,"Fail",K151&gt;1,_xlfn.TEXTJOIN("",TRUE,"Fail x",K151))</f>
        <v>Fail</v>
      </c>
    </row>
    <row r="152" spans="8:13">
      <c r="H152" s="13">
        <f t="shared" si="8"/>
        <v>1</v>
      </c>
      <c r="J152" s="13">
        <f t="shared" si="9"/>
        <v>0</v>
      </c>
      <c r="K152" s="13">
        <f t="shared" si="10"/>
        <v>1</v>
      </c>
      <c r="L152" s="13" t="str" cm="1">
        <f t="array" ref="L152">_xlfn.IFS(J152&lt;1,"",J152=1,"Pass",J152&gt;1,_xlfn.TEXTJOIN("",TRUE,"Pass x",J152))</f>
        <v/>
      </c>
      <c r="M152" s="13" t="str" cm="1">
        <f t="array" ref="M152">_xlfn.IFS(K152&lt;1,"",K152=1,"Fail",K152&gt;1,_xlfn.TEXTJOIN("",TRUE,"Fail x",K152))</f>
        <v>Fail</v>
      </c>
    </row>
    <row r="153" spans="8:13">
      <c r="H153" s="13">
        <f t="shared" si="8"/>
        <v>1</v>
      </c>
      <c r="J153" s="13">
        <f t="shared" si="9"/>
        <v>0</v>
      </c>
      <c r="K153" s="13">
        <f t="shared" si="10"/>
        <v>1</v>
      </c>
      <c r="L153" s="13" t="str" cm="1">
        <f t="array" ref="L153">_xlfn.IFS(J153&lt;1,"",J153=1,"Pass",J153&gt;1,_xlfn.TEXTJOIN("",TRUE,"Pass x",J153))</f>
        <v/>
      </c>
      <c r="M153" s="13" t="str" cm="1">
        <f t="array" ref="M153">_xlfn.IFS(K153&lt;1,"",K153=1,"Fail",K153&gt;1,_xlfn.TEXTJOIN("",TRUE,"Fail x",K153))</f>
        <v>Fail</v>
      </c>
    </row>
    <row r="154" spans="8:13">
      <c r="H154" s="13">
        <f t="shared" si="8"/>
        <v>1</v>
      </c>
      <c r="J154" s="13">
        <f t="shared" si="9"/>
        <v>0</v>
      </c>
      <c r="K154" s="13">
        <f t="shared" si="10"/>
        <v>1</v>
      </c>
      <c r="L154" s="13" t="str" cm="1">
        <f t="array" ref="L154">_xlfn.IFS(J154&lt;1,"",J154=1,"Pass",J154&gt;1,_xlfn.TEXTJOIN("",TRUE,"Pass x",J154))</f>
        <v/>
      </c>
      <c r="M154" s="13" t="str" cm="1">
        <f t="array" ref="M154">_xlfn.IFS(K154&lt;1,"",K154=1,"Fail",K154&gt;1,_xlfn.TEXTJOIN("",TRUE,"Fail x",K154))</f>
        <v>Fail</v>
      </c>
    </row>
    <row r="155" spans="8:13">
      <c r="H155" s="13">
        <f t="shared" si="8"/>
        <v>1</v>
      </c>
      <c r="J155" s="13">
        <f t="shared" si="9"/>
        <v>0</v>
      </c>
      <c r="K155" s="13">
        <f t="shared" si="10"/>
        <v>1</v>
      </c>
      <c r="L155" s="13" t="str" cm="1">
        <f t="array" ref="L155">_xlfn.IFS(J155&lt;1,"",J155=1,"Pass",J155&gt;1,_xlfn.TEXTJOIN("",TRUE,"Pass x",J155))</f>
        <v/>
      </c>
      <c r="M155" s="13" t="str" cm="1">
        <f t="array" ref="M155">_xlfn.IFS(K155&lt;1,"",K155=1,"Fail",K155&gt;1,_xlfn.TEXTJOIN("",TRUE,"Fail x",K155))</f>
        <v>Fail</v>
      </c>
    </row>
    <row r="156" spans="8:13">
      <c r="H156" s="13">
        <f t="shared" si="8"/>
        <v>1</v>
      </c>
      <c r="J156" s="13">
        <f t="shared" si="9"/>
        <v>0</v>
      </c>
      <c r="K156" s="13">
        <f t="shared" si="10"/>
        <v>1</v>
      </c>
      <c r="L156" s="13" t="str" cm="1">
        <f t="array" ref="L156">_xlfn.IFS(J156&lt;1,"",J156=1,"Pass",J156&gt;1,_xlfn.TEXTJOIN("",TRUE,"Pass x",J156))</f>
        <v/>
      </c>
      <c r="M156" s="13" t="str" cm="1">
        <f t="array" ref="M156">_xlfn.IFS(K156&lt;1,"",K156=1,"Fail",K156&gt;1,_xlfn.TEXTJOIN("",TRUE,"Fail x",K156))</f>
        <v>Fail</v>
      </c>
    </row>
    <row r="157" spans="8:13">
      <c r="H157" s="13">
        <f t="shared" si="8"/>
        <v>1</v>
      </c>
      <c r="J157" s="13">
        <f t="shared" si="9"/>
        <v>0</v>
      </c>
      <c r="K157" s="13">
        <f t="shared" si="10"/>
        <v>1</v>
      </c>
      <c r="L157" s="13" t="str" cm="1">
        <f t="array" ref="L157">_xlfn.IFS(J157&lt;1,"",J157=1,"Pass",J157&gt;1,_xlfn.TEXTJOIN("",TRUE,"Pass x",J157))</f>
        <v/>
      </c>
      <c r="M157" s="13" t="str" cm="1">
        <f t="array" ref="M157">_xlfn.IFS(K157&lt;1,"",K157=1,"Fail",K157&gt;1,_xlfn.TEXTJOIN("",TRUE,"Fail x",K157))</f>
        <v>Fail</v>
      </c>
    </row>
    <row r="158" spans="8:13">
      <c r="H158" s="13">
        <f t="shared" si="8"/>
        <v>1</v>
      </c>
      <c r="J158" s="13">
        <f t="shared" si="9"/>
        <v>0</v>
      </c>
      <c r="K158" s="13">
        <f t="shared" si="10"/>
        <v>1</v>
      </c>
      <c r="L158" s="13" t="str" cm="1">
        <f t="array" ref="L158">_xlfn.IFS(J158&lt;1,"",J158=1,"Pass",J158&gt;1,_xlfn.TEXTJOIN("",TRUE,"Pass x",J158))</f>
        <v/>
      </c>
      <c r="M158" s="13" t="str" cm="1">
        <f t="array" ref="M158">_xlfn.IFS(K158&lt;1,"",K158=1,"Fail",K158&gt;1,_xlfn.TEXTJOIN("",TRUE,"Fail x",K158))</f>
        <v>Fail</v>
      </c>
    </row>
    <row r="159" spans="8:13">
      <c r="H159" s="13">
        <f t="shared" si="8"/>
        <v>1</v>
      </c>
      <c r="J159" s="13">
        <f t="shared" si="9"/>
        <v>0</v>
      </c>
      <c r="K159" s="13">
        <f t="shared" si="10"/>
        <v>1</v>
      </c>
      <c r="L159" s="13" t="str" cm="1">
        <f t="array" ref="L159">_xlfn.IFS(J159&lt;1,"",J159=1,"Pass",J159&gt;1,_xlfn.TEXTJOIN("",TRUE,"Pass x",J159))</f>
        <v/>
      </c>
      <c r="M159" s="13" t="str" cm="1">
        <f t="array" ref="M159">_xlfn.IFS(K159&lt;1,"",K159=1,"Fail",K159&gt;1,_xlfn.TEXTJOIN("",TRUE,"Fail x",K159))</f>
        <v>Fail</v>
      </c>
    </row>
    <row r="160" spans="8:13">
      <c r="H160" s="13">
        <f t="shared" si="8"/>
        <v>1</v>
      </c>
      <c r="J160" s="13">
        <f t="shared" si="9"/>
        <v>0</v>
      </c>
      <c r="K160" s="13">
        <f t="shared" si="10"/>
        <v>1</v>
      </c>
      <c r="L160" s="13" t="str" cm="1">
        <f t="array" ref="L160">_xlfn.IFS(J160&lt;1,"",J160=1,"Pass",J160&gt;1,_xlfn.TEXTJOIN("",TRUE,"Pass x",J160))</f>
        <v/>
      </c>
      <c r="M160" s="13" t="str" cm="1">
        <f t="array" ref="M160">_xlfn.IFS(K160&lt;1,"",K160=1,"Fail",K160&gt;1,_xlfn.TEXTJOIN("",TRUE,"Fail x",K160))</f>
        <v>Fail</v>
      </c>
    </row>
    <row r="161" spans="8:13">
      <c r="H161" s="13">
        <f t="shared" si="8"/>
        <v>1</v>
      </c>
      <c r="J161" s="13">
        <f t="shared" si="9"/>
        <v>0</v>
      </c>
      <c r="K161" s="13">
        <f t="shared" si="10"/>
        <v>1</v>
      </c>
      <c r="L161" s="13" t="str" cm="1">
        <f t="array" ref="L161">_xlfn.IFS(J161&lt;1,"",J161=1,"Pass",J161&gt;1,_xlfn.TEXTJOIN("",TRUE,"Pass x",J161))</f>
        <v/>
      </c>
      <c r="M161" s="13" t="str" cm="1">
        <f t="array" ref="M161">_xlfn.IFS(K161&lt;1,"",K161=1,"Fail",K161&gt;1,_xlfn.TEXTJOIN("",TRUE,"Fail x",K161))</f>
        <v>Fail</v>
      </c>
    </row>
    <row r="162" spans="8:13">
      <c r="H162" s="13">
        <f t="shared" si="8"/>
        <v>1</v>
      </c>
      <c r="J162" s="13">
        <f t="shared" si="9"/>
        <v>0</v>
      </c>
      <c r="K162" s="13">
        <f t="shared" si="10"/>
        <v>1</v>
      </c>
      <c r="L162" s="13" t="str" cm="1">
        <f t="array" ref="L162">_xlfn.IFS(J162&lt;1,"",J162=1,"Pass",J162&gt;1,_xlfn.TEXTJOIN("",TRUE,"Pass x",J162))</f>
        <v/>
      </c>
      <c r="M162" s="13" t="str" cm="1">
        <f t="array" ref="M162">_xlfn.IFS(K162&lt;1,"",K162=1,"Fail",K162&gt;1,_xlfn.TEXTJOIN("",TRUE,"Fail x",K162))</f>
        <v>Fail</v>
      </c>
    </row>
    <row r="163" spans="8:13">
      <c r="H163" s="13">
        <f t="shared" si="8"/>
        <v>1</v>
      </c>
      <c r="J163" s="13">
        <f t="shared" si="9"/>
        <v>0</v>
      </c>
      <c r="K163" s="13">
        <f t="shared" si="10"/>
        <v>1</v>
      </c>
      <c r="L163" s="13" t="str" cm="1">
        <f t="array" ref="L163">_xlfn.IFS(J163&lt;1,"",J163=1,"Pass",J163&gt;1,_xlfn.TEXTJOIN("",TRUE,"Pass x",J163))</f>
        <v/>
      </c>
      <c r="M163" s="13" t="str" cm="1">
        <f t="array" ref="M163">_xlfn.IFS(K163&lt;1,"",K163=1,"Fail",K163&gt;1,_xlfn.TEXTJOIN("",TRUE,"Fail x",K163))</f>
        <v>Fail</v>
      </c>
    </row>
    <row r="164" spans="8:13">
      <c r="H164" s="13">
        <f t="shared" si="8"/>
        <v>1</v>
      </c>
      <c r="J164" s="13">
        <f t="shared" si="9"/>
        <v>0</v>
      </c>
      <c r="K164" s="13">
        <f t="shared" si="10"/>
        <v>1</v>
      </c>
      <c r="L164" s="13" t="str" cm="1">
        <f t="array" ref="L164">_xlfn.IFS(J164&lt;1,"",J164=1,"Pass",J164&gt;1,_xlfn.TEXTJOIN("",TRUE,"Pass x",J164))</f>
        <v/>
      </c>
      <c r="M164" s="13" t="str" cm="1">
        <f t="array" ref="M164">_xlfn.IFS(K164&lt;1,"",K164=1,"Fail",K164&gt;1,_xlfn.TEXTJOIN("",TRUE,"Fail x",K164))</f>
        <v>Fail</v>
      </c>
    </row>
    <row r="165" spans="8:13">
      <c r="H165" s="13">
        <f t="shared" si="8"/>
        <v>1</v>
      </c>
      <c r="J165" s="13">
        <f t="shared" si="9"/>
        <v>0</v>
      </c>
      <c r="K165" s="13">
        <f t="shared" si="10"/>
        <v>1</v>
      </c>
      <c r="L165" s="13" t="str" cm="1">
        <f t="array" ref="L165">_xlfn.IFS(J165&lt;1,"",J165=1,"Pass",J165&gt;1,_xlfn.TEXTJOIN("",TRUE,"Pass x",J165))</f>
        <v/>
      </c>
      <c r="M165" s="13" t="str" cm="1">
        <f t="array" ref="M165">_xlfn.IFS(K165&lt;1,"",K165=1,"Fail",K165&gt;1,_xlfn.TEXTJOIN("",TRUE,"Fail x",K165))</f>
        <v>Fail</v>
      </c>
    </row>
    <row r="166" spans="8:13">
      <c r="H166" s="13">
        <f t="shared" si="8"/>
        <v>1</v>
      </c>
      <c r="J166" s="13">
        <f t="shared" si="9"/>
        <v>0</v>
      </c>
      <c r="K166" s="13">
        <f t="shared" si="10"/>
        <v>1</v>
      </c>
      <c r="L166" s="13" t="str" cm="1">
        <f t="array" ref="L166">_xlfn.IFS(J166&lt;1,"",J166=1,"Pass",J166&gt;1,_xlfn.TEXTJOIN("",TRUE,"Pass x",J166))</f>
        <v/>
      </c>
      <c r="M166" s="13" t="str" cm="1">
        <f t="array" ref="M166">_xlfn.IFS(K166&lt;1,"",K166=1,"Fail",K166&gt;1,_xlfn.TEXTJOIN("",TRUE,"Fail x",K166))</f>
        <v>Fail</v>
      </c>
    </row>
    <row r="167" spans="8:13">
      <c r="H167" s="13">
        <f t="shared" si="8"/>
        <v>1</v>
      </c>
      <c r="J167" s="13">
        <f t="shared" si="9"/>
        <v>0</v>
      </c>
      <c r="K167" s="13">
        <f t="shared" si="10"/>
        <v>1</v>
      </c>
      <c r="L167" s="13" t="str" cm="1">
        <f t="array" ref="L167">_xlfn.IFS(J167&lt;1,"",J167=1,"Pass",J167&gt;1,_xlfn.TEXTJOIN("",TRUE,"Pass x",J167))</f>
        <v/>
      </c>
      <c r="M167" s="13" t="str" cm="1">
        <f t="array" ref="M167">_xlfn.IFS(K167&lt;1,"",K167=1,"Fail",K167&gt;1,_xlfn.TEXTJOIN("",TRUE,"Fail x",K167))</f>
        <v>Fail</v>
      </c>
    </row>
    <row r="168" spans="8:13">
      <c r="H168" s="13">
        <f t="shared" si="8"/>
        <v>1</v>
      </c>
      <c r="J168" s="13">
        <f t="shared" si="9"/>
        <v>0</v>
      </c>
      <c r="K168" s="13">
        <f t="shared" si="10"/>
        <v>1</v>
      </c>
      <c r="L168" s="13" t="str" cm="1">
        <f t="array" ref="L168">_xlfn.IFS(J168&lt;1,"",J168=1,"Pass",J168&gt;1,_xlfn.TEXTJOIN("",TRUE,"Pass x",J168))</f>
        <v/>
      </c>
      <c r="M168" s="13" t="str" cm="1">
        <f t="array" ref="M168">_xlfn.IFS(K168&lt;1,"",K168=1,"Fail",K168&gt;1,_xlfn.TEXTJOIN("",TRUE,"Fail x",K168))</f>
        <v>Fail</v>
      </c>
    </row>
    <row r="169" spans="8:13">
      <c r="H169" s="13">
        <f t="shared" si="8"/>
        <v>1</v>
      </c>
      <c r="J169" s="13">
        <f t="shared" si="9"/>
        <v>0</v>
      </c>
      <c r="K169" s="13">
        <f t="shared" si="10"/>
        <v>1</v>
      </c>
      <c r="L169" s="13" t="str" cm="1">
        <f t="array" ref="L169">_xlfn.IFS(J169&lt;1,"",J169=1,"Pass",J169&gt;1,_xlfn.TEXTJOIN("",TRUE,"Pass x",J169))</f>
        <v/>
      </c>
      <c r="M169" s="13" t="str" cm="1">
        <f t="array" ref="M169">_xlfn.IFS(K169&lt;1,"",K169=1,"Fail",K169&gt;1,_xlfn.TEXTJOIN("",TRUE,"Fail x",K169))</f>
        <v>Fail</v>
      </c>
    </row>
    <row r="170" spans="8:13">
      <c r="H170" s="13">
        <f t="shared" si="8"/>
        <v>1</v>
      </c>
      <c r="J170" s="13">
        <f t="shared" si="9"/>
        <v>0</v>
      </c>
      <c r="K170" s="13">
        <f t="shared" si="10"/>
        <v>1</v>
      </c>
      <c r="L170" s="13" t="str" cm="1">
        <f t="array" ref="L170">_xlfn.IFS(J170&lt;1,"",J170=1,"Pass",J170&gt;1,_xlfn.TEXTJOIN("",TRUE,"Pass x",J170))</f>
        <v/>
      </c>
      <c r="M170" s="13" t="str" cm="1">
        <f t="array" ref="M170">_xlfn.IFS(K170&lt;1,"",K170=1,"Fail",K170&gt;1,_xlfn.TEXTJOIN("",TRUE,"Fail x",K170))</f>
        <v>Fail</v>
      </c>
    </row>
    <row r="171" spans="8:13">
      <c r="H171" s="13">
        <f t="shared" si="8"/>
        <v>1</v>
      </c>
      <c r="J171" s="13">
        <f t="shared" si="9"/>
        <v>0</v>
      </c>
      <c r="K171" s="13">
        <f t="shared" si="10"/>
        <v>1</v>
      </c>
      <c r="L171" s="13" t="str" cm="1">
        <f t="array" ref="L171">_xlfn.IFS(J171&lt;1,"",J171=1,"Pass",J171&gt;1,_xlfn.TEXTJOIN("",TRUE,"Pass x",J171))</f>
        <v/>
      </c>
      <c r="M171" s="13" t="str" cm="1">
        <f t="array" ref="M171">_xlfn.IFS(K171&lt;1,"",K171=1,"Fail",K171&gt;1,_xlfn.TEXTJOIN("",TRUE,"Fail x",K171))</f>
        <v>Fail</v>
      </c>
    </row>
    <row r="172" spans="8:13">
      <c r="H172" s="13">
        <f t="shared" si="8"/>
        <v>1</v>
      </c>
      <c r="J172" s="13">
        <f t="shared" si="9"/>
        <v>0</v>
      </c>
      <c r="K172" s="13">
        <f t="shared" si="10"/>
        <v>1</v>
      </c>
      <c r="L172" s="13" t="str" cm="1">
        <f t="array" ref="L172">_xlfn.IFS(J172&lt;1,"",J172=1,"Pass",J172&gt;1,_xlfn.TEXTJOIN("",TRUE,"Pass x",J172))</f>
        <v/>
      </c>
      <c r="M172" s="13" t="str" cm="1">
        <f t="array" ref="M172">_xlfn.IFS(K172&lt;1,"",K172=1,"Fail",K172&gt;1,_xlfn.TEXTJOIN("",TRUE,"Fail x",K172))</f>
        <v>Fail</v>
      </c>
    </row>
    <row r="173" spans="8:13">
      <c r="H173" s="13">
        <f t="shared" si="8"/>
        <v>1</v>
      </c>
      <c r="J173" s="13">
        <f t="shared" si="9"/>
        <v>0</v>
      </c>
      <c r="K173" s="13">
        <f t="shared" si="10"/>
        <v>1</v>
      </c>
      <c r="L173" s="13" t="str" cm="1">
        <f t="array" ref="L173">_xlfn.IFS(J173&lt;1,"",J173=1,"Pass",J173&gt;1,_xlfn.TEXTJOIN("",TRUE,"Pass x",J173))</f>
        <v/>
      </c>
      <c r="M173" s="13" t="str" cm="1">
        <f t="array" ref="M173">_xlfn.IFS(K173&lt;1,"",K173=1,"Fail",K173&gt;1,_xlfn.TEXTJOIN("",TRUE,"Fail x",K173))</f>
        <v>Fail</v>
      </c>
    </row>
    <row r="174" spans="8:13">
      <c r="H174" s="13">
        <f t="shared" si="8"/>
        <v>1</v>
      </c>
      <c r="J174" s="13">
        <f t="shared" si="9"/>
        <v>0</v>
      </c>
      <c r="K174" s="13">
        <f t="shared" si="10"/>
        <v>1</v>
      </c>
      <c r="L174" s="13" t="str" cm="1">
        <f t="array" ref="L174">_xlfn.IFS(J174&lt;1,"",J174=1,"Pass",J174&gt;1,_xlfn.TEXTJOIN("",TRUE,"Pass x",J174))</f>
        <v/>
      </c>
      <c r="M174" s="13" t="str" cm="1">
        <f t="array" ref="M174">_xlfn.IFS(K174&lt;1,"",K174=1,"Fail",K174&gt;1,_xlfn.TEXTJOIN("",TRUE,"Fail x",K174))</f>
        <v>Fail</v>
      </c>
    </row>
    <row r="175" spans="8:13">
      <c r="H175" s="13">
        <f t="shared" si="8"/>
        <v>1</v>
      </c>
      <c r="J175" s="13">
        <f t="shared" si="9"/>
        <v>0</v>
      </c>
      <c r="K175" s="13">
        <f t="shared" si="10"/>
        <v>1</v>
      </c>
      <c r="L175" s="13" t="str" cm="1">
        <f t="array" ref="L175">_xlfn.IFS(J175&lt;1,"",J175=1,"Pass",J175&gt;1,_xlfn.TEXTJOIN("",TRUE,"Pass x",J175))</f>
        <v/>
      </c>
      <c r="M175" s="13" t="str" cm="1">
        <f t="array" ref="M175">_xlfn.IFS(K175&lt;1,"",K175=1,"Fail",K175&gt;1,_xlfn.TEXTJOIN("",TRUE,"Fail x",K175))</f>
        <v>Fail</v>
      </c>
    </row>
    <row r="176" spans="8:13">
      <c r="H176" s="13">
        <f t="shared" si="8"/>
        <v>1</v>
      </c>
      <c r="J176" s="13">
        <f t="shared" si="9"/>
        <v>0</v>
      </c>
      <c r="K176" s="13">
        <f t="shared" si="10"/>
        <v>1</v>
      </c>
      <c r="L176" s="13" t="str" cm="1">
        <f t="array" ref="L176">_xlfn.IFS(J176&lt;1,"",J176=1,"Pass",J176&gt;1,_xlfn.TEXTJOIN("",TRUE,"Pass x",J176))</f>
        <v/>
      </c>
      <c r="M176" s="13" t="str" cm="1">
        <f t="array" ref="M176">_xlfn.IFS(K176&lt;1,"",K176=1,"Fail",K176&gt;1,_xlfn.TEXTJOIN("",TRUE,"Fail x",K176))</f>
        <v>Fail</v>
      </c>
    </row>
    <row r="177" spans="8:13">
      <c r="H177" s="13">
        <f t="shared" si="8"/>
        <v>1</v>
      </c>
      <c r="J177" s="13">
        <f t="shared" si="9"/>
        <v>0</v>
      </c>
      <c r="K177" s="13">
        <f t="shared" si="10"/>
        <v>1</v>
      </c>
      <c r="L177" s="13" t="str" cm="1">
        <f t="array" ref="L177">_xlfn.IFS(J177&lt;1,"",J177=1,"Pass",J177&gt;1,_xlfn.TEXTJOIN("",TRUE,"Pass x",J177))</f>
        <v/>
      </c>
      <c r="M177" s="13" t="str" cm="1">
        <f t="array" ref="M177">_xlfn.IFS(K177&lt;1,"",K177=1,"Fail",K177&gt;1,_xlfn.TEXTJOIN("",TRUE,"Fail x",K177))</f>
        <v>Fail</v>
      </c>
    </row>
    <row r="178" spans="8:13">
      <c r="H178" s="13">
        <f t="shared" si="8"/>
        <v>1</v>
      </c>
      <c r="J178" s="13">
        <f t="shared" si="9"/>
        <v>0</v>
      </c>
      <c r="K178" s="13">
        <f t="shared" si="10"/>
        <v>1</v>
      </c>
      <c r="L178" s="13" t="str" cm="1">
        <f t="array" ref="L178">_xlfn.IFS(J178&lt;1,"",J178=1,"Pass",J178&gt;1,_xlfn.TEXTJOIN("",TRUE,"Pass x",J178))</f>
        <v/>
      </c>
      <c r="M178" s="13" t="str" cm="1">
        <f t="array" ref="M178">_xlfn.IFS(K178&lt;1,"",K178=1,"Fail",K178&gt;1,_xlfn.TEXTJOIN("",TRUE,"Fail x",K178))</f>
        <v>Fail</v>
      </c>
    </row>
    <row r="179" spans="8:13">
      <c r="H179" s="13">
        <f t="shared" si="8"/>
        <v>1</v>
      </c>
      <c r="J179" s="13">
        <f t="shared" si="9"/>
        <v>0</v>
      </c>
      <c r="K179" s="13">
        <f t="shared" si="10"/>
        <v>1</v>
      </c>
      <c r="L179" s="13" t="str" cm="1">
        <f t="array" ref="L179">_xlfn.IFS(J179&lt;1,"",J179=1,"Pass",J179&gt;1,_xlfn.TEXTJOIN("",TRUE,"Pass x",J179))</f>
        <v/>
      </c>
      <c r="M179" s="13" t="str" cm="1">
        <f t="array" ref="M179">_xlfn.IFS(K179&lt;1,"",K179=1,"Fail",K179&gt;1,_xlfn.TEXTJOIN("",TRUE,"Fail x",K179))</f>
        <v>Fail</v>
      </c>
    </row>
    <row r="180" spans="8:13">
      <c r="H180" s="13">
        <f t="shared" si="8"/>
        <v>1</v>
      </c>
      <c r="J180" s="13">
        <f t="shared" si="9"/>
        <v>0</v>
      </c>
      <c r="K180" s="13">
        <f t="shared" si="10"/>
        <v>1</v>
      </c>
      <c r="L180" s="13" t="str" cm="1">
        <f t="array" ref="L180">_xlfn.IFS(J180&lt;1,"",J180=1,"Pass",J180&gt;1,_xlfn.TEXTJOIN("",TRUE,"Pass x",J180))</f>
        <v/>
      </c>
      <c r="M180" s="13" t="str" cm="1">
        <f t="array" ref="M180">_xlfn.IFS(K180&lt;1,"",K180=1,"Fail",K180&gt;1,_xlfn.TEXTJOIN("",TRUE,"Fail x",K180))</f>
        <v>Fail</v>
      </c>
    </row>
    <row r="181" spans="8:13">
      <c r="H181" s="13">
        <f t="shared" si="8"/>
        <v>1</v>
      </c>
      <c r="J181" s="13">
        <f t="shared" si="9"/>
        <v>0</v>
      </c>
      <c r="K181" s="13">
        <f t="shared" si="10"/>
        <v>1</v>
      </c>
      <c r="L181" s="13" t="str" cm="1">
        <f t="array" ref="L181">_xlfn.IFS(J181&lt;1,"",J181=1,"Pass",J181&gt;1,_xlfn.TEXTJOIN("",TRUE,"Pass x",J181))</f>
        <v/>
      </c>
      <c r="M181" s="13" t="str" cm="1">
        <f t="array" ref="M181">_xlfn.IFS(K181&lt;1,"",K181=1,"Fail",K181&gt;1,_xlfn.TEXTJOIN("",TRUE,"Fail x",K181))</f>
        <v>Fail</v>
      </c>
    </row>
    <row r="182" spans="8:13">
      <c r="H182" s="13">
        <f t="shared" si="8"/>
        <v>1</v>
      </c>
      <c r="J182" s="13">
        <f t="shared" si="9"/>
        <v>0</v>
      </c>
      <c r="K182" s="13">
        <f t="shared" si="10"/>
        <v>1</v>
      </c>
      <c r="L182" s="13" t="str" cm="1">
        <f t="array" ref="L182">_xlfn.IFS(J182&lt;1,"",J182=1,"Pass",J182&gt;1,_xlfn.TEXTJOIN("",TRUE,"Pass x",J182))</f>
        <v/>
      </c>
      <c r="M182" s="13" t="str" cm="1">
        <f t="array" ref="M182">_xlfn.IFS(K182&lt;1,"",K182=1,"Fail",K182&gt;1,_xlfn.TEXTJOIN("",TRUE,"Fail x",K182))</f>
        <v>Fail</v>
      </c>
    </row>
    <row r="183" spans="8:13">
      <c r="H183" s="13">
        <f t="shared" si="8"/>
        <v>1</v>
      </c>
      <c r="J183" s="13">
        <f t="shared" si="9"/>
        <v>0</v>
      </c>
      <c r="K183" s="13">
        <f t="shared" si="10"/>
        <v>1</v>
      </c>
      <c r="L183" s="13" t="str" cm="1">
        <f t="array" ref="L183">_xlfn.IFS(J183&lt;1,"",J183=1,"Pass",J183&gt;1,_xlfn.TEXTJOIN("",TRUE,"Pass x",J183))</f>
        <v/>
      </c>
      <c r="M183" s="13" t="str" cm="1">
        <f t="array" ref="M183">_xlfn.IFS(K183&lt;1,"",K183=1,"Fail",K183&gt;1,_xlfn.TEXTJOIN("",TRUE,"Fail x",K183))</f>
        <v>Fail</v>
      </c>
    </row>
    <row r="184" spans="8:13">
      <c r="H184" s="13">
        <f t="shared" si="8"/>
        <v>1</v>
      </c>
      <c r="J184" s="13">
        <f t="shared" si="9"/>
        <v>0</v>
      </c>
      <c r="K184" s="13">
        <f t="shared" si="10"/>
        <v>1</v>
      </c>
      <c r="L184" s="13" t="str" cm="1">
        <f t="array" ref="L184">_xlfn.IFS(J184&lt;1,"",J184=1,"Pass",J184&gt;1,_xlfn.TEXTJOIN("",TRUE,"Pass x",J184))</f>
        <v/>
      </c>
      <c r="M184" s="13" t="str" cm="1">
        <f t="array" ref="M184">_xlfn.IFS(K184&lt;1,"",K184=1,"Fail",K184&gt;1,_xlfn.TEXTJOIN("",TRUE,"Fail x",K184))</f>
        <v>Fail</v>
      </c>
    </row>
    <row r="185" spans="8:13">
      <c r="H185" s="13">
        <f t="shared" si="8"/>
        <v>1</v>
      </c>
      <c r="J185" s="13">
        <f t="shared" si="9"/>
        <v>0</v>
      </c>
      <c r="K185" s="13">
        <f t="shared" si="10"/>
        <v>1</v>
      </c>
      <c r="L185" s="13" t="str" cm="1">
        <f t="array" ref="L185">_xlfn.IFS(J185&lt;1,"",J185=1,"Pass",J185&gt;1,_xlfn.TEXTJOIN("",TRUE,"Pass x",J185))</f>
        <v/>
      </c>
      <c r="M185" s="13" t="str" cm="1">
        <f t="array" ref="M185">_xlfn.IFS(K185&lt;1,"",K185=1,"Fail",K185&gt;1,_xlfn.TEXTJOIN("",TRUE,"Fail x",K185))</f>
        <v>Fail</v>
      </c>
    </row>
    <row r="186" spans="8:13">
      <c r="H186" s="13">
        <f t="shared" si="8"/>
        <v>1</v>
      </c>
      <c r="J186" s="13">
        <f t="shared" si="9"/>
        <v>0</v>
      </c>
      <c r="K186" s="13">
        <f t="shared" si="10"/>
        <v>1</v>
      </c>
      <c r="L186" s="13" t="str" cm="1">
        <f t="array" ref="L186">_xlfn.IFS(J186&lt;1,"",J186=1,"Pass",J186&gt;1,_xlfn.TEXTJOIN("",TRUE,"Pass x",J186))</f>
        <v/>
      </c>
      <c r="M186" s="13" t="str" cm="1">
        <f t="array" ref="M186">_xlfn.IFS(K186&lt;1,"",K186=1,"Fail",K186&gt;1,_xlfn.TEXTJOIN("",TRUE,"Fail x",K186))</f>
        <v>Fail</v>
      </c>
    </row>
    <row r="187" spans="8:13">
      <c r="H187" s="13">
        <f t="shared" si="8"/>
        <v>1</v>
      </c>
      <c r="J187" s="13">
        <f t="shared" si="9"/>
        <v>0</v>
      </c>
      <c r="K187" s="13">
        <f t="shared" si="10"/>
        <v>1</v>
      </c>
      <c r="L187" s="13" t="str" cm="1">
        <f t="array" ref="L187">_xlfn.IFS(J187&lt;1,"",J187=1,"Pass",J187&gt;1,_xlfn.TEXTJOIN("",TRUE,"Pass x",J187))</f>
        <v/>
      </c>
      <c r="M187" s="13" t="str" cm="1">
        <f t="array" ref="M187">_xlfn.IFS(K187&lt;1,"",K187=1,"Fail",K187&gt;1,_xlfn.TEXTJOIN("",TRUE,"Fail x",K187))</f>
        <v>Fail</v>
      </c>
    </row>
    <row r="188" spans="8:13">
      <c r="H188" s="13">
        <f t="shared" si="8"/>
        <v>1</v>
      </c>
      <c r="J188" s="13">
        <f t="shared" si="9"/>
        <v>0</v>
      </c>
      <c r="K188" s="13">
        <f t="shared" si="10"/>
        <v>1</v>
      </c>
      <c r="L188" s="13" t="str" cm="1">
        <f t="array" ref="L188">_xlfn.IFS(J188&lt;1,"",J188=1,"Pass",J188&gt;1,_xlfn.TEXTJOIN("",TRUE,"Pass x",J188))</f>
        <v/>
      </c>
      <c r="M188" s="13" t="str" cm="1">
        <f t="array" ref="M188">_xlfn.IFS(K188&lt;1,"",K188=1,"Fail",K188&gt;1,_xlfn.TEXTJOIN("",TRUE,"Fail x",K188))</f>
        <v>Fail</v>
      </c>
    </row>
    <row r="189" spans="8:13">
      <c r="H189" s="13">
        <f t="shared" si="8"/>
        <v>1</v>
      </c>
      <c r="J189" s="13">
        <f t="shared" si="9"/>
        <v>0</v>
      </c>
      <c r="K189" s="13">
        <f t="shared" si="10"/>
        <v>1</v>
      </c>
      <c r="L189" s="13" t="str" cm="1">
        <f t="array" ref="L189">_xlfn.IFS(J189&lt;1,"",J189=1,"Pass",J189&gt;1,_xlfn.TEXTJOIN("",TRUE,"Pass x",J189))</f>
        <v/>
      </c>
      <c r="M189" s="13" t="str" cm="1">
        <f t="array" ref="M189">_xlfn.IFS(K189&lt;1,"",K189=1,"Fail",K189&gt;1,_xlfn.TEXTJOIN("",TRUE,"Fail x",K189))</f>
        <v>Fail</v>
      </c>
    </row>
    <row r="190" spans="8:13">
      <c r="H190" s="13">
        <f t="shared" si="8"/>
        <v>1</v>
      </c>
      <c r="J190" s="13">
        <f t="shared" si="9"/>
        <v>0</v>
      </c>
      <c r="K190" s="13">
        <f t="shared" si="10"/>
        <v>1</v>
      </c>
      <c r="L190" s="13" t="str" cm="1">
        <f t="array" ref="L190">_xlfn.IFS(J190&lt;1,"",J190=1,"Pass",J190&gt;1,_xlfn.TEXTJOIN("",TRUE,"Pass x",J190))</f>
        <v/>
      </c>
      <c r="M190" s="13" t="str" cm="1">
        <f t="array" ref="M190">_xlfn.IFS(K190&lt;1,"",K190=1,"Fail",K190&gt;1,_xlfn.TEXTJOIN("",TRUE,"Fail x",K190))</f>
        <v>Fail</v>
      </c>
    </row>
    <row r="191" spans="8:13">
      <c r="H191" s="13">
        <f t="shared" si="8"/>
        <v>1</v>
      </c>
      <c r="J191" s="13">
        <f t="shared" si="9"/>
        <v>0</v>
      </c>
      <c r="K191" s="13">
        <f t="shared" si="10"/>
        <v>1</v>
      </c>
      <c r="L191" s="13" t="str" cm="1">
        <f t="array" ref="L191">_xlfn.IFS(J191&lt;1,"",J191=1,"Pass",J191&gt;1,_xlfn.TEXTJOIN("",TRUE,"Pass x",J191))</f>
        <v/>
      </c>
      <c r="M191" s="13" t="str" cm="1">
        <f t="array" ref="M191">_xlfn.IFS(K191&lt;1,"",K191=1,"Fail",K191&gt;1,_xlfn.TEXTJOIN("",TRUE,"Fail x",K191))</f>
        <v>Fail</v>
      </c>
    </row>
    <row r="192" spans="8:13">
      <c r="H192" s="13">
        <f t="shared" si="8"/>
        <v>1</v>
      </c>
      <c r="J192" s="13">
        <f t="shared" si="9"/>
        <v>0</v>
      </c>
      <c r="K192" s="13">
        <f t="shared" si="10"/>
        <v>1</v>
      </c>
      <c r="L192" s="13" t="str" cm="1">
        <f t="array" ref="L192">_xlfn.IFS(J192&lt;1,"",J192=1,"Pass",J192&gt;1,_xlfn.TEXTJOIN("",TRUE,"Pass x",J192))</f>
        <v/>
      </c>
      <c r="M192" s="13" t="str" cm="1">
        <f t="array" ref="M192">_xlfn.IFS(K192&lt;1,"",K192=1,"Fail",K192&gt;1,_xlfn.TEXTJOIN("",TRUE,"Fail x",K192))</f>
        <v>Fail</v>
      </c>
    </row>
    <row r="193" spans="8:13">
      <c r="H193" s="13">
        <f t="shared" si="8"/>
        <v>1</v>
      </c>
      <c r="J193" s="13">
        <f t="shared" si="9"/>
        <v>0</v>
      </c>
      <c r="K193" s="13">
        <f t="shared" si="10"/>
        <v>1</v>
      </c>
      <c r="L193" s="13" t="str" cm="1">
        <f t="array" ref="L193">_xlfn.IFS(J193&lt;1,"",J193=1,"Pass",J193&gt;1,_xlfn.TEXTJOIN("",TRUE,"Pass x",J193))</f>
        <v/>
      </c>
      <c r="M193" s="13" t="str" cm="1">
        <f t="array" ref="M193">_xlfn.IFS(K193&lt;1,"",K193=1,"Fail",K193&gt;1,_xlfn.TEXTJOIN("",TRUE,"Fail x",K193))</f>
        <v>Fail</v>
      </c>
    </row>
    <row r="194" spans="8:13">
      <c r="H194" s="13">
        <f t="shared" si="8"/>
        <v>1</v>
      </c>
      <c r="J194" s="13">
        <f t="shared" si="9"/>
        <v>0</v>
      </c>
      <c r="K194" s="13">
        <f t="shared" si="10"/>
        <v>1</v>
      </c>
      <c r="L194" s="13" t="str" cm="1">
        <f t="array" ref="L194">_xlfn.IFS(J194&lt;1,"",J194=1,"Pass",J194&gt;1,_xlfn.TEXTJOIN("",TRUE,"Pass x",J194))</f>
        <v/>
      </c>
      <c r="M194" s="13" t="str" cm="1">
        <f t="array" ref="M194">_xlfn.IFS(K194&lt;1,"",K194=1,"Fail",K194&gt;1,_xlfn.TEXTJOIN("",TRUE,"Fail x",K194))</f>
        <v>Fail</v>
      </c>
    </row>
    <row r="195" spans="8:13">
      <c r="H195" s="13">
        <f t="shared" ref="H195:H258" si="11">IFERROR(GETPIVOTDATA("Successful / Failed",$A$1,"System serial",G195),0)</f>
        <v>1</v>
      </c>
      <c r="J195" s="13">
        <f t="shared" ref="J195:J258" si="12">IFERROR(GETPIVOTDATA("Successful / Failed",$A$1,"System serial",G195,"Successful / Failed","Successful"),0)</f>
        <v>0</v>
      </c>
      <c r="K195" s="13">
        <f t="shared" ref="K195:K253" si="13">IFERROR(GETPIVOTDATA("Successful / Failed",$A$1,"System serial",G195,"Successful / Failed","Failed"),0)</f>
        <v>1</v>
      </c>
      <c r="L195" s="13" t="str" cm="1">
        <f t="array" ref="L195">_xlfn.IFS(J195&lt;1,"",J195=1,"Pass",J195&gt;1,_xlfn.TEXTJOIN("",TRUE,"Pass x",J195))</f>
        <v/>
      </c>
      <c r="M195" s="13" t="str" cm="1">
        <f t="array" ref="M195">_xlfn.IFS(K195&lt;1,"",K195=1,"Fail",K195&gt;1,_xlfn.TEXTJOIN("",TRUE,"Fail x",K195))</f>
        <v>Fail</v>
      </c>
    </row>
    <row r="196" spans="8:13">
      <c r="H196" s="13">
        <f t="shared" si="11"/>
        <v>1</v>
      </c>
      <c r="J196" s="13">
        <f t="shared" si="12"/>
        <v>0</v>
      </c>
      <c r="K196" s="13">
        <f t="shared" si="13"/>
        <v>1</v>
      </c>
      <c r="L196" s="13" t="str" cm="1">
        <f t="array" ref="L196">_xlfn.IFS(J196&lt;1,"",J196=1,"Pass",J196&gt;1,_xlfn.TEXTJOIN("",TRUE,"Pass x",J196))</f>
        <v/>
      </c>
      <c r="M196" s="13" t="str" cm="1">
        <f t="array" ref="M196">_xlfn.IFS(K196&lt;1,"",K196=1,"Fail",K196&gt;1,_xlfn.TEXTJOIN("",TRUE,"Fail x",K196))</f>
        <v>Fail</v>
      </c>
    </row>
    <row r="197" spans="8:13">
      <c r="H197" s="13">
        <f t="shared" si="11"/>
        <v>1</v>
      </c>
      <c r="J197" s="13">
        <f t="shared" si="12"/>
        <v>0</v>
      </c>
      <c r="K197" s="13">
        <f t="shared" si="13"/>
        <v>1</v>
      </c>
      <c r="L197" s="13" t="str" cm="1">
        <f t="array" ref="L197">_xlfn.IFS(J197&lt;1,"",J197=1,"Pass",J197&gt;1,_xlfn.TEXTJOIN("",TRUE,"Pass x",J197))</f>
        <v/>
      </c>
      <c r="M197" s="13" t="str" cm="1">
        <f t="array" ref="M197">_xlfn.IFS(K197&lt;1,"",K197=1,"Fail",K197&gt;1,_xlfn.TEXTJOIN("",TRUE,"Fail x",K197))</f>
        <v>Fail</v>
      </c>
    </row>
    <row r="198" spans="8:13">
      <c r="H198" s="13">
        <f t="shared" si="11"/>
        <v>1</v>
      </c>
      <c r="J198" s="13">
        <f t="shared" si="12"/>
        <v>0</v>
      </c>
      <c r="K198" s="13">
        <f t="shared" si="13"/>
        <v>1</v>
      </c>
      <c r="L198" s="13" t="str" cm="1">
        <f t="array" ref="L198">_xlfn.IFS(J198&lt;1,"",J198=1,"Pass",J198&gt;1,_xlfn.TEXTJOIN("",TRUE,"Pass x",J198))</f>
        <v/>
      </c>
      <c r="M198" s="13" t="str" cm="1">
        <f t="array" ref="M198">_xlfn.IFS(K198&lt;1,"",K198=1,"Fail",K198&gt;1,_xlfn.TEXTJOIN("",TRUE,"Fail x",K198))</f>
        <v>Fail</v>
      </c>
    </row>
    <row r="199" spans="8:13">
      <c r="H199" s="13">
        <f t="shared" si="11"/>
        <v>1</v>
      </c>
      <c r="J199" s="13">
        <f t="shared" si="12"/>
        <v>0</v>
      </c>
      <c r="K199" s="13">
        <f t="shared" si="13"/>
        <v>1</v>
      </c>
      <c r="L199" s="13" t="str" cm="1">
        <f t="array" ref="L199">_xlfn.IFS(J199&lt;1,"",J199=1,"Pass",J199&gt;1,_xlfn.TEXTJOIN("",TRUE,"Pass x",J199))</f>
        <v/>
      </c>
      <c r="M199" s="13" t="str" cm="1">
        <f t="array" ref="M199">_xlfn.IFS(K199&lt;1,"",K199=1,"Fail",K199&gt;1,_xlfn.TEXTJOIN("",TRUE,"Fail x",K199))</f>
        <v>Fail</v>
      </c>
    </row>
    <row r="200" spans="8:13">
      <c r="H200" s="13">
        <f t="shared" si="11"/>
        <v>1</v>
      </c>
      <c r="J200" s="13">
        <f t="shared" si="12"/>
        <v>0</v>
      </c>
      <c r="K200" s="13">
        <f t="shared" si="13"/>
        <v>1</v>
      </c>
      <c r="L200" s="13" t="str" cm="1">
        <f t="array" ref="L200">_xlfn.IFS(J200&lt;1,"",J200=1,"Pass",J200&gt;1,_xlfn.TEXTJOIN("",TRUE,"Pass x",J200))</f>
        <v/>
      </c>
      <c r="M200" s="13" t="str" cm="1">
        <f t="array" ref="M200">_xlfn.IFS(K200&lt;1,"",K200=1,"Fail",K200&gt;1,_xlfn.TEXTJOIN("",TRUE,"Fail x",K200))</f>
        <v>Fail</v>
      </c>
    </row>
    <row r="201" spans="8:13">
      <c r="H201" s="13">
        <f t="shared" si="11"/>
        <v>1</v>
      </c>
      <c r="J201" s="13">
        <f t="shared" si="12"/>
        <v>0</v>
      </c>
      <c r="K201" s="13">
        <f t="shared" si="13"/>
        <v>1</v>
      </c>
      <c r="L201" s="13" t="str" cm="1">
        <f t="array" ref="L201">_xlfn.IFS(J201&lt;1,"",J201=1,"Pass",J201&gt;1,_xlfn.TEXTJOIN("",TRUE,"Pass x",J201))</f>
        <v/>
      </c>
      <c r="M201" s="13" t="str" cm="1">
        <f t="array" ref="M201">_xlfn.IFS(K201&lt;1,"",K201=1,"Fail",K201&gt;1,_xlfn.TEXTJOIN("",TRUE,"Fail x",K201))</f>
        <v>Fail</v>
      </c>
    </row>
    <row r="202" spans="8:13">
      <c r="H202" s="13">
        <f t="shared" si="11"/>
        <v>1</v>
      </c>
      <c r="J202" s="13">
        <f t="shared" si="12"/>
        <v>0</v>
      </c>
      <c r="K202" s="13">
        <f t="shared" si="13"/>
        <v>1</v>
      </c>
      <c r="L202" s="13" t="str" cm="1">
        <f t="array" ref="L202">_xlfn.IFS(J202&lt;1,"",J202=1,"Pass",J202&gt;1,_xlfn.TEXTJOIN("",TRUE,"Pass x",J202))</f>
        <v/>
      </c>
      <c r="M202" s="13" t="str" cm="1">
        <f t="array" ref="M202">_xlfn.IFS(K202&lt;1,"",K202=1,"Fail",K202&gt;1,_xlfn.TEXTJOIN("",TRUE,"Fail x",K202))</f>
        <v>Fail</v>
      </c>
    </row>
    <row r="203" spans="8:13">
      <c r="H203" s="13">
        <f t="shared" si="11"/>
        <v>1</v>
      </c>
      <c r="J203" s="13">
        <f t="shared" si="12"/>
        <v>0</v>
      </c>
      <c r="K203" s="13">
        <f t="shared" si="13"/>
        <v>1</v>
      </c>
      <c r="L203" s="13" t="str" cm="1">
        <f t="array" ref="L203">_xlfn.IFS(J203&lt;1,"",J203=1,"Pass",J203&gt;1,_xlfn.TEXTJOIN("",TRUE,"Pass x",J203))</f>
        <v/>
      </c>
      <c r="M203" s="13" t="str" cm="1">
        <f t="array" ref="M203">_xlfn.IFS(K203&lt;1,"",K203=1,"Fail",K203&gt;1,_xlfn.TEXTJOIN("",TRUE,"Fail x",K203))</f>
        <v>Fail</v>
      </c>
    </row>
    <row r="204" spans="8:13">
      <c r="H204" s="13">
        <f t="shared" si="11"/>
        <v>1</v>
      </c>
      <c r="J204" s="13">
        <f t="shared" si="12"/>
        <v>0</v>
      </c>
      <c r="K204" s="13">
        <f t="shared" si="13"/>
        <v>1</v>
      </c>
      <c r="L204" s="13" t="str" cm="1">
        <f t="array" ref="L204">_xlfn.IFS(J204&lt;1,"",J204=1,"Pass",J204&gt;1,_xlfn.TEXTJOIN("",TRUE,"Pass x",J204))</f>
        <v/>
      </c>
      <c r="M204" s="13" t="str" cm="1">
        <f t="array" ref="M204">_xlfn.IFS(K204&lt;1,"",K204=1,"Fail",K204&gt;1,_xlfn.TEXTJOIN("",TRUE,"Fail x",K204))</f>
        <v>Fail</v>
      </c>
    </row>
    <row r="205" spans="8:13">
      <c r="H205" s="13">
        <f t="shared" si="11"/>
        <v>1</v>
      </c>
      <c r="J205" s="13">
        <f t="shared" si="12"/>
        <v>0</v>
      </c>
      <c r="K205" s="13">
        <f t="shared" si="13"/>
        <v>1</v>
      </c>
      <c r="L205" s="13" t="str" cm="1">
        <f t="array" ref="L205">_xlfn.IFS(J205&lt;1,"",J205=1,"Pass",J205&gt;1,_xlfn.TEXTJOIN("",TRUE,"Pass x",J205))</f>
        <v/>
      </c>
      <c r="M205" s="13" t="str" cm="1">
        <f t="array" ref="M205">_xlfn.IFS(K205&lt;1,"",K205=1,"Fail",K205&gt;1,_xlfn.TEXTJOIN("",TRUE,"Fail x",K205))</f>
        <v>Fail</v>
      </c>
    </row>
    <row r="206" spans="8:13">
      <c r="H206" s="13">
        <f t="shared" si="11"/>
        <v>1</v>
      </c>
      <c r="J206" s="13">
        <f t="shared" si="12"/>
        <v>0</v>
      </c>
      <c r="K206" s="13">
        <f t="shared" si="13"/>
        <v>1</v>
      </c>
      <c r="L206" s="13" t="str" cm="1">
        <f t="array" ref="L206">_xlfn.IFS(J206&lt;1,"",J206=1,"Pass",J206&gt;1,_xlfn.TEXTJOIN("",TRUE,"Pass x",J206))</f>
        <v/>
      </c>
      <c r="M206" s="13" t="str" cm="1">
        <f t="array" ref="M206">_xlfn.IFS(K206&lt;1,"",K206=1,"Fail",K206&gt;1,_xlfn.TEXTJOIN("",TRUE,"Fail x",K206))</f>
        <v>Fail</v>
      </c>
    </row>
    <row r="207" spans="8:13">
      <c r="H207" s="13">
        <f t="shared" si="11"/>
        <v>1</v>
      </c>
      <c r="J207" s="13">
        <f t="shared" si="12"/>
        <v>0</v>
      </c>
      <c r="K207" s="13">
        <f t="shared" si="13"/>
        <v>1</v>
      </c>
      <c r="L207" s="13" t="str" cm="1">
        <f t="array" ref="L207">_xlfn.IFS(J207&lt;1,"",J207=1,"Pass",J207&gt;1,_xlfn.TEXTJOIN("",TRUE,"Pass x",J207))</f>
        <v/>
      </c>
      <c r="M207" s="13" t="str" cm="1">
        <f t="array" ref="M207">_xlfn.IFS(K207&lt;1,"",K207=1,"Fail",K207&gt;1,_xlfn.TEXTJOIN("",TRUE,"Fail x",K207))</f>
        <v>Fail</v>
      </c>
    </row>
    <row r="208" spans="8:13">
      <c r="H208" s="13">
        <f t="shared" si="11"/>
        <v>1</v>
      </c>
      <c r="J208" s="13">
        <f t="shared" si="12"/>
        <v>0</v>
      </c>
      <c r="K208" s="13">
        <f t="shared" si="13"/>
        <v>1</v>
      </c>
      <c r="L208" s="13" t="str" cm="1">
        <f t="array" ref="L208">_xlfn.IFS(J208&lt;1,"",J208=1,"Pass",J208&gt;1,_xlfn.TEXTJOIN("",TRUE,"Pass x",J208))</f>
        <v/>
      </c>
      <c r="M208" s="13" t="str" cm="1">
        <f t="array" ref="M208">_xlfn.IFS(K208&lt;1,"",K208=1,"Fail",K208&gt;1,_xlfn.TEXTJOIN("",TRUE,"Fail x",K208))</f>
        <v>Fail</v>
      </c>
    </row>
    <row r="209" spans="8:13">
      <c r="H209" s="13">
        <f t="shared" si="11"/>
        <v>1</v>
      </c>
      <c r="J209" s="13">
        <f t="shared" si="12"/>
        <v>0</v>
      </c>
      <c r="K209" s="13">
        <f t="shared" si="13"/>
        <v>1</v>
      </c>
      <c r="L209" s="13" t="str" cm="1">
        <f t="array" ref="L209">_xlfn.IFS(J209&lt;1,"",J209=1,"Pass",J209&gt;1,_xlfn.TEXTJOIN("",TRUE,"Pass x",J209))</f>
        <v/>
      </c>
      <c r="M209" s="13" t="str" cm="1">
        <f t="array" ref="M209">_xlfn.IFS(K209&lt;1,"",K209=1,"Fail",K209&gt;1,_xlfn.TEXTJOIN("",TRUE,"Fail x",K209))</f>
        <v>Fail</v>
      </c>
    </row>
    <row r="210" spans="8:13">
      <c r="H210" s="13">
        <f t="shared" si="11"/>
        <v>1</v>
      </c>
      <c r="J210" s="13">
        <f t="shared" si="12"/>
        <v>0</v>
      </c>
      <c r="K210" s="13">
        <f t="shared" si="13"/>
        <v>1</v>
      </c>
      <c r="L210" s="13" t="str" cm="1">
        <f t="array" ref="L210">_xlfn.IFS(J210&lt;1,"",J210=1,"Pass",J210&gt;1,_xlfn.TEXTJOIN("",TRUE,"Pass x",J210))</f>
        <v/>
      </c>
      <c r="M210" s="13" t="str" cm="1">
        <f t="array" ref="M210">_xlfn.IFS(K210&lt;1,"",K210=1,"Fail",K210&gt;1,_xlfn.TEXTJOIN("",TRUE,"Fail x",K210))</f>
        <v>Fail</v>
      </c>
    </row>
    <row r="211" spans="8:13">
      <c r="H211" s="13">
        <f t="shared" si="11"/>
        <v>1</v>
      </c>
      <c r="J211" s="13">
        <f t="shared" si="12"/>
        <v>0</v>
      </c>
      <c r="K211" s="13">
        <f t="shared" si="13"/>
        <v>1</v>
      </c>
      <c r="L211" s="13" t="str" cm="1">
        <f t="array" ref="L211">_xlfn.IFS(J211&lt;1,"",J211=1,"Pass",J211&gt;1,_xlfn.TEXTJOIN("",TRUE,"Pass x",J211))</f>
        <v/>
      </c>
      <c r="M211" s="13" t="str" cm="1">
        <f t="array" ref="M211">_xlfn.IFS(K211&lt;1,"",K211=1,"Fail",K211&gt;1,_xlfn.TEXTJOIN("",TRUE,"Fail x",K211))</f>
        <v>Fail</v>
      </c>
    </row>
    <row r="212" spans="8:13">
      <c r="H212" s="13">
        <f t="shared" si="11"/>
        <v>1</v>
      </c>
      <c r="J212" s="13">
        <f t="shared" si="12"/>
        <v>0</v>
      </c>
      <c r="K212" s="13">
        <f t="shared" si="13"/>
        <v>1</v>
      </c>
      <c r="L212" s="13" t="str" cm="1">
        <f t="array" ref="L212">_xlfn.IFS(J212&lt;1,"",J212=1,"Pass",J212&gt;1,_xlfn.TEXTJOIN("",TRUE,"Pass x",J212))</f>
        <v/>
      </c>
      <c r="M212" s="13" t="str" cm="1">
        <f t="array" ref="M212">_xlfn.IFS(K212&lt;1,"",K212=1,"Fail",K212&gt;1,_xlfn.TEXTJOIN("",TRUE,"Fail x",K212))</f>
        <v>Fail</v>
      </c>
    </row>
    <row r="213" spans="8:13">
      <c r="H213" s="13">
        <f t="shared" si="11"/>
        <v>1</v>
      </c>
      <c r="J213" s="13">
        <f t="shared" si="12"/>
        <v>0</v>
      </c>
      <c r="K213" s="13">
        <f t="shared" si="13"/>
        <v>1</v>
      </c>
      <c r="L213" s="13" t="str" cm="1">
        <f t="array" ref="L213">_xlfn.IFS(J213&lt;1,"",J213=1,"Pass",J213&gt;1,_xlfn.TEXTJOIN("",TRUE,"Pass x",J213))</f>
        <v/>
      </c>
      <c r="M213" s="13" t="str" cm="1">
        <f t="array" ref="M213">_xlfn.IFS(K213&lt;1,"",K213=1,"Fail",K213&gt;1,_xlfn.TEXTJOIN("",TRUE,"Fail x",K213))</f>
        <v>Fail</v>
      </c>
    </row>
    <row r="214" spans="8:13">
      <c r="H214" s="13">
        <f t="shared" si="11"/>
        <v>1</v>
      </c>
      <c r="J214" s="13">
        <f t="shared" si="12"/>
        <v>0</v>
      </c>
      <c r="K214" s="13">
        <f t="shared" si="13"/>
        <v>1</v>
      </c>
      <c r="L214" s="13" t="str" cm="1">
        <f t="array" ref="L214">_xlfn.IFS(J214&lt;1,"",J214=1,"Pass",J214&gt;1,_xlfn.TEXTJOIN("",TRUE,"Pass x",J214))</f>
        <v/>
      </c>
      <c r="M214" s="13" t="str" cm="1">
        <f t="array" ref="M214">_xlfn.IFS(K214&lt;1,"",K214=1,"Fail",K214&gt;1,_xlfn.TEXTJOIN("",TRUE,"Fail x",K214))</f>
        <v>Fail</v>
      </c>
    </row>
    <row r="215" spans="8:13">
      <c r="H215" s="13">
        <f t="shared" si="11"/>
        <v>1</v>
      </c>
      <c r="J215" s="13">
        <f t="shared" si="12"/>
        <v>0</v>
      </c>
      <c r="K215" s="13">
        <f t="shared" si="13"/>
        <v>1</v>
      </c>
      <c r="L215" s="13" t="str" cm="1">
        <f t="array" ref="L215">_xlfn.IFS(J215&lt;1,"",J215=1,"Pass",J215&gt;1,_xlfn.TEXTJOIN("",TRUE,"Pass x",J215))</f>
        <v/>
      </c>
      <c r="M215" s="13" t="str" cm="1">
        <f t="array" ref="M215">_xlfn.IFS(K215&lt;1,"",K215=1,"Fail",K215&gt;1,_xlfn.TEXTJOIN("",TRUE,"Fail x",K215))</f>
        <v>Fail</v>
      </c>
    </row>
    <row r="216" spans="8:13">
      <c r="H216" s="13">
        <f t="shared" si="11"/>
        <v>1</v>
      </c>
      <c r="J216" s="13">
        <f t="shared" si="12"/>
        <v>0</v>
      </c>
      <c r="K216" s="13">
        <f t="shared" si="13"/>
        <v>1</v>
      </c>
      <c r="L216" s="13" t="str" cm="1">
        <f t="array" ref="L216">_xlfn.IFS(J216&lt;1,"",J216=1,"Pass",J216&gt;1,_xlfn.TEXTJOIN("",TRUE,"Pass x",J216))</f>
        <v/>
      </c>
      <c r="M216" s="13" t="str" cm="1">
        <f t="array" ref="M216">_xlfn.IFS(K216&lt;1,"",K216=1,"Fail",K216&gt;1,_xlfn.TEXTJOIN("",TRUE,"Fail x",K216))</f>
        <v>Fail</v>
      </c>
    </row>
    <row r="217" spans="8:13">
      <c r="H217" s="13">
        <f t="shared" si="11"/>
        <v>1</v>
      </c>
      <c r="J217" s="13">
        <f t="shared" si="12"/>
        <v>0</v>
      </c>
      <c r="K217" s="13">
        <f t="shared" si="13"/>
        <v>1</v>
      </c>
      <c r="L217" s="13" t="str" cm="1">
        <f t="array" ref="L217">_xlfn.IFS(J217&lt;1,"",J217=1,"Pass",J217&gt;1,_xlfn.TEXTJOIN("",TRUE,"Pass x",J217))</f>
        <v/>
      </c>
      <c r="M217" s="13" t="str" cm="1">
        <f t="array" ref="M217">_xlfn.IFS(K217&lt;1,"",K217=1,"Fail",K217&gt;1,_xlfn.TEXTJOIN("",TRUE,"Fail x",K217))</f>
        <v>Fail</v>
      </c>
    </row>
    <row r="218" spans="8:13">
      <c r="H218" s="13">
        <f t="shared" si="11"/>
        <v>1</v>
      </c>
      <c r="J218" s="13">
        <f t="shared" si="12"/>
        <v>0</v>
      </c>
      <c r="K218" s="13">
        <f t="shared" si="13"/>
        <v>1</v>
      </c>
      <c r="L218" s="13" t="str" cm="1">
        <f t="array" ref="L218">_xlfn.IFS(J218&lt;1,"",J218=1,"Pass",J218&gt;1,_xlfn.TEXTJOIN("",TRUE,"Pass x",J218))</f>
        <v/>
      </c>
      <c r="M218" s="13" t="str" cm="1">
        <f t="array" ref="M218">_xlfn.IFS(K218&lt;1,"",K218=1,"Fail",K218&gt;1,_xlfn.TEXTJOIN("",TRUE,"Fail x",K218))</f>
        <v>Fail</v>
      </c>
    </row>
    <row r="219" spans="8:13">
      <c r="H219" s="13">
        <f t="shared" si="11"/>
        <v>1</v>
      </c>
      <c r="J219" s="13">
        <f t="shared" si="12"/>
        <v>0</v>
      </c>
      <c r="K219" s="13">
        <f t="shared" si="13"/>
        <v>1</v>
      </c>
      <c r="L219" s="13" t="str" cm="1">
        <f t="array" ref="L219">_xlfn.IFS(J219&lt;1,"",J219=1,"Pass",J219&gt;1,_xlfn.TEXTJOIN("",TRUE,"Pass x",J219))</f>
        <v/>
      </c>
      <c r="M219" s="13" t="str" cm="1">
        <f t="array" ref="M219">_xlfn.IFS(K219&lt;1,"",K219=1,"Fail",K219&gt;1,_xlfn.TEXTJOIN("",TRUE,"Fail x",K219))</f>
        <v>Fail</v>
      </c>
    </row>
    <row r="220" spans="8:13">
      <c r="H220" s="13">
        <f t="shared" si="11"/>
        <v>1</v>
      </c>
      <c r="J220" s="13">
        <f t="shared" si="12"/>
        <v>0</v>
      </c>
      <c r="K220" s="13">
        <f t="shared" si="13"/>
        <v>1</v>
      </c>
      <c r="L220" s="13" t="str" cm="1">
        <f t="array" ref="L220">_xlfn.IFS(J220&lt;1,"",J220=1,"Pass",J220&gt;1,_xlfn.TEXTJOIN("",TRUE,"Pass x",J220))</f>
        <v/>
      </c>
      <c r="M220" s="13" t="str" cm="1">
        <f t="array" ref="M220">_xlfn.IFS(K220&lt;1,"",K220=1,"Fail",K220&gt;1,_xlfn.TEXTJOIN("",TRUE,"Fail x",K220))</f>
        <v>Fail</v>
      </c>
    </row>
    <row r="221" spans="8:13">
      <c r="H221" s="13">
        <f t="shared" si="11"/>
        <v>1</v>
      </c>
      <c r="J221" s="13">
        <f t="shared" si="12"/>
        <v>0</v>
      </c>
      <c r="K221" s="13">
        <f t="shared" si="13"/>
        <v>1</v>
      </c>
      <c r="L221" s="13" t="str" cm="1">
        <f t="array" ref="L221">_xlfn.IFS(J221&lt;1,"",J221=1,"Pass",J221&gt;1,_xlfn.TEXTJOIN("",TRUE,"Pass x",J221))</f>
        <v/>
      </c>
      <c r="M221" s="13" t="str" cm="1">
        <f t="array" ref="M221">_xlfn.IFS(K221&lt;1,"",K221=1,"Fail",K221&gt;1,_xlfn.TEXTJOIN("",TRUE,"Fail x",K221))</f>
        <v>Fail</v>
      </c>
    </row>
    <row r="222" spans="8:13">
      <c r="H222" s="13">
        <f t="shared" si="11"/>
        <v>1</v>
      </c>
      <c r="J222" s="13">
        <f t="shared" si="12"/>
        <v>0</v>
      </c>
      <c r="K222" s="13">
        <f t="shared" si="13"/>
        <v>1</v>
      </c>
      <c r="L222" s="13" t="str" cm="1">
        <f t="array" ref="L222">_xlfn.IFS(J222&lt;1,"",J222=1,"Pass",J222&gt;1,_xlfn.TEXTJOIN("",TRUE,"Pass x",J222))</f>
        <v/>
      </c>
      <c r="M222" s="13" t="str" cm="1">
        <f t="array" ref="M222">_xlfn.IFS(K222&lt;1,"",K222=1,"Fail",K222&gt;1,_xlfn.TEXTJOIN("",TRUE,"Fail x",K222))</f>
        <v>Fail</v>
      </c>
    </row>
    <row r="223" spans="8:13">
      <c r="H223" s="13">
        <f t="shared" si="11"/>
        <v>1</v>
      </c>
      <c r="J223" s="13">
        <f t="shared" si="12"/>
        <v>0</v>
      </c>
      <c r="K223" s="13">
        <f t="shared" si="13"/>
        <v>1</v>
      </c>
      <c r="L223" s="13" t="str" cm="1">
        <f t="array" ref="L223">_xlfn.IFS(J223&lt;1,"",J223=1,"Pass",J223&gt;1,_xlfn.TEXTJOIN("",TRUE,"Pass x",J223))</f>
        <v/>
      </c>
      <c r="M223" s="13" t="str" cm="1">
        <f t="array" ref="M223">_xlfn.IFS(K223&lt;1,"",K223=1,"Fail",K223&gt;1,_xlfn.TEXTJOIN("",TRUE,"Fail x",K223))</f>
        <v>Fail</v>
      </c>
    </row>
    <row r="224" spans="8:13">
      <c r="H224" s="13">
        <f t="shared" si="11"/>
        <v>1</v>
      </c>
      <c r="J224" s="13">
        <f t="shared" si="12"/>
        <v>0</v>
      </c>
      <c r="K224" s="13">
        <f t="shared" si="13"/>
        <v>1</v>
      </c>
      <c r="L224" s="13" t="str" cm="1">
        <f t="array" ref="L224">_xlfn.IFS(J224&lt;1,"",J224=1,"Pass",J224&gt;1,_xlfn.TEXTJOIN("",TRUE,"Pass x",J224))</f>
        <v/>
      </c>
      <c r="M224" s="13" t="str" cm="1">
        <f t="array" ref="M224">_xlfn.IFS(K224&lt;1,"",K224=1,"Fail",K224&gt;1,_xlfn.TEXTJOIN("",TRUE,"Fail x",K224))</f>
        <v>Fail</v>
      </c>
    </row>
    <row r="225" spans="8:13">
      <c r="H225" s="13">
        <f t="shared" si="11"/>
        <v>1</v>
      </c>
      <c r="J225" s="13">
        <f t="shared" si="12"/>
        <v>0</v>
      </c>
      <c r="K225" s="13">
        <f t="shared" si="13"/>
        <v>1</v>
      </c>
      <c r="L225" s="13" t="str" cm="1">
        <f t="array" ref="L225">_xlfn.IFS(J225&lt;1,"",J225=1,"Pass",J225&gt;1,_xlfn.TEXTJOIN("",TRUE,"Pass x",J225))</f>
        <v/>
      </c>
      <c r="M225" s="13" t="str" cm="1">
        <f t="array" ref="M225">_xlfn.IFS(K225&lt;1,"",K225=1,"Fail",K225&gt;1,_xlfn.TEXTJOIN("",TRUE,"Fail x",K225))</f>
        <v>Fail</v>
      </c>
    </row>
    <row r="226" spans="8:13">
      <c r="H226" s="13">
        <f t="shared" si="11"/>
        <v>1</v>
      </c>
      <c r="J226" s="13">
        <f t="shared" si="12"/>
        <v>0</v>
      </c>
      <c r="K226" s="13">
        <f t="shared" si="13"/>
        <v>1</v>
      </c>
      <c r="L226" s="13" t="str" cm="1">
        <f t="array" ref="L226">_xlfn.IFS(J226&lt;1,"",J226=1,"Pass",J226&gt;1,_xlfn.TEXTJOIN("",TRUE,"Pass x",J226))</f>
        <v/>
      </c>
      <c r="M226" s="13" t="str" cm="1">
        <f t="array" ref="M226">_xlfn.IFS(K226&lt;1,"",K226=1,"Fail",K226&gt;1,_xlfn.TEXTJOIN("",TRUE,"Fail x",K226))</f>
        <v>Fail</v>
      </c>
    </row>
    <row r="227" spans="8:13">
      <c r="H227" s="13">
        <f t="shared" si="11"/>
        <v>1</v>
      </c>
      <c r="J227" s="13">
        <f t="shared" si="12"/>
        <v>0</v>
      </c>
      <c r="K227" s="13">
        <f t="shared" si="13"/>
        <v>1</v>
      </c>
      <c r="L227" s="13" t="str" cm="1">
        <f t="array" ref="L227">_xlfn.IFS(J227&lt;1,"",J227=1,"Pass",J227&gt;1,_xlfn.TEXTJOIN("",TRUE,"Pass x",J227))</f>
        <v/>
      </c>
      <c r="M227" s="13" t="str" cm="1">
        <f t="array" ref="M227">_xlfn.IFS(K227&lt;1,"",K227=1,"Fail",K227&gt;1,_xlfn.TEXTJOIN("",TRUE,"Fail x",K227))</f>
        <v>Fail</v>
      </c>
    </row>
    <row r="228" spans="8:13">
      <c r="H228" s="13">
        <f t="shared" si="11"/>
        <v>1</v>
      </c>
      <c r="J228" s="13">
        <f t="shared" si="12"/>
        <v>0</v>
      </c>
      <c r="K228" s="13">
        <f t="shared" si="13"/>
        <v>1</v>
      </c>
      <c r="L228" s="13" t="str" cm="1">
        <f t="array" ref="L228">_xlfn.IFS(J228&lt;1,"",J228=1,"Pass",J228&gt;1,_xlfn.TEXTJOIN("",TRUE,"Pass x",J228))</f>
        <v/>
      </c>
      <c r="M228" s="13" t="str" cm="1">
        <f t="array" ref="M228">_xlfn.IFS(K228&lt;1,"",K228=1,"Fail",K228&gt;1,_xlfn.TEXTJOIN("",TRUE,"Fail x",K228))</f>
        <v>Fail</v>
      </c>
    </row>
    <row r="229" spans="8:13">
      <c r="H229" s="13">
        <f t="shared" si="11"/>
        <v>1</v>
      </c>
      <c r="J229" s="13">
        <f t="shared" si="12"/>
        <v>0</v>
      </c>
      <c r="K229" s="13">
        <f t="shared" si="13"/>
        <v>1</v>
      </c>
      <c r="L229" s="13" t="str" cm="1">
        <f t="array" ref="L229">_xlfn.IFS(J229&lt;1,"",J229=1,"Pass",J229&gt;1,_xlfn.TEXTJOIN("",TRUE,"Pass x",J229))</f>
        <v/>
      </c>
      <c r="M229" s="13" t="str" cm="1">
        <f t="array" ref="M229">_xlfn.IFS(K229&lt;1,"",K229=1,"Fail",K229&gt;1,_xlfn.TEXTJOIN("",TRUE,"Fail x",K229))</f>
        <v>Fail</v>
      </c>
    </row>
    <row r="230" spans="8:13">
      <c r="H230" s="13">
        <f t="shared" si="11"/>
        <v>1</v>
      </c>
      <c r="J230" s="13">
        <f t="shared" si="12"/>
        <v>0</v>
      </c>
      <c r="K230" s="13">
        <f t="shared" si="13"/>
        <v>1</v>
      </c>
      <c r="L230" s="13" t="str" cm="1">
        <f t="array" ref="L230">_xlfn.IFS(J230&lt;1,"",J230=1,"Pass",J230&gt;1,_xlfn.TEXTJOIN("",TRUE,"Pass x",J230))</f>
        <v/>
      </c>
      <c r="M230" s="13" t="str" cm="1">
        <f t="array" ref="M230">_xlfn.IFS(K230&lt;1,"",K230=1,"Fail",K230&gt;1,_xlfn.TEXTJOIN("",TRUE,"Fail x",K230))</f>
        <v>Fail</v>
      </c>
    </row>
    <row r="231" spans="8:13">
      <c r="H231" s="13">
        <f t="shared" si="11"/>
        <v>1</v>
      </c>
      <c r="J231" s="13">
        <f t="shared" si="12"/>
        <v>0</v>
      </c>
      <c r="K231" s="13">
        <f t="shared" si="13"/>
        <v>1</v>
      </c>
      <c r="L231" s="13" t="str" cm="1">
        <f t="array" ref="L231">_xlfn.IFS(J231&lt;1,"",J231=1,"Pass",J231&gt;1,_xlfn.TEXTJOIN("",TRUE,"Pass x",J231))</f>
        <v/>
      </c>
      <c r="M231" s="13" t="str" cm="1">
        <f t="array" ref="M231">_xlfn.IFS(K231&lt;1,"",K231=1,"Fail",K231&gt;1,_xlfn.TEXTJOIN("",TRUE,"Fail x",K231))</f>
        <v>Fail</v>
      </c>
    </row>
    <row r="232" spans="8:13">
      <c r="H232" s="13">
        <f t="shared" si="11"/>
        <v>1</v>
      </c>
      <c r="J232" s="13">
        <f t="shared" si="12"/>
        <v>0</v>
      </c>
      <c r="K232" s="13">
        <f t="shared" si="13"/>
        <v>1</v>
      </c>
      <c r="L232" s="13" t="str" cm="1">
        <f t="array" ref="L232">_xlfn.IFS(J232&lt;1,"",J232=1,"Pass",J232&gt;1,_xlfn.TEXTJOIN("",TRUE,"Pass x",J232))</f>
        <v/>
      </c>
      <c r="M232" s="13" t="str" cm="1">
        <f t="array" ref="M232">_xlfn.IFS(K232&lt;1,"",K232=1,"Fail",K232&gt;1,_xlfn.TEXTJOIN("",TRUE,"Fail x",K232))</f>
        <v>Fail</v>
      </c>
    </row>
    <row r="233" spans="8:13">
      <c r="H233" s="13">
        <f t="shared" si="11"/>
        <v>1</v>
      </c>
      <c r="J233" s="13">
        <f t="shared" si="12"/>
        <v>0</v>
      </c>
      <c r="K233" s="13">
        <f t="shared" si="13"/>
        <v>1</v>
      </c>
      <c r="L233" s="13" t="str" cm="1">
        <f t="array" ref="L233">_xlfn.IFS(J233&lt;1,"",J233=1,"Pass",J233&gt;1,_xlfn.TEXTJOIN("",TRUE,"Pass x",J233))</f>
        <v/>
      </c>
      <c r="M233" s="13" t="str" cm="1">
        <f t="array" ref="M233">_xlfn.IFS(K233&lt;1,"",K233=1,"Fail",K233&gt;1,_xlfn.TEXTJOIN("",TRUE,"Fail x",K233))</f>
        <v>Fail</v>
      </c>
    </row>
    <row r="234" spans="8:13">
      <c r="H234" s="13">
        <f t="shared" si="11"/>
        <v>1</v>
      </c>
      <c r="J234" s="13">
        <f t="shared" si="12"/>
        <v>0</v>
      </c>
      <c r="K234" s="13">
        <f t="shared" si="13"/>
        <v>1</v>
      </c>
      <c r="L234" s="13" t="str" cm="1">
        <f t="array" ref="L234">_xlfn.IFS(J234&lt;1,"",J234=1,"Pass",J234&gt;1,_xlfn.TEXTJOIN("",TRUE,"Pass x",J234))</f>
        <v/>
      </c>
      <c r="M234" s="13" t="str" cm="1">
        <f t="array" ref="M234">_xlfn.IFS(K234&lt;1,"",K234=1,"Fail",K234&gt;1,_xlfn.TEXTJOIN("",TRUE,"Fail x",K234))</f>
        <v>Fail</v>
      </c>
    </row>
    <row r="235" spans="8:13">
      <c r="H235" s="13">
        <f t="shared" si="11"/>
        <v>1</v>
      </c>
      <c r="J235" s="13">
        <f t="shared" si="12"/>
        <v>0</v>
      </c>
      <c r="K235" s="13">
        <f t="shared" si="13"/>
        <v>1</v>
      </c>
      <c r="L235" s="13" t="str" cm="1">
        <f t="array" ref="L235">_xlfn.IFS(J235&lt;1,"",J235=1,"Pass",J235&gt;1,_xlfn.TEXTJOIN("",TRUE,"Pass x",J235))</f>
        <v/>
      </c>
      <c r="M235" s="13" t="str" cm="1">
        <f t="array" ref="M235">_xlfn.IFS(K235&lt;1,"",K235=1,"Fail",K235&gt;1,_xlfn.TEXTJOIN("",TRUE,"Fail x",K235))</f>
        <v>Fail</v>
      </c>
    </row>
    <row r="236" spans="8:13">
      <c r="H236" s="13">
        <f t="shared" si="11"/>
        <v>1</v>
      </c>
      <c r="J236" s="13">
        <f t="shared" si="12"/>
        <v>0</v>
      </c>
      <c r="K236" s="13">
        <f t="shared" si="13"/>
        <v>1</v>
      </c>
      <c r="L236" s="13" t="str" cm="1">
        <f t="array" ref="L236">_xlfn.IFS(J236&lt;1,"",J236=1,"Pass",J236&gt;1,_xlfn.TEXTJOIN("",TRUE,"Pass x",J236))</f>
        <v/>
      </c>
    </row>
    <row r="237" spans="8:13">
      <c r="H237" s="13">
        <f t="shared" si="11"/>
        <v>1</v>
      </c>
      <c r="J237" s="13">
        <f t="shared" si="12"/>
        <v>0</v>
      </c>
      <c r="K237" s="13">
        <f t="shared" si="13"/>
        <v>1</v>
      </c>
      <c r="L237" s="13" t="str" cm="1">
        <f t="array" ref="L237">_xlfn.IFS(J237&lt;1,"",J237=1,"Pass",J237&gt;1,_xlfn.TEXTJOIN("",TRUE,"Pass x",J237))</f>
        <v/>
      </c>
    </row>
    <row r="238" spans="8:13">
      <c r="H238" s="13">
        <f t="shared" si="11"/>
        <v>1</v>
      </c>
      <c r="J238" s="13">
        <f t="shared" si="12"/>
        <v>0</v>
      </c>
      <c r="K238" s="13">
        <f t="shared" si="13"/>
        <v>1</v>
      </c>
      <c r="L238" s="13" t="str" cm="1">
        <f t="array" ref="L238">_xlfn.IFS(J238&lt;1,"",J238=1,"Pass",J238&gt;1,_xlfn.TEXTJOIN("",TRUE,"Pass x",J238))</f>
        <v/>
      </c>
    </row>
    <row r="239" spans="8:13">
      <c r="H239" s="13">
        <f t="shared" si="11"/>
        <v>1</v>
      </c>
      <c r="J239" s="13">
        <f t="shared" si="12"/>
        <v>0</v>
      </c>
      <c r="K239" s="13">
        <f t="shared" si="13"/>
        <v>1</v>
      </c>
      <c r="L239" s="13" t="str" cm="1">
        <f t="array" ref="L239">_xlfn.IFS(J239&lt;1,"",J239=1,"Pass",J239&gt;1,_xlfn.TEXTJOIN("",TRUE,"Pass x",J239))</f>
        <v/>
      </c>
    </row>
    <row r="240" spans="8:13">
      <c r="H240" s="13">
        <f t="shared" si="11"/>
        <v>1</v>
      </c>
      <c r="J240" s="13">
        <f t="shared" si="12"/>
        <v>0</v>
      </c>
      <c r="K240" s="13">
        <f t="shared" si="13"/>
        <v>1</v>
      </c>
      <c r="L240" s="13" t="str" cm="1">
        <f t="array" ref="L240">_xlfn.IFS(J240&lt;1,"",J240=1,"Pass",J240&gt;1,_xlfn.TEXTJOIN("",TRUE,"Pass x",J240))</f>
        <v/>
      </c>
    </row>
    <row r="241" spans="8:12">
      <c r="H241" s="13">
        <f t="shared" si="11"/>
        <v>1</v>
      </c>
      <c r="J241" s="13">
        <f t="shared" si="12"/>
        <v>0</v>
      </c>
      <c r="K241" s="13">
        <f t="shared" si="13"/>
        <v>1</v>
      </c>
      <c r="L241" s="13" t="str" cm="1">
        <f t="array" ref="L241">_xlfn.IFS(J241&lt;1,"",J241=1,"Pass",J241&gt;1,_xlfn.TEXTJOIN("",TRUE,"Pass x",J241))</f>
        <v/>
      </c>
    </row>
    <row r="242" spans="8:12">
      <c r="H242" s="13">
        <f t="shared" si="11"/>
        <v>1</v>
      </c>
      <c r="J242" s="13">
        <f t="shared" si="12"/>
        <v>0</v>
      </c>
      <c r="K242" s="13">
        <f t="shared" si="13"/>
        <v>1</v>
      </c>
      <c r="L242" s="13" t="str" cm="1">
        <f t="array" ref="L242">_xlfn.IFS(J242&lt;1,"",J242=1,"Pass",J242&gt;1,_xlfn.TEXTJOIN("",TRUE,"Pass x",J242))</f>
        <v/>
      </c>
    </row>
    <row r="243" spans="8:12">
      <c r="H243" s="13">
        <f t="shared" si="11"/>
        <v>1</v>
      </c>
      <c r="J243" s="13">
        <f t="shared" si="12"/>
        <v>0</v>
      </c>
      <c r="K243" s="13">
        <f t="shared" si="13"/>
        <v>1</v>
      </c>
      <c r="L243" s="13" t="str" cm="1">
        <f t="array" ref="L243">_xlfn.IFS(J243&lt;1,"",J243=1,"Pass",J243&gt;1,_xlfn.TEXTJOIN("",TRUE,"Pass x",J243))</f>
        <v/>
      </c>
    </row>
    <row r="244" spans="8:12">
      <c r="H244" s="13">
        <f t="shared" si="11"/>
        <v>1</v>
      </c>
      <c r="J244" s="13">
        <f t="shared" si="12"/>
        <v>0</v>
      </c>
      <c r="K244" s="13">
        <f t="shared" si="13"/>
        <v>1</v>
      </c>
      <c r="L244" s="13" t="str" cm="1">
        <f t="array" ref="L244">_xlfn.IFS(J244&lt;1,"",J244=1,"Pass",J244&gt;1,_xlfn.TEXTJOIN("",TRUE,"Pass x",J244))</f>
        <v/>
      </c>
    </row>
    <row r="245" spans="8:12">
      <c r="H245" s="13">
        <f t="shared" si="11"/>
        <v>1</v>
      </c>
      <c r="J245" s="13">
        <f t="shared" si="12"/>
        <v>0</v>
      </c>
      <c r="K245" s="13">
        <f t="shared" si="13"/>
        <v>1</v>
      </c>
      <c r="L245" s="13" t="str" cm="1">
        <f t="array" ref="L245">_xlfn.IFS(J245&lt;1,"",J245=1,"Pass",J245&gt;1,_xlfn.TEXTJOIN("",TRUE,"Pass x",J245))</f>
        <v/>
      </c>
    </row>
    <row r="246" spans="8:12">
      <c r="H246" s="13">
        <f t="shared" si="11"/>
        <v>1</v>
      </c>
      <c r="J246" s="13">
        <f t="shared" si="12"/>
        <v>0</v>
      </c>
      <c r="K246" s="13">
        <f t="shared" si="13"/>
        <v>1</v>
      </c>
      <c r="L246" s="13" t="str" cm="1">
        <f t="array" ref="L246">_xlfn.IFS(J246&lt;1,"",J246=1,"Pass",J246&gt;1,_xlfn.TEXTJOIN("",TRUE,"Pass x",J246))</f>
        <v/>
      </c>
    </row>
    <row r="247" spans="8:12">
      <c r="H247" s="13">
        <f t="shared" si="11"/>
        <v>1</v>
      </c>
      <c r="J247" s="13">
        <f t="shared" si="12"/>
        <v>0</v>
      </c>
      <c r="K247" s="13">
        <f t="shared" si="13"/>
        <v>1</v>
      </c>
      <c r="L247" s="13" t="str" cm="1">
        <f t="array" ref="L247">_xlfn.IFS(J247&lt;1,"",J247=1,"Pass",J247&gt;1,_xlfn.TEXTJOIN("",TRUE,"Pass x",J247))</f>
        <v/>
      </c>
    </row>
    <row r="248" spans="8:12">
      <c r="H248" s="13">
        <f t="shared" si="11"/>
        <v>1</v>
      </c>
      <c r="J248" s="13">
        <f t="shared" si="12"/>
        <v>0</v>
      </c>
      <c r="K248" s="13">
        <f t="shared" si="13"/>
        <v>1</v>
      </c>
      <c r="L248" s="13" t="str" cm="1">
        <f t="array" ref="L248">_xlfn.IFS(J248&lt;1,"",J248=1,"Pass",J248&gt;1,_xlfn.TEXTJOIN("",TRUE,"Pass x",J248))</f>
        <v/>
      </c>
    </row>
    <row r="249" spans="8:12">
      <c r="H249" s="13">
        <f t="shared" si="11"/>
        <v>1</v>
      </c>
      <c r="J249" s="13">
        <f t="shared" si="12"/>
        <v>0</v>
      </c>
      <c r="K249" s="13">
        <f t="shared" si="13"/>
        <v>1</v>
      </c>
      <c r="L249" s="13" t="str" cm="1">
        <f t="array" ref="L249">_xlfn.IFS(J249&lt;1,"",J249=1,"Pass",J249&gt;1,_xlfn.TEXTJOIN("",TRUE,"Pass x",J249))</f>
        <v/>
      </c>
    </row>
    <row r="250" spans="8:12">
      <c r="H250" s="13">
        <f t="shared" si="11"/>
        <v>1</v>
      </c>
      <c r="J250" s="13">
        <f t="shared" si="12"/>
        <v>0</v>
      </c>
      <c r="K250" s="13">
        <f t="shared" si="13"/>
        <v>1</v>
      </c>
      <c r="L250" s="13" t="str" cm="1">
        <f t="array" ref="L250">_xlfn.IFS(J250&lt;1,"",J250=1,"Pass",J250&gt;1,_xlfn.TEXTJOIN("",TRUE,"Pass x",J250))</f>
        <v/>
      </c>
    </row>
    <row r="251" spans="8:12">
      <c r="H251" s="13">
        <f t="shared" si="11"/>
        <v>1</v>
      </c>
      <c r="J251" s="13">
        <f t="shared" si="12"/>
        <v>0</v>
      </c>
      <c r="K251" s="13">
        <f t="shared" si="13"/>
        <v>1</v>
      </c>
      <c r="L251" s="13" t="str" cm="1">
        <f t="array" ref="L251">_xlfn.IFS(J251&lt;1,"",J251=1,"Pass",J251&gt;1,_xlfn.TEXTJOIN("",TRUE,"Pass x",J251))</f>
        <v/>
      </c>
    </row>
    <row r="252" spans="8:12">
      <c r="H252" s="13">
        <f t="shared" si="11"/>
        <v>1</v>
      </c>
      <c r="J252" s="13">
        <f t="shared" si="12"/>
        <v>0</v>
      </c>
      <c r="K252" s="13">
        <f t="shared" si="13"/>
        <v>1</v>
      </c>
      <c r="L252" s="13" t="str" cm="1">
        <f t="array" ref="L252">_xlfn.IFS(J252&lt;1,"",J252=1,"Pass",J252&gt;1,_xlfn.TEXTJOIN("",TRUE,"Pass x",J252))</f>
        <v/>
      </c>
    </row>
    <row r="253" spans="8:12">
      <c r="H253" s="13">
        <f t="shared" si="11"/>
        <v>1</v>
      </c>
      <c r="J253" s="13">
        <f t="shared" si="12"/>
        <v>0</v>
      </c>
      <c r="K253" s="13">
        <f t="shared" si="13"/>
        <v>1</v>
      </c>
      <c r="L253" s="13" t="str" cm="1">
        <f t="array" ref="L253">_xlfn.IFS(J253&lt;1,"",J253=1,"Pass",J253&gt;1,_xlfn.TEXTJOIN("",TRUE,"Pass x",J253))</f>
        <v/>
      </c>
    </row>
    <row r="254" spans="8:12">
      <c r="H254" s="13">
        <f t="shared" si="11"/>
        <v>1</v>
      </c>
      <c r="J254" s="13">
        <f t="shared" si="12"/>
        <v>0</v>
      </c>
    </row>
    <row r="255" spans="8:12">
      <c r="H255" s="13">
        <f t="shared" si="11"/>
        <v>1</v>
      </c>
      <c r="J255" s="13">
        <f t="shared" si="12"/>
        <v>0</v>
      </c>
    </row>
    <row r="256" spans="8:12">
      <c r="H256" s="13">
        <f t="shared" si="11"/>
        <v>1</v>
      </c>
      <c r="J256" s="13">
        <f t="shared" si="12"/>
        <v>0</v>
      </c>
    </row>
    <row r="257" spans="8:10">
      <c r="H257" s="13">
        <f t="shared" si="11"/>
        <v>1</v>
      </c>
      <c r="J257" s="13">
        <f t="shared" si="12"/>
        <v>0</v>
      </c>
    </row>
    <row r="258" spans="8:10">
      <c r="H258" s="13">
        <f t="shared" si="11"/>
        <v>1</v>
      </c>
      <c r="J258" s="13">
        <f t="shared" si="12"/>
        <v>0</v>
      </c>
    </row>
    <row r="259" spans="8:10">
      <c r="H259" s="13">
        <f t="shared" ref="H259:H322" si="14">IFERROR(GETPIVOTDATA("Successful / Failed",$A$1,"System serial",G259),0)</f>
        <v>1</v>
      </c>
      <c r="J259" s="13">
        <f t="shared" ref="J259:J322" si="15">IFERROR(GETPIVOTDATA("Successful / Failed",$A$1,"System serial",G259,"Successful / Failed","Successful"),0)</f>
        <v>0</v>
      </c>
    </row>
    <row r="260" spans="8:10">
      <c r="H260" s="13">
        <f t="shared" si="14"/>
        <v>1</v>
      </c>
      <c r="J260" s="13">
        <f t="shared" si="15"/>
        <v>0</v>
      </c>
    </row>
    <row r="261" spans="8:10">
      <c r="H261" s="13">
        <f t="shared" si="14"/>
        <v>1</v>
      </c>
      <c r="J261" s="13">
        <f t="shared" si="15"/>
        <v>0</v>
      </c>
    </row>
    <row r="262" spans="8:10">
      <c r="H262" s="13">
        <f t="shared" si="14"/>
        <v>1</v>
      </c>
      <c r="J262" s="13">
        <f t="shared" si="15"/>
        <v>0</v>
      </c>
    </row>
    <row r="263" spans="8:10">
      <c r="H263" s="13">
        <f t="shared" si="14"/>
        <v>1</v>
      </c>
      <c r="J263" s="13">
        <f t="shared" si="15"/>
        <v>0</v>
      </c>
    </row>
    <row r="264" spans="8:10">
      <c r="H264" s="13">
        <f t="shared" si="14"/>
        <v>1</v>
      </c>
      <c r="J264" s="13">
        <f t="shared" si="15"/>
        <v>0</v>
      </c>
    </row>
    <row r="265" spans="8:10">
      <c r="H265" s="13">
        <f t="shared" si="14"/>
        <v>1</v>
      </c>
      <c r="J265" s="13">
        <f t="shared" si="15"/>
        <v>0</v>
      </c>
    </row>
    <row r="266" spans="8:10">
      <c r="H266" s="13">
        <f t="shared" si="14"/>
        <v>1</v>
      </c>
      <c r="J266" s="13">
        <f t="shared" si="15"/>
        <v>0</v>
      </c>
    </row>
    <row r="267" spans="8:10">
      <c r="H267" s="13">
        <f t="shared" si="14"/>
        <v>1</v>
      </c>
      <c r="J267" s="13">
        <f t="shared" si="15"/>
        <v>0</v>
      </c>
    </row>
    <row r="268" spans="8:10">
      <c r="H268" s="13">
        <f t="shared" si="14"/>
        <v>1</v>
      </c>
      <c r="J268" s="13">
        <f t="shared" si="15"/>
        <v>0</v>
      </c>
    </row>
    <row r="269" spans="8:10">
      <c r="H269" s="13">
        <f t="shared" si="14"/>
        <v>1</v>
      </c>
      <c r="J269" s="13">
        <f t="shared" si="15"/>
        <v>0</v>
      </c>
    </row>
    <row r="270" spans="8:10">
      <c r="H270" s="13">
        <f t="shared" si="14"/>
        <v>1</v>
      </c>
      <c r="J270" s="13">
        <f t="shared" si="15"/>
        <v>0</v>
      </c>
    </row>
    <row r="271" spans="8:10">
      <c r="H271" s="13">
        <f t="shared" si="14"/>
        <v>1</v>
      </c>
      <c r="J271" s="13">
        <f t="shared" si="15"/>
        <v>0</v>
      </c>
    </row>
    <row r="272" spans="8:10">
      <c r="H272" s="13">
        <f t="shared" si="14"/>
        <v>1</v>
      </c>
      <c r="J272" s="13">
        <f t="shared" si="15"/>
        <v>0</v>
      </c>
    </row>
    <row r="273" spans="8:10">
      <c r="H273" s="13">
        <f t="shared" si="14"/>
        <v>1</v>
      </c>
      <c r="J273" s="13">
        <f t="shared" si="15"/>
        <v>0</v>
      </c>
    </row>
    <row r="274" spans="8:10">
      <c r="H274" s="13">
        <f t="shared" si="14"/>
        <v>1</v>
      </c>
      <c r="J274" s="13">
        <f t="shared" si="15"/>
        <v>0</v>
      </c>
    </row>
    <row r="275" spans="8:10">
      <c r="H275" s="13">
        <f t="shared" si="14"/>
        <v>1</v>
      </c>
      <c r="J275" s="13">
        <f t="shared" si="15"/>
        <v>0</v>
      </c>
    </row>
    <row r="276" spans="8:10">
      <c r="H276" s="13">
        <f t="shared" si="14"/>
        <v>1</v>
      </c>
      <c r="J276" s="13">
        <f t="shared" si="15"/>
        <v>0</v>
      </c>
    </row>
    <row r="277" spans="8:10">
      <c r="H277" s="13">
        <f t="shared" si="14"/>
        <v>1</v>
      </c>
      <c r="J277" s="13">
        <f t="shared" si="15"/>
        <v>0</v>
      </c>
    </row>
    <row r="278" spans="8:10">
      <c r="H278" s="13">
        <f t="shared" si="14"/>
        <v>1</v>
      </c>
      <c r="J278" s="13">
        <f t="shared" si="15"/>
        <v>0</v>
      </c>
    </row>
    <row r="279" spans="8:10">
      <c r="H279" s="13">
        <f t="shared" si="14"/>
        <v>1</v>
      </c>
      <c r="J279" s="13">
        <f t="shared" si="15"/>
        <v>0</v>
      </c>
    </row>
    <row r="280" spans="8:10">
      <c r="H280" s="13">
        <f t="shared" si="14"/>
        <v>1</v>
      </c>
      <c r="J280" s="13">
        <f t="shared" si="15"/>
        <v>0</v>
      </c>
    </row>
    <row r="281" spans="8:10">
      <c r="H281" s="13">
        <f t="shared" si="14"/>
        <v>1</v>
      </c>
      <c r="J281" s="13">
        <f t="shared" si="15"/>
        <v>0</v>
      </c>
    </row>
    <row r="282" spans="8:10">
      <c r="H282" s="13">
        <f t="shared" si="14"/>
        <v>1</v>
      </c>
      <c r="J282" s="13">
        <f t="shared" si="15"/>
        <v>0</v>
      </c>
    </row>
    <row r="283" spans="8:10">
      <c r="H283" s="13">
        <f t="shared" si="14"/>
        <v>1</v>
      </c>
      <c r="J283" s="13">
        <f t="shared" si="15"/>
        <v>0</v>
      </c>
    </row>
    <row r="284" spans="8:10">
      <c r="H284" s="13">
        <f t="shared" si="14"/>
        <v>1</v>
      </c>
      <c r="J284" s="13">
        <f t="shared" si="15"/>
        <v>0</v>
      </c>
    </row>
    <row r="285" spans="8:10">
      <c r="H285" s="13">
        <f t="shared" si="14"/>
        <v>1</v>
      </c>
      <c r="J285" s="13">
        <f t="shared" si="15"/>
        <v>0</v>
      </c>
    </row>
    <row r="286" spans="8:10">
      <c r="H286" s="13">
        <f t="shared" si="14"/>
        <v>1</v>
      </c>
      <c r="J286" s="13">
        <f t="shared" si="15"/>
        <v>0</v>
      </c>
    </row>
    <row r="287" spans="8:10">
      <c r="H287" s="13">
        <f t="shared" si="14"/>
        <v>1</v>
      </c>
      <c r="J287" s="13">
        <f t="shared" si="15"/>
        <v>0</v>
      </c>
    </row>
    <row r="288" spans="8:10">
      <c r="H288" s="13">
        <f t="shared" si="14"/>
        <v>1</v>
      </c>
      <c r="J288" s="13">
        <f t="shared" si="15"/>
        <v>0</v>
      </c>
    </row>
    <row r="289" spans="8:10">
      <c r="H289" s="13">
        <f t="shared" si="14"/>
        <v>1</v>
      </c>
      <c r="J289" s="13">
        <f t="shared" si="15"/>
        <v>0</v>
      </c>
    </row>
    <row r="290" spans="8:10">
      <c r="H290" s="13">
        <f t="shared" si="14"/>
        <v>1</v>
      </c>
      <c r="J290" s="13">
        <f t="shared" si="15"/>
        <v>0</v>
      </c>
    </row>
    <row r="291" spans="8:10">
      <c r="H291" s="13">
        <f t="shared" si="14"/>
        <v>1</v>
      </c>
      <c r="J291" s="13">
        <f t="shared" si="15"/>
        <v>0</v>
      </c>
    </row>
    <row r="292" spans="8:10">
      <c r="H292" s="13">
        <f t="shared" si="14"/>
        <v>1</v>
      </c>
      <c r="J292" s="13">
        <f t="shared" si="15"/>
        <v>0</v>
      </c>
    </row>
    <row r="293" spans="8:10">
      <c r="H293" s="13">
        <f t="shared" si="14"/>
        <v>1</v>
      </c>
      <c r="J293" s="13">
        <f t="shared" si="15"/>
        <v>0</v>
      </c>
    </row>
    <row r="294" spans="8:10">
      <c r="H294" s="13">
        <f t="shared" si="14"/>
        <v>1</v>
      </c>
      <c r="J294" s="13">
        <f t="shared" si="15"/>
        <v>0</v>
      </c>
    </row>
    <row r="295" spans="8:10">
      <c r="H295" s="13">
        <f t="shared" si="14"/>
        <v>1</v>
      </c>
      <c r="J295" s="13">
        <f t="shared" si="15"/>
        <v>0</v>
      </c>
    </row>
    <row r="296" spans="8:10">
      <c r="H296" s="13">
        <f t="shared" si="14"/>
        <v>1</v>
      </c>
      <c r="J296" s="13">
        <f t="shared" si="15"/>
        <v>0</v>
      </c>
    </row>
    <row r="297" spans="8:10">
      <c r="H297" s="13">
        <f t="shared" si="14"/>
        <v>1</v>
      </c>
      <c r="J297" s="13">
        <f t="shared" si="15"/>
        <v>0</v>
      </c>
    </row>
    <row r="298" spans="8:10">
      <c r="H298" s="13">
        <f t="shared" si="14"/>
        <v>1</v>
      </c>
      <c r="J298" s="13">
        <f t="shared" si="15"/>
        <v>0</v>
      </c>
    </row>
    <row r="299" spans="8:10">
      <c r="H299" s="13">
        <f t="shared" si="14"/>
        <v>1</v>
      </c>
      <c r="J299" s="13">
        <f t="shared" si="15"/>
        <v>0</v>
      </c>
    </row>
    <row r="300" spans="8:10">
      <c r="H300" s="13">
        <f t="shared" si="14"/>
        <v>1</v>
      </c>
      <c r="J300" s="13">
        <f t="shared" si="15"/>
        <v>0</v>
      </c>
    </row>
    <row r="301" spans="8:10">
      <c r="H301" s="13">
        <f t="shared" si="14"/>
        <v>1</v>
      </c>
      <c r="J301" s="13">
        <f t="shared" si="15"/>
        <v>0</v>
      </c>
    </row>
    <row r="302" spans="8:10">
      <c r="H302" s="13">
        <f t="shared" si="14"/>
        <v>1</v>
      </c>
      <c r="J302" s="13">
        <f t="shared" si="15"/>
        <v>0</v>
      </c>
    </row>
    <row r="303" spans="8:10">
      <c r="H303" s="13">
        <f t="shared" si="14"/>
        <v>1</v>
      </c>
      <c r="J303" s="13">
        <f t="shared" si="15"/>
        <v>0</v>
      </c>
    </row>
    <row r="304" spans="8:10">
      <c r="H304" s="13">
        <f t="shared" si="14"/>
        <v>1</v>
      </c>
      <c r="J304" s="13">
        <f t="shared" si="15"/>
        <v>0</v>
      </c>
    </row>
    <row r="305" spans="8:10">
      <c r="H305" s="13">
        <f t="shared" si="14"/>
        <v>1</v>
      </c>
      <c r="J305" s="13">
        <f t="shared" si="15"/>
        <v>0</v>
      </c>
    </row>
    <row r="306" spans="8:10">
      <c r="H306" s="13">
        <f t="shared" si="14"/>
        <v>1</v>
      </c>
      <c r="J306" s="13">
        <f t="shared" si="15"/>
        <v>0</v>
      </c>
    </row>
    <row r="307" spans="8:10">
      <c r="H307" s="13">
        <f t="shared" si="14"/>
        <v>1</v>
      </c>
      <c r="J307" s="13">
        <f t="shared" si="15"/>
        <v>0</v>
      </c>
    </row>
    <row r="308" spans="8:10">
      <c r="H308" s="13">
        <f t="shared" si="14"/>
        <v>1</v>
      </c>
      <c r="J308" s="13">
        <f t="shared" si="15"/>
        <v>0</v>
      </c>
    </row>
    <row r="309" spans="8:10">
      <c r="H309" s="13">
        <f t="shared" si="14"/>
        <v>1</v>
      </c>
      <c r="J309" s="13">
        <f t="shared" si="15"/>
        <v>0</v>
      </c>
    </row>
    <row r="310" spans="8:10">
      <c r="H310" s="13">
        <f t="shared" si="14"/>
        <v>1</v>
      </c>
      <c r="J310" s="13">
        <f t="shared" si="15"/>
        <v>0</v>
      </c>
    </row>
    <row r="311" spans="8:10">
      <c r="H311" s="13">
        <f t="shared" si="14"/>
        <v>1</v>
      </c>
      <c r="J311" s="13">
        <f t="shared" si="15"/>
        <v>0</v>
      </c>
    </row>
    <row r="312" spans="8:10">
      <c r="H312" s="13">
        <f t="shared" si="14"/>
        <v>1</v>
      </c>
      <c r="J312" s="13">
        <f t="shared" si="15"/>
        <v>0</v>
      </c>
    </row>
    <row r="313" spans="8:10">
      <c r="H313" s="13">
        <f t="shared" si="14"/>
        <v>1</v>
      </c>
      <c r="J313" s="13">
        <f t="shared" si="15"/>
        <v>0</v>
      </c>
    </row>
    <row r="314" spans="8:10">
      <c r="H314" s="13">
        <f t="shared" si="14"/>
        <v>1</v>
      </c>
      <c r="J314" s="13">
        <f t="shared" si="15"/>
        <v>0</v>
      </c>
    </row>
    <row r="315" spans="8:10">
      <c r="H315" s="13">
        <f t="shared" si="14"/>
        <v>1</v>
      </c>
      <c r="J315" s="13">
        <f t="shared" si="15"/>
        <v>0</v>
      </c>
    </row>
    <row r="316" spans="8:10">
      <c r="H316" s="13">
        <f t="shared" si="14"/>
        <v>1</v>
      </c>
      <c r="J316" s="13">
        <f t="shared" si="15"/>
        <v>0</v>
      </c>
    </row>
    <row r="317" spans="8:10">
      <c r="H317" s="13">
        <f t="shared" si="14"/>
        <v>1</v>
      </c>
      <c r="J317" s="13">
        <f t="shared" si="15"/>
        <v>0</v>
      </c>
    </row>
    <row r="318" spans="8:10">
      <c r="H318" s="13">
        <f t="shared" si="14"/>
        <v>1</v>
      </c>
      <c r="J318" s="13">
        <f t="shared" si="15"/>
        <v>0</v>
      </c>
    </row>
    <row r="319" spans="8:10">
      <c r="H319" s="13">
        <f t="shared" si="14"/>
        <v>1</v>
      </c>
      <c r="J319" s="13">
        <f t="shared" si="15"/>
        <v>0</v>
      </c>
    </row>
    <row r="320" spans="8:10">
      <c r="H320" s="13">
        <f t="shared" si="14"/>
        <v>1</v>
      </c>
      <c r="J320" s="13">
        <f t="shared" si="15"/>
        <v>0</v>
      </c>
    </row>
    <row r="321" spans="8:10">
      <c r="H321" s="13">
        <f t="shared" si="14"/>
        <v>1</v>
      </c>
      <c r="J321" s="13">
        <f t="shared" si="15"/>
        <v>0</v>
      </c>
    </row>
    <row r="322" spans="8:10">
      <c r="H322" s="13">
        <f t="shared" si="14"/>
        <v>1</v>
      </c>
      <c r="J322" s="13">
        <f t="shared" si="15"/>
        <v>0</v>
      </c>
    </row>
    <row r="323" spans="8:10">
      <c r="H323" s="13">
        <f t="shared" ref="H323:H386" si="16">IFERROR(GETPIVOTDATA("Successful / Failed",$A$1,"System serial",G323),0)</f>
        <v>1</v>
      </c>
      <c r="J323" s="13">
        <f t="shared" ref="J323:J386" si="17">IFERROR(GETPIVOTDATA("Successful / Failed",$A$1,"System serial",G323,"Successful / Failed","Successful"),0)</f>
        <v>0</v>
      </c>
    </row>
    <row r="324" spans="8:10">
      <c r="H324" s="13">
        <f t="shared" si="16"/>
        <v>1</v>
      </c>
      <c r="J324" s="13">
        <f t="shared" si="17"/>
        <v>0</v>
      </c>
    </row>
    <row r="325" spans="8:10">
      <c r="H325" s="13">
        <f t="shared" si="16"/>
        <v>1</v>
      </c>
      <c r="J325" s="13">
        <f t="shared" si="17"/>
        <v>0</v>
      </c>
    </row>
    <row r="326" spans="8:10">
      <c r="H326" s="13">
        <f t="shared" si="16"/>
        <v>1</v>
      </c>
      <c r="J326" s="13">
        <f t="shared" si="17"/>
        <v>0</v>
      </c>
    </row>
    <row r="327" spans="8:10">
      <c r="H327" s="13">
        <f t="shared" si="16"/>
        <v>1</v>
      </c>
      <c r="J327" s="13">
        <f t="shared" si="17"/>
        <v>0</v>
      </c>
    </row>
    <row r="328" spans="8:10">
      <c r="H328" s="13">
        <f t="shared" si="16"/>
        <v>1</v>
      </c>
      <c r="J328" s="13">
        <f t="shared" si="17"/>
        <v>0</v>
      </c>
    </row>
    <row r="329" spans="8:10">
      <c r="H329" s="13">
        <f t="shared" si="16"/>
        <v>1</v>
      </c>
      <c r="J329" s="13">
        <f t="shared" si="17"/>
        <v>0</v>
      </c>
    </row>
    <row r="330" spans="8:10">
      <c r="H330" s="13">
        <f t="shared" si="16"/>
        <v>1</v>
      </c>
      <c r="J330" s="13">
        <f t="shared" si="17"/>
        <v>0</v>
      </c>
    </row>
    <row r="331" spans="8:10">
      <c r="H331" s="13">
        <f t="shared" si="16"/>
        <v>1</v>
      </c>
      <c r="J331" s="13">
        <f t="shared" si="17"/>
        <v>0</v>
      </c>
    </row>
    <row r="332" spans="8:10">
      <c r="H332" s="13">
        <f t="shared" si="16"/>
        <v>1</v>
      </c>
      <c r="J332" s="13">
        <f t="shared" si="17"/>
        <v>0</v>
      </c>
    </row>
    <row r="333" spans="8:10">
      <c r="H333" s="13">
        <f t="shared" si="16"/>
        <v>1</v>
      </c>
      <c r="J333" s="13">
        <f t="shared" si="17"/>
        <v>0</v>
      </c>
    </row>
    <row r="334" spans="8:10">
      <c r="H334" s="13">
        <f t="shared" si="16"/>
        <v>1</v>
      </c>
      <c r="J334" s="13">
        <f t="shared" si="17"/>
        <v>0</v>
      </c>
    </row>
    <row r="335" spans="8:10">
      <c r="H335" s="13">
        <f t="shared" si="16"/>
        <v>1</v>
      </c>
      <c r="J335" s="13">
        <f t="shared" si="17"/>
        <v>0</v>
      </c>
    </row>
    <row r="336" spans="8:10">
      <c r="H336" s="13">
        <f t="shared" si="16"/>
        <v>1</v>
      </c>
      <c r="J336" s="13">
        <f t="shared" si="17"/>
        <v>0</v>
      </c>
    </row>
    <row r="337" spans="8:10">
      <c r="H337" s="13">
        <f t="shared" si="16"/>
        <v>1</v>
      </c>
      <c r="J337" s="13">
        <f t="shared" si="17"/>
        <v>0</v>
      </c>
    </row>
    <row r="338" spans="8:10">
      <c r="H338" s="13">
        <f t="shared" si="16"/>
        <v>1</v>
      </c>
      <c r="J338" s="13">
        <f t="shared" si="17"/>
        <v>0</v>
      </c>
    </row>
    <row r="339" spans="8:10">
      <c r="H339" s="13">
        <f t="shared" si="16"/>
        <v>1</v>
      </c>
      <c r="J339" s="13">
        <f t="shared" si="17"/>
        <v>0</v>
      </c>
    </row>
    <row r="340" spans="8:10">
      <c r="H340" s="13">
        <f t="shared" si="16"/>
        <v>1</v>
      </c>
      <c r="J340" s="13">
        <f t="shared" si="17"/>
        <v>0</v>
      </c>
    </row>
    <row r="341" spans="8:10">
      <c r="H341" s="13">
        <f t="shared" si="16"/>
        <v>1</v>
      </c>
      <c r="J341" s="13">
        <f t="shared" si="17"/>
        <v>0</v>
      </c>
    </row>
    <row r="342" spans="8:10">
      <c r="H342" s="13">
        <f t="shared" si="16"/>
        <v>1</v>
      </c>
      <c r="J342" s="13">
        <f t="shared" si="17"/>
        <v>0</v>
      </c>
    </row>
    <row r="343" spans="8:10">
      <c r="H343" s="13">
        <f t="shared" si="16"/>
        <v>1</v>
      </c>
      <c r="J343" s="13">
        <f t="shared" si="17"/>
        <v>0</v>
      </c>
    </row>
    <row r="344" spans="8:10">
      <c r="H344" s="13">
        <f t="shared" si="16"/>
        <v>1</v>
      </c>
      <c r="J344" s="13">
        <f t="shared" si="17"/>
        <v>0</v>
      </c>
    </row>
    <row r="345" spans="8:10">
      <c r="H345" s="13">
        <f t="shared" si="16"/>
        <v>1</v>
      </c>
      <c r="J345" s="13">
        <f t="shared" si="17"/>
        <v>0</v>
      </c>
    </row>
    <row r="346" spans="8:10">
      <c r="H346" s="13">
        <f t="shared" si="16"/>
        <v>1</v>
      </c>
      <c r="J346" s="13">
        <f t="shared" si="17"/>
        <v>0</v>
      </c>
    </row>
    <row r="347" spans="8:10">
      <c r="H347" s="13">
        <f t="shared" si="16"/>
        <v>1</v>
      </c>
      <c r="J347" s="13">
        <f t="shared" si="17"/>
        <v>0</v>
      </c>
    </row>
    <row r="348" spans="8:10">
      <c r="H348" s="13">
        <f t="shared" si="16"/>
        <v>1</v>
      </c>
      <c r="J348" s="13">
        <f t="shared" si="17"/>
        <v>0</v>
      </c>
    </row>
    <row r="349" spans="8:10">
      <c r="H349" s="13">
        <f t="shared" si="16"/>
        <v>1</v>
      </c>
      <c r="J349" s="13">
        <f t="shared" si="17"/>
        <v>0</v>
      </c>
    </row>
    <row r="350" spans="8:10">
      <c r="H350" s="13">
        <f t="shared" si="16"/>
        <v>1</v>
      </c>
      <c r="J350" s="13">
        <f t="shared" si="17"/>
        <v>0</v>
      </c>
    </row>
    <row r="351" spans="8:10">
      <c r="H351" s="13">
        <f t="shared" si="16"/>
        <v>1</v>
      </c>
      <c r="J351" s="13">
        <f t="shared" si="17"/>
        <v>0</v>
      </c>
    </row>
    <row r="352" spans="8:10">
      <c r="H352" s="13">
        <f t="shared" si="16"/>
        <v>1</v>
      </c>
      <c r="J352" s="13">
        <f t="shared" si="17"/>
        <v>0</v>
      </c>
    </row>
    <row r="353" spans="8:10">
      <c r="H353" s="13">
        <f t="shared" si="16"/>
        <v>1</v>
      </c>
      <c r="J353" s="13">
        <f t="shared" si="17"/>
        <v>0</v>
      </c>
    </row>
    <row r="354" spans="8:10">
      <c r="H354" s="13">
        <f t="shared" si="16"/>
        <v>1</v>
      </c>
      <c r="J354" s="13">
        <f t="shared" si="17"/>
        <v>0</v>
      </c>
    </row>
    <row r="355" spans="8:10">
      <c r="H355" s="13">
        <f t="shared" si="16"/>
        <v>1</v>
      </c>
      <c r="J355" s="13">
        <f t="shared" si="17"/>
        <v>0</v>
      </c>
    </row>
    <row r="356" spans="8:10">
      <c r="H356" s="13">
        <f t="shared" si="16"/>
        <v>1</v>
      </c>
      <c r="J356" s="13">
        <f t="shared" si="17"/>
        <v>0</v>
      </c>
    </row>
    <row r="357" spans="8:10">
      <c r="H357" s="13">
        <f t="shared" si="16"/>
        <v>1</v>
      </c>
      <c r="J357" s="13">
        <f t="shared" si="17"/>
        <v>0</v>
      </c>
    </row>
    <row r="358" spans="8:10">
      <c r="H358" s="13">
        <f t="shared" si="16"/>
        <v>1</v>
      </c>
      <c r="J358" s="13">
        <f t="shared" si="17"/>
        <v>0</v>
      </c>
    </row>
    <row r="359" spans="8:10">
      <c r="H359" s="13">
        <f t="shared" si="16"/>
        <v>1</v>
      </c>
      <c r="J359" s="13">
        <f t="shared" si="17"/>
        <v>0</v>
      </c>
    </row>
    <row r="360" spans="8:10">
      <c r="H360" s="13">
        <f t="shared" si="16"/>
        <v>1</v>
      </c>
      <c r="J360" s="13">
        <f t="shared" si="17"/>
        <v>0</v>
      </c>
    </row>
    <row r="361" spans="8:10">
      <c r="H361" s="13">
        <f t="shared" si="16"/>
        <v>1</v>
      </c>
      <c r="J361" s="13">
        <f t="shared" si="17"/>
        <v>0</v>
      </c>
    </row>
    <row r="362" spans="8:10">
      <c r="H362" s="13">
        <f t="shared" si="16"/>
        <v>1</v>
      </c>
      <c r="J362" s="13">
        <f t="shared" si="17"/>
        <v>0</v>
      </c>
    </row>
    <row r="363" spans="8:10">
      <c r="H363" s="13">
        <f t="shared" si="16"/>
        <v>1</v>
      </c>
      <c r="J363" s="13">
        <f t="shared" si="17"/>
        <v>0</v>
      </c>
    </row>
    <row r="364" spans="8:10">
      <c r="H364" s="13">
        <f t="shared" si="16"/>
        <v>1</v>
      </c>
      <c r="J364" s="13">
        <f t="shared" si="17"/>
        <v>0</v>
      </c>
    </row>
    <row r="365" spans="8:10">
      <c r="H365" s="13">
        <f t="shared" si="16"/>
        <v>1</v>
      </c>
      <c r="J365" s="13">
        <f t="shared" si="17"/>
        <v>0</v>
      </c>
    </row>
    <row r="366" spans="8:10">
      <c r="H366" s="13">
        <f t="shared" si="16"/>
        <v>1</v>
      </c>
      <c r="J366" s="13">
        <f t="shared" si="17"/>
        <v>0</v>
      </c>
    </row>
    <row r="367" spans="8:10">
      <c r="H367" s="13">
        <f t="shared" si="16"/>
        <v>1</v>
      </c>
      <c r="J367" s="13">
        <f t="shared" si="17"/>
        <v>0</v>
      </c>
    </row>
    <row r="368" spans="8:10">
      <c r="H368" s="13">
        <f t="shared" si="16"/>
        <v>1</v>
      </c>
      <c r="J368" s="13">
        <f t="shared" si="17"/>
        <v>0</v>
      </c>
    </row>
    <row r="369" spans="8:10">
      <c r="H369" s="13">
        <f t="shared" si="16"/>
        <v>1</v>
      </c>
      <c r="J369" s="13">
        <f t="shared" si="17"/>
        <v>0</v>
      </c>
    </row>
    <row r="370" spans="8:10">
      <c r="H370" s="13">
        <f t="shared" si="16"/>
        <v>1</v>
      </c>
      <c r="J370" s="13">
        <f t="shared" si="17"/>
        <v>0</v>
      </c>
    </row>
    <row r="371" spans="8:10">
      <c r="H371" s="13">
        <f t="shared" si="16"/>
        <v>1</v>
      </c>
      <c r="J371" s="13">
        <f t="shared" si="17"/>
        <v>0</v>
      </c>
    </row>
    <row r="372" spans="8:10">
      <c r="H372" s="13">
        <f t="shared" si="16"/>
        <v>1</v>
      </c>
      <c r="J372" s="13">
        <f t="shared" si="17"/>
        <v>0</v>
      </c>
    </row>
    <row r="373" spans="8:10">
      <c r="H373" s="13">
        <f t="shared" si="16"/>
        <v>1</v>
      </c>
      <c r="J373" s="13">
        <f t="shared" si="17"/>
        <v>0</v>
      </c>
    </row>
    <row r="374" spans="8:10">
      <c r="H374" s="13">
        <f t="shared" si="16"/>
        <v>1</v>
      </c>
      <c r="J374" s="13">
        <f t="shared" si="17"/>
        <v>0</v>
      </c>
    </row>
    <row r="375" spans="8:10">
      <c r="H375" s="13">
        <f t="shared" si="16"/>
        <v>1</v>
      </c>
      <c r="J375" s="13">
        <f t="shared" si="17"/>
        <v>0</v>
      </c>
    </row>
    <row r="376" spans="8:10">
      <c r="H376" s="13">
        <f t="shared" si="16"/>
        <v>1</v>
      </c>
      <c r="J376" s="13">
        <f t="shared" si="17"/>
        <v>0</v>
      </c>
    </row>
    <row r="377" spans="8:10">
      <c r="H377" s="13">
        <f t="shared" si="16"/>
        <v>1</v>
      </c>
      <c r="J377" s="13">
        <f t="shared" si="17"/>
        <v>0</v>
      </c>
    </row>
    <row r="378" spans="8:10">
      <c r="H378" s="13">
        <f t="shared" si="16"/>
        <v>1</v>
      </c>
      <c r="J378" s="13">
        <f t="shared" si="17"/>
        <v>0</v>
      </c>
    </row>
    <row r="379" spans="8:10">
      <c r="H379" s="13">
        <f t="shared" si="16"/>
        <v>1</v>
      </c>
      <c r="J379" s="13">
        <f t="shared" si="17"/>
        <v>0</v>
      </c>
    </row>
    <row r="380" spans="8:10">
      <c r="H380" s="13">
        <f t="shared" si="16"/>
        <v>1</v>
      </c>
      <c r="J380" s="13">
        <f t="shared" si="17"/>
        <v>0</v>
      </c>
    </row>
    <row r="381" spans="8:10">
      <c r="H381" s="13">
        <f t="shared" si="16"/>
        <v>1</v>
      </c>
      <c r="J381" s="13">
        <f t="shared" si="17"/>
        <v>0</v>
      </c>
    </row>
    <row r="382" spans="8:10">
      <c r="H382" s="13">
        <f t="shared" si="16"/>
        <v>1</v>
      </c>
      <c r="J382" s="13">
        <f t="shared" si="17"/>
        <v>0</v>
      </c>
    </row>
    <row r="383" spans="8:10">
      <c r="H383" s="13">
        <f t="shared" si="16"/>
        <v>1</v>
      </c>
      <c r="J383" s="13">
        <f t="shared" si="17"/>
        <v>0</v>
      </c>
    </row>
    <row r="384" spans="8:10">
      <c r="H384" s="13">
        <f t="shared" si="16"/>
        <v>1</v>
      </c>
      <c r="J384" s="13">
        <f t="shared" si="17"/>
        <v>0</v>
      </c>
    </row>
    <row r="385" spans="8:10">
      <c r="H385" s="13">
        <f t="shared" si="16"/>
        <v>1</v>
      </c>
      <c r="J385" s="13">
        <f t="shared" si="17"/>
        <v>0</v>
      </c>
    </row>
    <row r="386" spans="8:10">
      <c r="H386" s="13">
        <f t="shared" si="16"/>
        <v>1</v>
      </c>
      <c r="J386" s="13">
        <f t="shared" si="17"/>
        <v>0</v>
      </c>
    </row>
    <row r="387" spans="8:10">
      <c r="H387" s="13">
        <f t="shared" ref="H387:H436" si="18">IFERROR(GETPIVOTDATA("Successful / Failed",$A$1,"System serial",G387),0)</f>
        <v>1</v>
      </c>
      <c r="J387" s="13">
        <f t="shared" ref="J387:J446" si="19">IFERROR(GETPIVOTDATA("Successful / Failed",$A$1,"System serial",G387,"Successful / Failed","Successful"),0)</f>
        <v>0</v>
      </c>
    </row>
    <row r="388" spans="8:10">
      <c r="H388" s="13">
        <f t="shared" si="18"/>
        <v>1</v>
      </c>
      <c r="J388" s="13">
        <f t="shared" si="19"/>
        <v>0</v>
      </c>
    </row>
    <row r="389" spans="8:10">
      <c r="H389" s="13">
        <f t="shared" si="18"/>
        <v>1</v>
      </c>
      <c r="J389" s="13">
        <f t="shared" si="19"/>
        <v>0</v>
      </c>
    </row>
    <row r="390" spans="8:10">
      <c r="H390" s="13">
        <f t="shared" si="18"/>
        <v>1</v>
      </c>
      <c r="J390" s="13">
        <f t="shared" si="19"/>
        <v>0</v>
      </c>
    </row>
    <row r="391" spans="8:10">
      <c r="H391" s="13">
        <f t="shared" si="18"/>
        <v>1</v>
      </c>
      <c r="J391" s="13">
        <f t="shared" si="19"/>
        <v>0</v>
      </c>
    </row>
    <row r="392" spans="8:10">
      <c r="H392" s="13">
        <f t="shared" si="18"/>
        <v>1</v>
      </c>
      <c r="J392" s="13">
        <f t="shared" si="19"/>
        <v>0</v>
      </c>
    </row>
    <row r="393" spans="8:10">
      <c r="H393" s="13">
        <f t="shared" si="18"/>
        <v>1</v>
      </c>
      <c r="J393" s="13">
        <f t="shared" si="19"/>
        <v>0</v>
      </c>
    </row>
    <row r="394" spans="8:10">
      <c r="H394" s="13">
        <f t="shared" si="18"/>
        <v>1</v>
      </c>
      <c r="J394" s="13">
        <f t="shared" si="19"/>
        <v>0</v>
      </c>
    </row>
    <row r="395" spans="8:10">
      <c r="H395" s="13">
        <f t="shared" si="18"/>
        <v>1</v>
      </c>
      <c r="J395" s="13">
        <f t="shared" si="19"/>
        <v>0</v>
      </c>
    </row>
    <row r="396" spans="8:10">
      <c r="H396" s="13">
        <f t="shared" si="18"/>
        <v>1</v>
      </c>
      <c r="J396" s="13">
        <f t="shared" si="19"/>
        <v>0</v>
      </c>
    </row>
    <row r="397" spans="8:10">
      <c r="H397" s="13">
        <f t="shared" si="18"/>
        <v>1</v>
      </c>
      <c r="J397" s="13">
        <f t="shared" si="19"/>
        <v>0</v>
      </c>
    </row>
    <row r="398" spans="8:10">
      <c r="H398" s="13">
        <f t="shared" si="18"/>
        <v>1</v>
      </c>
      <c r="J398" s="13">
        <f t="shared" si="19"/>
        <v>0</v>
      </c>
    </row>
    <row r="399" spans="8:10">
      <c r="H399" s="13">
        <f t="shared" si="18"/>
        <v>1</v>
      </c>
      <c r="J399" s="13">
        <f t="shared" si="19"/>
        <v>0</v>
      </c>
    </row>
    <row r="400" spans="8:10">
      <c r="H400" s="13">
        <f t="shared" si="18"/>
        <v>1</v>
      </c>
      <c r="J400" s="13">
        <f t="shared" si="19"/>
        <v>0</v>
      </c>
    </row>
    <row r="401" spans="8:10">
      <c r="H401" s="13">
        <f t="shared" si="18"/>
        <v>1</v>
      </c>
      <c r="J401" s="13">
        <f t="shared" si="19"/>
        <v>0</v>
      </c>
    </row>
    <row r="402" spans="8:10">
      <c r="H402" s="13">
        <f t="shared" si="18"/>
        <v>1</v>
      </c>
      <c r="J402" s="13">
        <f t="shared" si="19"/>
        <v>0</v>
      </c>
    </row>
    <row r="403" spans="8:10">
      <c r="H403" s="13">
        <f t="shared" si="18"/>
        <v>1</v>
      </c>
      <c r="J403" s="13">
        <f t="shared" si="19"/>
        <v>0</v>
      </c>
    </row>
    <row r="404" spans="8:10">
      <c r="H404" s="13">
        <f t="shared" si="18"/>
        <v>1</v>
      </c>
      <c r="J404" s="13">
        <f t="shared" si="19"/>
        <v>0</v>
      </c>
    </row>
    <row r="405" spans="8:10">
      <c r="H405" s="13">
        <f t="shared" si="18"/>
        <v>1</v>
      </c>
      <c r="J405" s="13">
        <f t="shared" si="19"/>
        <v>0</v>
      </c>
    </row>
    <row r="406" spans="8:10">
      <c r="H406" s="13">
        <f t="shared" si="18"/>
        <v>1</v>
      </c>
      <c r="J406" s="13">
        <f t="shared" si="19"/>
        <v>0</v>
      </c>
    </row>
    <row r="407" spans="8:10">
      <c r="H407" s="13">
        <f t="shared" si="18"/>
        <v>1</v>
      </c>
      <c r="J407" s="13">
        <f t="shared" si="19"/>
        <v>0</v>
      </c>
    </row>
    <row r="408" spans="8:10">
      <c r="H408" s="13">
        <f t="shared" si="18"/>
        <v>1</v>
      </c>
      <c r="J408" s="13">
        <f t="shared" si="19"/>
        <v>0</v>
      </c>
    </row>
    <row r="409" spans="8:10">
      <c r="H409" s="13">
        <f t="shared" si="18"/>
        <v>1</v>
      </c>
      <c r="J409" s="13">
        <f t="shared" si="19"/>
        <v>0</v>
      </c>
    </row>
    <row r="410" spans="8:10">
      <c r="H410" s="13">
        <f t="shared" si="18"/>
        <v>1</v>
      </c>
      <c r="J410" s="13">
        <f t="shared" si="19"/>
        <v>0</v>
      </c>
    </row>
    <row r="411" spans="8:10">
      <c r="H411" s="13">
        <f t="shared" si="18"/>
        <v>1</v>
      </c>
      <c r="J411" s="13">
        <f t="shared" si="19"/>
        <v>0</v>
      </c>
    </row>
    <row r="412" spans="8:10">
      <c r="H412" s="13">
        <f t="shared" si="18"/>
        <v>1</v>
      </c>
      <c r="J412" s="13">
        <f t="shared" si="19"/>
        <v>0</v>
      </c>
    </row>
    <row r="413" spans="8:10">
      <c r="H413" s="13">
        <f t="shared" si="18"/>
        <v>1</v>
      </c>
      <c r="J413" s="13">
        <f t="shared" si="19"/>
        <v>0</v>
      </c>
    </row>
    <row r="414" spans="8:10">
      <c r="H414" s="13">
        <f t="shared" si="18"/>
        <v>1</v>
      </c>
      <c r="J414" s="13">
        <f t="shared" si="19"/>
        <v>0</v>
      </c>
    </row>
    <row r="415" spans="8:10">
      <c r="H415" s="13">
        <f t="shared" si="18"/>
        <v>1</v>
      </c>
      <c r="J415" s="13">
        <f t="shared" si="19"/>
        <v>0</v>
      </c>
    </row>
    <row r="416" spans="8:10">
      <c r="H416" s="13">
        <f t="shared" si="18"/>
        <v>1</v>
      </c>
      <c r="J416" s="13">
        <f t="shared" si="19"/>
        <v>0</v>
      </c>
    </row>
    <row r="417" spans="8:10">
      <c r="H417" s="13">
        <f t="shared" si="18"/>
        <v>1</v>
      </c>
      <c r="J417" s="13">
        <f t="shared" si="19"/>
        <v>0</v>
      </c>
    </row>
    <row r="418" spans="8:10">
      <c r="H418" s="13">
        <f t="shared" si="18"/>
        <v>1</v>
      </c>
      <c r="J418" s="13">
        <f t="shared" si="19"/>
        <v>0</v>
      </c>
    </row>
    <row r="419" spans="8:10">
      <c r="H419" s="13">
        <f t="shared" si="18"/>
        <v>1</v>
      </c>
      <c r="J419" s="13">
        <f t="shared" si="19"/>
        <v>0</v>
      </c>
    </row>
    <row r="420" spans="8:10">
      <c r="H420" s="13">
        <f t="shared" si="18"/>
        <v>1</v>
      </c>
      <c r="J420" s="13">
        <f t="shared" si="19"/>
        <v>0</v>
      </c>
    </row>
    <row r="421" spans="8:10">
      <c r="H421" s="13">
        <f t="shared" si="18"/>
        <v>1</v>
      </c>
      <c r="J421" s="13">
        <f t="shared" si="19"/>
        <v>0</v>
      </c>
    </row>
    <row r="422" spans="8:10">
      <c r="H422" s="13">
        <f t="shared" si="18"/>
        <v>1</v>
      </c>
      <c r="J422" s="13">
        <f t="shared" si="19"/>
        <v>0</v>
      </c>
    </row>
    <row r="423" spans="8:10">
      <c r="H423" s="13">
        <f t="shared" si="18"/>
        <v>1</v>
      </c>
      <c r="J423" s="13">
        <f t="shared" si="19"/>
        <v>0</v>
      </c>
    </row>
    <row r="424" spans="8:10">
      <c r="H424" s="13">
        <f t="shared" si="18"/>
        <v>1</v>
      </c>
      <c r="J424" s="13">
        <f t="shared" si="19"/>
        <v>0</v>
      </c>
    </row>
    <row r="425" spans="8:10">
      <c r="H425" s="13">
        <f t="shared" si="18"/>
        <v>1</v>
      </c>
      <c r="J425" s="13">
        <f t="shared" si="19"/>
        <v>0</v>
      </c>
    </row>
    <row r="426" spans="8:10">
      <c r="H426" s="13">
        <f t="shared" si="18"/>
        <v>1</v>
      </c>
      <c r="J426" s="13">
        <f t="shared" si="19"/>
        <v>0</v>
      </c>
    </row>
    <row r="427" spans="8:10">
      <c r="H427" s="13">
        <f t="shared" si="18"/>
        <v>1</v>
      </c>
      <c r="J427" s="13">
        <f t="shared" si="19"/>
        <v>0</v>
      </c>
    </row>
    <row r="428" spans="8:10">
      <c r="H428" s="13">
        <f t="shared" si="18"/>
        <v>1</v>
      </c>
      <c r="J428" s="13">
        <f t="shared" si="19"/>
        <v>0</v>
      </c>
    </row>
    <row r="429" spans="8:10">
      <c r="H429" s="13">
        <f t="shared" si="18"/>
        <v>1</v>
      </c>
      <c r="J429" s="13">
        <f t="shared" si="19"/>
        <v>0</v>
      </c>
    </row>
    <row r="430" spans="8:10">
      <c r="H430" s="13">
        <f t="shared" si="18"/>
        <v>1</v>
      </c>
      <c r="J430" s="13">
        <f t="shared" si="19"/>
        <v>0</v>
      </c>
    </row>
    <row r="431" spans="8:10">
      <c r="H431" s="13">
        <f t="shared" si="18"/>
        <v>1</v>
      </c>
      <c r="J431" s="13">
        <f t="shared" si="19"/>
        <v>0</v>
      </c>
    </row>
    <row r="432" spans="8:10">
      <c r="H432" s="13">
        <f t="shared" si="18"/>
        <v>1</v>
      </c>
      <c r="J432" s="13">
        <f t="shared" si="19"/>
        <v>0</v>
      </c>
    </row>
    <row r="433" spans="8:10">
      <c r="H433" s="13">
        <f t="shared" si="18"/>
        <v>1</v>
      </c>
      <c r="J433" s="13">
        <f t="shared" si="19"/>
        <v>0</v>
      </c>
    </row>
    <row r="434" spans="8:10">
      <c r="H434" s="13">
        <f t="shared" si="18"/>
        <v>1</v>
      </c>
      <c r="J434" s="13">
        <f t="shared" si="19"/>
        <v>0</v>
      </c>
    </row>
    <row r="435" spans="8:10">
      <c r="H435" s="13">
        <f t="shared" si="18"/>
        <v>1</v>
      </c>
      <c r="J435" s="13">
        <f t="shared" si="19"/>
        <v>0</v>
      </c>
    </row>
    <row r="436" spans="8:10">
      <c r="H436" s="13">
        <f t="shared" si="18"/>
        <v>1</v>
      </c>
      <c r="J436" s="13">
        <f t="shared" si="19"/>
        <v>0</v>
      </c>
    </row>
    <row r="437" spans="8:10">
      <c r="J437" s="13">
        <f t="shared" si="19"/>
        <v>0</v>
      </c>
    </row>
    <row r="438" spans="8:10">
      <c r="J438" s="13">
        <f t="shared" si="19"/>
        <v>0</v>
      </c>
    </row>
    <row r="439" spans="8:10">
      <c r="J439" s="13">
        <f t="shared" si="19"/>
        <v>0</v>
      </c>
    </row>
    <row r="440" spans="8:10">
      <c r="J440" s="13">
        <f t="shared" si="19"/>
        <v>0</v>
      </c>
    </row>
    <row r="441" spans="8:10">
      <c r="J441" s="13">
        <f t="shared" si="19"/>
        <v>0</v>
      </c>
    </row>
    <row r="442" spans="8:10">
      <c r="J442" s="13">
        <f t="shared" si="19"/>
        <v>0</v>
      </c>
    </row>
    <row r="443" spans="8:10">
      <c r="J443" s="13">
        <f t="shared" si="19"/>
        <v>0</v>
      </c>
    </row>
    <row r="444" spans="8:10">
      <c r="J444" s="13">
        <f t="shared" si="19"/>
        <v>0</v>
      </c>
    </row>
    <row r="445" spans="8:10">
      <c r="J445" s="13">
        <f t="shared" si="19"/>
        <v>0</v>
      </c>
    </row>
    <row r="446" spans="8:10">
      <c r="J446" s="13">
        <f t="shared" si="19"/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54724-167C-40AF-AB81-874D277C1F47}">
  <sheetPr codeName="Sheet5"/>
  <dimension ref="A1:AC1000"/>
  <sheetViews>
    <sheetView topLeftCell="X1" workbookViewId="0">
      <selection activeCell="Z14" sqref="Z14"/>
    </sheetView>
  </sheetViews>
  <sheetFormatPr defaultRowHeight="15"/>
  <cols>
    <col min="1" max="1" width="14.5703125" bestFit="1" customWidth="1"/>
    <col min="2" max="2" width="19.85546875" bestFit="1" customWidth="1"/>
    <col min="3" max="3" width="18.7109375" bestFit="1" customWidth="1"/>
    <col min="4" max="4" width="9.140625" bestFit="1" customWidth="1"/>
    <col min="5" max="5" width="15.140625" bestFit="1" customWidth="1"/>
    <col min="6" max="6" width="36.28515625" bestFit="1" customWidth="1"/>
    <col min="7" max="7" width="14.7109375" bestFit="1" customWidth="1"/>
    <col min="8" max="8" width="19.85546875" bestFit="1" customWidth="1"/>
    <col min="9" max="9" width="33.85546875" bestFit="1" customWidth="1"/>
    <col min="10" max="10" width="10.5703125" bestFit="1" customWidth="1"/>
    <col min="11" max="11" width="20.140625" bestFit="1" customWidth="1"/>
    <col min="12" max="12" width="22" bestFit="1" customWidth="1"/>
    <col min="13" max="13" width="23.42578125" bestFit="1" customWidth="1"/>
    <col min="14" max="14" width="13.5703125" bestFit="1" customWidth="1"/>
    <col min="15" max="15" width="19.85546875" bestFit="1" customWidth="1"/>
    <col min="16" max="16" width="30.28515625" bestFit="1" customWidth="1"/>
    <col min="17" max="17" width="35.42578125" bestFit="1" customWidth="1"/>
    <col min="18" max="18" width="41" bestFit="1" customWidth="1"/>
    <col min="19" max="19" width="46" bestFit="1" customWidth="1"/>
    <col min="20" max="20" width="23.85546875" bestFit="1" customWidth="1"/>
    <col min="21" max="21" width="38.42578125" bestFit="1" customWidth="1"/>
    <col min="22" max="22" width="12.7109375" bestFit="1" customWidth="1"/>
    <col min="23" max="23" width="17.28515625" bestFit="1" customWidth="1"/>
    <col min="24" max="24" width="24.7109375" bestFit="1" customWidth="1"/>
    <col min="25" max="25" width="34.5703125" bestFit="1" customWidth="1"/>
    <col min="26" max="26" width="99" bestFit="1" customWidth="1"/>
    <col min="27" max="27" width="15" bestFit="1" customWidth="1"/>
    <col min="28" max="28" width="64.5703125" bestFit="1" customWidth="1"/>
    <col min="29" max="29" width="17.7109375" bestFit="1" customWidth="1"/>
  </cols>
  <sheetData>
    <row r="1" spans="1:29">
      <c r="A1" t="str" cm="1">
        <f t="array" ref="A1:AA1000">Input!D1:AD1000</f>
        <v>Business name</v>
      </c>
      <c r="B1" t="str">
        <v>System manufacturer</v>
      </c>
      <c r="C1" t="str">
        <v>System chassis type</v>
      </c>
      <c r="D1" t="str">
        <v>Custom 1</v>
      </c>
      <c r="E1" t="str">
        <v>Device Identifier</v>
      </c>
      <c r="F1" t="str">
        <v>Erasure state</v>
      </c>
      <c r="G1" t="str">
        <v>System serial</v>
      </c>
      <c r="H1" t="str">
        <v>System version</v>
      </c>
      <c r="I1" t="str">
        <v>System model</v>
      </c>
      <c r="J1" t="str">
        <v>Capacity</v>
      </c>
      <c r="K1" t="str">
        <v>Comment</v>
      </c>
      <c r="L1" t="str">
        <v>Comment2</v>
      </c>
      <c r="M1" t="str">
        <v>Comment3</v>
      </c>
      <c r="N1" t="str">
        <v>Comment4</v>
      </c>
      <c r="O1" t="str">
        <v>Comment5</v>
      </c>
      <c r="P1" t="str">
        <v>Comment6</v>
      </c>
      <c r="Q1" t="str">
        <v>Comment7</v>
      </c>
      <c r="R1" t="str">
        <v>Comment8</v>
      </c>
      <c r="S1" t="str">
        <v>CPU model</v>
      </c>
      <c r="T1" t="str">
        <v>Memory capacity</v>
      </c>
      <c r="U1" t="str">
        <v>Memory type</v>
      </c>
      <c r="V1" t="str">
        <v>Disk capacity</v>
      </c>
      <c r="W1" t="str">
        <v>Disk interface type</v>
      </c>
      <c r="X1" t="str">
        <v>Disk serial</v>
      </c>
      <c r="Y1" t="str">
        <v>Disk model</v>
      </c>
      <c r="Z1" t="str">
        <v>Erasure start time</v>
      </c>
      <c r="AA1" t="str">
        <v>Battery test comment</v>
      </c>
      <c r="AC1" t="s">
        <v>50</v>
      </c>
    </row>
    <row r="2" spans="1:29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C2" t="str">
        <f>IF(ISNUMBER(SEARCH("Successful",F2)),
   "Successful",
   IF(ISNUMBER(SEARCH("Failed",F2)),"Failed",""))</f>
        <v/>
      </c>
    </row>
    <row r="3" spans="1:29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C3" t="str">
        <f t="shared" ref="AC3:AC66" si="0">IF(ISNUMBER(SEARCH("Successful",F3)),
   "Successful",
   IF(ISNUMBER(SEARCH("Failed",F3)),"Failed",""))</f>
        <v/>
      </c>
    </row>
    <row r="4" spans="1:29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C4" t="str">
        <f t="shared" si="0"/>
        <v/>
      </c>
    </row>
    <row r="5" spans="1:29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C5" t="str">
        <f t="shared" si="0"/>
        <v/>
      </c>
    </row>
    <row r="6" spans="1:29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C6" t="str">
        <f t="shared" si="0"/>
        <v/>
      </c>
    </row>
    <row r="7" spans="1:29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C7" t="str">
        <f t="shared" si="0"/>
        <v/>
      </c>
    </row>
    <row r="8" spans="1:29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C8" t="str">
        <f t="shared" si="0"/>
        <v/>
      </c>
    </row>
    <row r="9" spans="1:29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C9" t="str">
        <f t="shared" si="0"/>
        <v/>
      </c>
    </row>
    <row r="10" spans="1:29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C10" t="str">
        <f t="shared" si="0"/>
        <v/>
      </c>
    </row>
    <row r="11" spans="1:29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C11" t="str">
        <f t="shared" si="0"/>
        <v/>
      </c>
    </row>
    <row r="12" spans="1:29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C12" t="str">
        <f t="shared" si="0"/>
        <v/>
      </c>
    </row>
    <row r="13" spans="1:29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C13" t="str">
        <f t="shared" si="0"/>
        <v/>
      </c>
    </row>
    <row r="14" spans="1:29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C14" t="str">
        <f t="shared" si="0"/>
        <v/>
      </c>
    </row>
    <row r="15" spans="1:29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C15" t="str">
        <f t="shared" si="0"/>
        <v/>
      </c>
    </row>
    <row r="16" spans="1:29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C16" t="str">
        <f t="shared" si="0"/>
        <v/>
      </c>
    </row>
    <row r="17" spans="1:29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C17" t="str">
        <f t="shared" si="0"/>
        <v/>
      </c>
    </row>
    <row r="18" spans="1:29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C18" t="str">
        <f t="shared" si="0"/>
        <v/>
      </c>
    </row>
    <row r="19" spans="1:29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C19" t="str">
        <f t="shared" si="0"/>
        <v/>
      </c>
    </row>
    <row r="20" spans="1:29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C20" t="str">
        <f t="shared" si="0"/>
        <v/>
      </c>
    </row>
    <row r="21" spans="1:29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C21" t="str">
        <f t="shared" si="0"/>
        <v/>
      </c>
    </row>
    <row r="22" spans="1:29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C22" t="str">
        <f t="shared" si="0"/>
        <v/>
      </c>
    </row>
    <row r="23" spans="1:29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C23" t="str">
        <f t="shared" si="0"/>
        <v/>
      </c>
    </row>
    <row r="24" spans="1:29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C24" t="str">
        <f>IF(ISNUMBER(SEARCH("Successful",F24)),
   "Successful",
   IF(ISNUMBER(SEARCH("Failed",F24)),"Failed",""))</f>
        <v/>
      </c>
    </row>
    <row r="25" spans="1:29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C25" t="str">
        <f t="shared" si="0"/>
        <v/>
      </c>
    </row>
    <row r="26" spans="1:29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C26" t="str">
        <f t="shared" si="0"/>
        <v/>
      </c>
    </row>
    <row r="27" spans="1:29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C27" t="str">
        <f t="shared" si="0"/>
        <v/>
      </c>
    </row>
    <row r="28" spans="1:29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C28" t="str">
        <f t="shared" si="0"/>
        <v/>
      </c>
    </row>
    <row r="29" spans="1:29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C29" t="str">
        <f t="shared" si="0"/>
        <v/>
      </c>
    </row>
    <row r="30" spans="1:29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C30" t="str">
        <f t="shared" si="0"/>
        <v/>
      </c>
    </row>
    <row r="31" spans="1:29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C31" t="str">
        <f t="shared" si="0"/>
        <v/>
      </c>
    </row>
    <row r="32" spans="1:29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C32" t="str">
        <f t="shared" si="0"/>
        <v/>
      </c>
    </row>
    <row r="33" spans="1:29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C33" t="str">
        <f t="shared" si="0"/>
        <v/>
      </c>
    </row>
    <row r="34" spans="1:29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C34" t="str">
        <f t="shared" si="0"/>
        <v/>
      </c>
    </row>
    <row r="35" spans="1:29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C35" t="str">
        <f t="shared" si="0"/>
        <v/>
      </c>
    </row>
    <row r="36" spans="1:29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C36" t="str">
        <f t="shared" si="0"/>
        <v/>
      </c>
    </row>
    <row r="37" spans="1:29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C37" t="str">
        <f t="shared" si="0"/>
        <v/>
      </c>
    </row>
    <row r="38" spans="1:29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C38" t="str">
        <f t="shared" si="0"/>
        <v/>
      </c>
    </row>
    <row r="39" spans="1:29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C39" t="str">
        <f t="shared" si="0"/>
        <v/>
      </c>
    </row>
    <row r="40" spans="1:29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C40" t="str">
        <f t="shared" si="0"/>
        <v/>
      </c>
    </row>
    <row r="41" spans="1:29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C41" t="str">
        <f t="shared" si="0"/>
        <v/>
      </c>
    </row>
    <row r="42" spans="1:29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C42" t="str">
        <f t="shared" si="0"/>
        <v/>
      </c>
    </row>
    <row r="43" spans="1:29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C43" t="str">
        <f t="shared" si="0"/>
        <v/>
      </c>
    </row>
    <row r="44" spans="1:29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C44" t="str">
        <f t="shared" si="0"/>
        <v/>
      </c>
    </row>
    <row r="45" spans="1:29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C45" t="str">
        <f t="shared" si="0"/>
        <v/>
      </c>
    </row>
    <row r="46" spans="1:29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C46" t="str">
        <f t="shared" si="0"/>
        <v/>
      </c>
    </row>
    <row r="47" spans="1:29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C47" t="str">
        <f t="shared" si="0"/>
        <v/>
      </c>
    </row>
    <row r="48" spans="1:29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C48" t="str">
        <f t="shared" si="0"/>
        <v/>
      </c>
    </row>
    <row r="49" spans="1:29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C49" t="str">
        <f t="shared" si="0"/>
        <v/>
      </c>
    </row>
    <row r="50" spans="1:29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C50" t="str">
        <f t="shared" si="0"/>
        <v/>
      </c>
    </row>
    <row r="51" spans="1:29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C51" t="str">
        <f t="shared" si="0"/>
        <v/>
      </c>
    </row>
    <row r="52" spans="1:29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C52" t="str">
        <f t="shared" si="0"/>
        <v/>
      </c>
    </row>
    <row r="53" spans="1:29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C53" t="str">
        <f t="shared" si="0"/>
        <v/>
      </c>
    </row>
    <row r="54" spans="1:29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C54" t="str">
        <f t="shared" si="0"/>
        <v/>
      </c>
    </row>
    <row r="55" spans="1:29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C55" t="str">
        <f t="shared" si="0"/>
        <v/>
      </c>
    </row>
    <row r="56" spans="1:29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C56" t="str">
        <f t="shared" si="0"/>
        <v/>
      </c>
    </row>
    <row r="57" spans="1:29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C57" t="str">
        <f t="shared" si="0"/>
        <v/>
      </c>
    </row>
    <row r="58" spans="1:29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C58" t="str">
        <f t="shared" si="0"/>
        <v/>
      </c>
    </row>
    <row r="59" spans="1:29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C59" t="str">
        <f t="shared" si="0"/>
        <v/>
      </c>
    </row>
    <row r="60" spans="1:29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C60" t="str">
        <f t="shared" si="0"/>
        <v/>
      </c>
    </row>
    <row r="61" spans="1:29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C61" t="str">
        <f t="shared" si="0"/>
        <v/>
      </c>
    </row>
    <row r="62" spans="1:29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C62" t="str">
        <f t="shared" si="0"/>
        <v/>
      </c>
    </row>
    <row r="63" spans="1:29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C63" t="str">
        <f t="shared" si="0"/>
        <v/>
      </c>
    </row>
    <row r="64" spans="1:29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C64" t="str">
        <f t="shared" si="0"/>
        <v/>
      </c>
    </row>
    <row r="65" spans="1:29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C65" t="str">
        <f t="shared" si="0"/>
        <v/>
      </c>
    </row>
    <row r="66" spans="1:29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C66" t="str">
        <f t="shared" si="0"/>
        <v/>
      </c>
    </row>
    <row r="67" spans="1:29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C67" t="str">
        <f t="shared" ref="AC67:AC130" si="1">IF(ISNUMBER(SEARCH("Successful",F67)),
   "Successful",
   IF(ISNUMBER(SEARCH("Failed",F67)),"Failed",""))</f>
        <v/>
      </c>
    </row>
    <row r="68" spans="1:29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C68" t="str">
        <f t="shared" si="1"/>
        <v/>
      </c>
    </row>
    <row r="69" spans="1:29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C69" t="str">
        <f t="shared" si="1"/>
        <v/>
      </c>
    </row>
    <row r="70" spans="1:29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C70" t="str">
        <f t="shared" si="1"/>
        <v/>
      </c>
    </row>
    <row r="71" spans="1:29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C71" t="str">
        <f t="shared" si="1"/>
        <v/>
      </c>
    </row>
    <row r="72" spans="1:29">
      <c r="A72">
        <v>0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C72" t="str">
        <f t="shared" si="1"/>
        <v/>
      </c>
    </row>
    <row r="73" spans="1:29">
      <c r="A73">
        <v>0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C73" t="str">
        <f t="shared" si="1"/>
        <v/>
      </c>
    </row>
    <row r="74" spans="1:29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C74" t="str">
        <f t="shared" si="1"/>
        <v/>
      </c>
    </row>
    <row r="75" spans="1:29">
      <c r="A75">
        <v>0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C75" t="str">
        <f t="shared" si="1"/>
        <v/>
      </c>
    </row>
    <row r="76" spans="1:29">
      <c r="A76">
        <v>0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C76" t="str">
        <f t="shared" si="1"/>
        <v/>
      </c>
    </row>
    <row r="77" spans="1:29">
      <c r="A77">
        <v>0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C77" t="str">
        <f t="shared" si="1"/>
        <v/>
      </c>
    </row>
    <row r="78" spans="1:29">
      <c r="A78">
        <v>0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C78" t="str">
        <f t="shared" si="1"/>
        <v/>
      </c>
    </row>
    <row r="79" spans="1:29">
      <c r="A79">
        <v>0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C79" t="str">
        <f t="shared" si="1"/>
        <v/>
      </c>
    </row>
    <row r="80" spans="1:29">
      <c r="A80">
        <v>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C80" t="str">
        <f t="shared" si="1"/>
        <v/>
      </c>
    </row>
    <row r="81" spans="1:29">
      <c r="A81">
        <v>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C81" t="str">
        <f t="shared" si="1"/>
        <v/>
      </c>
    </row>
    <row r="82" spans="1:29">
      <c r="A82">
        <v>0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C82" t="str">
        <f t="shared" si="1"/>
        <v/>
      </c>
    </row>
    <row r="83" spans="1:29">
      <c r="A83">
        <v>0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C83" t="str">
        <f t="shared" si="1"/>
        <v/>
      </c>
    </row>
    <row r="84" spans="1:29">
      <c r="A84">
        <v>0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C84" t="str">
        <f t="shared" si="1"/>
        <v/>
      </c>
    </row>
    <row r="85" spans="1:29">
      <c r="A85">
        <v>0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C85" t="str">
        <f t="shared" si="1"/>
        <v/>
      </c>
    </row>
    <row r="86" spans="1:29">
      <c r="A86">
        <v>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C86" t="str">
        <f t="shared" si="1"/>
        <v/>
      </c>
    </row>
    <row r="87" spans="1:29">
      <c r="A87">
        <v>0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C87" t="str">
        <f t="shared" si="1"/>
        <v/>
      </c>
    </row>
    <row r="88" spans="1:29">
      <c r="A88">
        <v>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C88" t="str">
        <f t="shared" si="1"/>
        <v/>
      </c>
    </row>
    <row r="89" spans="1:29">
      <c r="A89">
        <v>0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C89" t="str">
        <f t="shared" si="1"/>
        <v/>
      </c>
    </row>
    <row r="90" spans="1:29">
      <c r="A90">
        <v>0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C90" t="str">
        <f t="shared" si="1"/>
        <v/>
      </c>
    </row>
    <row r="91" spans="1:29">
      <c r="A91">
        <v>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C91" t="str">
        <f t="shared" si="1"/>
        <v/>
      </c>
    </row>
    <row r="92" spans="1:29">
      <c r="A92">
        <v>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C92" t="str">
        <f t="shared" si="1"/>
        <v/>
      </c>
    </row>
    <row r="93" spans="1:29">
      <c r="A93">
        <v>0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C93" t="str">
        <f t="shared" si="1"/>
        <v/>
      </c>
    </row>
    <row r="94" spans="1:29">
      <c r="A94">
        <v>0</v>
      </c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C94" t="str">
        <f t="shared" si="1"/>
        <v/>
      </c>
    </row>
    <row r="95" spans="1:29">
      <c r="A95">
        <v>0</v>
      </c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C95" t="str">
        <f t="shared" si="1"/>
        <v/>
      </c>
    </row>
    <row r="96" spans="1:29">
      <c r="A96">
        <v>0</v>
      </c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C96" t="str">
        <f t="shared" si="1"/>
        <v/>
      </c>
    </row>
    <row r="97" spans="1:29">
      <c r="A97">
        <v>0</v>
      </c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C97" t="str">
        <f t="shared" si="1"/>
        <v/>
      </c>
    </row>
    <row r="98" spans="1:29">
      <c r="A98">
        <v>0</v>
      </c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C98" t="str">
        <f t="shared" si="1"/>
        <v/>
      </c>
    </row>
    <row r="99" spans="1:29">
      <c r="A99">
        <v>0</v>
      </c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C99" t="str">
        <f t="shared" si="1"/>
        <v/>
      </c>
    </row>
    <row r="100" spans="1:29">
      <c r="A100">
        <v>0</v>
      </c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C100" t="str">
        <f t="shared" si="1"/>
        <v/>
      </c>
    </row>
    <row r="101" spans="1:29">
      <c r="A101">
        <v>0</v>
      </c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C101" t="str">
        <f t="shared" si="1"/>
        <v/>
      </c>
    </row>
    <row r="102" spans="1:29">
      <c r="A102">
        <v>0</v>
      </c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C102" t="str">
        <f t="shared" si="1"/>
        <v/>
      </c>
    </row>
    <row r="103" spans="1:29">
      <c r="A103">
        <v>0</v>
      </c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C103" t="str">
        <f t="shared" si="1"/>
        <v/>
      </c>
    </row>
    <row r="104" spans="1:29">
      <c r="A104">
        <v>0</v>
      </c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C104" t="str">
        <f t="shared" si="1"/>
        <v/>
      </c>
    </row>
    <row r="105" spans="1:29">
      <c r="A105">
        <v>0</v>
      </c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C105" t="str">
        <f t="shared" si="1"/>
        <v/>
      </c>
    </row>
    <row r="106" spans="1:29">
      <c r="A106">
        <v>0</v>
      </c>
      <c r="B106">
        <v>0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C106" t="str">
        <f t="shared" si="1"/>
        <v/>
      </c>
    </row>
    <row r="107" spans="1:29">
      <c r="A107">
        <v>0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C107" t="str">
        <f t="shared" si="1"/>
        <v/>
      </c>
    </row>
    <row r="108" spans="1:29">
      <c r="A108">
        <v>0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C108" t="str">
        <f t="shared" si="1"/>
        <v/>
      </c>
    </row>
    <row r="109" spans="1:29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C109" t="str">
        <f t="shared" si="1"/>
        <v/>
      </c>
    </row>
    <row r="110" spans="1:29">
      <c r="A110">
        <v>0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C110" t="str">
        <f t="shared" si="1"/>
        <v/>
      </c>
    </row>
    <row r="111" spans="1:29">
      <c r="A111">
        <v>0</v>
      </c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C111" t="str">
        <f t="shared" si="1"/>
        <v/>
      </c>
    </row>
    <row r="112" spans="1:29">
      <c r="A112">
        <v>0</v>
      </c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C112" t="str">
        <f t="shared" si="1"/>
        <v/>
      </c>
    </row>
    <row r="113" spans="1:29">
      <c r="A113">
        <v>0</v>
      </c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C113" t="str">
        <f t="shared" si="1"/>
        <v/>
      </c>
    </row>
    <row r="114" spans="1:29">
      <c r="A114">
        <v>0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C114" t="str">
        <f t="shared" si="1"/>
        <v/>
      </c>
    </row>
    <row r="115" spans="1:29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C115" t="str">
        <f t="shared" si="1"/>
        <v/>
      </c>
    </row>
    <row r="116" spans="1:29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C116" t="str">
        <f t="shared" si="1"/>
        <v/>
      </c>
    </row>
    <row r="117" spans="1:29">
      <c r="A117">
        <v>0</v>
      </c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C117" t="str">
        <f t="shared" si="1"/>
        <v/>
      </c>
    </row>
    <row r="118" spans="1:29">
      <c r="A118">
        <v>0</v>
      </c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C118" t="str">
        <f t="shared" si="1"/>
        <v/>
      </c>
    </row>
    <row r="119" spans="1:29">
      <c r="A119">
        <v>0</v>
      </c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C119" t="str">
        <f t="shared" si="1"/>
        <v/>
      </c>
    </row>
    <row r="120" spans="1:29">
      <c r="A120">
        <v>0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C120" t="str">
        <f t="shared" si="1"/>
        <v/>
      </c>
    </row>
    <row r="121" spans="1:29">
      <c r="A121">
        <v>0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C121" t="str">
        <f t="shared" si="1"/>
        <v/>
      </c>
    </row>
    <row r="122" spans="1:29">
      <c r="A122">
        <v>0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C122" t="str">
        <f t="shared" si="1"/>
        <v/>
      </c>
    </row>
    <row r="123" spans="1:29">
      <c r="A123">
        <v>0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C123" t="str">
        <f t="shared" si="1"/>
        <v/>
      </c>
    </row>
    <row r="124" spans="1:29">
      <c r="A124">
        <v>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C124" t="str">
        <f t="shared" si="1"/>
        <v/>
      </c>
    </row>
    <row r="125" spans="1:29">
      <c r="A125">
        <v>0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C125" t="str">
        <f t="shared" si="1"/>
        <v/>
      </c>
    </row>
    <row r="126" spans="1:29">
      <c r="A126">
        <v>0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C126" t="str">
        <f t="shared" si="1"/>
        <v/>
      </c>
    </row>
    <row r="127" spans="1:29">
      <c r="A127">
        <v>0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C127" t="str">
        <f t="shared" si="1"/>
        <v/>
      </c>
    </row>
    <row r="128" spans="1:29">
      <c r="A128">
        <v>0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C128" t="str">
        <f t="shared" si="1"/>
        <v/>
      </c>
    </row>
    <row r="129" spans="1:29">
      <c r="A129">
        <v>0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C129" t="str">
        <f t="shared" si="1"/>
        <v/>
      </c>
    </row>
    <row r="130" spans="1:29">
      <c r="A130">
        <v>0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C130" t="str">
        <f t="shared" si="1"/>
        <v/>
      </c>
    </row>
    <row r="131" spans="1:29">
      <c r="A131">
        <v>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C131" t="str">
        <f t="shared" ref="AC131:AC194" si="2">IF(ISNUMBER(SEARCH("Successful",F131)),
   "Successful",
   IF(ISNUMBER(SEARCH("Failed",F131)),"Failed",""))</f>
        <v/>
      </c>
    </row>
    <row r="132" spans="1:29">
      <c r="A132">
        <v>0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C132" t="str">
        <f t="shared" si="2"/>
        <v/>
      </c>
    </row>
    <row r="133" spans="1:29">
      <c r="A133">
        <v>0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C133" t="str">
        <f t="shared" si="2"/>
        <v/>
      </c>
    </row>
    <row r="134" spans="1:29">
      <c r="A134">
        <v>0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C134" t="str">
        <f t="shared" si="2"/>
        <v/>
      </c>
    </row>
    <row r="135" spans="1:29">
      <c r="A135">
        <v>0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C135" t="str">
        <f t="shared" si="2"/>
        <v/>
      </c>
    </row>
    <row r="136" spans="1:29">
      <c r="A136">
        <v>0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C136" t="str">
        <f t="shared" si="2"/>
        <v/>
      </c>
    </row>
    <row r="137" spans="1:29">
      <c r="A137">
        <v>0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C137" t="str">
        <f t="shared" si="2"/>
        <v/>
      </c>
    </row>
    <row r="138" spans="1:29">
      <c r="A138">
        <v>0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C138" t="str">
        <f t="shared" si="2"/>
        <v/>
      </c>
    </row>
    <row r="139" spans="1:29">
      <c r="A139">
        <v>0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C139" t="str">
        <f t="shared" si="2"/>
        <v/>
      </c>
    </row>
    <row r="140" spans="1:29">
      <c r="A140">
        <v>0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C140" t="str">
        <f t="shared" si="2"/>
        <v/>
      </c>
    </row>
    <row r="141" spans="1:29">
      <c r="A141">
        <v>0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C141" t="str">
        <f t="shared" si="2"/>
        <v/>
      </c>
    </row>
    <row r="142" spans="1:29">
      <c r="A142">
        <v>0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C142" t="str">
        <f t="shared" si="2"/>
        <v/>
      </c>
    </row>
    <row r="143" spans="1:29">
      <c r="A143">
        <v>0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C143" t="str">
        <f t="shared" si="2"/>
        <v/>
      </c>
    </row>
    <row r="144" spans="1:29">
      <c r="A144">
        <v>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C144" t="str">
        <f t="shared" si="2"/>
        <v/>
      </c>
    </row>
    <row r="145" spans="1:29">
      <c r="A145">
        <v>0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C145" t="str">
        <f t="shared" si="2"/>
        <v/>
      </c>
    </row>
    <row r="146" spans="1:29">
      <c r="A146">
        <v>0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C146" t="str">
        <f t="shared" si="2"/>
        <v/>
      </c>
    </row>
    <row r="147" spans="1:29">
      <c r="A147">
        <v>0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C147" t="str">
        <f t="shared" si="2"/>
        <v/>
      </c>
    </row>
    <row r="148" spans="1:29">
      <c r="A148">
        <v>0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C148" t="str">
        <f t="shared" si="2"/>
        <v/>
      </c>
    </row>
    <row r="149" spans="1:29">
      <c r="A149">
        <v>0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C149" t="str">
        <f t="shared" si="2"/>
        <v/>
      </c>
    </row>
    <row r="150" spans="1:29">
      <c r="A150">
        <v>0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C150" t="str">
        <f t="shared" si="2"/>
        <v/>
      </c>
    </row>
    <row r="151" spans="1:29">
      <c r="A151">
        <v>0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C151" t="str">
        <f t="shared" si="2"/>
        <v/>
      </c>
    </row>
    <row r="152" spans="1:29">
      <c r="A152">
        <v>0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C152" t="str">
        <f t="shared" si="2"/>
        <v/>
      </c>
    </row>
    <row r="153" spans="1:29">
      <c r="A153">
        <v>0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C153" t="str">
        <f t="shared" si="2"/>
        <v/>
      </c>
    </row>
    <row r="154" spans="1:29">
      <c r="A154">
        <v>0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C154" t="str">
        <f t="shared" si="2"/>
        <v/>
      </c>
    </row>
    <row r="155" spans="1:29">
      <c r="A155">
        <v>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C155" t="str">
        <f t="shared" si="2"/>
        <v/>
      </c>
    </row>
    <row r="156" spans="1:29">
      <c r="A156">
        <v>0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C156" t="str">
        <f t="shared" si="2"/>
        <v/>
      </c>
    </row>
    <row r="157" spans="1:29">
      <c r="A157">
        <v>0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C157" t="str">
        <f t="shared" si="2"/>
        <v/>
      </c>
    </row>
    <row r="158" spans="1:29">
      <c r="A158">
        <v>0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C158" t="str">
        <f t="shared" si="2"/>
        <v/>
      </c>
    </row>
    <row r="159" spans="1:29">
      <c r="A159">
        <v>0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C159" t="str">
        <f t="shared" si="2"/>
        <v/>
      </c>
    </row>
    <row r="160" spans="1:29">
      <c r="A160">
        <v>0</v>
      </c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C160" t="str">
        <f t="shared" si="2"/>
        <v/>
      </c>
    </row>
    <row r="161" spans="1:29">
      <c r="A161">
        <v>0</v>
      </c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C161" t="str">
        <f t="shared" si="2"/>
        <v/>
      </c>
    </row>
    <row r="162" spans="1:29">
      <c r="A162">
        <v>0</v>
      </c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C162" t="str">
        <f t="shared" si="2"/>
        <v/>
      </c>
    </row>
    <row r="163" spans="1:29">
      <c r="A163">
        <v>0</v>
      </c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C163" t="str">
        <f t="shared" si="2"/>
        <v/>
      </c>
    </row>
    <row r="164" spans="1:29">
      <c r="A164">
        <v>0</v>
      </c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C164" t="str">
        <f t="shared" si="2"/>
        <v/>
      </c>
    </row>
    <row r="165" spans="1:29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C165" t="str">
        <f t="shared" si="2"/>
        <v/>
      </c>
    </row>
    <row r="166" spans="1:29">
      <c r="A166">
        <v>0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C166" t="str">
        <f t="shared" si="2"/>
        <v/>
      </c>
    </row>
    <row r="167" spans="1:29">
      <c r="A167">
        <v>0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C167" t="str">
        <f t="shared" si="2"/>
        <v/>
      </c>
    </row>
    <row r="168" spans="1:29">
      <c r="A168">
        <v>0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C168" t="str">
        <f t="shared" si="2"/>
        <v/>
      </c>
    </row>
    <row r="169" spans="1:29">
      <c r="A169">
        <v>0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C169" t="str">
        <f t="shared" si="2"/>
        <v/>
      </c>
    </row>
    <row r="170" spans="1:29">
      <c r="A170">
        <v>0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C170" t="str">
        <f t="shared" si="2"/>
        <v/>
      </c>
    </row>
    <row r="171" spans="1:29">
      <c r="A171">
        <v>0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C171" t="str">
        <f t="shared" si="2"/>
        <v/>
      </c>
    </row>
    <row r="172" spans="1:29">
      <c r="A172">
        <v>0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C172" t="str">
        <f t="shared" si="2"/>
        <v/>
      </c>
    </row>
    <row r="173" spans="1:29">
      <c r="A173">
        <v>0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C173" t="str">
        <f t="shared" si="2"/>
        <v/>
      </c>
    </row>
    <row r="174" spans="1:29">
      <c r="A174">
        <v>0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C174" t="str">
        <f t="shared" si="2"/>
        <v/>
      </c>
    </row>
    <row r="175" spans="1:29">
      <c r="A175">
        <v>0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C175" t="str">
        <f t="shared" si="2"/>
        <v/>
      </c>
    </row>
    <row r="176" spans="1:29">
      <c r="A176">
        <v>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C176" t="str">
        <f t="shared" si="2"/>
        <v/>
      </c>
    </row>
    <row r="177" spans="1:29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C177" t="str">
        <f t="shared" si="2"/>
        <v/>
      </c>
    </row>
    <row r="178" spans="1:29">
      <c r="A178">
        <v>0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C178" t="str">
        <f t="shared" si="2"/>
        <v/>
      </c>
    </row>
    <row r="179" spans="1:29">
      <c r="A179">
        <v>0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C179" t="str">
        <f t="shared" si="2"/>
        <v/>
      </c>
    </row>
    <row r="180" spans="1:29">
      <c r="A180">
        <v>0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C180" t="str">
        <f t="shared" si="2"/>
        <v/>
      </c>
    </row>
    <row r="181" spans="1:29">
      <c r="A181">
        <v>0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C181" t="str">
        <f t="shared" si="2"/>
        <v/>
      </c>
    </row>
    <row r="182" spans="1:29">
      <c r="A182">
        <v>0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C182" t="str">
        <f t="shared" si="2"/>
        <v/>
      </c>
    </row>
    <row r="183" spans="1:29">
      <c r="A183">
        <v>0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C183" t="str">
        <f t="shared" si="2"/>
        <v/>
      </c>
    </row>
    <row r="184" spans="1:29">
      <c r="A184">
        <v>0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C184" t="str">
        <f t="shared" si="2"/>
        <v/>
      </c>
    </row>
    <row r="185" spans="1:29">
      <c r="A185">
        <v>0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C185" t="str">
        <f t="shared" si="2"/>
        <v/>
      </c>
    </row>
    <row r="186" spans="1:29">
      <c r="A186">
        <v>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C186" t="str">
        <f t="shared" si="2"/>
        <v/>
      </c>
    </row>
    <row r="187" spans="1:29">
      <c r="A187">
        <v>0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C187" t="str">
        <f t="shared" si="2"/>
        <v/>
      </c>
    </row>
    <row r="188" spans="1:29">
      <c r="A188">
        <v>0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C188" t="str">
        <f t="shared" si="2"/>
        <v/>
      </c>
    </row>
    <row r="189" spans="1:29">
      <c r="A189">
        <v>0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C189" t="str">
        <f t="shared" si="2"/>
        <v/>
      </c>
    </row>
    <row r="190" spans="1:29">
      <c r="A190">
        <v>0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C190" t="str">
        <f t="shared" si="2"/>
        <v/>
      </c>
    </row>
    <row r="191" spans="1:29">
      <c r="A191">
        <v>0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C191" t="str">
        <f t="shared" si="2"/>
        <v/>
      </c>
    </row>
    <row r="192" spans="1:29">
      <c r="A192">
        <v>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C192" t="str">
        <f t="shared" si="2"/>
        <v/>
      </c>
    </row>
    <row r="193" spans="1:29">
      <c r="A193">
        <v>0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C193" t="str">
        <f t="shared" si="2"/>
        <v/>
      </c>
    </row>
    <row r="194" spans="1:29">
      <c r="A194">
        <v>0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C194" t="str">
        <f t="shared" si="2"/>
        <v/>
      </c>
    </row>
    <row r="195" spans="1:29">
      <c r="A195">
        <v>0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C195" t="str">
        <f t="shared" ref="AC195:AC258" si="3">IF(ISNUMBER(SEARCH("Successful",F195)),
   "Successful",
   IF(ISNUMBER(SEARCH("Failed",F195)),"Failed",""))</f>
        <v/>
      </c>
    </row>
    <row r="196" spans="1:29">
      <c r="A196">
        <v>0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C196" t="str">
        <f t="shared" si="3"/>
        <v/>
      </c>
    </row>
    <row r="197" spans="1:29">
      <c r="A197">
        <v>0</v>
      </c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C197" t="str">
        <f t="shared" si="3"/>
        <v/>
      </c>
    </row>
    <row r="198" spans="1:29">
      <c r="A198">
        <v>0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C198" t="str">
        <f t="shared" si="3"/>
        <v/>
      </c>
    </row>
    <row r="199" spans="1:29">
      <c r="A199">
        <v>0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C199" t="str">
        <f t="shared" si="3"/>
        <v/>
      </c>
    </row>
    <row r="200" spans="1:29">
      <c r="A200">
        <v>0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C200" t="str">
        <f t="shared" si="3"/>
        <v/>
      </c>
    </row>
    <row r="201" spans="1:29">
      <c r="A201">
        <v>0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C201" t="str">
        <f t="shared" si="3"/>
        <v/>
      </c>
    </row>
    <row r="202" spans="1:29">
      <c r="A202">
        <v>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C202" t="str">
        <f t="shared" si="3"/>
        <v/>
      </c>
    </row>
    <row r="203" spans="1:29">
      <c r="A203">
        <v>0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C203" t="str">
        <f t="shared" si="3"/>
        <v/>
      </c>
    </row>
    <row r="204" spans="1:29">
      <c r="A204">
        <v>0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C204" t="str">
        <f t="shared" si="3"/>
        <v/>
      </c>
    </row>
    <row r="205" spans="1:29">
      <c r="A205">
        <v>0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C205" t="str">
        <f t="shared" si="3"/>
        <v/>
      </c>
    </row>
    <row r="206" spans="1:29">
      <c r="A206">
        <v>0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C206" t="str">
        <f t="shared" si="3"/>
        <v/>
      </c>
    </row>
    <row r="207" spans="1:29">
      <c r="A207">
        <v>0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C207" t="str">
        <f t="shared" si="3"/>
        <v/>
      </c>
    </row>
    <row r="208" spans="1:29">
      <c r="A208">
        <v>0</v>
      </c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C208" t="str">
        <f t="shared" si="3"/>
        <v/>
      </c>
    </row>
    <row r="209" spans="1:29">
      <c r="A209">
        <v>0</v>
      </c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C209" t="str">
        <f t="shared" si="3"/>
        <v/>
      </c>
    </row>
    <row r="210" spans="1:29">
      <c r="A210">
        <v>0</v>
      </c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C210" t="str">
        <f t="shared" si="3"/>
        <v/>
      </c>
    </row>
    <row r="211" spans="1:29">
      <c r="A211">
        <v>0</v>
      </c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C211" t="str">
        <f t="shared" si="3"/>
        <v/>
      </c>
    </row>
    <row r="212" spans="1:29">
      <c r="A212">
        <v>0</v>
      </c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C212" t="str">
        <f t="shared" si="3"/>
        <v/>
      </c>
    </row>
    <row r="213" spans="1:29">
      <c r="A213">
        <v>0</v>
      </c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C213" t="str">
        <f t="shared" si="3"/>
        <v/>
      </c>
    </row>
    <row r="214" spans="1:29">
      <c r="A214">
        <v>0</v>
      </c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C214" t="str">
        <f t="shared" si="3"/>
        <v/>
      </c>
    </row>
    <row r="215" spans="1:29">
      <c r="A215">
        <v>0</v>
      </c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C215" t="str">
        <f t="shared" si="3"/>
        <v/>
      </c>
    </row>
    <row r="216" spans="1:29">
      <c r="A216">
        <v>0</v>
      </c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C216" t="str">
        <f t="shared" si="3"/>
        <v/>
      </c>
    </row>
    <row r="217" spans="1:29">
      <c r="A217">
        <v>0</v>
      </c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C217" t="str">
        <f t="shared" si="3"/>
        <v/>
      </c>
    </row>
    <row r="218" spans="1:29">
      <c r="A218">
        <v>0</v>
      </c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C218" t="str">
        <f t="shared" si="3"/>
        <v/>
      </c>
    </row>
    <row r="219" spans="1:29">
      <c r="A219">
        <v>0</v>
      </c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C219" t="str">
        <f t="shared" si="3"/>
        <v/>
      </c>
    </row>
    <row r="220" spans="1:29">
      <c r="A220">
        <v>0</v>
      </c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C220" t="str">
        <f t="shared" si="3"/>
        <v/>
      </c>
    </row>
    <row r="221" spans="1:29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C221" t="str">
        <f t="shared" si="3"/>
        <v/>
      </c>
    </row>
    <row r="222" spans="1:29">
      <c r="A222">
        <v>0</v>
      </c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C222" t="str">
        <f t="shared" si="3"/>
        <v/>
      </c>
    </row>
    <row r="223" spans="1:29">
      <c r="A223">
        <v>0</v>
      </c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C223" t="str">
        <f t="shared" si="3"/>
        <v/>
      </c>
    </row>
    <row r="224" spans="1:29">
      <c r="A224">
        <v>0</v>
      </c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C224" t="str">
        <f t="shared" si="3"/>
        <v/>
      </c>
    </row>
    <row r="225" spans="1:29">
      <c r="A225">
        <v>0</v>
      </c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C225" t="str">
        <f t="shared" si="3"/>
        <v/>
      </c>
    </row>
    <row r="226" spans="1:29">
      <c r="A226">
        <v>0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C226" t="str">
        <f t="shared" si="3"/>
        <v/>
      </c>
    </row>
    <row r="227" spans="1:29">
      <c r="A227">
        <v>0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C227" t="str">
        <f t="shared" si="3"/>
        <v/>
      </c>
    </row>
    <row r="228" spans="1:29">
      <c r="A228">
        <v>0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C228" t="str">
        <f t="shared" si="3"/>
        <v/>
      </c>
    </row>
    <row r="229" spans="1:29">
      <c r="A229">
        <v>0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C229" t="str">
        <f t="shared" si="3"/>
        <v/>
      </c>
    </row>
    <row r="230" spans="1:29">
      <c r="A230">
        <v>0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C230" t="str">
        <f t="shared" si="3"/>
        <v/>
      </c>
    </row>
    <row r="231" spans="1:29">
      <c r="A231">
        <v>0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C231" t="str">
        <f t="shared" si="3"/>
        <v/>
      </c>
    </row>
    <row r="232" spans="1:29">
      <c r="A232">
        <v>0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C232" t="str">
        <f t="shared" si="3"/>
        <v/>
      </c>
    </row>
    <row r="233" spans="1:29">
      <c r="A233">
        <v>0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C233" t="str">
        <f t="shared" si="3"/>
        <v/>
      </c>
    </row>
    <row r="234" spans="1:29">
      <c r="A234">
        <v>0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C234" t="str">
        <f t="shared" si="3"/>
        <v/>
      </c>
    </row>
    <row r="235" spans="1:29">
      <c r="A235">
        <v>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C235" t="str">
        <f t="shared" si="3"/>
        <v/>
      </c>
    </row>
    <row r="236" spans="1:29">
      <c r="A236">
        <v>0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C236" t="str">
        <f t="shared" si="3"/>
        <v/>
      </c>
    </row>
    <row r="237" spans="1:29">
      <c r="A237">
        <v>0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C237" t="str">
        <f t="shared" si="3"/>
        <v/>
      </c>
    </row>
    <row r="238" spans="1:29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C238" t="str">
        <f t="shared" si="3"/>
        <v/>
      </c>
    </row>
    <row r="239" spans="1:29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C239" t="str">
        <f t="shared" si="3"/>
        <v/>
      </c>
    </row>
    <row r="240" spans="1:29">
      <c r="A240">
        <v>0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C240" t="str">
        <f t="shared" si="3"/>
        <v/>
      </c>
    </row>
    <row r="241" spans="1:29">
      <c r="A241">
        <v>0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C241" t="str">
        <f t="shared" si="3"/>
        <v/>
      </c>
    </row>
    <row r="242" spans="1:29">
      <c r="A242">
        <v>0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C242" t="str">
        <f t="shared" si="3"/>
        <v/>
      </c>
    </row>
    <row r="243" spans="1:29">
      <c r="A243">
        <v>0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C243" t="str">
        <f t="shared" si="3"/>
        <v/>
      </c>
    </row>
    <row r="244" spans="1:29">
      <c r="A244">
        <v>0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C244" t="str">
        <f t="shared" si="3"/>
        <v/>
      </c>
    </row>
    <row r="245" spans="1:29">
      <c r="A245">
        <v>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C245" t="str">
        <f t="shared" si="3"/>
        <v/>
      </c>
    </row>
    <row r="246" spans="1:29">
      <c r="A246">
        <v>0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C246" t="str">
        <f t="shared" si="3"/>
        <v/>
      </c>
    </row>
    <row r="247" spans="1:29">
      <c r="A247">
        <v>0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C247" t="str">
        <f t="shared" si="3"/>
        <v/>
      </c>
    </row>
    <row r="248" spans="1:29">
      <c r="A248">
        <v>0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C248" t="str">
        <f t="shared" si="3"/>
        <v/>
      </c>
    </row>
    <row r="249" spans="1:29">
      <c r="A249">
        <v>0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C249" t="str">
        <f t="shared" si="3"/>
        <v/>
      </c>
    </row>
    <row r="250" spans="1:29">
      <c r="A250">
        <v>0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C250" t="str">
        <f t="shared" si="3"/>
        <v/>
      </c>
    </row>
    <row r="251" spans="1:29">
      <c r="A251">
        <v>0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C251" t="str">
        <f t="shared" si="3"/>
        <v/>
      </c>
    </row>
    <row r="252" spans="1:29">
      <c r="A252">
        <v>0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C252" t="str">
        <f t="shared" si="3"/>
        <v/>
      </c>
    </row>
    <row r="253" spans="1:29">
      <c r="A253">
        <v>0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C253" t="str">
        <f t="shared" si="3"/>
        <v/>
      </c>
    </row>
    <row r="254" spans="1:29">
      <c r="A254">
        <v>0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C254" t="str">
        <f t="shared" si="3"/>
        <v/>
      </c>
    </row>
    <row r="255" spans="1:29">
      <c r="A255">
        <v>0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C255" t="str">
        <f t="shared" si="3"/>
        <v/>
      </c>
    </row>
    <row r="256" spans="1:29">
      <c r="A256">
        <v>0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C256" t="str">
        <f t="shared" si="3"/>
        <v/>
      </c>
    </row>
    <row r="257" spans="1:29">
      <c r="A257">
        <v>0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C257" t="str">
        <f t="shared" si="3"/>
        <v/>
      </c>
    </row>
    <row r="258" spans="1:29">
      <c r="A258">
        <v>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C258" t="str">
        <f t="shared" si="3"/>
        <v/>
      </c>
    </row>
    <row r="259" spans="1:29">
      <c r="A259">
        <v>0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C259" t="str">
        <f t="shared" ref="AC259:AC322" si="4">IF(ISNUMBER(SEARCH("Successful",F259)),
   "Successful",
   IF(ISNUMBER(SEARCH("Failed",F259)),"Failed",""))</f>
        <v/>
      </c>
    </row>
    <row r="260" spans="1:29">
      <c r="A260">
        <v>0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C260" t="str">
        <f t="shared" si="4"/>
        <v/>
      </c>
    </row>
    <row r="261" spans="1:29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C261" t="str">
        <f t="shared" si="4"/>
        <v/>
      </c>
    </row>
    <row r="262" spans="1:29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C262" t="str">
        <f t="shared" si="4"/>
        <v/>
      </c>
    </row>
    <row r="263" spans="1:29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C263" t="str">
        <f t="shared" si="4"/>
        <v/>
      </c>
    </row>
    <row r="264" spans="1:29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C264" t="str">
        <f t="shared" si="4"/>
        <v/>
      </c>
    </row>
    <row r="265" spans="1:29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C265" t="str">
        <f t="shared" si="4"/>
        <v/>
      </c>
    </row>
    <row r="266" spans="1:29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C266" t="str">
        <f t="shared" si="4"/>
        <v/>
      </c>
    </row>
    <row r="267" spans="1:29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C267" t="str">
        <f t="shared" si="4"/>
        <v/>
      </c>
    </row>
    <row r="268" spans="1:29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C268" t="str">
        <f t="shared" si="4"/>
        <v/>
      </c>
    </row>
    <row r="269" spans="1:29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C269" t="str">
        <f t="shared" si="4"/>
        <v/>
      </c>
    </row>
    <row r="270" spans="1:29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C270" t="str">
        <f t="shared" si="4"/>
        <v/>
      </c>
    </row>
    <row r="271" spans="1:29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C271" t="str">
        <f t="shared" si="4"/>
        <v/>
      </c>
    </row>
    <row r="272" spans="1:29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C272" t="str">
        <f t="shared" si="4"/>
        <v/>
      </c>
    </row>
    <row r="273" spans="1:29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C273" t="str">
        <f t="shared" si="4"/>
        <v/>
      </c>
    </row>
    <row r="274" spans="1:29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C274" t="str">
        <f t="shared" si="4"/>
        <v/>
      </c>
    </row>
    <row r="275" spans="1:29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C275" t="str">
        <f t="shared" si="4"/>
        <v/>
      </c>
    </row>
    <row r="276" spans="1:29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C276" t="str">
        <f t="shared" si="4"/>
        <v/>
      </c>
    </row>
    <row r="277" spans="1:29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C277" t="str">
        <f t="shared" si="4"/>
        <v/>
      </c>
    </row>
    <row r="278" spans="1:29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C278" t="str">
        <f t="shared" si="4"/>
        <v/>
      </c>
    </row>
    <row r="279" spans="1:29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C279" t="str">
        <f t="shared" si="4"/>
        <v/>
      </c>
    </row>
    <row r="280" spans="1:29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C280" t="str">
        <f t="shared" si="4"/>
        <v/>
      </c>
    </row>
    <row r="281" spans="1:29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C281" t="str">
        <f t="shared" si="4"/>
        <v/>
      </c>
    </row>
    <row r="282" spans="1:29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C282" t="str">
        <f t="shared" si="4"/>
        <v/>
      </c>
    </row>
    <row r="283" spans="1:29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C283" t="str">
        <f t="shared" si="4"/>
        <v/>
      </c>
    </row>
    <row r="284" spans="1:29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C284" t="str">
        <f t="shared" si="4"/>
        <v/>
      </c>
    </row>
    <row r="285" spans="1:29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C285" t="str">
        <f t="shared" si="4"/>
        <v/>
      </c>
    </row>
    <row r="286" spans="1:29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C286" t="str">
        <f t="shared" si="4"/>
        <v/>
      </c>
    </row>
    <row r="287" spans="1:29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C287" t="str">
        <f t="shared" si="4"/>
        <v/>
      </c>
    </row>
    <row r="288" spans="1:29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C288" t="str">
        <f t="shared" si="4"/>
        <v/>
      </c>
    </row>
    <row r="289" spans="1:29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C289" t="str">
        <f t="shared" si="4"/>
        <v/>
      </c>
    </row>
    <row r="290" spans="1:29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C290" t="str">
        <f t="shared" si="4"/>
        <v/>
      </c>
    </row>
    <row r="291" spans="1:29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C291" t="str">
        <f t="shared" si="4"/>
        <v/>
      </c>
    </row>
    <row r="292" spans="1:29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C292" t="str">
        <f t="shared" si="4"/>
        <v/>
      </c>
    </row>
    <row r="293" spans="1:29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C293" t="str">
        <f t="shared" si="4"/>
        <v/>
      </c>
    </row>
    <row r="294" spans="1:29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C294" t="str">
        <f t="shared" si="4"/>
        <v/>
      </c>
    </row>
    <row r="295" spans="1:29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C295" t="str">
        <f t="shared" si="4"/>
        <v/>
      </c>
    </row>
    <row r="296" spans="1:29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C296" t="str">
        <f t="shared" si="4"/>
        <v/>
      </c>
    </row>
    <row r="297" spans="1:29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C297" t="str">
        <f t="shared" si="4"/>
        <v/>
      </c>
    </row>
    <row r="298" spans="1:29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C298" t="str">
        <f t="shared" si="4"/>
        <v/>
      </c>
    </row>
    <row r="299" spans="1:29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C299" t="str">
        <f t="shared" si="4"/>
        <v/>
      </c>
    </row>
    <row r="300" spans="1:29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C300" t="str">
        <f t="shared" si="4"/>
        <v/>
      </c>
    </row>
    <row r="301" spans="1:29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C301" t="str">
        <f t="shared" si="4"/>
        <v/>
      </c>
    </row>
    <row r="302" spans="1:29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C302" t="str">
        <f t="shared" si="4"/>
        <v/>
      </c>
    </row>
    <row r="303" spans="1:29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C303" t="str">
        <f t="shared" si="4"/>
        <v/>
      </c>
    </row>
    <row r="304" spans="1:29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C304" t="str">
        <f t="shared" si="4"/>
        <v/>
      </c>
    </row>
    <row r="305" spans="1:29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C305" t="str">
        <f t="shared" si="4"/>
        <v/>
      </c>
    </row>
    <row r="306" spans="1:29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C306" t="str">
        <f t="shared" si="4"/>
        <v/>
      </c>
    </row>
    <row r="307" spans="1:29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C307" t="str">
        <f t="shared" si="4"/>
        <v/>
      </c>
    </row>
    <row r="308" spans="1:29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C308" t="str">
        <f t="shared" si="4"/>
        <v/>
      </c>
    </row>
    <row r="309" spans="1:29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C309" t="str">
        <f t="shared" si="4"/>
        <v/>
      </c>
    </row>
    <row r="310" spans="1:29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C310" t="str">
        <f t="shared" si="4"/>
        <v/>
      </c>
    </row>
    <row r="311" spans="1:29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C311" t="str">
        <f t="shared" si="4"/>
        <v/>
      </c>
    </row>
    <row r="312" spans="1:29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C312" t="str">
        <f t="shared" si="4"/>
        <v/>
      </c>
    </row>
    <row r="313" spans="1:29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C313" t="str">
        <f t="shared" si="4"/>
        <v/>
      </c>
    </row>
    <row r="314" spans="1:29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C314" t="str">
        <f t="shared" si="4"/>
        <v/>
      </c>
    </row>
    <row r="315" spans="1:29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C315" t="str">
        <f t="shared" si="4"/>
        <v/>
      </c>
    </row>
    <row r="316" spans="1:29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C316" t="str">
        <f t="shared" si="4"/>
        <v/>
      </c>
    </row>
    <row r="317" spans="1:29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C317" t="str">
        <f t="shared" si="4"/>
        <v/>
      </c>
    </row>
    <row r="318" spans="1:29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C318" t="str">
        <f t="shared" si="4"/>
        <v/>
      </c>
    </row>
    <row r="319" spans="1:29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C319" t="str">
        <f t="shared" si="4"/>
        <v/>
      </c>
    </row>
    <row r="320" spans="1:29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C320" t="str">
        <f t="shared" si="4"/>
        <v/>
      </c>
    </row>
    <row r="321" spans="1:29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C321" t="str">
        <f t="shared" si="4"/>
        <v/>
      </c>
    </row>
    <row r="322" spans="1:29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C322" t="str">
        <f t="shared" si="4"/>
        <v/>
      </c>
    </row>
    <row r="323" spans="1:29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C323" t="str">
        <f t="shared" ref="AC323:AC386" si="5">IF(ISNUMBER(SEARCH("Successful",F323)),
   "Successful",
   IF(ISNUMBER(SEARCH("Failed",F323)),"Failed",""))</f>
        <v/>
      </c>
    </row>
    <row r="324" spans="1:29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C324" t="str">
        <f t="shared" si="5"/>
        <v/>
      </c>
    </row>
    <row r="325" spans="1:29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C325" t="str">
        <f t="shared" si="5"/>
        <v/>
      </c>
    </row>
    <row r="326" spans="1:29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C326" t="str">
        <f t="shared" si="5"/>
        <v/>
      </c>
    </row>
    <row r="327" spans="1:29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C327" t="str">
        <f t="shared" si="5"/>
        <v/>
      </c>
    </row>
    <row r="328" spans="1:29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C328" t="str">
        <f t="shared" si="5"/>
        <v/>
      </c>
    </row>
    <row r="329" spans="1:29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C329" t="str">
        <f t="shared" si="5"/>
        <v/>
      </c>
    </row>
    <row r="330" spans="1:29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C330" t="str">
        <f t="shared" si="5"/>
        <v/>
      </c>
    </row>
    <row r="331" spans="1:29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C331" t="str">
        <f t="shared" si="5"/>
        <v/>
      </c>
    </row>
    <row r="332" spans="1:29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C332" t="str">
        <f t="shared" si="5"/>
        <v/>
      </c>
    </row>
    <row r="333" spans="1:29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C333" t="str">
        <f t="shared" si="5"/>
        <v/>
      </c>
    </row>
    <row r="334" spans="1:29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C334" t="str">
        <f t="shared" si="5"/>
        <v/>
      </c>
    </row>
    <row r="335" spans="1:29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C335" t="str">
        <f t="shared" si="5"/>
        <v/>
      </c>
    </row>
    <row r="336" spans="1:29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C336" t="str">
        <f t="shared" si="5"/>
        <v/>
      </c>
    </row>
    <row r="337" spans="1:29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C337" t="str">
        <f t="shared" si="5"/>
        <v/>
      </c>
    </row>
    <row r="338" spans="1:29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C338" t="str">
        <f t="shared" si="5"/>
        <v/>
      </c>
    </row>
    <row r="339" spans="1:29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C339" t="str">
        <f t="shared" si="5"/>
        <v/>
      </c>
    </row>
    <row r="340" spans="1:29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C340" t="str">
        <f t="shared" si="5"/>
        <v/>
      </c>
    </row>
    <row r="341" spans="1:29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C341" t="str">
        <f t="shared" si="5"/>
        <v/>
      </c>
    </row>
    <row r="342" spans="1:29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C342" t="str">
        <f t="shared" si="5"/>
        <v/>
      </c>
    </row>
    <row r="343" spans="1:29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C343" t="str">
        <f t="shared" si="5"/>
        <v/>
      </c>
    </row>
    <row r="344" spans="1:29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C344" t="str">
        <f t="shared" si="5"/>
        <v/>
      </c>
    </row>
    <row r="345" spans="1:29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C345" t="str">
        <f t="shared" si="5"/>
        <v/>
      </c>
    </row>
    <row r="346" spans="1:29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C346" t="str">
        <f t="shared" si="5"/>
        <v/>
      </c>
    </row>
    <row r="347" spans="1:29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C347" t="str">
        <f t="shared" si="5"/>
        <v/>
      </c>
    </row>
    <row r="348" spans="1:29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C348" t="str">
        <f t="shared" si="5"/>
        <v/>
      </c>
    </row>
    <row r="349" spans="1:29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C349" t="str">
        <f t="shared" si="5"/>
        <v/>
      </c>
    </row>
    <row r="350" spans="1:29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C350" t="str">
        <f t="shared" si="5"/>
        <v/>
      </c>
    </row>
    <row r="351" spans="1:29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C351" t="str">
        <f t="shared" si="5"/>
        <v/>
      </c>
    </row>
    <row r="352" spans="1:29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C352" t="str">
        <f t="shared" si="5"/>
        <v/>
      </c>
    </row>
    <row r="353" spans="1:29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C353" t="str">
        <f t="shared" si="5"/>
        <v/>
      </c>
    </row>
    <row r="354" spans="1:29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C354" t="str">
        <f t="shared" si="5"/>
        <v/>
      </c>
    </row>
    <row r="355" spans="1:29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C355" t="str">
        <f t="shared" si="5"/>
        <v/>
      </c>
    </row>
    <row r="356" spans="1:29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C356" t="str">
        <f t="shared" si="5"/>
        <v/>
      </c>
    </row>
    <row r="357" spans="1:29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C357" t="str">
        <f t="shared" si="5"/>
        <v/>
      </c>
    </row>
    <row r="358" spans="1:29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C358" t="str">
        <f t="shared" si="5"/>
        <v/>
      </c>
    </row>
    <row r="359" spans="1:29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C359" t="str">
        <f t="shared" si="5"/>
        <v/>
      </c>
    </row>
    <row r="360" spans="1:29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C360" t="str">
        <f t="shared" si="5"/>
        <v/>
      </c>
    </row>
    <row r="361" spans="1:29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C361" t="str">
        <f t="shared" si="5"/>
        <v/>
      </c>
    </row>
    <row r="362" spans="1:29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C362" t="str">
        <f t="shared" si="5"/>
        <v/>
      </c>
    </row>
    <row r="363" spans="1:29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C363" t="str">
        <f t="shared" si="5"/>
        <v/>
      </c>
    </row>
    <row r="364" spans="1:29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C364" t="str">
        <f t="shared" si="5"/>
        <v/>
      </c>
    </row>
    <row r="365" spans="1:29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C365" t="str">
        <f t="shared" si="5"/>
        <v/>
      </c>
    </row>
    <row r="366" spans="1:29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C366" t="str">
        <f t="shared" si="5"/>
        <v/>
      </c>
    </row>
    <row r="367" spans="1:29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C367" t="str">
        <f t="shared" si="5"/>
        <v/>
      </c>
    </row>
    <row r="368" spans="1:29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C368" t="str">
        <f t="shared" si="5"/>
        <v/>
      </c>
    </row>
    <row r="369" spans="1:29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C369" t="str">
        <f t="shared" si="5"/>
        <v/>
      </c>
    </row>
    <row r="370" spans="1:29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C370" t="str">
        <f t="shared" si="5"/>
        <v/>
      </c>
    </row>
    <row r="371" spans="1:29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C371" t="str">
        <f t="shared" si="5"/>
        <v/>
      </c>
    </row>
    <row r="372" spans="1:29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C372" t="str">
        <f t="shared" si="5"/>
        <v/>
      </c>
    </row>
    <row r="373" spans="1:29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C373" t="str">
        <f t="shared" si="5"/>
        <v/>
      </c>
    </row>
    <row r="374" spans="1:29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C374" t="str">
        <f t="shared" si="5"/>
        <v/>
      </c>
    </row>
    <row r="375" spans="1:29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C375" t="str">
        <f t="shared" si="5"/>
        <v/>
      </c>
    </row>
    <row r="376" spans="1:29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C376" t="str">
        <f t="shared" si="5"/>
        <v/>
      </c>
    </row>
    <row r="377" spans="1:29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C377" t="str">
        <f t="shared" si="5"/>
        <v/>
      </c>
    </row>
    <row r="378" spans="1:29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C378" t="str">
        <f t="shared" si="5"/>
        <v/>
      </c>
    </row>
    <row r="379" spans="1:29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C379" t="str">
        <f t="shared" si="5"/>
        <v/>
      </c>
    </row>
    <row r="380" spans="1:29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C380" t="str">
        <f t="shared" si="5"/>
        <v/>
      </c>
    </row>
    <row r="381" spans="1:29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C381" t="str">
        <f t="shared" si="5"/>
        <v/>
      </c>
    </row>
    <row r="382" spans="1:29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C382" t="str">
        <f t="shared" si="5"/>
        <v/>
      </c>
    </row>
    <row r="383" spans="1:29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C383" t="str">
        <f t="shared" si="5"/>
        <v/>
      </c>
    </row>
    <row r="384" spans="1:29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C384" t="str">
        <f t="shared" si="5"/>
        <v/>
      </c>
    </row>
    <row r="385" spans="1:29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C385" t="str">
        <f t="shared" si="5"/>
        <v/>
      </c>
    </row>
    <row r="386" spans="1:29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C386" t="str">
        <f t="shared" si="5"/>
        <v/>
      </c>
    </row>
    <row r="387" spans="1:29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C387" t="str">
        <f t="shared" ref="AC387:AC450" si="6">IF(ISNUMBER(SEARCH("Successful",F387)),
   "Successful",
   IF(ISNUMBER(SEARCH("Failed",F387)),"Failed",""))</f>
        <v/>
      </c>
    </row>
    <row r="388" spans="1:29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C388" t="str">
        <f t="shared" si="6"/>
        <v/>
      </c>
    </row>
    <row r="389" spans="1:29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C389" t="str">
        <f t="shared" si="6"/>
        <v/>
      </c>
    </row>
    <row r="390" spans="1:29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C390" t="str">
        <f t="shared" si="6"/>
        <v/>
      </c>
    </row>
    <row r="391" spans="1:29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C391" t="str">
        <f t="shared" si="6"/>
        <v/>
      </c>
    </row>
    <row r="392" spans="1:29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C392" t="str">
        <f t="shared" si="6"/>
        <v/>
      </c>
    </row>
    <row r="393" spans="1:29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C393" t="str">
        <f t="shared" si="6"/>
        <v/>
      </c>
    </row>
    <row r="394" spans="1:29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C394" t="str">
        <f t="shared" si="6"/>
        <v/>
      </c>
    </row>
    <row r="395" spans="1:29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C395" t="str">
        <f t="shared" si="6"/>
        <v/>
      </c>
    </row>
    <row r="396" spans="1:29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C396" t="str">
        <f t="shared" si="6"/>
        <v/>
      </c>
    </row>
    <row r="397" spans="1:29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C397" t="str">
        <f t="shared" si="6"/>
        <v/>
      </c>
    </row>
    <row r="398" spans="1:29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C398" t="str">
        <f t="shared" si="6"/>
        <v/>
      </c>
    </row>
    <row r="399" spans="1:29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C399" t="str">
        <f t="shared" si="6"/>
        <v/>
      </c>
    </row>
    <row r="400" spans="1:29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C400" t="str">
        <f t="shared" si="6"/>
        <v/>
      </c>
    </row>
    <row r="401" spans="1:29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C401" t="str">
        <f t="shared" si="6"/>
        <v/>
      </c>
    </row>
    <row r="402" spans="1:29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C402" t="str">
        <f t="shared" si="6"/>
        <v/>
      </c>
    </row>
    <row r="403" spans="1:29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C403" t="str">
        <f t="shared" si="6"/>
        <v/>
      </c>
    </row>
    <row r="404" spans="1:29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C404" t="str">
        <f t="shared" si="6"/>
        <v/>
      </c>
    </row>
    <row r="405" spans="1:29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C405" t="str">
        <f t="shared" si="6"/>
        <v/>
      </c>
    </row>
    <row r="406" spans="1:29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C406" t="str">
        <f t="shared" si="6"/>
        <v/>
      </c>
    </row>
    <row r="407" spans="1:29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C407" t="str">
        <f t="shared" si="6"/>
        <v/>
      </c>
    </row>
    <row r="408" spans="1:29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C408" t="str">
        <f t="shared" si="6"/>
        <v/>
      </c>
    </row>
    <row r="409" spans="1:29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C409" t="str">
        <f t="shared" si="6"/>
        <v/>
      </c>
    </row>
    <row r="410" spans="1:29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C410" t="str">
        <f t="shared" si="6"/>
        <v/>
      </c>
    </row>
    <row r="411" spans="1:29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C411" t="str">
        <f t="shared" si="6"/>
        <v/>
      </c>
    </row>
    <row r="412" spans="1:29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C412" t="str">
        <f t="shared" si="6"/>
        <v/>
      </c>
    </row>
    <row r="413" spans="1:29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C413" t="str">
        <f t="shared" si="6"/>
        <v/>
      </c>
    </row>
    <row r="414" spans="1:29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C414" t="str">
        <f t="shared" si="6"/>
        <v/>
      </c>
    </row>
    <row r="415" spans="1:29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C415" t="str">
        <f t="shared" si="6"/>
        <v/>
      </c>
    </row>
    <row r="416" spans="1:29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C416" t="str">
        <f t="shared" si="6"/>
        <v/>
      </c>
    </row>
    <row r="417" spans="1:29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C417" t="str">
        <f t="shared" si="6"/>
        <v/>
      </c>
    </row>
    <row r="418" spans="1:29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C418" t="str">
        <f t="shared" si="6"/>
        <v/>
      </c>
    </row>
    <row r="419" spans="1:29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C419" t="str">
        <f t="shared" si="6"/>
        <v/>
      </c>
    </row>
    <row r="420" spans="1:29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C420" t="str">
        <f t="shared" si="6"/>
        <v/>
      </c>
    </row>
    <row r="421" spans="1:29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C421" t="str">
        <f t="shared" si="6"/>
        <v/>
      </c>
    </row>
    <row r="422" spans="1:29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C422" t="str">
        <f t="shared" si="6"/>
        <v/>
      </c>
    </row>
    <row r="423" spans="1:29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C423" t="str">
        <f t="shared" si="6"/>
        <v/>
      </c>
    </row>
    <row r="424" spans="1:29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C424" t="str">
        <f t="shared" si="6"/>
        <v/>
      </c>
    </row>
    <row r="425" spans="1:29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C425" t="str">
        <f t="shared" si="6"/>
        <v/>
      </c>
    </row>
    <row r="426" spans="1:29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C426" t="str">
        <f t="shared" si="6"/>
        <v/>
      </c>
    </row>
    <row r="427" spans="1:29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C427" t="str">
        <f t="shared" si="6"/>
        <v/>
      </c>
    </row>
    <row r="428" spans="1:29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C428" t="str">
        <f t="shared" si="6"/>
        <v/>
      </c>
    </row>
    <row r="429" spans="1:29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C429" t="str">
        <f t="shared" si="6"/>
        <v/>
      </c>
    </row>
    <row r="430" spans="1:29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C430" t="str">
        <f t="shared" si="6"/>
        <v/>
      </c>
    </row>
    <row r="431" spans="1:29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C431" t="str">
        <f t="shared" si="6"/>
        <v/>
      </c>
    </row>
    <row r="432" spans="1:29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C432" t="str">
        <f t="shared" si="6"/>
        <v/>
      </c>
    </row>
    <row r="433" spans="1:29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C433" t="str">
        <f t="shared" si="6"/>
        <v/>
      </c>
    </row>
    <row r="434" spans="1:29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C434" t="str">
        <f t="shared" si="6"/>
        <v/>
      </c>
    </row>
    <row r="435" spans="1:29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C435" t="str">
        <f t="shared" si="6"/>
        <v/>
      </c>
    </row>
    <row r="436" spans="1:29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C436" t="str">
        <f t="shared" si="6"/>
        <v/>
      </c>
    </row>
    <row r="437" spans="1:29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C437" t="str">
        <f t="shared" si="6"/>
        <v/>
      </c>
    </row>
    <row r="438" spans="1:29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C438" t="str">
        <f t="shared" si="6"/>
        <v/>
      </c>
    </row>
    <row r="439" spans="1:29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C439" t="str">
        <f t="shared" si="6"/>
        <v/>
      </c>
    </row>
    <row r="440" spans="1:29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C440" t="str">
        <f t="shared" si="6"/>
        <v/>
      </c>
    </row>
    <row r="441" spans="1:29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C441" t="str">
        <f t="shared" si="6"/>
        <v/>
      </c>
    </row>
    <row r="442" spans="1:29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C442" t="str">
        <f t="shared" si="6"/>
        <v/>
      </c>
    </row>
    <row r="443" spans="1:29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C443" t="str">
        <f t="shared" si="6"/>
        <v/>
      </c>
    </row>
    <row r="444" spans="1:29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C444" t="str">
        <f t="shared" si="6"/>
        <v/>
      </c>
    </row>
    <row r="445" spans="1:29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C445" t="str">
        <f t="shared" si="6"/>
        <v/>
      </c>
    </row>
    <row r="446" spans="1:29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C446" t="str">
        <f t="shared" si="6"/>
        <v/>
      </c>
    </row>
    <row r="447" spans="1:29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C447" t="str">
        <f t="shared" si="6"/>
        <v/>
      </c>
    </row>
    <row r="448" spans="1:29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C448" t="str">
        <f t="shared" si="6"/>
        <v/>
      </c>
    </row>
    <row r="449" spans="1:29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C449" t="str">
        <f t="shared" si="6"/>
        <v/>
      </c>
    </row>
    <row r="450" spans="1:29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C450" t="str">
        <f t="shared" si="6"/>
        <v/>
      </c>
    </row>
    <row r="451" spans="1:29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C451" t="str">
        <f t="shared" ref="AC451:AC514" si="7">IF(ISNUMBER(SEARCH("Successful",F451)),
   "Successful",
   IF(ISNUMBER(SEARCH("Failed",F451)),"Failed",""))</f>
        <v/>
      </c>
    </row>
    <row r="452" spans="1:29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C452" t="str">
        <f t="shared" si="7"/>
        <v/>
      </c>
    </row>
    <row r="453" spans="1:29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C453" t="str">
        <f t="shared" si="7"/>
        <v/>
      </c>
    </row>
    <row r="454" spans="1:29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C454" t="str">
        <f t="shared" si="7"/>
        <v/>
      </c>
    </row>
    <row r="455" spans="1:29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C455" t="str">
        <f t="shared" si="7"/>
        <v/>
      </c>
    </row>
    <row r="456" spans="1:29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C456" t="str">
        <f t="shared" si="7"/>
        <v/>
      </c>
    </row>
    <row r="457" spans="1:29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C457" t="str">
        <f t="shared" si="7"/>
        <v/>
      </c>
    </row>
    <row r="458" spans="1:29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C458" t="str">
        <f t="shared" si="7"/>
        <v/>
      </c>
    </row>
    <row r="459" spans="1:29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C459" t="str">
        <f t="shared" si="7"/>
        <v/>
      </c>
    </row>
    <row r="460" spans="1:29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C460" t="str">
        <f t="shared" si="7"/>
        <v/>
      </c>
    </row>
    <row r="461" spans="1:29">
      <c r="A461">
        <v>0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C461" t="str">
        <f t="shared" si="7"/>
        <v/>
      </c>
    </row>
    <row r="462" spans="1:29">
      <c r="A462">
        <v>0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C462" t="str">
        <f t="shared" si="7"/>
        <v/>
      </c>
    </row>
    <row r="463" spans="1:29">
      <c r="A463">
        <v>0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C463" t="str">
        <f t="shared" si="7"/>
        <v/>
      </c>
    </row>
    <row r="464" spans="1:29">
      <c r="A464">
        <v>0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C464" t="str">
        <f t="shared" si="7"/>
        <v/>
      </c>
    </row>
    <row r="465" spans="1:29">
      <c r="A465">
        <v>0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C465" t="str">
        <f t="shared" si="7"/>
        <v/>
      </c>
    </row>
    <row r="466" spans="1:29">
      <c r="A466">
        <v>0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C466" t="str">
        <f t="shared" si="7"/>
        <v/>
      </c>
    </row>
    <row r="467" spans="1:29">
      <c r="A467">
        <v>0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C467" t="str">
        <f t="shared" si="7"/>
        <v/>
      </c>
    </row>
    <row r="468" spans="1:29">
      <c r="A468">
        <v>0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C468" t="str">
        <f t="shared" si="7"/>
        <v/>
      </c>
    </row>
    <row r="469" spans="1:29">
      <c r="A469">
        <v>0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C469" t="str">
        <f t="shared" si="7"/>
        <v/>
      </c>
    </row>
    <row r="470" spans="1:29">
      <c r="A470">
        <v>0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C470" t="str">
        <f t="shared" si="7"/>
        <v/>
      </c>
    </row>
    <row r="471" spans="1:29">
      <c r="A471">
        <v>0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C471" t="str">
        <f t="shared" si="7"/>
        <v/>
      </c>
    </row>
    <row r="472" spans="1:29">
      <c r="A472">
        <v>0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C472" t="str">
        <f t="shared" si="7"/>
        <v/>
      </c>
    </row>
    <row r="473" spans="1:29">
      <c r="A473">
        <v>0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C473" t="str">
        <f t="shared" si="7"/>
        <v/>
      </c>
    </row>
    <row r="474" spans="1:29">
      <c r="A474">
        <v>0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C474" t="str">
        <f t="shared" si="7"/>
        <v/>
      </c>
    </row>
    <row r="475" spans="1:29">
      <c r="A475">
        <v>0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C475" t="str">
        <f t="shared" si="7"/>
        <v/>
      </c>
    </row>
    <row r="476" spans="1:29">
      <c r="A476">
        <v>0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C476" t="str">
        <f t="shared" si="7"/>
        <v/>
      </c>
    </row>
    <row r="477" spans="1:29">
      <c r="A477">
        <v>0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C477" t="str">
        <f t="shared" si="7"/>
        <v/>
      </c>
    </row>
    <row r="478" spans="1:29">
      <c r="A478">
        <v>0</v>
      </c>
      <c r="B478">
        <v>0</v>
      </c>
      <c r="C478">
        <v>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C478" t="str">
        <f t="shared" si="7"/>
        <v/>
      </c>
    </row>
    <row r="479" spans="1:29">
      <c r="A479">
        <v>0</v>
      </c>
      <c r="B479">
        <v>0</v>
      </c>
      <c r="C479">
        <v>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C479" t="str">
        <f t="shared" si="7"/>
        <v/>
      </c>
    </row>
    <row r="480" spans="1:29">
      <c r="A480">
        <v>0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C480" t="str">
        <f t="shared" si="7"/>
        <v/>
      </c>
    </row>
    <row r="481" spans="1:29">
      <c r="A481">
        <v>0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C481" t="str">
        <f t="shared" si="7"/>
        <v/>
      </c>
    </row>
    <row r="482" spans="1:29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C482" t="str">
        <f t="shared" si="7"/>
        <v/>
      </c>
    </row>
    <row r="483" spans="1:29">
      <c r="A483">
        <v>0</v>
      </c>
      <c r="B483">
        <v>0</v>
      </c>
      <c r="C483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C483" t="str">
        <f t="shared" si="7"/>
        <v/>
      </c>
    </row>
    <row r="484" spans="1:29">
      <c r="A484">
        <v>0</v>
      </c>
      <c r="B484">
        <v>0</v>
      </c>
      <c r="C484">
        <v>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C484" t="str">
        <f t="shared" si="7"/>
        <v/>
      </c>
    </row>
    <row r="485" spans="1:29">
      <c r="A485">
        <v>0</v>
      </c>
      <c r="B485">
        <v>0</v>
      </c>
      <c r="C485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C485" t="str">
        <f t="shared" si="7"/>
        <v/>
      </c>
    </row>
    <row r="486" spans="1:29">
      <c r="A486">
        <v>0</v>
      </c>
      <c r="B486">
        <v>0</v>
      </c>
      <c r="C486">
        <v>0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C486" t="str">
        <f t="shared" si="7"/>
        <v/>
      </c>
    </row>
    <row r="487" spans="1:29">
      <c r="A487">
        <v>0</v>
      </c>
      <c r="B487">
        <v>0</v>
      </c>
      <c r="C487">
        <v>0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C487" t="str">
        <f t="shared" si="7"/>
        <v/>
      </c>
    </row>
    <row r="488" spans="1:29">
      <c r="A488">
        <v>0</v>
      </c>
      <c r="B488">
        <v>0</v>
      </c>
      <c r="C488">
        <v>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C488" t="str">
        <f t="shared" si="7"/>
        <v/>
      </c>
    </row>
    <row r="489" spans="1:29">
      <c r="A489">
        <v>0</v>
      </c>
      <c r="B489">
        <v>0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C489" t="str">
        <f t="shared" si="7"/>
        <v/>
      </c>
    </row>
    <row r="490" spans="1:29">
      <c r="A490">
        <v>0</v>
      </c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C490" t="str">
        <f t="shared" si="7"/>
        <v/>
      </c>
    </row>
    <row r="491" spans="1:29">
      <c r="A491">
        <v>0</v>
      </c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C491" t="str">
        <f t="shared" si="7"/>
        <v/>
      </c>
    </row>
    <row r="492" spans="1:29">
      <c r="A492">
        <v>0</v>
      </c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C492" t="str">
        <f t="shared" si="7"/>
        <v/>
      </c>
    </row>
    <row r="493" spans="1:29">
      <c r="A493">
        <v>0</v>
      </c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C493" t="str">
        <f t="shared" si="7"/>
        <v/>
      </c>
    </row>
    <row r="494" spans="1:29">
      <c r="A494">
        <v>0</v>
      </c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C494" t="str">
        <f t="shared" si="7"/>
        <v/>
      </c>
    </row>
    <row r="495" spans="1:29">
      <c r="A495">
        <v>0</v>
      </c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C495" t="str">
        <f t="shared" si="7"/>
        <v/>
      </c>
    </row>
    <row r="496" spans="1:29">
      <c r="A496">
        <v>0</v>
      </c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C496" t="str">
        <f t="shared" si="7"/>
        <v/>
      </c>
    </row>
    <row r="497" spans="1:29">
      <c r="A497">
        <v>0</v>
      </c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C497" t="str">
        <f t="shared" si="7"/>
        <v/>
      </c>
    </row>
    <row r="498" spans="1:29">
      <c r="A498">
        <v>0</v>
      </c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C498" t="str">
        <f t="shared" si="7"/>
        <v/>
      </c>
    </row>
    <row r="499" spans="1:29">
      <c r="A499">
        <v>0</v>
      </c>
      <c r="B499">
        <v>0</v>
      </c>
      <c r="C499">
        <v>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C499" t="str">
        <f t="shared" si="7"/>
        <v/>
      </c>
    </row>
    <row r="500" spans="1:29">
      <c r="A500">
        <v>0</v>
      </c>
      <c r="B500">
        <v>0</v>
      </c>
      <c r="C500">
        <v>0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C500" t="str">
        <f t="shared" si="7"/>
        <v/>
      </c>
    </row>
    <row r="501" spans="1:29">
      <c r="A501">
        <v>0</v>
      </c>
      <c r="B501">
        <v>0</v>
      </c>
      <c r="C501">
        <v>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C501" t="str">
        <f t="shared" si="7"/>
        <v/>
      </c>
    </row>
    <row r="502" spans="1:29">
      <c r="A502">
        <v>0</v>
      </c>
      <c r="B502">
        <v>0</v>
      </c>
      <c r="C502">
        <v>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C502" t="str">
        <f t="shared" si="7"/>
        <v/>
      </c>
    </row>
    <row r="503" spans="1:29">
      <c r="A503">
        <v>0</v>
      </c>
      <c r="B503">
        <v>0</v>
      </c>
      <c r="C503">
        <v>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C503" t="str">
        <f t="shared" si="7"/>
        <v/>
      </c>
    </row>
    <row r="504" spans="1:29">
      <c r="A504">
        <v>0</v>
      </c>
      <c r="B504">
        <v>0</v>
      </c>
      <c r="C504">
        <v>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C504" t="str">
        <f t="shared" si="7"/>
        <v/>
      </c>
    </row>
    <row r="505" spans="1:29">
      <c r="A505">
        <v>0</v>
      </c>
      <c r="B505">
        <v>0</v>
      </c>
      <c r="C505">
        <v>0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C505" t="str">
        <f t="shared" si="7"/>
        <v/>
      </c>
    </row>
    <row r="506" spans="1:29">
      <c r="A506">
        <v>0</v>
      </c>
      <c r="B506">
        <v>0</v>
      </c>
      <c r="C506">
        <v>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C506" t="str">
        <f t="shared" si="7"/>
        <v/>
      </c>
    </row>
    <row r="507" spans="1:29">
      <c r="A507">
        <v>0</v>
      </c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C507" t="str">
        <f t="shared" si="7"/>
        <v/>
      </c>
    </row>
    <row r="508" spans="1:29">
      <c r="A508">
        <v>0</v>
      </c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C508" t="str">
        <f t="shared" si="7"/>
        <v/>
      </c>
    </row>
    <row r="509" spans="1:29">
      <c r="A509">
        <v>0</v>
      </c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C509" t="str">
        <f t="shared" si="7"/>
        <v/>
      </c>
    </row>
    <row r="510" spans="1:29">
      <c r="A510">
        <v>0</v>
      </c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C510" t="str">
        <f t="shared" si="7"/>
        <v/>
      </c>
    </row>
    <row r="511" spans="1:29">
      <c r="A511">
        <v>0</v>
      </c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C511" t="str">
        <f t="shared" si="7"/>
        <v/>
      </c>
    </row>
    <row r="512" spans="1:29">
      <c r="A512">
        <v>0</v>
      </c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C512" t="str">
        <f t="shared" si="7"/>
        <v/>
      </c>
    </row>
    <row r="513" spans="1:29">
      <c r="A513">
        <v>0</v>
      </c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C513" t="str">
        <f t="shared" si="7"/>
        <v/>
      </c>
    </row>
    <row r="514" spans="1:29">
      <c r="A514">
        <v>0</v>
      </c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C514" t="str">
        <f t="shared" si="7"/>
        <v/>
      </c>
    </row>
    <row r="515" spans="1:29">
      <c r="A515">
        <v>0</v>
      </c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C515" t="str">
        <f t="shared" ref="AC515:AC578" si="8">IF(ISNUMBER(SEARCH("Successful",F515)),
   "Successful",
   IF(ISNUMBER(SEARCH("Failed",F515)),"Failed",""))</f>
        <v/>
      </c>
    </row>
    <row r="516" spans="1:29">
      <c r="A516">
        <v>0</v>
      </c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C516" t="str">
        <f t="shared" si="8"/>
        <v/>
      </c>
    </row>
    <row r="517" spans="1:29">
      <c r="A517">
        <v>0</v>
      </c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C517" t="str">
        <f t="shared" si="8"/>
        <v/>
      </c>
    </row>
    <row r="518" spans="1:29">
      <c r="A518">
        <v>0</v>
      </c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C518" t="str">
        <f t="shared" si="8"/>
        <v/>
      </c>
    </row>
    <row r="519" spans="1:29">
      <c r="A519">
        <v>0</v>
      </c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C519" t="str">
        <f t="shared" si="8"/>
        <v/>
      </c>
    </row>
    <row r="520" spans="1:29">
      <c r="A520">
        <v>0</v>
      </c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C520" t="str">
        <f t="shared" si="8"/>
        <v/>
      </c>
    </row>
    <row r="521" spans="1:29">
      <c r="A521">
        <v>0</v>
      </c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C521" t="str">
        <f t="shared" si="8"/>
        <v/>
      </c>
    </row>
    <row r="522" spans="1:29">
      <c r="A522">
        <v>0</v>
      </c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C522" t="str">
        <f t="shared" si="8"/>
        <v/>
      </c>
    </row>
    <row r="523" spans="1:29">
      <c r="A523">
        <v>0</v>
      </c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C523" t="str">
        <f t="shared" si="8"/>
        <v/>
      </c>
    </row>
    <row r="524" spans="1:29">
      <c r="A524">
        <v>0</v>
      </c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C524" t="str">
        <f t="shared" si="8"/>
        <v/>
      </c>
    </row>
    <row r="525" spans="1:29">
      <c r="A525">
        <v>0</v>
      </c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C525" t="str">
        <f t="shared" si="8"/>
        <v/>
      </c>
    </row>
    <row r="526" spans="1:29">
      <c r="A526">
        <v>0</v>
      </c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C526" t="str">
        <f t="shared" si="8"/>
        <v/>
      </c>
    </row>
    <row r="527" spans="1:29">
      <c r="A527">
        <v>0</v>
      </c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C527" t="str">
        <f t="shared" si="8"/>
        <v/>
      </c>
    </row>
    <row r="528" spans="1:29">
      <c r="A528">
        <v>0</v>
      </c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C528" t="str">
        <f t="shared" si="8"/>
        <v/>
      </c>
    </row>
    <row r="529" spans="1:29">
      <c r="A529">
        <v>0</v>
      </c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C529" t="str">
        <f t="shared" si="8"/>
        <v/>
      </c>
    </row>
    <row r="530" spans="1:29">
      <c r="A530">
        <v>0</v>
      </c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C530" t="str">
        <f t="shared" si="8"/>
        <v/>
      </c>
    </row>
    <row r="531" spans="1:29">
      <c r="A531">
        <v>0</v>
      </c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C531" t="str">
        <f t="shared" si="8"/>
        <v/>
      </c>
    </row>
    <row r="532" spans="1:29">
      <c r="A532">
        <v>0</v>
      </c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C532" t="str">
        <f t="shared" si="8"/>
        <v/>
      </c>
    </row>
    <row r="533" spans="1:29">
      <c r="A533">
        <v>0</v>
      </c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C533" t="str">
        <f t="shared" si="8"/>
        <v/>
      </c>
    </row>
    <row r="534" spans="1:29">
      <c r="A534">
        <v>0</v>
      </c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C534" t="str">
        <f t="shared" si="8"/>
        <v/>
      </c>
    </row>
    <row r="535" spans="1:29">
      <c r="A535">
        <v>0</v>
      </c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C535" t="str">
        <f t="shared" si="8"/>
        <v/>
      </c>
    </row>
    <row r="536" spans="1:29">
      <c r="A536">
        <v>0</v>
      </c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C536" t="str">
        <f t="shared" si="8"/>
        <v/>
      </c>
    </row>
    <row r="537" spans="1:29">
      <c r="A537">
        <v>0</v>
      </c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C537" t="str">
        <f t="shared" si="8"/>
        <v/>
      </c>
    </row>
    <row r="538" spans="1:29">
      <c r="A538">
        <v>0</v>
      </c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C538" t="str">
        <f t="shared" si="8"/>
        <v/>
      </c>
    </row>
    <row r="539" spans="1:29">
      <c r="A539">
        <v>0</v>
      </c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C539" t="str">
        <f t="shared" si="8"/>
        <v/>
      </c>
    </row>
    <row r="540" spans="1:29">
      <c r="A540">
        <v>0</v>
      </c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C540" t="str">
        <f t="shared" si="8"/>
        <v/>
      </c>
    </row>
    <row r="541" spans="1:29">
      <c r="A541">
        <v>0</v>
      </c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C541" t="str">
        <f t="shared" si="8"/>
        <v/>
      </c>
    </row>
    <row r="542" spans="1:29">
      <c r="A542">
        <v>0</v>
      </c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C542" t="str">
        <f t="shared" si="8"/>
        <v/>
      </c>
    </row>
    <row r="543" spans="1:29">
      <c r="A543">
        <v>0</v>
      </c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C543" t="str">
        <f t="shared" si="8"/>
        <v/>
      </c>
    </row>
    <row r="544" spans="1:29">
      <c r="A544">
        <v>0</v>
      </c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C544" t="str">
        <f t="shared" si="8"/>
        <v/>
      </c>
    </row>
    <row r="545" spans="1:29">
      <c r="A545">
        <v>0</v>
      </c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C545" t="str">
        <f t="shared" si="8"/>
        <v/>
      </c>
    </row>
    <row r="546" spans="1:29">
      <c r="A546">
        <v>0</v>
      </c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C546" t="str">
        <f t="shared" si="8"/>
        <v/>
      </c>
    </row>
    <row r="547" spans="1:29">
      <c r="A547">
        <v>0</v>
      </c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C547" t="str">
        <f t="shared" si="8"/>
        <v/>
      </c>
    </row>
    <row r="548" spans="1:29">
      <c r="A548">
        <v>0</v>
      </c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C548" t="str">
        <f t="shared" si="8"/>
        <v/>
      </c>
    </row>
    <row r="549" spans="1:29">
      <c r="A549">
        <v>0</v>
      </c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C549" t="str">
        <f t="shared" si="8"/>
        <v/>
      </c>
    </row>
    <row r="550" spans="1:29">
      <c r="A550">
        <v>0</v>
      </c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0</v>
      </c>
      <c r="S550">
        <v>0</v>
      </c>
      <c r="T550">
        <v>0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C550" t="str">
        <f t="shared" si="8"/>
        <v/>
      </c>
    </row>
    <row r="551" spans="1:29">
      <c r="A551">
        <v>0</v>
      </c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C551" t="str">
        <f t="shared" si="8"/>
        <v/>
      </c>
    </row>
    <row r="552" spans="1:29">
      <c r="A552">
        <v>0</v>
      </c>
      <c r="B552">
        <v>0</v>
      </c>
      <c r="C552">
        <v>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C552" t="str">
        <f t="shared" si="8"/>
        <v/>
      </c>
    </row>
    <row r="553" spans="1:29">
      <c r="A553">
        <v>0</v>
      </c>
      <c r="B553">
        <v>0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C553" t="str">
        <f t="shared" si="8"/>
        <v/>
      </c>
    </row>
    <row r="554" spans="1:29">
      <c r="A554">
        <v>0</v>
      </c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C554" t="str">
        <f t="shared" si="8"/>
        <v/>
      </c>
    </row>
    <row r="555" spans="1:29">
      <c r="A555">
        <v>0</v>
      </c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C555" t="str">
        <f t="shared" si="8"/>
        <v/>
      </c>
    </row>
    <row r="556" spans="1:29">
      <c r="A556">
        <v>0</v>
      </c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C556" t="str">
        <f t="shared" si="8"/>
        <v/>
      </c>
    </row>
    <row r="557" spans="1:29">
      <c r="A557">
        <v>0</v>
      </c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C557" t="str">
        <f t="shared" si="8"/>
        <v/>
      </c>
    </row>
    <row r="558" spans="1:29">
      <c r="A558">
        <v>0</v>
      </c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C558" t="str">
        <f t="shared" si="8"/>
        <v/>
      </c>
    </row>
    <row r="559" spans="1:29">
      <c r="A559">
        <v>0</v>
      </c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C559" t="str">
        <f t="shared" si="8"/>
        <v/>
      </c>
    </row>
    <row r="560" spans="1:29">
      <c r="A560">
        <v>0</v>
      </c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>
        <v>0</v>
      </c>
      <c r="T560">
        <v>0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C560" t="str">
        <f t="shared" si="8"/>
        <v/>
      </c>
    </row>
    <row r="561" spans="1:29">
      <c r="A561">
        <v>0</v>
      </c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C561" t="str">
        <f t="shared" si="8"/>
        <v/>
      </c>
    </row>
    <row r="562" spans="1:29">
      <c r="A562">
        <v>0</v>
      </c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C562" t="str">
        <f t="shared" si="8"/>
        <v/>
      </c>
    </row>
    <row r="563" spans="1:29">
      <c r="A563">
        <v>0</v>
      </c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C563" t="str">
        <f t="shared" si="8"/>
        <v/>
      </c>
    </row>
    <row r="564" spans="1:29">
      <c r="A564">
        <v>0</v>
      </c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C564" t="str">
        <f t="shared" si="8"/>
        <v/>
      </c>
    </row>
    <row r="565" spans="1:29">
      <c r="A565">
        <v>0</v>
      </c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C565" t="str">
        <f t="shared" si="8"/>
        <v/>
      </c>
    </row>
    <row r="566" spans="1:29">
      <c r="A566">
        <v>0</v>
      </c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C566" t="str">
        <f t="shared" si="8"/>
        <v/>
      </c>
    </row>
    <row r="567" spans="1:29">
      <c r="A567">
        <v>0</v>
      </c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C567" t="str">
        <f t="shared" si="8"/>
        <v/>
      </c>
    </row>
    <row r="568" spans="1:29">
      <c r="A568">
        <v>0</v>
      </c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C568" t="str">
        <f t="shared" si="8"/>
        <v/>
      </c>
    </row>
    <row r="569" spans="1:29">
      <c r="A569">
        <v>0</v>
      </c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C569" t="str">
        <f t="shared" si="8"/>
        <v/>
      </c>
    </row>
    <row r="570" spans="1:29">
      <c r="A570">
        <v>0</v>
      </c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C570" t="str">
        <f t="shared" si="8"/>
        <v/>
      </c>
    </row>
    <row r="571" spans="1:29">
      <c r="A571">
        <v>0</v>
      </c>
      <c r="B571">
        <v>0</v>
      </c>
      <c r="C571">
        <v>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C571" t="str">
        <f t="shared" si="8"/>
        <v/>
      </c>
    </row>
    <row r="572" spans="1:29">
      <c r="A572">
        <v>0</v>
      </c>
      <c r="B572">
        <v>0</v>
      </c>
      <c r="C572">
        <v>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C572" t="str">
        <f t="shared" si="8"/>
        <v/>
      </c>
    </row>
    <row r="573" spans="1:29">
      <c r="A573">
        <v>0</v>
      </c>
      <c r="B573">
        <v>0</v>
      </c>
      <c r="C573">
        <v>0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C573" t="str">
        <f t="shared" si="8"/>
        <v/>
      </c>
    </row>
    <row r="574" spans="1:29">
      <c r="A574">
        <v>0</v>
      </c>
      <c r="B574">
        <v>0</v>
      </c>
      <c r="C574">
        <v>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0</v>
      </c>
      <c r="AC574" t="str">
        <f t="shared" si="8"/>
        <v/>
      </c>
    </row>
    <row r="575" spans="1:29">
      <c r="A575">
        <v>0</v>
      </c>
      <c r="B575">
        <v>0</v>
      </c>
      <c r="C575">
        <v>0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C575" t="str">
        <f t="shared" si="8"/>
        <v/>
      </c>
    </row>
    <row r="576" spans="1:29">
      <c r="A576">
        <v>0</v>
      </c>
      <c r="B576">
        <v>0</v>
      </c>
      <c r="C576">
        <v>0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C576" t="str">
        <f t="shared" si="8"/>
        <v/>
      </c>
    </row>
    <row r="577" spans="1:29">
      <c r="A577">
        <v>0</v>
      </c>
      <c r="B577">
        <v>0</v>
      </c>
      <c r="C577">
        <v>0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C577" t="str">
        <f t="shared" si="8"/>
        <v/>
      </c>
    </row>
    <row r="578" spans="1:29">
      <c r="A578">
        <v>0</v>
      </c>
      <c r="B578">
        <v>0</v>
      </c>
      <c r="C578">
        <v>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0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0</v>
      </c>
      <c r="AC578" t="str">
        <f t="shared" si="8"/>
        <v/>
      </c>
    </row>
    <row r="579" spans="1:29">
      <c r="A579">
        <v>0</v>
      </c>
      <c r="B579">
        <v>0</v>
      </c>
      <c r="C579">
        <v>0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0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0</v>
      </c>
      <c r="AC579" t="str">
        <f t="shared" ref="AC579:AC642" si="9">IF(ISNUMBER(SEARCH("Successful",F579)),
   "Successful",
   IF(ISNUMBER(SEARCH("Failed",F579)),"Failed",""))</f>
        <v/>
      </c>
    </row>
    <row r="580" spans="1:29">
      <c r="A580">
        <v>0</v>
      </c>
      <c r="B580">
        <v>0</v>
      </c>
      <c r="C580">
        <v>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C580" t="str">
        <f t="shared" si="9"/>
        <v/>
      </c>
    </row>
    <row r="581" spans="1:29">
      <c r="A581">
        <v>0</v>
      </c>
      <c r="B581">
        <v>0</v>
      </c>
      <c r="C581">
        <v>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C581" t="str">
        <f t="shared" si="9"/>
        <v/>
      </c>
    </row>
    <row r="582" spans="1:29">
      <c r="A582">
        <v>0</v>
      </c>
      <c r="B582">
        <v>0</v>
      </c>
      <c r="C582">
        <v>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C582" t="str">
        <f t="shared" si="9"/>
        <v/>
      </c>
    </row>
    <row r="583" spans="1:29">
      <c r="A583">
        <v>0</v>
      </c>
      <c r="B583">
        <v>0</v>
      </c>
      <c r="C583">
        <v>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C583" t="str">
        <f t="shared" si="9"/>
        <v/>
      </c>
    </row>
    <row r="584" spans="1:29">
      <c r="A584">
        <v>0</v>
      </c>
      <c r="B584">
        <v>0</v>
      </c>
      <c r="C584">
        <v>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0</v>
      </c>
      <c r="AC584" t="str">
        <f t="shared" si="9"/>
        <v/>
      </c>
    </row>
    <row r="585" spans="1:29">
      <c r="A585">
        <v>0</v>
      </c>
      <c r="B585">
        <v>0</v>
      </c>
      <c r="C585">
        <v>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0</v>
      </c>
      <c r="AC585" t="str">
        <f t="shared" si="9"/>
        <v/>
      </c>
    </row>
    <row r="586" spans="1:29">
      <c r="A586">
        <v>0</v>
      </c>
      <c r="B586">
        <v>0</v>
      </c>
      <c r="C586">
        <v>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0</v>
      </c>
      <c r="AC586" t="str">
        <f t="shared" si="9"/>
        <v/>
      </c>
    </row>
    <row r="587" spans="1:29">
      <c r="A587">
        <v>0</v>
      </c>
      <c r="B587">
        <v>0</v>
      </c>
      <c r="C587">
        <v>0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0</v>
      </c>
      <c r="AC587" t="str">
        <f t="shared" si="9"/>
        <v/>
      </c>
    </row>
    <row r="588" spans="1:29">
      <c r="A588">
        <v>0</v>
      </c>
      <c r="B588">
        <v>0</v>
      </c>
      <c r="C588">
        <v>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0</v>
      </c>
      <c r="Z588">
        <v>0</v>
      </c>
      <c r="AA588">
        <v>0</v>
      </c>
      <c r="AC588" t="str">
        <f t="shared" si="9"/>
        <v/>
      </c>
    </row>
    <row r="589" spans="1:29">
      <c r="A589">
        <v>0</v>
      </c>
      <c r="B589">
        <v>0</v>
      </c>
      <c r="C589">
        <v>0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0</v>
      </c>
      <c r="AC589" t="str">
        <f t="shared" si="9"/>
        <v/>
      </c>
    </row>
    <row r="590" spans="1:29">
      <c r="A590">
        <v>0</v>
      </c>
      <c r="B590">
        <v>0</v>
      </c>
      <c r="C590">
        <v>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0</v>
      </c>
      <c r="AA590">
        <v>0</v>
      </c>
      <c r="AC590" t="str">
        <f t="shared" si="9"/>
        <v/>
      </c>
    </row>
    <row r="591" spans="1:29">
      <c r="A591">
        <v>0</v>
      </c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0</v>
      </c>
      <c r="AC591" t="str">
        <f t="shared" si="9"/>
        <v/>
      </c>
    </row>
    <row r="592" spans="1:29">
      <c r="A592">
        <v>0</v>
      </c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C592" t="str">
        <f t="shared" si="9"/>
        <v/>
      </c>
    </row>
    <row r="593" spans="1:29">
      <c r="A593">
        <v>0</v>
      </c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C593" t="str">
        <f t="shared" si="9"/>
        <v/>
      </c>
    </row>
    <row r="594" spans="1:29">
      <c r="A594">
        <v>0</v>
      </c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0</v>
      </c>
      <c r="AC594" t="str">
        <f t="shared" si="9"/>
        <v/>
      </c>
    </row>
    <row r="595" spans="1:29">
      <c r="A595">
        <v>0</v>
      </c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C595" t="str">
        <f t="shared" si="9"/>
        <v/>
      </c>
    </row>
    <row r="596" spans="1:29">
      <c r="A596">
        <v>0</v>
      </c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C596" t="str">
        <f t="shared" si="9"/>
        <v/>
      </c>
    </row>
    <row r="597" spans="1:29">
      <c r="A597">
        <v>0</v>
      </c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C597" t="str">
        <f t="shared" si="9"/>
        <v/>
      </c>
    </row>
    <row r="598" spans="1:29">
      <c r="A598">
        <v>0</v>
      </c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C598" t="str">
        <f t="shared" si="9"/>
        <v/>
      </c>
    </row>
    <row r="599" spans="1:29">
      <c r="A599">
        <v>0</v>
      </c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C599" t="str">
        <f t="shared" si="9"/>
        <v/>
      </c>
    </row>
    <row r="600" spans="1:29">
      <c r="A600">
        <v>0</v>
      </c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C600" t="str">
        <f t="shared" si="9"/>
        <v/>
      </c>
    </row>
    <row r="601" spans="1:29">
      <c r="A601">
        <v>0</v>
      </c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C601" t="str">
        <f t="shared" si="9"/>
        <v/>
      </c>
    </row>
    <row r="602" spans="1:29">
      <c r="A602">
        <v>0</v>
      </c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C602" t="str">
        <f t="shared" si="9"/>
        <v/>
      </c>
    </row>
    <row r="603" spans="1:29">
      <c r="A603">
        <v>0</v>
      </c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C603" t="str">
        <f t="shared" si="9"/>
        <v/>
      </c>
    </row>
    <row r="604" spans="1:29">
      <c r="A604">
        <v>0</v>
      </c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C604" t="str">
        <f t="shared" si="9"/>
        <v/>
      </c>
    </row>
    <row r="605" spans="1:29">
      <c r="A605">
        <v>0</v>
      </c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C605" t="str">
        <f t="shared" si="9"/>
        <v/>
      </c>
    </row>
    <row r="606" spans="1:29">
      <c r="A606">
        <v>0</v>
      </c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C606" t="str">
        <f t="shared" si="9"/>
        <v/>
      </c>
    </row>
    <row r="607" spans="1:29">
      <c r="A607">
        <v>0</v>
      </c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C607" t="str">
        <f t="shared" si="9"/>
        <v/>
      </c>
    </row>
    <row r="608" spans="1:29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C608" t="str">
        <f t="shared" si="9"/>
        <v/>
      </c>
    </row>
    <row r="609" spans="1:29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C609" t="str">
        <f t="shared" si="9"/>
        <v/>
      </c>
    </row>
    <row r="610" spans="1:29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C610" t="str">
        <f t="shared" si="9"/>
        <v/>
      </c>
    </row>
    <row r="611" spans="1:29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C611" t="str">
        <f t="shared" si="9"/>
        <v/>
      </c>
    </row>
    <row r="612" spans="1:29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C612" t="str">
        <f t="shared" si="9"/>
        <v/>
      </c>
    </row>
    <row r="613" spans="1:29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C613" t="str">
        <f t="shared" si="9"/>
        <v/>
      </c>
    </row>
    <row r="614" spans="1:29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C614" t="str">
        <f t="shared" si="9"/>
        <v/>
      </c>
    </row>
    <row r="615" spans="1:29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C615" t="str">
        <f t="shared" si="9"/>
        <v/>
      </c>
    </row>
    <row r="616" spans="1:29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C616" t="str">
        <f t="shared" si="9"/>
        <v/>
      </c>
    </row>
    <row r="617" spans="1:29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C617" t="str">
        <f t="shared" si="9"/>
        <v/>
      </c>
    </row>
    <row r="618" spans="1:29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C618" t="str">
        <f t="shared" si="9"/>
        <v/>
      </c>
    </row>
    <row r="619" spans="1:29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C619" t="str">
        <f t="shared" si="9"/>
        <v/>
      </c>
    </row>
    <row r="620" spans="1:29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C620" t="str">
        <f t="shared" si="9"/>
        <v/>
      </c>
    </row>
    <row r="621" spans="1:29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C621" t="str">
        <f t="shared" si="9"/>
        <v/>
      </c>
    </row>
    <row r="622" spans="1:29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C622" t="str">
        <f t="shared" si="9"/>
        <v/>
      </c>
    </row>
    <row r="623" spans="1:29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C623" t="str">
        <f t="shared" si="9"/>
        <v/>
      </c>
    </row>
    <row r="624" spans="1:29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C624" t="str">
        <f t="shared" si="9"/>
        <v/>
      </c>
    </row>
    <row r="625" spans="1:29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C625" t="str">
        <f t="shared" si="9"/>
        <v/>
      </c>
    </row>
    <row r="626" spans="1:29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C626" t="str">
        <f t="shared" si="9"/>
        <v/>
      </c>
    </row>
    <row r="627" spans="1:29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C627" t="str">
        <f t="shared" si="9"/>
        <v/>
      </c>
    </row>
    <row r="628" spans="1:29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C628" t="str">
        <f t="shared" si="9"/>
        <v/>
      </c>
    </row>
    <row r="629" spans="1:29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C629" t="str">
        <f t="shared" si="9"/>
        <v/>
      </c>
    </row>
    <row r="630" spans="1:29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C630" t="str">
        <f t="shared" si="9"/>
        <v/>
      </c>
    </row>
    <row r="631" spans="1:29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C631" t="str">
        <f t="shared" si="9"/>
        <v/>
      </c>
    </row>
    <row r="632" spans="1:29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C632" t="str">
        <f t="shared" si="9"/>
        <v/>
      </c>
    </row>
    <row r="633" spans="1:29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C633" t="str">
        <f t="shared" si="9"/>
        <v/>
      </c>
    </row>
    <row r="634" spans="1:29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C634" t="str">
        <f t="shared" si="9"/>
        <v/>
      </c>
    </row>
    <row r="635" spans="1:29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C635" t="str">
        <f t="shared" si="9"/>
        <v/>
      </c>
    </row>
    <row r="636" spans="1:29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C636" t="str">
        <f t="shared" si="9"/>
        <v/>
      </c>
    </row>
    <row r="637" spans="1:29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C637" t="str">
        <f t="shared" si="9"/>
        <v/>
      </c>
    </row>
    <row r="638" spans="1:29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C638" t="str">
        <f t="shared" si="9"/>
        <v/>
      </c>
    </row>
    <row r="639" spans="1:29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C639" t="str">
        <f t="shared" si="9"/>
        <v/>
      </c>
    </row>
    <row r="640" spans="1:29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C640" t="str">
        <f t="shared" si="9"/>
        <v/>
      </c>
    </row>
    <row r="641" spans="1:29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C641" t="str">
        <f t="shared" si="9"/>
        <v/>
      </c>
    </row>
    <row r="642" spans="1:29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C642" t="str">
        <f t="shared" si="9"/>
        <v/>
      </c>
    </row>
    <row r="643" spans="1:29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C643" t="str">
        <f t="shared" ref="AC643:AC706" si="10">IF(ISNUMBER(SEARCH("Successful",F643)),
   "Successful",
   IF(ISNUMBER(SEARCH("Failed",F643)),"Failed",""))</f>
        <v/>
      </c>
    </row>
    <row r="644" spans="1:29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C644" t="str">
        <f t="shared" si="10"/>
        <v/>
      </c>
    </row>
    <row r="645" spans="1:29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C645" t="str">
        <f t="shared" si="10"/>
        <v/>
      </c>
    </row>
    <row r="646" spans="1:29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C646" t="str">
        <f t="shared" si="10"/>
        <v/>
      </c>
    </row>
    <row r="647" spans="1:29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C647" t="str">
        <f t="shared" si="10"/>
        <v/>
      </c>
    </row>
    <row r="648" spans="1:29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C648" t="str">
        <f t="shared" si="10"/>
        <v/>
      </c>
    </row>
    <row r="649" spans="1:29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C649" t="str">
        <f t="shared" si="10"/>
        <v/>
      </c>
    </row>
    <row r="650" spans="1:29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C650" t="str">
        <f t="shared" si="10"/>
        <v/>
      </c>
    </row>
    <row r="651" spans="1:29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C651" t="str">
        <f t="shared" si="10"/>
        <v/>
      </c>
    </row>
    <row r="652" spans="1:29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C652" t="str">
        <f t="shared" si="10"/>
        <v/>
      </c>
    </row>
    <row r="653" spans="1:29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C653" t="str">
        <f t="shared" si="10"/>
        <v/>
      </c>
    </row>
    <row r="654" spans="1:29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C654" t="str">
        <f t="shared" si="10"/>
        <v/>
      </c>
    </row>
    <row r="655" spans="1:29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C655" t="str">
        <f t="shared" si="10"/>
        <v/>
      </c>
    </row>
    <row r="656" spans="1:29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C656" t="str">
        <f t="shared" si="10"/>
        <v/>
      </c>
    </row>
    <row r="657" spans="1:29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C657" t="str">
        <f t="shared" si="10"/>
        <v/>
      </c>
    </row>
    <row r="658" spans="1:29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C658" t="str">
        <f t="shared" si="10"/>
        <v/>
      </c>
    </row>
    <row r="659" spans="1:29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C659" t="str">
        <f t="shared" si="10"/>
        <v/>
      </c>
    </row>
    <row r="660" spans="1:29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C660" t="str">
        <f t="shared" si="10"/>
        <v/>
      </c>
    </row>
    <row r="661" spans="1:29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C661" t="str">
        <f t="shared" si="10"/>
        <v/>
      </c>
    </row>
    <row r="662" spans="1:29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C662" t="str">
        <f t="shared" si="10"/>
        <v/>
      </c>
    </row>
    <row r="663" spans="1:29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C663" t="str">
        <f t="shared" si="10"/>
        <v/>
      </c>
    </row>
    <row r="664" spans="1:29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C664" t="str">
        <f t="shared" si="10"/>
        <v/>
      </c>
    </row>
    <row r="665" spans="1:29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C665" t="str">
        <f t="shared" si="10"/>
        <v/>
      </c>
    </row>
    <row r="666" spans="1:29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C666" t="str">
        <f t="shared" si="10"/>
        <v/>
      </c>
    </row>
    <row r="667" spans="1:29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C667" t="str">
        <f t="shared" si="10"/>
        <v/>
      </c>
    </row>
    <row r="668" spans="1:29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C668" t="str">
        <f t="shared" si="10"/>
        <v/>
      </c>
    </row>
    <row r="669" spans="1:29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C669" t="str">
        <f t="shared" si="10"/>
        <v/>
      </c>
    </row>
    <row r="670" spans="1:29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C670" t="str">
        <f t="shared" si="10"/>
        <v/>
      </c>
    </row>
    <row r="671" spans="1:29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C671" t="str">
        <f t="shared" si="10"/>
        <v/>
      </c>
    </row>
    <row r="672" spans="1:29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C672" t="str">
        <f t="shared" si="10"/>
        <v/>
      </c>
    </row>
    <row r="673" spans="1:29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C673" t="str">
        <f t="shared" si="10"/>
        <v/>
      </c>
    </row>
    <row r="674" spans="1:29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C674" t="str">
        <f t="shared" si="10"/>
        <v/>
      </c>
    </row>
    <row r="675" spans="1:29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C675" t="str">
        <f t="shared" si="10"/>
        <v/>
      </c>
    </row>
    <row r="676" spans="1:29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C676" t="str">
        <f t="shared" si="10"/>
        <v/>
      </c>
    </row>
    <row r="677" spans="1:29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C677" t="str">
        <f t="shared" si="10"/>
        <v/>
      </c>
    </row>
    <row r="678" spans="1:29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C678" t="str">
        <f t="shared" si="10"/>
        <v/>
      </c>
    </row>
    <row r="679" spans="1:29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C679" t="str">
        <f t="shared" si="10"/>
        <v/>
      </c>
    </row>
    <row r="680" spans="1:29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C680" t="str">
        <f t="shared" si="10"/>
        <v/>
      </c>
    </row>
    <row r="681" spans="1:29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C681" t="str">
        <f t="shared" si="10"/>
        <v/>
      </c>
    </row>
    <row r="682" spans="1:29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C682" t="str">
        <f t="shared" si="10"/>
        <v/>
      </c>
    </row>
    <row r="683" spans="1:29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C683" t="str">
        <f t="shared" si="10"/>
        <v/>
      </c>
    </row>
    <row r="684" spans="1:29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C684" t="str">
        <f t="shared" si="10"/>
        <v/>
      </c>
    </row>
    <row r="685" spans="1:29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C685" t="str">
        <f t="shared" si="10"/>
        <v/>
      </c>
    </row>
    <row r="686" spans="1:29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C686" t="str">
        <f t="shared" si="10"/>
        <v/>
      </c>
    </row>
    <row r="687" spans="1:29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C687" t="str">
        <f t="shared" si="10"/>
        <v/>
      </c>
    </row>
    <row r="688" spans="1:29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C688" t="str">
        <f t="shared" si="10"/>
        <v/>
      </c>
    </row>
    <row r="689" spans="1:29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C689" t="str">
        <f t="shared" si="10"/>
        <v/>
      </c>
    </row>
    <row r="690" spans="1:29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C690" t="str">
        <f t="shared" si="10"/>
        <v/>
      </c>
    </row>
    <row r="691" spans="1:29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C691" t="str">
        <f t="shared" si="10"/>
        <v/>
      </c>
    </row>
    <row r="692" spans="1:29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C692" t="str">
        <f t="shared" si="10"/>
        <v/>
      </c>
    </row>
    <row r="693" spans="1:29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C693" t="str">
        <f t="shared" si="10"/>
        <v/>
      </c>
    </row>
    <row r="694" spans="1:29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C694" t="str">
        <f t="shared" si="10"/>
        <v/>
      </c>
    </row>
    <row r="695" spans="1:29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C695" t="str">
        <f t="shared" si="10"/>
        <v/>
      </c>
    </row>
    <row r="696" spans="1:29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C696" t="str">
        <f t="shared" si="10"/>
        <v/>
      </c>
    </row>
    <row r="697" spans="1:29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C697" t="str">
        <f t="shared" si="10"/>
        <v/>
      </c>
    </row>
    <row r="698" spans="1:29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C698" t="str">
        <f t="shared" si="10"/>
        <v/>
      </c>
    </row>
    <row r="699" spans="1:29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C699" t="str">
        <f t="shared" si="10"/>
        <v/>
      </c>
    </row>
    <row r="700" spans="1:29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C700" t="str">
        <f t="shared" si="10"/>
        <v/>
      </c>
    </row>
    <row r="701" spans="1:29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C701" t="str">
        <f t="shared" si="10"/>
        <v/>
      </c>
    </row>
    <row r="702" spans="1:29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C702" t="str">
        <f t="shared" si="10"/>
        <v/>
      </c>
    </row>
    <row r="703" spans="1:29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C703" t="str">
        <f t="shared" si="10"/>
        <v/>
      </c>
    </row>
    <row r="704" spans="1:29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C704" t="str">
        <f t="shared" si="10"/>
        <v/>
      </c>
    </row>
    <row r="705" spans="1:29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C705" t="str">
        <f t="shared" si="10"/>
        <v/>
      </c>
    </row>
    <row r="706" spans="1:29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C706" t="str">
        <f t="shared" si="10"/>
        <v/>
      </c>
    </row>
    <row r="707" spans="1:29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C707" t="str">
        <f t="shared" ref="AC707:AC770" si="11">IF(ISNUMBER(SEARCH("Successful",F707)),
   "Successful",
   IF(ISNUMBER(SEARCH("Failed",F707)),"Failed",""))</f>
        <v/>
      </c>
    </row>
    <row r="708" spans="1:29">
      <c r="A708">
        <v>0</v>
      </c>
      <c r="B708">
        <v>0</v>
      </c>
      <c r="C708">
        <v>0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C708" t="str">
        <f t="shared" si="11"/>
        <v/>
      </c>
    </row>
    <row r="709" spans="1:29">
      <c r="A709">
        <v>0</v>
      </c>
      <c r="B709">
        <v>0</v>
      </c>
      <c r="C709">
        <v>0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C709" t="str">
        <f t="shared" si="11"/>
        <v/>
      </c>
    </row>
    <row r="710" spans="1:29">
      <c r="A710">
        <v>0</v>
      </c>
      <c r="B710">
        <v>0</v>
      </c>
      <c r="C710">
        <v>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C710" t="str">
        <f t="shared" si="11"/>
        <v/>
      </c>
    </row>
    <row r="711" spans="1:29">
      <c r="A711">
        <v>0</v>
      </c>
      <c r="B711">
        <v>0</v>
      </c>
      <c r="C711">
        <v>0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C711" t="str">
        <f t="shared" si="11"/>
        <v/>
      </c>
    </row>
    <row r="712" spans="1:29">
      <c r="A712">
        <v>0</v>
      </c>
      <c r="B712">
        <v>0</v>
      </c>
      <c r="C712">
        <v>0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C712" t="str">
        <f t="shared" si="11"/>
        <v/>
      </c>
    </row>
    <row r="713" spans="1:29">
      <c r="A713">
        <v>0</v>
      </c>
      <c r="B713">
        <v>0</v>
      </c>
      <c r="C713">
        <v>0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C713" t="str">
        <f t="shared" si="11"/>
        <v/>
      </c>
    </row>
    <row r="714" spans="1:29">
      <c r="A714">
        <v>0</v>
      </c>
      <c r="B714">
        <v>0</v>
      </c>
      <c r="C714">
        <v>0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C714" t="str">
        <f t="shared" si="11"/>
        <v/>
      </c>
    </row>
    <row r="715" spans="1:29">
      <c r="A715">
        <v>0</v>
      </c>
      <c r="B715">
        <v>0</v>
      </c>
      <c r="C715">
        <v>0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C715" t="str">
        <f t="shared" si="11"/>
        <v/>
      </c>
    </row>
    <row r="716" spans="1:29">
      <c r="A716">
        <v>0</v>
      </c>
      <c r="B716">
        <v>0</v>
      </c>
      <c r="C716">
        <v>0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C716" t="str">
        <f t="shared" si="11"/>
        <v/>
      </c>
    </row>
    <row r="717" spans="1:29">
      <c r="A717">
        <v>0</v>
      </c>
      <c r="B717">
        <v>0</v>
      </c>
      <c r="C717">
        <v>0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C717" t="str">
        <f t="shared" si="11"/>
        <v/>
      </c>
    </row>
    <row r="718" spans="1:29">
      <c r="A718">
        <v>0</v>
      </c>
      <c r="B718">
        <v>0</v>
      </c>
      <c r="C718">
        <v>0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C718" t="str">
        <f t="shared" si="11"/>
        <v/>
      </c>
    </row>
    <row r="719" spans="1:29">
      <c r="A719">
        <v>0</v>
      </c>
      <c r="B719">
        <v>0</v>
      </c>
      <c r="C719">
        <v>0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C719" t="str">
        <f t="shared" si="11"/>
        <v/>
      </c>
    </row>
    <row r="720" spans="1:29">
      <c r="A720">
        <v>0</v>
      </c>
      <c r="B720">
        <v>0</v>
      </c>
      <c r="C720">
        <v>0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C720" t="str">
        <f t="shared" si="11"/>
        <v/>
      </c>
    </row>
    <row r="721" spans="1:29">
      <c r="A721">
        <v>0</v>
      </c>
      <c r="B721">
        <v>0</v>
      </c>
      <c r="C721">
        <v>0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C721" t="str">
        <f t="shared" si="11"/>
        <v/>
      </c>
    </row>
    <row r="722" spans="1:29">
      <c r="A722">
        <v>0</v>
      </c>
      <c r="B722">
        <v>0</v>
      </c>
      <c r="C722">
        <v>0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C722" t="str">
        <f t="shared" si="11"/>
        <v/>
      </c>
    </row>
    <row r="723" spans="1:29">
      <c r="A723">
        <v>0</v>
      </c>
      <c r="B723">
        <v>0</v>
      </c>
      <c r="C723">
        <v>0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C723" t="str">
        <f t="shared" si="11"/>
        <v/>
      </c>
    </row>
    <row r="724" spans="1:29">
      <c r="A724">
        <v>0</v>
      </c>
      <c r="B724">
        <v>0</v>
      </c>
      <c r="C724">
        <v>0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C724" t="str">
        <f t="shared" si="11"/>
        <v/>
      </c>
    </row>
    <row r="725" spans="1:29">
      <c r="A725">
        <v>0</v>
      </c>
      <c r="B725">
        <v>0</v>
      </c>
      <c r="C725">
        <v>0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C725" t="str">
        <f t="shared" si="11"/>
        <v/>
      </c>
    </row>
    <row r="726" spans="1:29">
      <c r="A726">
        <v>0</v>
      </c>
      <c r="B726">
        <v>0</v>
      </c>
      <c r="C726">
        <v>0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C726" t="str">
        <f t="shared" si="11"/>
        <v/>
      </c>
    </row>
    <row r="727" spans="1:29">
      <c r="A727">
        <v>0</v>
      </c>
      <c r="B727">
        <v>0</v>
      </c>
      <c r="C727">
        <v>0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C727" t="str">
        <f t="shared" si="11"/>
        <v/>
      </c>
    </row>
    <row r="728" spans="1:29">
      <c r="A728">
        <v>0</v>
      </c>
      <c r="B728">
        <v>0</v>
      </c>
      <c r="C728">
        <v>0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C728" t="str">
        <f t="shared" si="11"/>
        <v/>
      </c>
    </row>
    <row r="729" spans="1:29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C729" t="str">
        <f t="shared" si="11"/>
        <v/>
      </c>
    </row>
    <row r="730" spans="1:29">
      <c r="A730">
        <v>0</v>
      </c>
      <c r="B730">
        <v>0</v>
      </c>
      <c r="C730">
        <v>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C730" t="str">
        <f t="shared" si="11"/>
        <v/>
      </c>
    </row>
    <row r="731" spans="1:29">
      <c r="A731">
        <v>0</v>
      </c>
      <c r="B731">
        <v>0</v>
      </c>
      <c r="C731">
        <v>0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C731" t="str">
        <f t="shared" si="11"/>
        <v/>
      </c>
    </row>
    <row r="732" spans="1:29">
      <c r="A732">
        <v>0</v>
      </c>
      <c r="B732">
        <v>0</v>
      </c>
      <c r="C732">
        <v>0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C732" t="str">
        <f t="shared" si="11"/>
        <v/>
      </c>
    </row>
    <row r="733" spans="1:29">
      <c r="A733">
        <v>0</v>
      </c>
      <c r="B733">
        <v>0</v>
      </c>
      <c r="C733">
        <v>0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C733" t="str">
        <f t="shared" si="11"/>
        <v/>
      </c>
    </row>
    <row r="734" spans="1:29">
      <c r="A734">
        <v>0</v>
      </c>
      <c r="B734">
        <v>0</v>
      </c>
      <c r="C734">
        <v>0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C734" t="str">
        <f t="shared" si="11"/>
        <v/>
      </c>
    </row>
    <row r="735" spans="1:29">
      <c r="A735">
        <v>0</v>
      </c>
      <c r="B735">
        <v>0</v>
      </c>
      <c r="C735">
        <v>0</v>
      </c>
      <c r="D735">
        <v>0</v>
      </c>
      <c r="E735">
        <v>0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C735" t="str">
        <f t="shared" si="11"/>
        <v/>
      </c>
    </row>
    <row r="736" spans="1:29">
      <c r="A736">
        <v>0</v>
      </c>
      <c r="B736">
        <v>0</v>
      </c>
      <c r="C736">
        <v>0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C736" t="str">
        <f t="shared" si="11"/>
        <v/>
      </c>
    </row>
    <row r="737" spans="1:29">
      <c r="A737">
        <v>0</v>
      </c>
      <c r="B737">
        <v>0</v>
      </c>
      <c r="C737">
        <v>0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C737" t="str">
        <f t="shared" si="11"/>
        <v/>
      </c>
    </row>
    <row r="738" spans="1:29">
      <c r="A738">
        <v>0</v>
      </c>
      <c r="B738">
        <v>0</v>
      </c>
      <c r="C738">
        <v>0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C738" t="str">
        <f t="shared" si="11"/>
        <v/>
      </c>
    </row>
    <row r="739" spans="1:29">
      <c r="A739">
        <v>0</v>
      </c>
      <c r="B739">
        <v>0</v>
      </c>
      <c r="C739">
        <v>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C739" t="str">
        <f t="shared" si="11"/>
        <v/>
      </c>
    </row>
    <row r="740" spans="1:29">
      <c r="A740">
        <v>0</v>
      </c>
      <c r="B740">
        <v>0</v>
      </c>
      <c r="C740">
        <v>0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C740" t="str">
        <f t="shared" si="11"/>
        <v/>
      </c>
    </row>
    <row r="741" spans="1:29">
      <c r="A741">
        <v>0</v>
      </c>
      <c r="B741">
        <v>0</v>
      </c>
      <c r="C741">
        <v>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C741" t="str">
        <f t="shared" si="11"/>
        <v/>
      </c>
    </row>
    <row r="742" spans="1:29">
      <c r="A742">
        <v>0</v>
      </c>
      <c r="B742">
        <v>0</v>
      </c>
      <c r="C742">
        <v>0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C742" t="str">
        <f t="shared" si="11"/>
        <v/>
      </c>
    </row>
    <row r="743" spans="1:29">
      <c r="A743">
        <v>0</v>
      </c>
      <c r="B743">
        <v>0</v>
      </c>
      <c r="C743">
        <v>0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C743" t="str">
        <f t="shared" si="11"/>
        <v/>
      </c>
    </row>
    <row r="744" spans="1:29">
      <c r="A744">
        <v>0</v>
      </c>
      <c r="B744">
        <v>0</v>
      </c>
      <c r="C744">
        <v>0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C744" t="str">
        <f t="shared" si="11"/>
        <v/>
      </c>
    </row>
    <row r="745" spans="1:29">
      <c r="A745">
        <v>0</v>
      </c>
      <c r="B745">
        <v>0</v>
      </c>
      <c r="C745">
        <v>0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C745" t="str">
        <f t="shared" si="11"/>
        <v/>
      </c>
    </row>
    <row r="746" spans="1:29">
      <c r="A746">
        <v>0</v>
      </c>
      <c r="B746">
        <v>0</v>
      </c>
      <c r="C746">
        <v>0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C746" t="str">
        <f t="shared" si="11"/>
        <v/>
      </c>
    </row>
    <row r="747" spans="1:29">
      <c r="A747">
        <v>0</v>
      </c>
      <c r="B747">
        <v>0</v>
      </c>
      <c r="C747">
        <v>0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C747" t="str">
        <f t="shared" si="11"/>
        <v/>
      </c>
    </row>
    <row r="748" spans="1:29">
      <c r="A748">
        <v>0</v>
      </c>
      <c r="B748">
        <v>0</v>
      </c>
      <c r="C748">
        <v>0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C748" t="str">
        <f t="shared" si="11"/>
        <v/>
      </c>
    </row>
    <row r="749" spans="1:29">
      <c r="A749">
        <v>0</v>
      </c>
      <c r="B749">
        <v>0</v>
      </c>
      <c r="C749">
        <v>0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C749" t="str">
        <f t="shared" si="11"/>
        <v/>
      </c>
    </row>
    <row r="750" spans="1:29">
      <c r="A750">
        <v>0</v>
      </c>
      <c r="B750">
        <v>0</v>
      </c>
      <c r="C750">
        <v>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C750" t="str">
        <f t="shared" si="11"/>
        <v/>
      </c>
    </row>
    <row r="751" spans="1:29">
      <c r="A751">
        <v>0</v>
      </c>
      <c r="B751">
        <v>0</v>
      </c>
      <c r="C751">
        <v>0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C751" t="str">
        <f t="shared" si="11"/>
        <v/>
      </c>
    </row>
    <row r="752" spans="1:29">
      <c r="A752">
        <v>0</v>
      </c>
      <c r="B752">
        <v>0</v>
      </c>
      <c r="C752">
        <v>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C752" t="str">
        <f t="shared" si="11"/>
        <v/>
      </c>
    </row>
    <row r="753" spans="1:29">
      <c r="A753">
        <v>0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C753" t="str">
        <f t="shared" si="11"/>
        <v/>
      </c>
    </row>
    <row r="754" spans="1:29">
      <c r="A754">
        <v>0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C754" t="str">
        <f t="shared" si="11"/>
        <v/>
      </c>
    </row>
    <row r="755" spans="1:29">
      <c r="A755">
        <v>0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C755" t="str">
        <f t="shared" si="11"/>
        <v/>
      </c>
    </row>
    <row r="756" spans="1:29">
      <c r="A756">
        <v>0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C756" t="str">
        <f t="shared" si="11"/>
        <v/>
      </c>
    </row>
    <row r="757" spans="1:29">
      <c r="A757">
        <v>0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C757" t="str">
        <f t="shared" si="11"/>
        <v/>
      </c>
    </row>
    <row r="758" spans="1:29">
      <c r="A758">
        <v>0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C758" t="str">
        <f t="shared" si="11"/>
        <v/>
      </c>
    </row>
    <row r="759" spans="1:29">
      <c r="A759">
        <v>0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C759" t="str">
        <f t="shared" si="11"/>
        <v/>
      </c>
    </row>
    <row r="760" spans="1:29">
      <c r="A760">
        <v>0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C760" t="str">
        <f t="shared" si="11"/>
        <v/>
      </c>
    </row>
    <row r="761" spans="1:29">
      <c r="A761">
        <v>0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C761" t="str">
        <f t="shared" si="11"/>
        <v/>
      </c>
    </row>
    <row r="762" spans="1:29">
      <c r="A762">
        <v>0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C762" t="str">
        <f t="shared" si="11"/>
        <v/>
      </c>
    </row>
    <row r="763" spans="1:29">
      <c r="A763">
        <v>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C763" t="str">
        <f t="shared" si="11"/>
        <v/>
      </c>
    </row>
    <row r="764" spans="1:29">
      <c r="A764">
        <v>0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C764" t="str">
        <f t="shared" si="11"/>
        <v/>
      </c>
    </row>
    <row r="765" spans="1:29">
      <c r="A765">
        <v>0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C765" t="str">
        <f t="shared" si="11"/>
        <v/>
      </c>
    </row>
    <row r="766" spans="1:29">
      <c r="A766">
        <v>0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C766" t="str">
        <f t="shared" si="11"/>
        <v/>
      </c>
    </row>
    <row r="767" spans="1:29">
      <c r="A767">
        <v>0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C767" t="str">
        <f t="shared" si="11"/>
        <v/>
      </c>
    </row>
    <row r="768" spans="1:29">
      <c r="A768">
        <v>0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C768" t="str">
        <f t="shared" si="11"/>
        <v/>
      </c>
    </row>
    <row r="769" spans="1:29">
      <c r="A769">
        <v>0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C769" t="str">
        <f t="shared" si="11"/>
        <v/>
      </c>
    </row>
    <row r="770" spans="1:29">
      <c r="A770">
        <v>0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C770" t="str">
        <f t="shared" si="11"/>
        <v/>
      </c>
    </row>
    <row r="771" spans="1:29">
      <c r="A771">
        <v>0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C771" t="str">
        <f t="shared" ref="AC771:AC834" si="12">IF(ISNUMBER(SEARCH("Successful",F771)),
   "Successful",
   IF(ISNUMBER(SEARCH("Failed",F771)),"Failed",""))</f>
        <v/>
      </c>
    </row>
    <row r="772" spans="1:29">
      <c r="A772">
        <v>0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C772" t="str">
        <f t="shared" si="12"/>
        <v/>
      </c>
    </row>
    <row r="773" spans="1:29">
      <c r="A773">
        <v>0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C773" t="str">
        <f t="shared" si="12"/>
        <v/>
      </c>
    </row>
    <row r="774" spans="1:29">
      <c r="A774">
        <v>0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C774" t="str">
        <f t="shared" si="12"/>
        <v/>
      </c>
    </row>
    <row r="775" spans="1:29">
      <c r="A775">
        <v>0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C775" t="str">
        <f t="shared" si="12"/>
        <v/>
      </c>
    </row>
    <row r="776" spans="1:29">
      <c r="A776">
        <v>0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C776" t="str">
        <f t="shared" si="12"/>
        <v/>
      </c>
    </row>
    <row r="777" spans="1:29">
      <c r="A777">
        <v>0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C777" t="str">
        <f t="shared" si="12"/>
        <v/>
      </c>
    </row>
    <row r="778" spans="1:29">
      <c r="A778">
        <v>0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C778" t="str">
        <f t="shared" si="12"/>
        <v/>
      </c>
    </row>
    <row r="779" spans="1:29">
      <c r="A779">
        <v>0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C779" t="str">
        <f t="shared" si="12"/>
        <v/>
      </c>
    </row>
    <row r="780" spans="1:29">
      <c r="A780">
        <v>0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C780" t="str">
        <f t="shared" si="12"/>
        <v/>
      </c>
    </row>
    <row r="781" spans="1:29">
      <c r="A781">
        <v>0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C781" t="str">
        <f t="shared" si="12"/>
        <v/>
      </c>
    </row>
    <row r="782" spans="1:29">
      <c r="A782">
        <v>0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C782" t="str">
        <f t="shared" si="12"/>
        <v/>
      </c>
    </row>
    <row r="783" spans="1:29">
      <c r="A783">
        <v>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C783" t="str">
        <f t="shared" si="12"/>
        <v/>
      </c>
    </row>
    <row r="784" spans="1:29">
      <c r="A784">
        <v>0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C784" t="str">
        <f t="shared" si="12"/>
        <v/>
      </c>
    </row>
    <row r="785" spans="1:29">
      <c r="A785">
        <v>0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C785" t="str">
        <f t="shared" si="12"/>
        <v/>
      </c>
    </row>
    <row r="786" spans="1:29">
      <c r="A786">
        <v>0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C786" t="str">
        <f t="shared" si="12"/>
        <v/>
      </c>
    </row>
    <row r="787" spans="1:29">
      <c r="A787">
        <v>0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C787" t="str">
        <f t="shared" si="12"/>
        <v/>
      </c>
    </row>
    <row r="788" spans="1:29">
      <c r="A788">
        <v>0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C788" t="str">
        <f t="shared" si="12"/>
        <v/>
      </c>
    </row>
    <row r="789" spans="1:29">
      <c r="A789">
        <v>0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C789" t="str">
        <f t="shared" si="12"/>
        <v/>
      </c>
    </row>
    <row r="790" spans="1:29">
      <c r="A790">
        <v>0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C790" t="str">
        <f t="shared" si="12"/>
        <v/>
      </c>
    </row>
    <row r="791" spans="1:29">
      <c r="A791">
        <v>0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C791" t="str">
        <f t="shared" si="12"/>
        <v/>
      </c>
    </row>
    <row r="792" spans="1:29">
      <c r="A792">
        <v>0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C792" t="str">
        <f t="shared" si="12"/>
        <v/>
      </c>
    </row>
    <row r="793" spans="1:29">
      <c r="A793">
        <v>0</v>
      </c>
      <c r="B793">
        <v>0</v>
      </c>
      <c r="C793">
        <v>0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C793" t="str">
        <f t="shared" si="12"/>
        <v/>
      </c>
    </row>
    <row r="794" spans="1:29">
      <c r="A794">
        <v>0</v>
      </c>
      <c r="B794">
        <v>0</v>
      </c>
      <c r="C794">
        <v>0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C794" t="str">
        <f t="shared" si="12"/>
        <v/>
      </c>
    </row>
    <row r="795" spans="1:29">
      <c r="A795">
        <v>0</v>
      </c>
      <c r="B795">
        <v>0</v>
      </c>
      <c r="C795">
        <v>0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C795" t="str">
        <f t="shared" si="12"/>
        <v/>
      </c>
    </row>
    <row r="796" spans="1:29">
      <c r="A796">
        <v>0</v>
      </c>
      <c r="B796">
        <v>0</v>
      </c>
      <c r="C796">
        <v>0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C796" t="str">
        <f t="shared" si="12"/>
        <v/>
      </c>
    </row>
    <row r="797" spans="1:29">
      <c r="A797">
        <v>0</v>
      </c>
      <c r="B797">
        <v>0</v>
      </c>
      <c r="C797">
        <v>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0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C797" t="str">
        <f t="shared" si="12"/>
        <v/>
      </c>
    </row>
    <row r="798" spans="1:29">
      <c r="A798">
        <v>0</v>
      </c>
      <c r="B798">
        <v>0</v>
      </c>
      <c r="C798">
        <v>0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C798" t="str">
        <f t="shared" si="12"/>
        <v/>
      </c>
    </row>
    <row r="799" spans="1:29">
      <c r="A799">
        <v>0</v>
      </c>
      <c r="B799">
        <v>0</v>
      </c>
      <c r="C799">
        <v>0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0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C799" t="str">
        <f t="shared" si="12"/>
        <v/>
      </c>
    </row>
    <row r="800" spans="1:29">
      <c r="A800">
        <v>0</v>
      </c>
      <c r="B800">
        <v>0</v>
      </c>
      <c r="C800">
        <v>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C800" t="str">
        <f t="shared" si="12"/>
        <v/>
      </c>
    </row>
    <row r="801" spans="1:29">
      <c r="A801">
        <v>0</v>
      </c>
      <c r="B801">
        <v>0</v>
      </c>
      <c r="C801">
        <v>0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0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C801" t="str">
        <f t="shared" si="12"/>
        <v/>
      </c>
    </row>
    <row r="802" spans="1:29">
      <c r="A802">
        <v>0</v>
      </c>
      <c r="B802">
        <v>0</v>
      </c>
      <c r="C802">
        <v>0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C802" t="str">
        <f t="shared" si="12"/>
        <v/>
      </c>
    </row>
    <row r="803" spans="1:29">
      <c r="A803">
        <v>0</v>
      </c>
      <c r="B803">
        <v>0</v>
      </c>
      <c r="C803">
        <v>0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C803" t="str">
        <f t="shared" si="12"/>
        <v/>
      </c>
    </row>
    <row r="804" spans="1:29">
      <c r="A804">
        <v>0</v>
      </c>
      <c r="B804">
        <v>0</v>
      </c>
      <c r="C804">
        <v>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C804" t="str">
        <f t="shared" si="12"/>
        <v/>
      </c>
    </row>
    <row r="805" spans="1:29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C805" t="str">
        <f t="shared" si="12"/>
        <v/>
      </c>
    </row>
    <row r="806" spans="1:29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C806" t="str">
        <f t="shared" si="12"/>
        <v/>
      </c>
    </row>
    <row r="807" spans="1:29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C807" t="str">
        <f t="shared" si="12"/>
        <v/>
      </c>
    </row>
    <row r="808" spans="1:29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C808" t="str">
        <f t="shared" si="12"/>
        <v/>
      </c>
    </row>
    <row r="809" spans="1:29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C809" t="str">
        <f t="shared" si="12"/>
        <v/>
      </c>
    </row>
    <row r="810" spans="1:29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C810" t="str">
        <f t="shared" si="12"/>
        <v/>
      </c>
    </row>
    <row r="811" spans="1:29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C811" t="str">
        <f t="shared" si="12"/>
        <v/>
      </c>
    </row>
    <row r="812" spans="1:29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C812" t="str">
        <f t="shared" si="12"/>
        <v/>
      </c>
    </row>
    <row r="813" spans="1:29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C813" t="str">
        <f t="shared" si="12"/>
        <v/>
      </c>
    </row>
    <row r="814" spans="1:29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C814" t="str">
        <f t="shared" si="12"/>
        <v/>
      </c>
    </row>
    <row r="815" spans="1:29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C815" t="str">
        <f t="shared" si="12"/>
        <v/>
      </c>
    </row>
    <row r="816" spans="1:29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C816" t="str">
        <f t="shared" si="12"/>
        <v/>
      </c>
    </row>
    <row r="817" spans="1:29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C817" t="str">
        <f t="shared" si="12"/>
        <v/>
      </c>
    </row>
    <row r="818" spans="1:29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C818" t="str">
        <f t="shared" si="12"/>
        <v/>
      </c>
    </row>
    <row r="819" spans="1:29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C819" t="str">
        <f t="shared" si="12"/>
        <v/>
      </c>
    </row>
    <row r="820" spans="1:29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C820" t="str">
        <f t="shared" si="12"/>
        <v/>
      </c>
    </row>
    <row r="821" spans="1:29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C821" t="str">
        <f t="shared" si="12"/>
        <v/>
      </c>
    </row>
    <row r="822" spans="1:29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C822" t="str">
        <f t="shared" si="12"/>
        <v/>
      </c>
    </row>
    <row r="823" spans="1:29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C823" t="str">
        <f t="shared" si="12"/>
        <v/>
      </c>
    </row>
    <row r="824" spans="1:29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C824" t="str">
        <f t="shared" si="12"/>
        <v/>
      </c>
    </row>
    <row r="825" spans="1:29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C825" t="str">
        <f t="shared" si="12"/>
        <v/>
      </c>
    </row>
    <row r="826" spans="1:29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C826" t="str">
        <f t="shared" si="12"/>
        <v/>
      </c>
    </row>
    <row r="827" spans="1:29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C827" t="str">
        <f t="shared" si="12"/>
        <v/>
      </c>
    </row>
    <row r="828" spans="1:29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C828" t="str">
        <f t="shared" si="12"/>
        <v/>
      </c>
    </row>
    <row r="829" spans="1:29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C829" t="str">
        <f t="shared" si="12"/>
        <v/>
      </c>
    </row>
    <row r="830" spans="1:29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C830" t="str">
        <f t="shared" si="12"/>
        <v/>
      </c>
    </row>
    <row r="831" spans="1:29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C831" t="str">
        <f t="shared" si="12"/>
        <v/>
      </c>
    </row>
    <row r="832" spans="1:29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C832" t="str">
        <f t="shared" si="12"/>
        <v/>
      </c>
    </row>
    <row r="833" spans="1:29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C833" t="str">
        <f t="shared" si="12"/>
        <v/>
      </c>
    </row>
    <row r="834" spans="1:29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C834" t="str">
        <f t="shared" si="12"/>
        <v/>
      </c>
    </row>
    <row r="835" spans="1:29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C835" t="str">
        <f t="shared" ref="AC835:AC898" si="13">IF(ISNUMBER(SEARCH("Successful",F835)),
   "Successful",
   IF(ISNUMBER(SEARCH("Failed",F835)),"Failed",""))</f>
        <v/>
      </c>
    </row>
    <row r="836" spans="1:29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C836" t="str">
        <f t="shared" si="13"/>
        <v/>
      </c>
    </row>
    <row r="837" spans="1:29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C837" t="str">
        <f t="shared" si="13"/>
        <v/>
      </c>
    </row>
    <row r="838" spans="1:29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C838" t="str">
        <f t="shared" si="13"/>
        <v/>
      </c>
    </row>
    <row r="839" spans="1:29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C839" t="str">
        <f t="shared" si="13"/>
        <v/>
      </c>
    </row>
    <row r="840" spans="1:29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C840" t="str">
        <f t="shared" si="13"/>
        <v/>
      </c>
    </row>
    <row r="841" spans="1:29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C841" t="str">
        <f t="shared" si="13"/>
        <v/>
      </c>
    </row>
    <row r="842" spans="1:29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C842" t="str">
        <f t="shared" si="13"/>
        <v/>
      </c>
    </row>
    <row r="843" spans="1:29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C843" t="str">
        <f t="shared" si="13"/>
        <v/>
      </c>
    </row>
    <row r="844" spans="1:29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C844" t="str">
        <f t="shared" si="13"/>
        <v/>
      </c>
    </row>
    <row r="845" spans="1:29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C845" t="str">
        <f t="shared" si="13"/>
        <v/>
      </c>
    </row>
    <row r="846" spans="1:29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C846" t="str">
        <f t="shared" si="13"/>
        <v/>
      </c>
    </row>
    <row r="847" spans="1:29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C847" t="str">
        <f t="shared" si="13"/>
        <v/>
      </c>
    </row>
    <row r="848" spans="1:29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C848" t="str">
        <f t="shared" si="13"/>
        <v/>
      </c>
    </row>
    <row r="849" spans="1:29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C849" t="str">
        <f t="shared" si="13"/>
        <v/>
      </c>
    </row>
    <row r="850" spans="1:29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C850" t="str">
        <f t="shared" si="13"/>
        <v/>
      </c>
    </row>
    <row r="851" spans="1:29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C851" t="str">
        <f t="shared" si="13"/>
        <v/>
      </c>
    </row>
    <row r="852" spans="1:29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C852" t="str">
        <f t="shared" si="13"/>
        <v/>
      </c>
    </row>
    <row r="853" spans="1:29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C853" t="str">
        <f t="shared" si="13"/>
        <v/>
      </c>
    </row>
    <row r="854" spans="1:29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C854" t="str">
        <f t="shared" si="13"/>
        <v/>
      </c>
    </row>
    <row r="855" spans="1:29">
      <c r="A855">
        <v>0</v>
      </c>
      <c r="B855">
        <v>0</v>
      </c>
      <c r="C855">
        <v>0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>
        <v>0</v>
      </c>
      <c r="T855">
        <v>0</v>
      </c>
      <c r="U855">
        <v>0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C855" t="str">
        <f t="shared" si="13"/>
        <v/>
      </c>
    </row>
    <row r="856" spans="1:29">
      <c r="A856">
        <v>0</v>
      </c>
      <c r="B856">
        <v>0</v>
      </c>
      <c r="C856">
        <v>0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>
        <v>0</v>
      </c>
      <c r="T856">
        <v>0</v>
      </c>
      <c r="U856">
        <v>0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C856" t="str">
        <f t="shared" si="13"/>
        <v/>
      </c>
    </row>
    <row r="857" spans="1:29">
      <c r="A857">
        <v>0</v>
      </c>
      <c r="B857">
        <v>0</v>
      </c>
      <c r="C857">
        <v>0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>
        <v>0</v>
      </c>
      <c r="T857">
        <v>0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C857" t="str">
        <f t="shared" si="13"/>
        <v/>
      </c>
    </row>
    <row r="858" spans="1:29">
      <c r="A858">
        <v>0</v>
      </c>
      <c r="B858">
        <v>0</v>
      </c>
      <c r="C858">
        <v>0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0</v>
      </c>
      <c r="R858">
        <v>0</v>
      </c>
      <c r="S858">
        <v>0</v>
      </c>
      <c r="T858">
        <v>0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C858" t="str">
        <f t="shared" si="13"/>
        <v/>
      </c>
    </row>
    <row r="859" spans="1:29">
      <c r="A859">
        <v>0</v>
      </c>
      <c r="B859">
        <v>0</v>
      </c>
      <c r="C859">
        <v>0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>
        <v>0</v>
      </c>
      <c r="T859">
        <v>0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0</v>
      </c>
      <c r="AC859" t="str">
        <f t="shared" si="13"/>
        <v/>
      </c>
    </row>
    <row r="860" spans="1:29">
      <c r="A860">
        <v>0</v>
      </c>
      <c r="B860">
        <v>0</v>
      </c>
      <c r="C860">
        <v>0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>
        <v>0</v>
      </c>
      <c r="T860">
        <v>0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0</v>
      </c>
      <c r="AC860" t="str">
        <f t="shared" si="13"/>
        <v/>
      </c>
    </row>
    <row r="861" spans="1:29">
      <c r="A861">
        <v>0</v>
      </c>
      <c r="B861">
        <v>0</v>
      </c>
      <c r="C861">
        <v>0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>
        <v>0</v>
      </c>
      <c r="T861">
        <v>0</v>
      </c>
      <c r="U861">
        <v>0</v>
      </c>
      <c r="V861">
        <v>0</v>
      </c>
      <c r="W861">
        <v>0</v>
      </c>
      <c r="X861">
        <v>0</v>
      </c>
      <c r="Y861">
        <v>0</v>
      </c>
      <c r="Z861">
        <v>0</v>
      </c>
      <c r="AA861">
        <v>0</v>
      </c>
      <c r="AC861" t="str">
        <f t="shared" si="13"/>
        <v/>
      </c>
    </row>
    <row r="862" spans="1:29">
      <c r="A862">
        <v>0</v>
      </c>
      <c r="B862">
        <v>0</v>
      </c>
      <c r="C862">
        <v>0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>
        <v>0</v>
      </c>
      <c r="T862">
        <v>0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0</v>
      </c>
      <c r="AC862" t="str">
        <f t="shared" si="13"/>
        <v/>
      </c>
    </row>
    <row r="863" spans="1:29">
      <c r="A863">
        <v>0</v>
      </c>
      <c r="B863">
        <v>0</v>
      </c>
      <c r="C863">
        <v>0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>
        <v>0</v>
      </c>
      <c r="T863">
        <v>0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0</v>
      </c>
      <c r="AC863" t="str">
        <f t="shared" si="13"/>
        <v/>
      </c>
    </row>
    <row r="864" spans="1:29">
      <c r="A864">
        <v>0</v>
      </c>
      <c r="B864">
        <v>0</v>
      </c>
      <c r="C864">
        <v>0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>
        <v>0</v>
      </c>
      <c r="T864">
        <v>0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0</v>
      </c>
      <c r="AC864" t="str">
        <f t="shared" si="13"/>
        <v/>
      </c>
    </row>
    <row r="865" spans="1:29">
      <c r="A865">
        <v>0</v>
      </c>
      <c r="B865">
        <v>0</v>
      </c>
      <c r="C865">
        <v>0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>
        <v>0</v>
      </c>
      <c r="T865">
        <v>0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0</v>
      </c>
      <c r="AC865" t="str">
        <f t="shared" si="13"/>
        <v/>
      </c>
    </row>
    <row r="866" spans="1:29">
      <c r="A866">
        <v>0</v>
      </c>
      <c r="B866">
        <v>0</v>
      </c>
      <c r="C866">
        <v>0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>
        <v>0</v>
      </c>
      <c r="T866">
        <v>0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0</v>
      </c>
      <c r="AC866" t="str">
        <f t="shared" si="13"/>
        <v/>
      </c>
    </row>
    <row r="867" spans="1:29">
      <c r="A867">
        <v>0</v>
      </c>
      <c r="B867">
        <v>0</v>
      </c>
      <c r="C867">
        <v>0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>
        <v>0</v>
      </c>
      <c r="T867">
        <v>0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0</v>
      </c>
      <c r="AC867" t="str">
        <f t="shared" si="13"/>
        <v/>
      </c>
    </row>
    <row r="868" spans="1:29">
      <c r="A868">
        <v>0</v>
      </c>
      <c r="B868">
        <v>0</v>
      </c>
      <c r="C868">
        <v>0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>
        <v>0</v>
      </c>
      <c r="T868">
        <v>0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0</v>
      </c>
      <c r="AC868" t="str">
        <f t="shared" si="13"/>
        <v/>
      </c>
    </row>
    <row r="869" spans="1:29">
      <c r="A869">
        <v>0</v>
      </c>
      <c r="B869">
        <v>0</v>
      </c>
      <c r="C869">
        <v>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>
        <v>0</v>
      </c>
      <c r="T869">
        <v>0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0</v>
      </c>
      <c r="AC869" t="str">
        <f t="shared" si="13"/>
        <v/>
      </c>
    </row>
    <row r="870" spans="1:29">
      <c r="A870">
        <v>0</v>
      </c>
      <c r="B870">
        <v>0</v>
      </c>
      <c r="C870">
        <v>0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>
        <v>0</v>
      </c>
      <c r="T870">
        <v>0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0</v>
      </c>
      <c r="AC870" t="str">
        <f t="shared" si="13"/>
        <v/>
      </c>
    </row>
    <row r="871" spans="1:29">
      <c r="A871">
        <v>0</v>
      </c>
      <c r="B871">
        <v>0</v>
      </c>
      <c r="C871">
        <v>0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>
        <v>0</v>
      </c>
      <c r="T871">
        <v>0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0</v>
      </c>
      <c r="AC871" t="str">
        <f t="shared" si="13"/>
        <v/>
      </c>
    </row>
    <row r="872" spans="1:29">
      <c r="A872">
        <v>0</v>
      </c>
      <c r="B872">
        <v>0</v>
      </c>
      <c r="C872">
        <v>0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0</v>
      </c>
      <c r="R872">
        <v>0</v>
      </c>
      <c r="S872">
        <v>0</v>
      </c>
      <c r="T872">
        <v>0</v>
      </c>
      <c r="U872">
        <v>0</v>
      </c>
      <c r="V872">
        <v>0</v>
      </c>
      <c r="W872">
        <v>0</v>
      </c>
      <c r="X872">
        <v>0</v>
      </c>
      <c r="Y872">
        <v>0</v>
      </c>
      <c r="Z872">
        <v>0</v>
      </c>
      <c r="AA872">
        <v>0</v>
      </c>
      <c r="AC872" t="str">
        <f t="shared" si="13"/>
        <v/>
      </c>
    </row>
    <row r="873" spans="1:29">
      <c r="A873">
        <v>0</v>
      </c>
      <c r="B873">
        <v>0</v>
      </c>
      <c r="C873">
        <v>0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>
        <v>0</v>
      </c>
      <c r="T873">
        <v>0</v>
      </c>
      <c r="U873">
        <v>0</v>
      </c>
      <c r="V873">
        <v>0</v>
      </c>
      <c r="W873">
        <v>0</v>
      </c>
      <c r="X873">
        <v>0</v>
      </c>
      <c r="Y873">
        <v>0</v>
      </c>
      <c r="Z873">
        <v>0</v>
      </c>
      <c r="AA873">
        <v>0</v>
      </c>
      <c r="AC873" t="str">
        <f t="shared" si="13"/>
        <v/>
      </c>
    </row>
    <row r="874" spans="1:29">
      <c r="A874">
        <v>0</v>
      </c>
      <c r="B874">
        <v>0</v>
      </c>
      <c r="C874">
        <v>0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>
        <v>0</v>
      </c>
      <c r="T874">
        <v>0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0</v>
      </c>
      <c r="AC874" t="str">
        <f t="shared" si="13"/>
        <v/>
      </c>
    </row>
    <row r="875" spans="1:29">
      <c r="A875">
        <v>0</v>
      </c>
      <c r="B875">
        <v>0</v>
      </c>
      <c r="C875">
        <v>0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0</v>
      </c>
      <c r="N875">
        <v>0</v>
      </c>
      <c r="O875">
        <v>0</v>
      </c>
      <c r="P875">
        <v>0</v>
      </c>
      <c r="Q875">
        <v>0</v>
      </c>
      <c r="R875">
        <v>0</v>
      </c>
      <c r="S875">
        <v>0</v>
      </c>
      <c r="T875">
        <v>0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0</v>
      </c>
      <c r="AC875" t="str">
        <f t="shared" si="13"/>
        <v/>
      </c>
    </row>
    <row r="876" spans="1:29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C876" t="str">
        <f t="shared" si="13"/>
        <v/>
      </c>
    </row>
    <row r="877" spans="1:29">
      <c r="A877">
        <v>0</v>
      </c>
      <c r="B877">
        <v>0</v>
      </c>
      <c r="C877">
        <v>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0</v>
      </c>
      <c r="R877">
        <v>0</v>
      </c>
      <c r="S877">
        <v>0</v>
      </c>
      <c r="T877">
        <v>0</v>
      </c>
      <c r="U877">
        <v>0</v>
      </c>
      <c r="V877">
        <v>0</v>
      </c>
      <c r="W877">
        <v>0</v>
      </c>
      <c r="X877">
        <v>0</v>
      </c>
      <c r="Y877">
        <v>0</v>
      </c>
      <c r="Z877">
        <v>0</v>
      </c>
      <c r="AA877">
        <v>0</v>
      </c>
      <c r="AC877" t="str">
        <f t="shared" si="13"/>
        <v/>
      </c>
    </row>
    <row r="878" spans="1:29">
      <c r="A878">
        <v>0</v>
      </c>
      <c r="B878">
        <v>0</v>
      </c>
      <c r="C878">
        <v>0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0</v>
      </c>
      <c r="R878">
        <v>0</v>
      </c>
      <c r="S878">
        <v>0</v>
      </c>
      <c r="T878">
        <v>0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0</v>
      </c>
      <c r="AC878" t="str">
        <f t="shared" si="13"/>
        <v/>
      </c>
    </row>
    <row r="879" spans="1:29">
      <c r="A879">
        <v>0</v>
      </c>
      <c r="B879">
        <v>0</v>
      </c>
      <c r="C879">
        <v>0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>
        <v>0</v>
      </c>
      <c r="T879">
        <v>0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0</v>
      </c>
      <c r="AC879" t="str">
        <f t="shared" si="13"/>
        <v/>
      </c>
    </row>
    <row r="880" spans="1:29">
      <c r="A880">
        <v>0</v>
      </c>
      <c r="B880">
        <v>0</v>
      </c>
      <c r="C880">
        <v>0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>
        <v>0</v>
      </c>
      <c r="T880">
        <v>0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0</v>
      </c>
      <c r="AC880" t="str">
        <f t="shared" si="13"/>
        <v/>
      </c>
    </row>
    <row r="881" spans="1:29">
      <c r="A881">
        <v>0</v>
      </c>
      <c r="B881">
        <v>0</v>
      </c>
      <c r="C881">
        <v>0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>
        <v>0</v>
      </c>
      <c r="T881">
        <v>0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0</v>
      </c>
      <c r="AC881" t="str">
        <f t="shared" si="13"/>
        <v/>
      </c>
    </row>
    <row r="882" spans="1:29">
      <c r="A882">
        <v>0</v>
      </c>
      <c r="B882">
        <v>0</v>
      </c>
      <c r="C882">
        <v>0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0</v>
      </c>
      <c r="R882">
        <v>0</v>
      </c>
      <c r="S882">
        <v>0</v>
      </c>
      <c r="T882">
        <v>0</v>
      </c>
      <c r="U882">
        <v>0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0</v>
      </c>
      <c r="AC882" t="str">
        <f t="shared" si="13"/>
        <v/>
      </c>
    </row>
    <row r="883" spans="1:29">
      <c r="A883">
        <v>0</v>
      </c>
      <c r="B883">
        <v>0</v>
      </c>
      <c r="C883">
        <v>0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0</v>
      </c>
      <c r="R883">
        <v>0</v>
      </c>
      <c r="S883">
        <v>0</v>
      </c>
      <c r="T883">
        <v>0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0</v>
      </c>
      <c r="AC883" t="str">
        <f t="shared" si="13"/>
        <v/>
      </c>
    </row>
    <row r="884" spans="1:29">
      <c r="A884">
        <v>0</v>
      </c>
      <c r="B884">
        <v>0</v>
      </c>
      <c r="C884">
        <v>0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>
        <v>0</v>
      </c>
      <c r="T884">
        <v>0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0</v>
      </c>
      <c r="AC884" t="str">
        <f t="shared" si="13"/>
        <v/>
      </c>
    </row>
    <row r="885" spans="1:29">
      <c r="A885">
        <v>0</v>
      </c>
      <c r="B885">
        <v>0</v>
      </c>
      <c r="C885">
        <v>0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0</v>
      </c>
      <c r="N885">
        <v>0</v>
      </c>
      <c r="O885">
        <v>0</v>
      </c>
      <c r="P885">
        <v>0</v>
      </c>
      <c r="Q885">
        <v>0</v>
      </c>
      <c r="R885">
        <v>0</v>
      </c>
      <c r="S885">
        <v>0</v>
      </c>
      <c r="T885">
        <v>0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0</v>
      </c>
      <c r="AC885" t="str">
        <f t="shared" si="13"/>
        <v/>
      </c>
    </row>
    <row r="886" spans="1:29">
      <c r="A886">
        <v>0</v>
      </c>
      <c r="B886">
        <v>0</v>
      </c>
      <c r="C886">
        <v>0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0</v>
      </c>
      <c r="R886">
        <v>0</v>
      </c>
      <c r="S886">
        <v>0</v>
      </c>
      <c r="T886">
        <v>0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0</v>
      </c>
      <c r="AC886" t="str">
        <f t="shared" si="13"/>
        <v/>
      </c>
    </row>
    <row r="887" spans="1:29">
      <c r="A887">
        <v>0</v>
      </c>
      <c r="B887">
        <v>0</v>
      </c>
      <c r="C887">
        <v>0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>
        <v>0</v>
      </c>
      <c r="T887">
        <v>0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0</v>
      </c>
      <c r="AC887" t="str">
        <f t="shared" si="13"/>
        <v/>
      </c>
    </row>
    <row r="888" spans="1:29">
      <c r="A888">
        <v>0</v>
      </c>
      <c r="B888">
        <v>0</v>
      </c>
      <c r="C888">
        <v>0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>
        <v>0</v>
      </c>
      <c r="T888">
        <v>0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0</v>
      </c>
      <c r="AC888" t="str">
        <f t="shared" si="13"/>
        <v/>
      </c>
    </row>
    <row r="889" spans="1:29">
      <c r="A889">
        <v>0</v>
      </c>
      <c r="B889">
        <v>0</v>
      </c>
      <c r="C889">
        <v>0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>
        <v>0</v>
      </c>
      <c r="T889">
        <v>0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0</v>
      </c>
      <c r="AC889" t="str">
        <f t="shared" si="13"/>
        <v/>
      </c>
    </row>
    <row r="890" spans="1:29">
      <c r="A890">
        <v>0</v>
      </c>
      <c r="B890">
        <v>0</v>
      </c>
      <c r="C890">
        <v>0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>
        <v>0</v>
      </c>
      <c r="T890">
        <v>0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0</v>
      </c>
      <c r="AC890" t="str">
        <f t="shared" si="13"/>
        <v/>
      </c>
    </row>
    <row r="891" spans="1:29">
      <c r="A891">
        <v>0</v>
      </c>
      <c r="B891">
        <v>0</v>
      </c>
      <c r="C891">
        <v>0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0</v>
      </c>
      <c r="R891">
        <v>0</v>
      </c>
      <c r="S891">
        <v>0</v>
      </c>
      <c r="T891">
        <v>0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0</v>
      </c>
      <c r="AC891" t="str">
        <f t="shared" si="13"/>
        <v/>
      </c>
    </row>
    <row r="892" spans="1:29">
      <c r="A892">
        <v>0</v>
      </c>
      <c r="B892">
        <v>0</v>
      </c>
      <c r="C892">
        <v>0</v>
      </c>
      <c r="D892">
        <v>0</v>
      </c>
      <c r="E892">
        <v>0</v>
      </c>
      <c r="F892">
        <v>0</v>
      </c>
      <c r="G892">
        <v>0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0</v>
      </c>
      <c r="R892">
        <v>0</v>
      </c>
      <c r="S892">
        <v>0</v>
      </c>
      <c r="T892">
        <v>0</v>
      </c>
      <c r="U892">
        <v>0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0</v>
      </c>
      <c r="AC892" t="str">
        <f t="shared" si="13"/>
        <v/>
      </c>
    </row>
    <row r="893" spans="1:29">
      <c r="A893">
        <v>0</v>
      </c>
      <c r="B893">
        <v>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>
        <v>0</v>
      </c>
      <c r="T893">
        <v>0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0</v>
      </c>
      <c r="AC893" t="str">
        <f t="shared" si="13"/>
        <v/>
      </c>
    </row>
    <row r="894" spans="1:29">
      <c r="A894">
        <v>0</v>
      </c>
      <c r="B894">
        <v>0</v>
      </c>
      <c r="C894">
        <v>0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0</v>
      </c>
      <c r="R894">
        <v>0</v>
      </c>
      <c r="S894">
        <v>0</v>
      </c>
      <c r="T894">
        <v>0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0</v>
      </c>
      <c r="AC894" t="str">
        <f t="shared" si="13"/>
        <v/>
      </c>
    </row>
    <row r="895" spans="1:29">
      <c r="A895">
        <v>0</v>
      </c>
      <c r="B895">
        <v>0</v>
      </c>
      <c r="C895">
        <v>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>
        <v>0</v>
      </c>
      <c r="T895">
        <v>0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0</v>
      </c>
      <c r="AC895" t="str">
        <f t="shared" si="13"/>
        <v/>
      </c>
    </row>
    <row r="896" spans="1:29">
      <c r="A896">
        <v>0</v>
      </c>
      <c r="B896">
        <v>0</v>
      </c>
      <c r="C896">
        <v>0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>
        <v>0</v>
      </c>
      <c r="T896">
        <v>0</v>
      </c>
      <c r="U896">
        <v>0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0</v>
      </c>
      <c r="AC896" t="str">
        <f t="shared" si="13"/>
        <v/>
      </c>
    </row>
    <row r="897" spans="1:29">
      <c r="A897">
        <v>0</v>
      </c>
      <c r="B897">
        <v>0</v>
      </c>
      <c r="C897">
        <v>0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>
        <v>0</v>
      </c>
      <c r="T897">
        <v>0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0</v>
      </c>
      <c r="AC897" t="str">
        <f t="shared" si="13"/>
        <v/>
      </c>
    </row>
    <row r="898" spans="1:29">
      <c r="A898">
        <v>0</v>
      </c>
      <c r="B898">
        <v>0</v>
      </c>
      <c r="C898">
        <v>0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>
        <v>0</v>
      </c>
      <c r="T898">
        <v>0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0</v>
      </c>
      <c r="AC898" t="str">
        <f t="shared" si="13"/>
        <v/>
      </c>
    </row>
    <row r="899" spans="1:29">
      <c r="A899">
        <v>0</v>
      </c>
      <c r="B899">
        <v>0</v>
      </c>
      <c r="C899">
        <v>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0</v>
      </c>
      <c r="R899">
        <v>0</v>
      </c>
      <c r="S899">
        <v>0</v>
      </c>
      <c r="T899">
        <v>0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0</v>
      </c>
      <c r="AC899" t="str">
        <f t="shared" ref="AC899:AC962" si="14">IF(ISNUMBER(SEARCH("Successful",F899)),
   "Successful",
   IF(ISNUMBER(SEARCH("Failed",F899)),"Failed",""))</f>
        <v/>
      </c>
    </row>
    <row r="900" spans="1:29">
      <c r="A900">
        <v>0</v>
      </c>
      <c r="B900">
        <v>0</v>
      </c>
      <c r="C900">
        <v>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>
        <v>0</v>
      </c>
      <c r="T900">
        <v>0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0</v>
      </c>
      <c r="AC900" t="str">
        <f t="shared" si="14"/>
        <v/>
      </c>
    </row>
    <row r="901" spans="1:29">
      <c r="A901">
        <v>0</v>
      </c>
      <c r="B901">
        <v>0</v>
      </c>
      <c r="C901">
        <v>0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>
        <v>0</v>
      </c>
      <c r="T901">
        <v>0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0</v>
      </c>
      <c r="AC901" t="str">
        <f t="shared" si="14"/>
        <v/>
      </c>
    </row>
    <row r="902" spans="1:29">
      <c r="A902">
        <v>0</v>
      </c>
      <c r="B902">
        <v>0</v>
      </c>
      <c r="C902">
        <v>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>
        <v>0</v>
      </c>
      <c r="T902">
        <v>0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0</v>
      </c>
      <c r="AC902" t="str">
        <f t="shared" si="14"/>
        <v/>
      </c>
    </row>
    <row r="903" spans="1:29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C903" t="str">
        <f t="shared" si="14"/>
        <v/>
      </c>
    </row>
    <row r="904" spans="1:29">
      <c r="A904">
        <v>0</v>
      </c>
      <c r="B904">
        <v>0</v>
      </c>
      <c r="C904">
        <v>0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>
        <v>0</v>
      </c>
      <c r="T904">
        <v>0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0</v>
      </c>
      <c r="AC904" t="str">
        <f t="shared" si="14"/>
        <v/>
      </c>
    </row>
    <row r="905" spans="1:29">
      <c r="A905">
        <v>0</v>
      </c>
      <c r="B905">
        <v>0</v>
      </c>
      <c r="C905">
        <v>0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>
        <v>0</v>
      </c>
      <c r="T905">
        <v>0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0</v>
      </c>
      <c r="AC905" t="str">
        <f t="shared" si="14"/>
        <v/>
      </c>
    </row>
    <row r="906" spans="1:29">
      <c r="A906">
        <v>0</v>
      </c>
      <c r="B906">
        <v>0</v>
      </c>
      <c r="C906">
        <v>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>
        <v>0</v>
      </c>
      <c r="T906">
        <v>0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0</v>
      </c>
      <c r="AC906" t="str">
        <f t="shared" si="14"/>
        <v/>
      </c>
    </row>
    <row r="907" spans="1:29">
      <c r="A907">
        <v>0</v>
      </c>
      <c r="B907">
        <v>0</v>
      </c>
      <c r="C907">
        <v>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>
        <v>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0</v>
      </c>
      <c r="AC907" t="str">
        <f t="shared" si="14"/>
        <v/>
      </c>
    </row>
    <row r="908" spans="1:29">
      <c r="A908">
        <v>0</v>
      </c>
      <c r="B908">
        <v>0</v>
      </c>
      <c r="C908">
        <v>0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>
        <v>0</v>
      </c>
      <c r="T908">
        <v>0</v>
      </c>
      <c r="U908">
        <v>0</v>
      </c>
      <c r="V908">
        <v>0</v>
      </c>
      <c r="W908">
        <v>0</v>
      </c>
      <c r="X908">
        <v>0</v>
      </c>
      <c r="Y908">
        <v>0</v>
      </c>
      <c r="Z908">
        <v>0</v>
      </c>
      <c r="AA908">
        <v>0</v>
      </c>
      <c r="AC908" t="str">
        <f t="shared" si="14"/>
        <v/>
      </c>
    </row>
    <row r="909" spans="1:29">
      <c r="A909">
        <v>0</v>
      </c>
      <c r="B909">
        <v>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0</v>
      </c>
      <c r="R909">
        <v>0</v>
      </c>
      <c r="S909">
        <v>0</v>
      </c>
      <c r="T909">
        <v>0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0</v>
      </c>
      <c r="AC909" t="str">
        <f t="shared" si="14"/>
        <v/>
      </c>
    </row>
    <row r="910" spans="1:29">
      <c r="A910">
        <v>0</v>
      </c>
      <c r="B910">
        <v>0</v>
      </c>
      <c r="C910">
        <v>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>
        <v>0</v>
      </c>
      <c r="T910">
        <v>0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0</v>
      </c>
      <c r="AC910" t="str">
        <f t="shared" si="14"/>
        <v/>
      </c>
    </row>
    <row r="911" spans="1:29">
      <c r="A911">
        <v>0</v>
      </c>
      <c r="B911">
        <v>0</v>
      </c>
      <c r="C911">
        <v>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0</v>
      </c>
      <c r="N911">
        <v>0</v>
      </c>
      <c r="O911">
        <v>0</v>
      </c>
      <c r="P911">
        <v>0</v>
      </c>
      <c r="Q911">
        <v>0</v>
      </c>
      <c r="R911">
        <v>0</v>
      </c>
      <c r="S911">
        <v>0</v>
      </c>
      <c r="T911">
        <v>0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0</v>
      </c>
      <c r="AC911" t="str">
        <f t="shared" si="14"/>
        <v/>
      </c>
    </row>
    <row r="912" spans="1:29">
      <c r="A912">
        <v>0</v>
      </c>
      <c r="B912">
        <v>0</v>
      </c>
      <c r="C912">
        <v>0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>
        <v>0</v>
      </c>
      <c r="T912">
        <v>0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0</v>
      </c>
      <c r="AC912" t="str">
        <f t="shared" si="14"/>
        <v/>
      </c>
    </row>
    <row r="913" spans="1:29">
      <c r="A913">
        <v>0</v>
      </c>
      <c r="B913">
        <v>0</v>
      </c>
      <c r="C913">
        <v>0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0</v>
      </c>
      <c r="R913">
        <v>0</v>
      </c>
      <c r="S913">
        <v>0</v>
      </c>
      <c r="T913">
        <v>0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0</v>
      </c>
      <c r="AC913" t="str">
        <f t="shared" si="14"/>
        <v/>
      </c>
    </row>
    <row r="914" spans="1:29">
      <c r="A914">
        <v>0</v>
      </c>
      <c r="B914">
        <v>0</v>
      </c>
      <c r="C914">
        <v>0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>
        <v>0</v>
      </c>
      <c r="T914">
        <v>0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0</v>
      </c>
      <c r="AC914" t="str">
        <f t="shared" si="14"/>
        <v/>
      </c>
    </row>
    <row r="915" spans="1:29">
      <c r="A915">
        <v>0</v>
      </c>
      <c r="B915">
        <v>0</v>
      </c>
      <c r="C915">
        <v>0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>
        <v>0</v>
      </c>
      <c r="T915">
        <v>0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0</v>
      </c>
      <c r="AC915" t="str">
        <f t="shared" si="14"/>
        <v/>
      </c>
    </row>
    <row r="916" spans="1:29">
      <c r="A916">
        <v>0</v>
      </c>
      <c r="B916">
        <v>0</v>
      </c>
      <c r="C916">
        <v>0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0</v>
      </c>
      <c r="N916">
        <v>0</v>
      </c>
      <c r="O916">
        <v>0</v>
      </c>
      <c r="P916">
        <v>0</v>
      </c>
      <c r="Q916">
        <v>0</v>
      </c>
      <c r="R916">
        <v>0</v>
      </c>
      <c r="S916">
        <v>0</v>
      </c>
      <c r="T916">
        <v>0</v>
      </c>
      <c r="U916">
        <v>0</v>
      </c>
      <c r="V916">
        <v>0</v>
      </c>
      <c r="W916">
        <v>0</v>
      </c>
      <c r="X916">
        <v>0</v>
      </c>
      <c r="Y916">
        <v>0</v>
      </c>
      <c r="Z916">
        <v>0</v>
      </c>
      <c r="AA916">
        <v>0</v>
      </c>
      <c r="AC916" t="str">
        <f t="shared" si="14"/>
        <v/>
      </c>
    </row>
    <row r="917" spans="1:29">
      <c r="A917">
        <v>0</v>
      </c>
      <c r="B917">
        <v>0</v>
      </c>
      <c r="C917">
        <v>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>
        <v>0</v>
      </c>
      <c r="T917">
        <v>0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0</v>
      </c>
      <c r="AC917" t="str">
        <f t="shared" si="14"/>
        <v/>
      </c>
    </row>
    <row r="918" spans="1:29">
      <c r="A918">
        <v>0</v>
      </c>
      <c r="B918">
        <v>0</v>
      </c>
      <c r="C918">
        <v>0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>
        <v>0</v>
      </c>
      <c r="T918">
        <v>0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0</v>
      </c>
      <c r="AC918" t="str">
        <f t="shared" si="14"/>
        <v/>
      </c>
    </row>
    <row r="919" spans="1:29">
      <c r="A919">
        <v>0</v>
      </c>
      <c r="B919">
        <v>0</v>
      </c>
      <c r="C919">
        <v>0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0</v>
      </c>
      <c r="R919">
        <v>0</v>
      </c>
      <c r="S919">
        <v>0</v>
      </c>
      <c r="T919">
        <v>0</v>
      </c>
      <c r="U919">
        <v>0</v>
      </c>
      <c r="V919">
        <v>0</v>
      </c>
      <c r="W919">
        <v>0</v>
      </c>
      <c r="X919">
        <v>0</v>
      </c>
      <c r="Y919">
        <v>0</v>
      </c>
      <c r="Z919">
        <v>0</v>
      </c>
      <c r="AA919">
        <v>0</v>
      </c>
      <c r="AC919" t="str">
        <f t="shared" si="14"/>
        <v/>
      </c>
    </row>
    <row r="920" spans="1:29">
      <c r="A920">
        <v>0</v>
      </c>
      <c r="B920">
        <v>0</v>
      </c>
      <c r="C920">
        <v>0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>
        <v>0</v>
      </c>
      <c r="T920">
        <v>0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0</v>
      </c>
      <c r="AC920" t="str">
        <f t="shared" si="14"/>
        <v/>
      </c>
    </row>
    <row r="921" spans="1:29">
      <c r="A921">
        <v>0</v>
      </c>
      <c r="B921">
        <v>0</v>
      </c>
      <c r="C921">
        <v>0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>
        <v>0</v>
      </c>
      <c r="T921">
        <v>0</v>
      </c>
      <c r="U921">
        <v>0</v>
      </c>
      <c r="V921">
        <v>0</v>
      </c>
      <c r="W921">
        <v>0</v>
      </c>
      <c r="X921">
        <v>0</v>
      </c>
      <c r="Y921">
        <v>0</v>
      </c>
      <c r="Z921">
        <v>0</v>
      </c>
      <c r="AA921">
        <v>0</v>
      </c>
      <c r="AC921" t="str">
        <f t="shared" si="14"/>
        <v/>
      </c>
    </row>
    <row r="922" spans="1:29">
      <c r="A922">
        <v>0</v>
      </c>
      <c r="B922">
        <v>0</v>
      </c>
      <c r="C922">
        <v>0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>
        <v>0</v>
      </c>
      <c r="T922">
        <v>0</v>
      </c>
      <c r="U922">
        <v>0</v>
      </c>
      <c r="V922">
        <v>0</v>
      </c>
      <c r="W922">
        <v>0</v>
      </c>
      <c r="X922">
        <v>0</v>
      </c>
      <c r="Y922">
        <v>0</v>
      </c>
      <c r="Z922">
        <v>0</v>
      </c>
      <c r="AA922">
        <v>0</v>
      </c>
      <c r="AC922" t="str">
        <f t="shared" si="14"/>
        <v/>
      </c>
    </row>
    <row r="923" spans="1:29">
      <c r="A923">
        <v>0</v>
      </c>
      <c r="B923">
        <v>0</v>
      </c>
      <c r="C923">
        <v>0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>
        <v>0</v>
      </c>
      <c r="T923">
        <v>0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0</v>
      </c>
      <c r="AC923" t="str">
        <f t="shared" si="14"/>
        <v/>
      </c>
    </row>
    <row r="924" spans="1:29">
      <c r="A924">
        <v>0</v>
      </c>
      <c r="B924">
        <v>0</v>
      </c>
      <c r="C924">
        <v>0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>
        <v>0</v>
      </c>
      <c r="T924">
        <v>0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0</v>
      </c>
      <c r="AC924" t="str">
        <f t="shared" si="14"/>
        <v/>
      </c>
    </row>
    <row r="925" spans="1:29">
      <c r="A925">
        <v>0</v>
      </c>
      <c r="B925">
        <v>0</v>
      </c>
      <c r="C925">
        <v>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>
        <v>0</v>
      </c>
      <c r="T925">
        <v>0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0</v>
      </c>
      <c r="AC925" t="str">
        <f t="shared" si="14"/>
        <v/>
      </c>
    </row>
    <row r="926" spans="1:29">
      <c r="A926">
        <v>0</v>
      </c>
      <c r="B926">
        <v>0</v>
      </c>
      <c r="C926">
        <v>0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>
        <v>0</v>
      </c>
      <c r="T926">
        <v>0</v>
      </c>
      <c r="U926">
        <v>0</v>
      </c>
      <c r="V926">
        <v>0</v>
      </c>
      <c r="W926">
        <v>0</v>
      </c>
      <c r="X926">
        <v>0</v>
      </c>
      <c r="Y926">
        <v>0</v>
      </c>
      <c r="Z926">
        <v>0</v>
      </c>
      <c r="AA926">
        <v>0</v>
      </c>
      <c r="AC926" t="str">
        <f t="shared" si="14"/>
        <v/>
      </c>
    </row>
    <row r="927" spans="1:29">
      <c r="A927">
        <v>0</v>
      </c>
      <c r="B927">
        <v>0</v>
      </c>
      <c r="C927">
        <v>0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>
        <v>0</v>
      </c>
      <c r="T927">
        <v>0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0</v>
      </c>
      <c r="AC927" t="str">
        <f t="shared" si="14"/>
        <v/>
      </c>
    </row>
    <row r="928" spans="1:29">
      <c r="A928">
        <v>0</v>
      </c>
      <c r="B928">
        <v>0</v>
      </c>
      <c r="C928">
        <v>0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>
        <v>0</v>
      </c>
      <c r="T928">
        <v>0</v>
      </c>
      <c r="U928">
        <v>0</v>
      </c>
      <c r="V928">
        <v>0</v>
      </c>
      <c r="W928">
        <v>0</v>
      </c>
      <c r="X928">
        <v>0</v>
      </c>
      <c r="Y928">
        <v>0</v>
      </c>
      <c r="Z928">
        <v>0</v>
      </c>
      <c r="AA928">
        <v>0</v>
      </c>
      <c r="AC928" t="str">
        <f t="shared" si="14"/>
        <v/>
      </c>
    </row>
    <row r="929" spans="1:29">
      <c r="A929">
        <v>0</v>
      </c>
      <c r="B929">
        <v>0</v>
      </c>
      <c r="C929">
        <v>0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>
        <v>0</v>
      </c>
      <c r="T929">
        <v>0</v>
      </c>
      <c r="U929">
        <v>0</v>
      </c>
      <c r="V929">
        <v>0</v>
      </c>
      <c r="W929">
        <v>0</v>
      </c>
      <c r="X929">
        <v>0</v>
      </c>
      <c r="Y929">
        <v>0</v>
      </c>
      <c r="Z929">
        <v>0</v>
      </c>
      <c r="AA929">
        <v>0</v>
      </c>
      <c r="AC929" t="str">
        <f t="shared" si="14"/>
        <v/>
      </c>
    </row>
    <row r="930" spans="1:29">
      <c r="A930">
        <v>0</v>
      </c>
      <c r="B930">
        <v>0</v>
      </c>
      <c r="C930">
        <v>0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>
        <v>0</v>
      </c>
      <c r="T930">
        <v>0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0</v>
      </c>
      <c r="AC930" t="str">
        <f t="shared" si="14"/>
        <v/>
      </c>
    </row>
    <row r="931" spans="1:29">
      <c r="A931">
        <v>0</v>
      </c>
      <c r="B931">
        <v>0</v>
      </c>
      <c r="C931">
        <v>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>
        <v>0</v>
      </c>
      <c r="T931">
        <v>0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0</v>
      </c>
      <c r="AC931" t="str">
        <f t="shared" si="14"/>
        <v/>
      </c>
    </row>
    <row r="932" spans="1:29">
      <c r="A932">
        <v>0</v>
      </c>
      <c r="B932">
        <v>0</v>
      </c>
      <c r="C932">
        <v>0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0</v>
      </c>
      <c r="N932">
        <v>0</v>
      </c>
      <c r="O932">
        <v>0</v>
      </c>
      <c r="P932">
        <v>0</v>
      </c>
      <c r="Q932">
        <v>0</v>
      </c>
      <c r="R932">
        <v>0</v>
      </c>
      <c r="S932">
        <v>0</v>
      </c>
      <c r="T932">
        <v>0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0</v>
      </c>
      <c r="AC932" t="str">
        <f t="shared" si="14"/>
        <v/>
      </c>
    </row>
    <row r="933" spans="1:29">
      <c r="A933">
        <v>0</v>
      </c>
      <c r="B933">
        <v>0</v>
      </c>
      <c r="C933">
        <v>0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>
        <v>0</v>
      </c>
      <c r="T933">
        <v>0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0</v>
      </c>
      <c r="AC933" t="str">
        <f t="shared" si="14"/>
        <v/>
      </c>
    </row>
    <row r="934" spans="1:29">
      <c r="A934">
        <v>0</v>
      </c>
      <c r="B934">
        <v>0</v>
      </c>
      <c r="C934">
        <v>0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>
        <v>0</v>
      </c>
      <c r="T934">
        <v>0</v>
      </c>
      <c r="U934">
        <v>0</v>
      </c>
      <c r="V934">
        <v>0</v>
      </c>
      <c r="W934">
        <v>0</v>
      </c>
      <c r="X934">
        <v>0</v>
      </c>
      <c r="Y934">
        <v>0</v>
      </c>
      <c r="Z934">
        <v>0</v>
      </c>
      <c r="AA934">
        <v>0</v>
      </c>
      <c r="AC934" t="str">
        <f t="shared" si="14"/>
        <v/>
      </c>
    </row>
    <row r="935" spans="1:29">
      <c r="A935">
        <v>0</v>
      </c>
      <c r="B935">
        <v>0</v>
      </c>
      <c r="C935">
        <v>0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>
        <v>0</v>
      </c>
      <c r="T935">
        <v>0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0</v>
      </c>
      <c r="AC935" t="str">
        <f t="shared" si="14"/>
        <v/>
      </c>
    </row>
    <row r="936" spans="1:29">
      <c r="A936">
        <v>0</v>
      </c>
      <c r="B936">
        <v>0</v>
      </c>
      <c r="C936">
        <v>0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0</v>
      </c>
      <c r="R936">
        <v>0</v>
      </c>
      <c r="S936">
        <v>0</v>
      </c>
      <c r="T936">
        <v>0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0</v>
      </c>
      <c r="AC936" t="str">
        <f t="shared" si="14"/>
        <v/>
      </c>
    </row>
    <row r="937" spans="1:29">
      <c r="A937">
        <v>0</v>
      </c>
      <c r="B937">
        <v>0</v>
      </c>
      <c r="C937">
        <v>0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0</v>
      </c>
      <c r="N937">
        <v>0</v>
      </c>
      <c r="O937">
        <v>0</v>
      </c>
      <c r="P937">
        <v>0</v>
      </c>
      <c r="Q937">
        <v>0</v>
      </c>
      <c r="R937">
        <v>0</v>
      </c>
      <c r="S937">
        <v>0</v>
      </c>
      <c r="T937">
        <v>0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0</v>
      </c>
      <c r="AC937" t="str">
        <f t="shared" si="14"/>
        <v/>
      </c>
    </row>
    <row r="938" spans="1:29">
      <c r="A938">
        <v>0</v>
      </c>
      <c r="B938">
        <v>0</v>
      </c>
      <c r="C938">
        <v>0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>
        <v>0</v>
      </c>
      <c r="T938">
        <v>0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0</v>
      </c>
      <c r="AC938" t="str">
        <f t="shared" si="14"/>
        <v/>
      </c>
    </row>
    <row r="939" spans="1:29">
      <c r="A939">
        <v>0</v>
      </c>
      <c r="B939">
        <v>0</v>
      </c>
      <c r="C939">
        <v>0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>
        <v>0</v>
      </c>
      <c r="T939">
        <v>0</v>
      </c>
      <c r="U939">
        <v>0</v>
      </c>
      <c r="V939">
        <v>0</v>
      </c>
      <c r="W939">
        <v>0</v>
      </c>
      <c r="X939">
        <v>0</v>
      </c>
      <c r="Y939">
        <v>0</v>
      </c>
      <c r="Z939">
        <v>0</v>
      </c>
      <c r="AA939">
        <v>0</v>
      </c>
      <c r="AC939" t="str">
        <f t="shared" si="14"/>
        <v/>
      </c>
    </row>
    <row r="940" spans="1:29">
      <c r="A940">
        <v>0</v>
      </c>
      <c r="B940">
        <v>0</v>
      </c>
      <c r="C940">
        <v>0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>
        <v>0</v>
      </c>
      <c r="T940">
        <v>0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0</v>
      </c>
      <c r="AC940" t="str">
        <f t="shared" si="14"/>
        <v/>
      </c>
    </row>
    <row r="941" spans="1:29">
      <c r="A941">
        <v>0</v>
      </c>
      <c r="B941">
        <v>0</v>
      </c>
      <c r="C941">
        <v>0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0</v>
      </c>
      <c r="R941">
        <v>0</v>
      </c>
      <c r="S941">
        <v>0</v>
      </c>
      <c r="T941">
        <v>0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0</v>
      </c>
      <c r="AC941" t="str">
        <f t="shared" si="14"/>
        <v/>
      </c>
    </row>
    <row r="942" spans="1:29">
      <c r="A942">
        <v>0</v>
      </c>
      <c r="B942">
        <v>0</v>
      </c>
      <c r="C942">
        <v>0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>
        <v>0</v>
      </c>
      <c r="T942">
        <v>0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0</v>
      </c>
      <c r="AC942" t="str">
        <f t="shared" si="14"/>
        <v/>
      </c>
    </row>
    <row r="943" spans="1:29">
      <c r="A943">
        <v>0</v>
      </c>
      <c r="B943">
        <v>0</v>
      </c>
      <c r="C943">
        <v>0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>
        <v>0</v>
      </c>
      <c r="T943">
        <v>0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0</v>
      </c>
      <c r="AC943" t="str">
        <f t="shared" si="14"/>
        <v/>
      </c>
    </row>
    <row r="944" spans="1:29">
      <c r="A944">
        <v>0</v>
      </c>
      <c r="B944">
        <v>0</v>
      </c>
      <c r="C944">
        <v>0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>
        <v>0</v>
      </c>
      <c r="T944">
        <v>0</v>
      </c>
      <c r="U944">
        <v>0</v>
      </c>
      <c r="V944">
        <v>0</v>
      </c>
      <c r="W944">
        <v>0</v>
      </c>
      <c r="X944">
        <v>0</v>
      </c>
      <c r="Y944">
        <v>0</v>
      </c>
      <c r="Z944">
        <v>0</v>
      </c>
      <c r="AA944">
        <v>0</v>
      </c>
      <c r="AC944" t="str">
        <f t="shared" si="14"/>
        <v/>
      </c>
    </row>
    <row r="945" spans="1:29">
      <c r="A945">
        <v>0</v>
      </c>
      <c r="B945">
        <v>0</v>
      </c>
      <c r="C945">
        <v>0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0</v>
      </c>
      <c r="R945">
        <v>0</v>
      </c>
      <c r="S945">
        <v>0</v>
      </c>
      <c r="T945">
        <v>0</v>
      </c>
      <c r="U945">
        <v>0</v>
      </c>
      <c r="V945">
        <v>0</v>
      </c>
      <c r="W945">
        <v>0</v>
      </c>
      <c r="X945">
        <v>0</v>
      </c>
      <c r="Y945">
        <v>0</v>
      </c>
      <c r="Z945">
        <v>0</v>
      </c>
      <c r="AA945">
        <v>0</v>
      </c>
      <c r="AC945" t="str">
        <f t="shared" si="14"/>
        <v/>
      </c>
    </row>
    <row r="946" spans="1:29">
      <c r="A946">
        <v>0</v>
      </c>
      <c r="B946">
        <v>0</v>
      </c>
      <c r="C946">
        <v>0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0</v>
      </c>
      <c r="N946">
        <v>0</v>
      </c>
      <c r="O946">
        <v>0</v>
      </c>
      <c r="P946">
        <v>0</v>
      </c>
      <c r="Q946">
        <v>0</v>
      </c>
      <c r="R946">
        <v>0</v>
      </c>
      <c r="S946">
        <v>0</v>
      </c>
      <c r="T946">
        <v>0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0</v>
      </c>
      <c r="AC946" t="str">
        <f t="shared" si="14"/>
        <v/>
      </c>
    </row>
    <row r="947" spans="1:29">
      <c r="A947">
        <v>0</v>
      </c>
      <c r="B947">
        <v>0</v>
      </c>
      <c r="C947">
        <v>0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>
        <v>0</v>
      </c>
      <c r="T947">
        <v>0</v>
      </c>
      <c r="U947">
        <v>0</v>
      </c>
      <c r="V947">
        <v>0</v>
      </c>
      <c r="W947">
        <v>0</v>
      </c>
      <c r="X947">
        <v>0</v>
      </c>
      <c r="Y947">
        <v>0</v>
      </c>
      <c r="Z947">
        <v>0</v>
      </c>
      <c r="AA947">
        <v>0</v>
      </c>
      <c r="AC947" t="str">
        <f t="shared" si="14"/>
        <v/>
      </c>
    </row>
    <row r="948" spans="1:29">
      <c r="A948">
        <v>0</v>
      </c>
      <c r="B948">
        <v>0</v>
      </c>
      <c r="C948">
        <v>0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>
        <v>0</v>
      </c>
      <c r="T948">
        <v>0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0</v>
      </c>
      <c r="AC948" t="str">
        <f t="shared" si="14"/>
        <v/>
      </c>
    </row>
    <row r="949" spans="1:29">
      <c r="A949">
        <v>0</v>
      </c>
      <c r="B949">
        <v>0</v>
      </c>
      <c r="C949">
        <v>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0</v>
      </c>
      <c r="N949">
        <v>0</v>
      </c>
      <c r="O949">
        <v>0</v>
      </c>
      <c r="P949">
        <v>0</v>
      </c>
      <c r="Q949">
        <v>0</v>
      </c>
      <c r="R949">
        <v>0</v>
      </c>
      <c r="S949">
        <v>0</v>
      </c>
      <c r="T949">
        <v>0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0</v>
      </c>
      <c r="AC949" t="str">
        <f t="shared" si="14"/>
        <v/>
      </c>
    </row>
    <row r="950" spans="1:29">
      <c r="A950">
        <v>0</v>
      </c>
      <c r="B950">
        <v>0</v>
      </c>
      <c r="C950">
        <v>0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0</v>
      </c>
      <c r="R950">
        <v>0</v>
      </c>
      <c r="S950">
        <v>0</v>
      </c>
      <c r="T950">
        <v>0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0</v>
      </c>
      <c r="AC950" t="str">
        <f t="shared" si="14"/>
        <v/>
      </c>
    </row>
    <row r="951" spans="1:29">
      <c r="A951">
        <v>0</v>
      </c>
      <c r="B951">
        <v>0</v>
      </c>
      <c r="C951">
        <v>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>
        <v>0</v>
      </c>
      <c r="T951">
        <v>0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0</v>
      </c>
      <c r="AC951" t="str">
        <f t="shared" si="14"/>
        <v/>
      </c>
    </row>
    <row r="952" spans="1:29">
      <c r="A952">
        <v>0</v>
      </c>
      <c r="B952">
        <v>0</v>
      </c>
      <c r="C952">
        <v>0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>
        <v>0</v>
      </c>
      <c r="T952">
        <v>0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0</v>
      </c>
      <c r="AC952" t="str">
        <f t="shared" si="14"/>
        <v/>
      </c>
    </row>
    <row r="953" spans="1:29">
      <c r="A953">
        <v>0</v>
      </c>
      <c r="B953">
        <v>0</v>
      </c>
      <c r="C953">
        <v>0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>
        <v>0</v>
      </c>
      <c r="T953">
        <v>0</v>
      </c>
      <c r="U953">
        <v>0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0</v>
      </c>
      <c r="AC953" t="str">
        <f t="shared" si="14"/>
        <v/>
      </c>
    </row>
    <row r="954" spans="1:29">
      <c r="A954">
        <v>0</v>
      </c>
      <c r="B954">
        <v>0</v>
      </c>
      <c r="C954">
        <v>0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>
        <v>0</v>
      </c>
      <c r="T954">
        <v>0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0</v>
      </c>
      <c r="AC954" t="str">
        <f t="shared" si="14"/>
        <v/>
      </c>
    </row>
    <row r="955" spans="1:29">
      <c r="A955">
        <v>0</v>
      </c>
      <c r="B955">
        <v>0</v>
      </c>
      <c r="C955">
        <v>0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>
        <v>0</v>
      </c>
      <c r="T955">
        <v>0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0</v>
      </c>
      <c r="AC955" t="str">
        <f t="shared" si="14"/>
        <v/>
      </c>
    </row>
    <row r="956" spans="1:29">
      <c r="A956">
        <v>0</v>
      </c>
      <c r="B956">
        <v>0</v>
      </c>
      <c r="C956">
        <v>0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0</v>
      </c>
      <c r="R956">
        <v>0</v>
      </c>
      <c r="S956">
        <v>0</v>
      </c>
      <c r="T956">
        <v>0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0</v>
      </c>
      <c r="AC956" t="str">
        <f t="shared" si="14"/>
        <v/>
      </c>
    </row>
    <row r="957" spans="1:29">
      <c r="A957">
        <v>0</v>
      </c>
      <c r="B957">
        <v>0</v>
      </c>
      <c r="C957">
        <v>0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>
        <v>0</v>
      </c>
      <c r="T957">
        <v>0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0</v>
      </c>
      <c r="AC957" t="str">
        <f t="shared" si="14"/>
        <v/>
      </c>
    </row>
    <row r="958" spans="1:29">
      <c r="A958">
        <v>0</v>
      </c>
      <c r="B958">
        <v>0</v>
      </c>
      <c r="C958">
        <v>0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>
        <v>0</v>
      </c>
      <c r="T958">
        <v>0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0</v>
      </c>
      <c r="AC958" t="str">
        <f t="shared" si="14"/>
        <v/>
      </c>
    </row>
    <row r="959" spans="1:29">
      <c r="A959">
        <v>0</v>
      </c>
      <c r="B959">
        <v>0</v>
      </c>
      <c r="C959">
        <v>0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>
        <v>0</v>
      </c>
      <c r="T959">
        <v>0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0</v>
      </c>
      <c r="AC959" t="str">
        <f t="shared" si="14"/>
        <v/>
      </c>
    </row>
    <row r="960" spans="1:29">
      <c r="A960">
        <v>0</v>
      </c>
      <c r="B960">
        <v>0</v>
      </c>
      <c r="C960">
        <v>0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>
        <v>0</v>
      </c>
      <c r="T960">
        <v>0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0</v>
      </c>
      <c r="AC960" t="str">
        <f t="shared" si="14"/>
        <v/>
      </c>
    </row>
    <row r="961" spans="1:29">
      <c r="A961">
        <v>0</v>
      </c>
      <c r="B961">
        <v>0</v>
      </c>
      <c r="C961">
        <v>0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>
        <v>0</v>
      </c>
      <c r="T961">
        <v>0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0</v>
      </c>
      <c r="AC961" t="str">
        <f t="shared" si="14"/>
        <v/>
      </c>
    </row>
    <row r="962" spans="1:29">
      <c r="A962">
        <v>0</v>
      </c>
      <c r="B962">
        <v>0</v>
      </c>
      <c r="C962">
        <v>0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>
        <v>0</v>
      </c>
      <c r="T962">
        <v>0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0</v>
      </c>
      <c r="AC962" t="str">
        <f t="shared" si="14"/>
        <v/>
      </c>
    </row>
    <row r="963" spans="1:29">
      <c r="A963">
        <v>0</v>
      </c>
      <c r="B963">
        <v>0</v>
      </c>
      <c r="C963">
        <v>0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0</v>
      </c>
      <c r="R963">
        <v>0</v>
      </c>
      <c r="S963">
        <v>0</v>
      </c>
      <c r="T963">
        <v>0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0</v>
      </c>
      <c r="AC963" t="str">
        <f t="shared" ref="AC963:AC996" si="15">IF(ISNUMBER(SEARCH("Successful",F963)),
   "Successful",
   IF(ISNUMBER(SEARCH("Failed",F963)),"Failed",""))</f>
        <v/>
      </c>
    </row>
    <row r="964" spans="1:29">
      <c r="A964">
        <v>0</v>
      </c>
      <c r="B964">
        <v>0</v>
      </c>
      <c r="C964">
        <v>0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>
        <v>0</v>
      </c>
      <c r="T964">
        <v>0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0</v>
      </c>
      <c r="AC964" t="str">
        <f t="shared" si="15"/>
        <v/>
      </c>
    </row>
    <row r="965" spans="1:29">
      <c r="A965">
        <v>0</v>
      </c>
      <c r="B965">
        <v>0</v>
      </c>
      <c r="C965">
        <v>0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0</v>
      </c>
      <c r="R965">
        <v>0</v>
      </c>
      <c r="S965">
        <v>0</v>
      </c>
      <c r="T965">
        <v>0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0</v>
      </c>
      <c r="AC965" t="str">
        <f t="shared" si="15"/>
        <v/>
      </c>
    </row>
    <row r="966" spans="1:29">
      <c r="A966">
        <v>0</v>
      </c>
      <c r="B966">
        <v>0</v>
      </c>
      <c r="C966">
        <v>0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0</v>
      </c>
      <c r="R966">
        <v>0</v>
      </c>
      <c r="S966">
        <v>0</v>
      </c>
      <c r="T966">
        <v>0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0</v>
      </c>
      <c r="AC966" t="str">
        <f t="shared" si="15"/>
        <v/>
      </c>
    </row>
    <row r="967" spans="1:29">
      <c r="A967">
        <v>0</v>
      </c>
      <c r="B967">
        <v>0</v>
      </c>
      <c r="C967">
        <v>0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>
        <v>0</v>
      </c>
      <c r="T967">
        <v>0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0</v>
      </c>
      <c r="AC967" t="str">
        <f t="shared" si="15"/>
        <v/>
      </c>
    </row>
    <row r="968" spans="1:29">
      <c r="A968">
        <v>0</v>
      </c>
      <c r="B968">
        <v>0</v>
      </c>
      <c r="C968">
        <v>0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>
        <v>0</v>
      </c>
      <c r="T968">
        <v>0</v>
      </c>
      <c r="U968">
        <v>0</v>
      </c>
      <c r="V968">
        <v>0</v>
      </c>
      <c r="W968">
        <v>0</v>
      </c>
      <c r="X968">
        <v>0</v>
      </c>
      <c r="Y968">
        <v>0</v>
      </c>
      <c r="Z968">
        <v>0</v>
      </c>
      <c r="AA968">
        <v>0</v>
      </c>
      <c r="AC968" t="str">
        <f t="shared" si="15"/>
        <v/>
      </c>
    </row>
    <row r="969" spans="1:29">
      <c r="A969">
        <v>0</v>
      </c>
      <c r="B969">
        <v>0</v>
      </c>
      <c r="C969">
        <v>0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0</v>
      </c>
      <c r="R969">
        <v>0</v>
      </c>
      <c r="S969">
        <v>0</v>
      </c>
      <c r="T969">
        <v>0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0</v>
      </c>
      <c r="AC969" t="str">
        <f t="shared" si="15"/>
        <v/>
      </c>
    </row>
    <row r="970" spans="1:29">
      <c r="A970">
        <v>0</v>
      </c>
      <c r="B970">
        <v>0</v>
      </c>
      <c r="C970">
        <v>0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>
        <v>0</v>
      </c>
      <c r="T970">
        <v>0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0</v>
      </c>
      <c r="AC970" t="str">
        <f t="shared" si="15"/>
        <v/>
      </c>
    </row>
    <row r="971" spans="1:29">
      <c r="A971">
        <v>0</v>
      </c>
      <c r="B971">
        <v>0</v>
      </c>
      <c r="C971">
        <v>0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>
        <v>0</v>
      </c>
      <c r="T971">
        <v>0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0</v>
      </c>
      <c r="AC971" t="str">
        <f t="shared" si="15"/>
        <v/>
      </c>
    </row>
    <row r="972" spans="1:29">
      <c r="A972">
        <v>0</v>
      </c>
      <c r="B972">
        <v>0</v>
      </c>
      <c r="C972">
        <v>0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>
        <v>0</v>
      </c>
      <c r="T972">
        <v>0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0</v>
      </c>
      <c r="AC972" t="str">
        <f t="shared" si="15"/>
        <v/>
      </c>
    </row>
    <row r="973" spans="1:29">
      <c r="A973">
        <v>0</v>
      </c>
      <c r="B973">
        <v>0</v>
      </c>
      <c r="C973">
        <v>0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>
        <v>0</v>
      </c>
      <c r="T973">
        <v>0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0</v>
      </c>
      <c r="AC973" t="str">
        <f t="shared" si="15"/>
        <v/>
      </c>
    </row>
    <row r="974" spans="1:29">
      <c r="A974">
        <v>0</v>
      </c>
      <c r="B974">
        <v>0</v>
      </c>
      <c r="C974">
        <v>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>
        <v>0</v>
      </c>
      <c r="T974">
        <v>0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0</v>
      </c>
      <c r="AA974">
        <v>0</v>
      </c>
      <c r="AC974" t="str">
        <f t="shared" si="15"/>
        <v/>
      </c>
    </row>
    <row r="975" spans="1:29">
      <c r="A975">
        <v>0</v>
      </c>
      <c r="B975">
        <v>0</v>
      </c>
      <c r="C975">
        <v>0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>
        <v>0</v>
      </c>
      <c r="T975">
        <v>0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0</v>
      </c>
      <c r="AC975" t="str">
        <f t="shared" si="15"/>
        <v/>
      </c>
    </row>
    <row r="976" spans="1:29">
      <c r="A976">
        <v>0</v>
      </c>
      <c r="B976">
        <v>0</v>
      </c>
      <c r="C976">
        <v>0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0</v>
      </c>
      <c r="N976">
        <v>0</v>
      </c>
      <c r="O976">
        <v>0</v>
      </c>
      <c r="P976">
        <v>0</v>
      </c>
      <c r="Q976">
        <v>0</v>
      </c>
      <c r="R976">
        <v>0</v>
      </c>
      <c r="S976">
        <v>0</v>
      </c>
      <c r="T976">
        <v>0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0</v>
      </c>
      <c r="AC976" t="str">
        <f t="shared" si="15"/>
        <v/>
      </c>
    </row>
    <row r="977" spans="1:29">
      <c r="A977">
        <v>0</v>
      </c>
      <c r="B977">
        <v>0</v>
      </c>
      <c r="C977">
        <v>0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>
        <v>0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0</v>
      </c>
      <c r="AC977" t="str">
        <f t="shared" si="15"/>
        <v/>
      </c>
    </row>
    <row r="978" spans="1:29">
      <c r="A978">
        <v>0</v>
      </c>
      <c r="B978">
        <v>0</v>
      </c>
      <c r="C978">
        <v>0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>
        <v>0</v>
      </c>
      <c r="T978">
        <v>0</v>
      </c>
      <c r="U978">
        <v>0</v>
      </c>
      <c r="V978">
        <v>0</v>
      </c>
      <c r="W978">
        <v>0</v>
      </c>
      <c r="X978">
        <v>0</v>
      </c>
      <c r="Y978">
        <v>0</v>
      </c>
      <c r="Z978">
        <v>0</v>
      </c>
      <c r="AA978">
        <v>0</v>
      </c>
      <c r="AC978" t="str">
        <f t="shared" si="15"/>
        <v/>
      </c>
    </row>
    <row r="979" spans="1:29">
      <c r="A979">
        <v>0</v>
      </c>
      <c r="B979">
        <v>0</v>
      </c>
      <c r="C979">
        <v>0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0</v>
      </c>
      <c r="N979">
        <v>0</v>
      </c>
      <c r="O979">
        <v>0</v>
      </c>
      <c r="P979">
        <v>0</v>
      </c>
      <c r="Q979">
        <v>0</v>
      </c>
      <c r="R979">
        <v>0</v>
      </c>
      <c r="S979">
        <v>0</v>
      </c>
      <c r="T979">
        <v>0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0</v>
      </c>
      <c r="AC979" t="str">
        <f t="shared" si="15"/>
        <v/>
      </c>
    </row>
    <row r="980" spans="1:29">
      <c r="A980">
        <v>0</v>
      </c>
      <c r="B980">
        <v>0</v>
      </c>
      <c r="C980">
        <v>0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C980" t="str">
        <f t="shared" si="15"/>
        <v/>
      </c>
    </row>
    <row r="981" spans="1:29">
      <c r="A981">
        <v>0</v>
      </c>
      <c r="B981">
        <v>0</v>
      </c>
      <c r="C981">
        <v>0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C981" t="str">
        <f t="shared" si="15"/>
        <v/>
      </c>
    </row>
    <row r="982" spans="1:29">
      <c r="A982">
        <v>0</v>
      </c>
      <c r="B982">
        <v>0</v>
      </c>
      <c r="C982">
        <v>0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C982" t="str">
        <f t="shared" si="15"/>
        <v/>
      </c>
    </row>
    <row r="983" spans="1:29">
      <c r="A983">
        <v>0</v>
      </c>
      <c r="B983">
        <v>0</v>
      </c>
      <c r="C983">
        <v>0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C983" t="str">
        <f t="shared" si="15"/>
        <v/>
      </c>
    </row>
    <row r="984" spans="1:29">
      <c r="A984">
        <v>0</v>
      </c>
      <c r="B984">
        <v>0</v>
      </c>
      <c r="C984">
        <v>0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C984" t="str">
        <f t="shared" si="15"/>
        <v/>
      </c>
    </row>
    <row r="985" spans="1:29">
      <c r="A985">
        <v>0</v>
      </c>
      <c r="B985">
        <v>0</v>
      </c>
      <c r="C985">
        <v>0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C985" t="str">
        <f t="shared" si="15"/>
        <v/>
      </c>
    </row>
    <row r="986" spans="1:29">
      <c r="A986">
        <v>0</v>
      </c>
      <c r="B986">
        <v>0</v>
      </c>
      <c r="C986">
        <v>0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C986" t="str">
        <f t="shared" si="15"/>
        <v/>
      </c>
    </row>
    <row r="987" spans="1:29">
      <c r="A987">
        <v>0</v>
      </c>
      <c r="B987">
        <v>0</v>
      </c>
      <c r="C987">
        <v>0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C987" t="str">
        <f t="shared" si="15"/>
        <v/>
      </c>
    </row>
    <row r="988" spans="1:29">
      <c r="A988">
        <v>0</v>
      </c>
      <c r="B988">
        <v>0</v>
      </c>
      <c r="C988">
        <v>0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C988" t="str">
        <f t="shared" si="15"/>
        <v/>
      </c>
    </row>
    <row r="989" spans="1:29">
      <c r="A989">
        <v>0</v>
      </c>
      <c r="B989">
        <v>0</v>
      </c>
      <c r="C989">
        <v>0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C989" t="str">
        <f t="shared" si="15"/>
        <v/>
      </c>
    </row>
    <row r="990" spans="1:29">
      <c r="A990">
        <v>0</v>
      </c>
      <c r="B990">
        <v>0</v>
      </c>
      <c r="C990">
        <v>0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C990" t="str">
        <f t="shared" si="15"/>
        <v/>
      </c>
    </row>
    <row r="991" spans="1:29">
      <c r="A991">
        <v>0</v>
      </c>
      <c r="B991">
        <v>0</v>
      </c>
      <c r="C991">
        <v>0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C991" t="str">
        <f t="shared" si="15"/>
        <v/>
      </c>
    </row>
    <row r="992" spans="1:29">
      <c r="A992">
        <v>0</v>
      </c>
      <c r="B992">
        <v>0</v>
      </c>
      <c r="C992">
        <v>0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C992" t="str">
        <f t="shared" si="15"/>
        <v/>
      </c>
    </row>
    <row r="993" spans="1:29">
      <c r="A993">
        <v>0</v>
      </c>
      <c r="B993">
        <v>0</v>
      </c>
      <c r="C993">
        <v>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C993" t="str">
        <f t="shared" si="15"/>
        <v/>
      </c>
    </row>
    <row r="994" spans="1:29">
      <c r="A994">
        <v>0</v>
      </c>
      <c r="B994">
        <v>0</v>
      </c>
      <c r="C994">
        <v>0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C994" t="str">
        <f t="shared" si="15"/>
        <v/>
      </c>
    </row>
    <row r="995" spans="1:29">
      <c r="A995">
        <v>0</v>
      </c>
      <c r="B995">
        <v>0</v>
      </c>
      <c r="C995">
        <v>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C995" t="str">
        <f t="shared" si="15"/>
        <v/>
      </c>
    </row>
    <row r="996" spans="1:29">
      <c r="A996">
        <v>0</v>
      </c>
      <c r="B996">
        <v>0</v>
      </c>
      <c r="C996">
        <v>0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C996" t="str">
        <f t="shared" si="15"/>
        <v/>
      </c>
    </row>
    <row r="997" spans="1:29">
      <c r="A997">
        <v>0</v>
      </c>
      <c r="B997">
        <v>0</v>
      </c>
      <c r="C997">
        <v>0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</row>
    <row r="998" spans="1:29">
      <c r="A998">
        <v>0</v>
      </c>
      <c r="B998">
        <v>0</v>
      </c>
      <c r="C998">
        <v>0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</row>
    <row r="999" spans="1:29">
      <c r="A999">
        <v>0</v>
      </c>
      <c r="B999">
        <v>0</v>
      </c>
      <c r="C999">
        <v>0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C999" t="s">
        <v>542</v>
      </c>
    </row>
    <row r="1000" spans="1:29">
      <c r="A1000">
        <v>0</v>
      </c>
      <c r="B1000">
        <v>0</v>
      </c>
      <c r="C1000">
        <v>0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C1000" t="s">
        <v>510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210CF-1086-4A7E-91E7-34B983F2F1A0}">
  <sheetPr codeName="Sheet6"/>
  <dimension ref="A1:Q243"/>
  <sheetViews>
    <sheetView workbookViewId="0">
      <selection activeCell="M218" sqref="M218"/>
    </sheetView>
  </sheetViews>
  <sheetFormatPr defaultRowHeight="15"/>
  <cols>
    <col min="1" max="1" width="11.28515625" customWidth="1"/>
    <col min="2" max="2" width="14.140625" bestFit="1" customWidth="1"/>
    <col min="3" max="4" width="14.140625" customWidth="1"/>
    <col min="5" max="5" width="15.85546875" bestFit="1" customWidth="1"/>
    <col min="6" max="6" width="11" bestFit="1" customWidth="1"/>
    <col min="7" max="7" width="5" customWidth="1"/>
    <col min="8" max="8" width="8.7109375" bestFit="1" customWidth="1"/>
    <col min="9" max="9" width="15.5703125" customWidth="1"/>
    <col min="10" max="10" width="17.42578125" customWidth="1"/>
    <col min="11" max="11" width="13.5703125" customWidth="1"/>
    <col min="12" max="12" width="8.85546875" customWidth="1"/>
    <col min="13" max="13" width="16" customWidth="1"/>
    <col min="14" max="14" width="19.42578125" bestFit="1" customWidth="1"/>
    <col min="15" max="15" width="16.140625" bestFit="1" customWidth="1"/>
    <col min="16" max="16" width="32.140625" bestFit="1" customWidth="1"/>
    <col min="17" max="17" width="21.140625" customWidth="1"/>
    <col min="18" max="18" width="12.140625" customWidth="1"/>
  </cols>
  <sheetData>
    <row r="1" spans="1:17">
      <c r="A1" t="s">
        <v>0</v>
      </c>
      <c r="B1" t="s">
        <v>59</v>
      </c>
      <c r="C1" t="s">
        <v>2</v>
      </c>
      <c r="D1" t="s">
        <v>5</v>
      </c>
      <c r="E1" t="s">
        <v>6</v>
      </c>
      <c r="F1" t="s">
        <v>9</v>
      </c>
      <c r="G1" t="s">
        <v>60</v>
      </c>
      <c r="H1" t="s">
        <v>11</v>
      </c>
      <c r="I1" t="s">
        <v>61</v>
      </c>
      <c r="J1" t="s">
        <v>62</v>
      </c>
      <c r="K1" t="s">
        <v>63</v>
      </c>
      <c r="L1" t="s">
        <v>64</v>
      </c>
      <c r="M1" s="14" t="s">
        <v>65</v>
      </c>
      <c r="N1" t="s">
        <v>66</v>
      </c>
      <c r="O1" t="s">
        <v>67</v>
      </c>
      <c r="P1" t="s">
        <v>13</v>
      </c>
      <c r="Q1" t="s">
        <v>68</v>
      </c>
    </row>
    <row r="2" spans="1:17">
      <c r="A2" t="str" cm="1">
        <f t="array" ref="A2">IFERROR(_xlfn.TEXTSPLIT(Input!A3,"*"),"")</f>
        <v/>
      </c>
      <c r="Q2">
        <f>_xlfn.XLOOKUP(B2,Input!J:J,Input!I:I,"Missing",0,1)</f>
        <v>0</v>
      </c>
    </row>
    <row r="3" spans="1:17">
      <c r="A3" t="str" cm="1">
        <f t="array" ref="A3">IFERROR(_xlfn.TEXTSPLIT(Input!A4,"*"),"")</f>
        <v/>
      </c>
      <c r="Q3">
        <f>_xlfn.XLOOKUP(B3,Input!J:J,Input!I:I,"Missing",0,1)</f>
        <v>0</v>
      </c>
    </row>
    <row r="4" spans="1:17">
      <c r="A4" t="str" cm="1">
        <f t="array" ref="A4">IFERROR(_xlfn.TEXTSPLIT(Input!A5,"*"),"")</f>
        <v/>
      </c>
      <c r="Q4">
        <f>_xlfn.XLOOKUP(B4,Input!J:J,Input!I:I,"Missing",0,1)</f>
        <v>0</v>
      </c>
    </row>
    <row r="5" spans="1:17">
      <c r="A5" t="str" cm="1">
        <f t="array" ref="A5">IFERROR(_xlfn.TEXTSPLIT(Input!A6,"*"),"")</f>
        <v/>
      </c>
      <c r="Q5">
        <f>_xlfn.XLOOKUP(B5,Input!J:J,Input!I:I,"Missing",0,1)</f>
        <v>0</v>
      </c>
    </row>
    <row r="6" spans="1:17">
      <c r="A6" t="str" cm="1">
        <f t="array" ref="A6">IFERROR(_xlfn.TEXTSPLIT(Input!A7,"*"),"")</f>
        <v/>
      </c>
      <c r="Q6">
        <f>_xlfn.XLOOKUP(B6,Input!J:J,Input!I:I,"Missing",0,1)</f>
        <v>0</v>
      </c>
    </row>
    <row r="7" spans="1:17">
      <c r="A7" t="str" cm="1">
        <f t="array" ref="A7">IFERROR(_xlfn.TEXTSPLIT(Input!A8,"*"),"")</f>
        <v/>
      </c>
      <c r="Q7">
        <f>_xlfn.XLOOKUP(B7,Input!J:J,Input!I:I,"Missing",0,1)</f>
        <v>0</v>
      </c>
    </row>
    <row r="8" spans="1:17">
      <c r="A8" t="str" cm="1">
        <f t="array" ref="A8">IFERROR(_xlfn.TEXTSPLIT(Input!A9,"*"),"")</f>
        <v/>
      </c>
      <c r="Q8">
        <f>_xlfn.XLOOKUP(B8,Input!J:J,Input!I:I,"Missing",0,1)</f>
        <v>0</v>
      </c>
    </row>
    <row r="9" spans="1:17">
      <c r="A9" t="str" cm="1">
        <f t="array" ref="A9">IFERROR(_xlfn.TEXTSPLIT(Input!A10,"*"),"")</f>
        <v/>
      </c>
      <c r="Q9">
        <f>_xlfn.XLOOKUP(B9,Input!J:J,Input!I:I,"Missing",0,1)</f>
        <v>0</v>
      </c>
    </row>
    <row r="10" spans="1:17">
      <c r="A10" t="str" cm="1">
        <f t="array" ref="A10">IFERROR(_xlfn.TEXTSPLIT(Input!A11,"*"),"")</f>
        <v/>
      </c>
      <c r="Q10">
        <f>_xlfn.XLOOKUP(B10,Input!J:J,Input!I:I,"Missing",0,1)</f>
        <v>0</v>
      </c>
    </row>
    <row r="11" spans="1:17">
      <c r="A11" t="str" cm="1">
        <f t="array" ref="A11">IFERROR(_xlfn.TEXTSPLIT(Input!A12,"*"),"")</f>
        <v/>
      </c>
      <c r="Q11">
        <f>_xlfn.XLOOKUP(B11,Input!J:J,Input!I:I,"Missing",0,1)</f>
        <v>0</v>
      </c>
    </row>
    <row r="12" spans="1:17">
      <c r="A12" t="str" cm="1">
        <f t="array" ref="A12">IFERROR(_xlfn.TEXTSPLIT(Input!A13,"*"),"")</f>
        <v/>
      </c>
      <c r="Q12">
        <f>_xlfn.XLOOKUP(B12,Input!J:J,Input!I:I,"Missing",0,1)</f>
        <v>0</v>
      </c>
    </row>
    <row r="13" spans="1:17">
      <c r="A13" t="str" cm="1">
        <f t="array" ref="A13">IFERROR(_xlfn.TEXTSPLIT(Input!A14,"*"),"")</f>
        <v/>
      </c>
      <c r="Q13">
        <f>_xlfn.XLOOKUP(B13,Input!J:J,Input!I:I,"Missing",0,1)</f>
        <v>0</v>
      </c>
    </row>
    <row r="14" spans="1:17">
      <c r="A14" t="str" cm="1">
        <f t="array" ref="A14">IFERROR(_xlfn.TEXTSPLIT(Input!A15,"*"),"")</f>
        <v/>
      </c>
      <c r="Q14">
        <f>_xlfn.XLOOKUP(B14,Input!J:J,Input!I:I,"Missing",0,1)</f>
        <v>0</v>
      </c>
    </row>
    <row r="15" spans="1:17">
      <c r="A15" t="str" cm="1">
        <f t="array" ref="A15">IFERROR(_xlfn.TEXTSPLIT(Input!A16,"*"),"")</f>
        <v/>
      </c>
      <c r="Q15">
        <f>_xlfn.XLOOKUP(B15,Input!J:J,Input!I:I,"Missing",0,1)</f>
        <v>0</v>
      </c>
    </row>
    <row r="16" spans="1:17">
      <c r="A16" t="str" cm="1">
        <f t="array" ref="A16">IFERROR(_xlfn.TEXTSPLIT(Input!A17,"*"),"")</f>
        <v/>
      </c>
      <c r="Q16">
        <f>_xlfn.XLOOKUP(B16,Input!J:J,Input!I:I,"Missing",0,1)</f>
        <v>0</v>
      </c>
    </row>
    <row r="17" spans="1:17">
      <c r="A17" t="str" cm="1">
        <f t="array" ref="A17">IFERROR(_xlfn.TEXTSPLIT(Input!A18,"*"),"")</f>
        <v/>
      </c>
      <c r="Q17">
        <f>_xlfn.XLOOKUP(B17,Input!J:J,Input!I:I,"Missing",0,1)</f>
        <v>0</v>
      </c>
    </row>
    <row r="18" spans="1:17">
      <c r="A18" t="str" cm="1">
        <f t="array" ref="A18">IFERROR(_xlfn.TEXTSPLIT(Input!A19,"*"),"")</f>
        <v/>
      </c>
      <c r="Q18">
        <f>_xlfn.XLOOKUP(B18,Input!J:J,Input!I:I,"Missing",0,1)</f>
        <v>0</v>
      </c>
    </row>
    <row r="19" spans="1:17">
      <c r="A19" t="str" cm="1">
        <f t="array" ref="A19">IFERROR(_xlfn.TEXTSPLIT(Input!A20,"*"),"")</f>
        <v/>
      </c>
      <c r="Q19">
        <f>_xlfn.XLOOKUP(B19,Input!J:J,Input!I:I,"Missing",0,1)</f>
        <v>0</v>
      </c>
    </row>
    <row r="20" spans="1:17">
      <c r="A20" t="str" cm="1">
        <f t="array" ref="A20">IFERROR(_xlfn.TEXTSPLIT(Input!A21,"*"),"")</f>
        <v/>
      </c>
      <c r="Q20">
        <f>_xlfn.XLOOKUP(B20,Input!J:J,Input!I:I,"Missing",0,1)</f>
        <v>0</v>
      </c>
    </row>
    <row r="21" spans="1:17">
      <c r="A21" t="str" cm="1">
        <f t="array" ref="A21">IFERROR(_xlfn.TEXTSPLIT(Input!A22,"*"),"")</f>
        <v/>
      </c>
      <c r="Q21">
        <f>_xlfn.XLOOKUP(B21,Input!J:J,Input!I:I,"Missing",0,1)</f>
        <v>0</v>
      </c>
    </row>
    <row r="22" spans="1:17">
      <c r="A22" t="str" cm="1">
        <f t="array" ref="A22">IFERROR(_xlfn.TEXTSPLIT(Input!A23,"*"),"")</f>
        <v/>
      </c>
      <c r="Q22">
        <f>_xlfn.XLOOKUP(B22,Input!J:J,Input!I:I,"Missing",0,1)</f>
        <v>0</v>
      </c>
    </row>
    <row r="23" spans="1:17">
      <c r="A23" t="str" cm="1">
        <f t="array" ref="A23">IFERROR(_xlfn.TEXTSPLIT(Input!A24,"*"),"")</f>
        <v/>
      </c>
      <c r="Q23">
        <f>_xlfn.XLOOKUP(B23,Input!J:J,Input!I:I,"Missing",0,1)</f>
        <v>0</v>
      </c>
    </row>
    <row r="24" spans="1:17">
      <c r="A24" t="str" cm="1">
        <f t="array" ref="A24">IFERROR(_xlfn.TEXTSPLIT(Input!A25,"*"),"")</f>
        <v/>
      </c>
      <c r="Q24">
        <f>_xlfn.XLOOKUP(B24,Input!J:J,Input!I:I,"Missing",0,1)</f>
        <v>0</v>
      </c>
    </row>
    <row r="25" spans="1:17">
      <c r="A25" t="str" cm="1">
        <f t="array" ref="A25">IFERROR(_xlfn.TEXTSPLIT(Input!A26,"*"),"")</f>
        <v/>
      </c>
      <c r="Q25">
        <f>_xlfn.XLOOKUP(B25,Input!J:J,Input!I:I,"Missing",0,1)</f>
        <v>0</v>
      </c>
    </row>
    <row r="26" spans="1:17">
      <c r="A26" t="str" cm="1">
        <f t="array" ref="A26">IFERROR(_xlfn.TEXTSPLIT(Input!A27,"*"),"")</f>
        <v/>
      </c>
      <c r="Q26">
        <f>_xlfn.XLOOKUP(B26,Input!J:J,Input!I:I,"Missing",0,1)</f>
        <v>0</v>
      </c>
    </row>
    <row r="27" spans="1:17">
      <c r="A27" t="str" cm="1">
        <f t="array" ref="A27">IFERROR(_xlfn.TEXTSPLIT(Input!A28,"*"),"")</f>
        <v/>
      </c>
      <c r="Q27">
        <f>_xlfn.XLOOKUP(B27,Input!J:J,Input!I:I,"Missing",0,1)</f>
        <v>0</v>
      </c>
    </row>
    <row r="28" spans="1:17">
      <c r="A28" t="str" cm="1">
        <f t="array" ref="A28">IFERROR(_xlfn.TEXTSPLIT(Input!A29,"*"),"")</f>
        <v/>
      </c>
      <c r="Q28">
        <f>_xlfn.XLOOKUP(B28,Input!J:J,Input!I:I,"Missing",0,1)</f>
        <v>0</v>
      </c>
    </row>
    <row r="29" spans="1:17">
      <c r="A29" t="str" cm="1">
        <f t="array" ref="A29">IFERROR(_xlfn.TEXTSPLIT(Input!A30,"*"),"")</f>
        <v/>
      </c>
      <c r="Q29">
        <f>_xlfn.XLOOKUP(B29,Input!J:J,Input!I:I,"Missing",0,1)</f>
        <v>0</v>
      </c>
    </row>
    <row r="30" spans="1:17">
      <c r="A30" t="str" cm="1">
        <f t="array" ref="A30">IFERROR(_xlfn.TEXTSPLIT(Input!A31,"*"),"")</f>
        <v/>
      </c>
      <c r="Q30">
        <f>_xlfn.XLOOKUP(B30,Input!J:J,Input!I:I,"Missing",0,1)</f>
        <v>0</v>
      </c>
    </row>
    <row r="31" spans="1:17">
      <c r="A31" t="str" cm="1">
        <f t="array" ref="A31">IFERROR(_xlfn.TEXTSPLIT(Input!A32,"*"),"")</f>
        <v/>
      </c>
      <c r="Q31">
        <f>_xlfn.XLOOKUP(B31,Input!J:J,Input!I:I,"Missing",0,1)</f>
        <v>0</v>
      </c>
    </row>
    <row r="32" spans="1:17">
      <c r="A32" t="str" cm="1">
        <f t="array" ref="A32">IFERROR(_xlfn.TEXTSPLIT(Input!A33,"*"),"")</f>
        <v/>
      </c>
      <c r="Q32">
        <f>_xlfn.XLOOKUP(B32,Input!J:J,Input!I:I,"Missing",0,1)</f>
        <v>0</v>
      </c>
    </row>
    <row r="33" spans="1:17">
      <c r="A33" t="str" cm="1">
        <f t="array" ref="A33">IFERROR(_xlfn.TEXTSPLIT(Input!A34,"*"),"")</f>
        <v/>
      </c>
      <c r="Q33">
        <f>_xlfn.XLOOKUP(B33,Input!J:J,Input!I:I)</f>
        <v>0</v>
      </c>
    </row>
    <row r="34" spans="1:17">
      <c r="A34" t="str" cm="1">
        <f t="array" ref="A34">IFERROR(_xlfn.TEXTSPLIT(Input!A35,"*"),"")</f>
        <v/>
      </c>
      <c r="Q34">
        <f>_xlfn.XLOOKUP(B34,Input!J:J,Input!I:I)</f>
        <v>0</v>
      </c>
    </row>
    <row r="35" spans="1:17">
      <c r="A35" t="str" cm="1">
        <f t="array" ref="A35">IFERROR(_xlfn.TEXTSPLIT(Input!A36,"*"),"")</f>
        <v/>
      </c>
    </row>
    <row r="36" spans="1:17">
      <c r="A36" t="str" cm="1">
        <f t="array" ref="A36">IFERROR(_xlfn.TEXTSPLIT(Input!A37,"*"),"")</f>
        <v/>
      </c>
    </row>
    <row r="37" spans="1:17">
      <c r="A37" t="str" cm="1">
        <f t="array" ref="A37">IFERROR(_xlfn.TEXTSPLIT(Input!A38,"*"),"")</f>
        <v/>
      </c>
    </row>
    <row r="38" spans="1:17">
      <c r="A38" t="str" cm="1">
        <f t="array" ref="A38">IFERROR(_xlfn.TEXTSPLIT(Input!A39,"*"),"")</f>
        <v/>
      </c>
    </row>
    <row r="39" spans="1:17">
      <c r="A39" t="str" cm="1">
        <f t="array" ref="A39">IFERROR(_xlfn.TEXTSPLIT(Input!A40,"*"),"")</f>
        <v/>
      </c>
    </row>
    <row r="40" spans="1:17">
      <c r="A40" t="str" cm="1">
        <f t="array" ref="A40">IFERROR(_xlfn.TEXTSPLIT(Input!A41,"*"),"")</f>
        <v/>
      </c>
    </row>
    <row r="41" spans="1:17">
      <c r="A41" t="str" cm="1">
        <f t="array" ref="A41">IFERROR(_xlfn.TEXTSPLIT(Input!A42,"*"),"")</f>
        <v/>
      </c>
    </row>
    <row r="42" spans="1:17">
      <c r="A42" t="str" cm="1">
        <f t="array" ref="A42">IFERROR(_xlfn.TEXTSPLIT(Input!A43,"*"),"")</f>
        <v/>
      </c>
    </row>
    <row r="43" spans="1:17">
      <c r="A43" t="str" cm="1">
        <f t="array" ref="A43">IFERROR(_xlfn.TEXTSPLIT(Input!A44,"*"),"")</f>
        <v/>
      </c>
    </row>
    <row r="44" spans="1:17">
      <c r="A44" t="str" cm="1">
        <f t="array" ref="A44">IFERROR(_xlfn.TEXTSPLIT(Input!A45,"*"),"")</f>
        <v/>
      </c>
    </row>
    <row r="45" spans="1:17">
      <c r="A45" t="str" cm="1">
        <f t="array" ref="A45">IFERROR(_xlfn.TEXTSPLIT(Input!A46,"*"),"")</f>
        <v/>
      </c>
    </row>
    <row r="46" spans="1:17">
      <c r="A46" t="str" cm="1">
        <f t="array" ref="A46">IFERROR(_xlfn.TEXTSPLIT(Input!A47,"*"),"")</f>
        <v/>
      </c>
    </row>
    <row r="47" spans="1:17">
      <c r="A47" t="str" cm="1">
        <f t="array" ref="A47">IFERROR(_xlfn.TEXTSPLIT(Input!A48,"*"),"")</f>
        <v/>
      </c>
    </row>
    <row r="48" spans="1:17">
      <c r="A48" t="str" cm="1">
        <f t="array" ref="A48">IFERROR(_xlfn.TEXTSPLIT(Input!A49,"*"),"")</f>
        <v/>
      </c>
    </row>
    <row r="49" spans="1:1">
      <c r="A49" t="str" cm="1">
        <f t="array" ref="A49">IFERROR(_xlfn.TEXTSPLIT(Input!A50,"*"),"")</f>
        <v/>
      </c>
    </row>
    <row r="50" spans="1:1">
      <c r="A50" t="str" cm="1">
        <f t="array" ref="A50">IFERROR(_xlfn.TEXTSPLIT(Input!A51,"*"),"")</f>
        <v/>
      </c>
    </row>
    <row r="51" spans="1:1">
      <c r="A51" t="str" cm="1">
        <f t="array" ref="A51">IFERROR(_xlfn.TEXTSPLIT(Input!A52,"*"),"")</f>
        <v/>
      </c>
    </row>
    <row r="52" spans="1:1">
      <c r="A52" t="str" cm="1">
        <f t="array" ref="A52">IFERROR(_xlfn.TEXTSPLIT(Input!A53,"*"),"")</f>
        <v/>
      </c>
    </row>
    <row r="53" spans="1:1">
      <c r="A53" t="str" cm="1">
        <f t="array" ref="A53">IFERROR(_xlfn.TEXTSPLIT(Input!A54,"*"),"")</f>
        <v/>
      </c>
    </row>
    <row r="54" spans="1:1">
      <c r="A54" t="str" cm="1">
        <f t="array" ref="A54">IFERROR(_xlfn.TEXTSPLIT(Input!A55,"*"),"")</f>
        <v/>
      </c>
    </row>
    <row r="55" spans="1:1">
      <c r="A55" t="str" cm="1">
        <f t="array" ref="A55">IFERROR(_xlfn.TEXTSPLIT(Input!A56,"*"),"")</f>
        <v/>
      </c>
    </row>
    <row r="56" spans="1:1">
      <c r="A56" t="str" cm="1">
        <f t="array" ref="A56">IFERROR(_xlfn.TEXTSPLIT(Input!A57,"*"),"")</f>
        <v/>
      </c>
    </row>
    <row r="57" spans="1:1">
      <c r="A57" t="str" cm="1">
        <f t="array" ref="A57">IFERROR(_xlfn.TEXTSPLIT(Input!A58,"*"),"")</f>
        <v/>
      </c>
    </row>
    <row r="58" spans="1:1">
      <c r="A58" t="str" cm="1">
        <f t="array" ref="A58">IFERROR(_xlfn.TEXTSPLIT(Input!A59,"*"),"")</f>
        <v/>
      </c>
    </row>
    <row r="59" spans="1:1">
      <c r="A59" t="str" cm="1">
        <f t="array" ref="A59">IFERROR(_xlfn.TEXTSPLIT(Input!A60,"*"),"")</f>
        <v/>
      </c>
    </row>
    <row r="60" spans="1:1">
      <c r="A60" t="str" cm="1">
        <f t="array" ref="A60">IFERROR(_xlfn.TEXTSPLIT(Input!A61,"*"),"")</f>
        <v/>
      </c>
    </row>
    <row r="61" spans="1:1">
      <c r="A61" t="str" cm="1">
        <f t="array" ref="A61">IFERROR(_xlfn.TEXTSPLIT(Input!A62,"*"),"")</f>
        <v/>
      </c>
    </row>
    <row r="62" spans="1:1">
      <c r="A62" t="str" cm="1">
        <f t="array" ref="A62">IFERROR(_xlfn.TEXTSPLIT(Input!A63,"*"),"")</f>
        <v/>
      </c>
    </row>
    <row r="63" spans="1:1">
      <c r="A63" t="str" cm="1">
        <f t="array" ref="A63">IFERROR(_xlfn.TEXTSPLIT(Input!A64,"*"),"")</f>
        <v/>
      </c>
    </row>
    <row r="64" spans="1:1">
      <c r="A64" t="str" cm="1">
        <f t="array" ref="A64">IFERROR(_xlfn.TEXTSPLIT(Input!A65,"*"),"")</f>
        <v/>
      </c>
    </row>
    <row r="65" spans="1:1">
      <c r="A65" t="str" cm="1">
        <f t="array" ref="A65">IFERROR(_xlfn.TEXTSPLIT(Input!A66,"*"),"")</f>
        <v/>
      </c>
    </row>
    <row r="66" spans="1:1">
      <c r="A66" t="str" cm="1">
        <f t="array" ref="A66">IFERROR(_xlfn.TEXTSPLIT(Input!A67,"*"),"")</f>
        <v/>
      </c>
    </row>
    <row r="67" spans="1:1">
      <c r="A67" t="str" cm="1">
        <f t="array" ref="A67">IFERROR(_xlfn.TEXTSPLIT(Input!A68,"*"),"")</f>
        <v/>
      </c>
    </row>
    <row r="68" spans="1:1">
      <c r="A68" t="str" cm="1">
        <f t="array" ref="A68">IFERROR(_xlfn.TEXTSPLIT(Input!A69,"*"),"")</f>
        <v/>
      </c>
    </row>
    <row r="69" spans="1:1">
      <c r="A69" t="str" cm="1">
        <f t="array" ref="A69">IFERROR(_xlfn.TEXTSPLIT(Input!A70,"*"),"")</f>
        <v/>
      </c>
    </row>
    <row r="70" spans="1:1">
      <c r="A70" t="str" cm="1">
        <f t="array" ref="A70">IFERROR(_xlfn.TEXTSPLIT(Input!A71,"*"),"")</f>
        <v/>
      </c>
    </row>
    <row r="71" spans="1:1">
      <c r="A71" t="str" cm="1">
        <f t="array" ref="A71">IFERROR(_xlfn.TEXTSPLIT(Input!A72,"*"),"")</f>
        <v/>
      </c>
    </row>
    <row r="72" spans="1:1">
      <c r="A72" t="str" cm="1">
        <f t="array" ref="A72">IFERROR(_xlfn.TEXTSPLIT(Input!A73,"*"),"")</f>
        <v/>
      </c>
    </row>
    <row r="73" spans="1:1">
      <c r="A73" t="str" cm="1">
        <f t="array" ref="A73">IFERROR(_xlfn.TEXTSPLIT(Input!A74,"*"),"")</f>
        <v/>
      </c>
    </row>
    <row r="74" spans="1:1">
      <c r="A74" t="str" cm="1">
        <f t="array" ref="A74">IFERROR(_xlfn.TEXTSPLIT(Input!A75,"*"),"")</f>
        <v/>
      </c>
    </row>
    <row r="75" spans="1:1">
      <c r="A75" t="str" cm="1">
        <f t="array" ref="A75">IFERROR(_xlfn.TEXTSPLIT(Input!A76,"*"),"")</f>
        <v/>
      </c>
    </row>
    <row r="76" spans="1:1">
      <c r="A76" t="str" cm="1">
        <f t="array" ref="A76">IFERROR(_xlfn.TEXTSPLIT(Input!A77,"*"),"")</f>
        <v/>
      </c>
    </row>
    <row r="77" spans="1:1">
      <c r="A77" t="str" cm="1">
        <f t="array" ref="A77">IFERROR(_xlfn.TEXTSPLIT(Input!A78,"*"),"")</f>
        <v/>
      </c>
    </row>
    <row r="78" spans="1:1">
      <c r="A78" t="str" cm="1">
        <f t="array" ref="A78">IFERROR(_xlfn.TEXTSPLIT(Input!A79,"*"),"")</f>
        <v/>
      </c>
    </row>
    <row r="79" spans="1:1">
      <c r="A79" t="str" cm="1">
        <f t="array" ref="A79">IFERROR(_xlfn.TEXTSPLIT(Input!A80,"*"),"")</f>
        <v/>
      </c>
    </row>
    <row r="80" spans="1:1">
      <c r="A80" t="str" cm="1">
        <f t="array" ref="A80">IFERROR(_xlfn.TEXTSPLIT(Input!A81,"*"),"")</f>
        <v/>
      </c>
    </row>
    <row r="81" spans="1:1">
      <c r="A81" t="str" cm="1">
        <f t="array" ref="A81">IFERROR(_xlfn.TEXTSPLIT(Input!A82,"*"),"")</f>
        <v/>
      </c>
    </row>
    <row r="82" spans="1:1">
      <c r="A82" t="str" cm="1">
        <f t="array" ref="A82">IFERROR(_xlfn.TEXTSPLIT(Input!A83,"*"),"")</f>
        <v/>
      </c>
    </row>
    <row r="83" spans="1:1">
      <c r="A83" t="str" cm="1">
        <f t="array" ref="A83">IFERROR(_xlfn.TEXTSPLIT(Input!A84,"*"),"")</f>
        <v/>
      </c>
    </row>
    <row r="84" spans="1:1">
      <c r="A84" t="str" cm="1">
        <f t="array" ref="A84">IFERROR(_xlfn.TEXTSPLIT(Input!A85,"*"),"")</f>
        <v/>
      </c>
    </row>
    <row r="85" spans="1:1">
      <c r="A85" t="str" cm="1">
        <f t="array" ref="A85">IFERROR(_xlfn.TEXTSPLIT(Input!A86,"*"),"")</f>
        <v/>
      </c>
    </row>
    <row r="86" spans="1:1">
      <c r="A86" t="str" cm="1">
        <f t="array" ref="A86">IFERROR(_xlfn.TEXTSPLIT(Input!A87,"*"),"")</f>
        <v/>
      </c>
    </row>
    <row r="87" spans="1:1">
      <c r="A87" t="str" cm="1">
        <f t="array" ref="A87">IFERROR(_xlfn.TEXTSPLIT(Input!A88,"*"),"")</f>
        <v/>
      </c>
    </row>
    <row r="88" spans="1:1">
      <c r="A88" t="str" cm="1">
        <f t="array" ref="A88">IFERROR(_xlfn.TEXTSPLIT(Input!A89,"*"),"")</f>
        <v/>
      </c>
    </row>
    <row r="89" spans="1:1">
      <c r="A89" t="str" cm="1">
        <f t="array" ref="A89">IFERROR(_xlfn.TEXTSPLIT(Input!A90,"*"),"")</f>
        <v/>
      </c>
    </row>
    <row r="90" spans="1:1">
      <c r="A90" t="str" cm="1">
        <f t="array" ref="A90">IFERROR(_xlfn.TEXTSPLIT(Input!A91,"*"),"")</f>
        <v/>
      </c>
    </row>
    <row r="91" spans="1:1">
      <c r="A91" t="str" cm="1">
        <f t="array" ref="A91">IFERROR(_xlfn.TEXTSPLIT(Input!A92,"*"),"")</f>
        <v/>
      </c>
    </row>
    <row r="92" spans="1:1">
      <c r="A92" t="str" cm="1">
        <f t="array" ref="A92">IFERROR(_xlfn.TEXTSPLIT(Input!A93,"*"),"")</f>
        <v/>
      </c>
    </row>
    <row r="93" spans="1:1">
      <c r="A93" t="str" cm="1">
        <f t="array" ref="A93">IFERROR(_xlfn.TEXTSPLIT(Input!A94,"*"),"")</f>
        <v/>
      </c>
    </row>
    <row r="94" spans="1:1">
      <c r="A94" t="str" cm="1">
        <f t="array" ref="A94">IFERROR(_xlfn.TEXTSPLIT(Input!A95,"*"),"")</f>
        <v/>
      </c>
    </row>
    <row r="95" spans="1:1">
      <c r="A95" t="str" cm="1">
        <f t="array" ref="A95">IFERROR(_xlfn.TEXTSPLIT(Input!A96,"*"),"")</f>
        <v/>
      </c>
    </row>
    <row r="96" spans="1:1">
      <c r="A96" t="str" cm="1">
        <f t="array" ref="A96">IFERROR(_xlfn.TEXTSPLIT(Input!A97,"*"),"")</f>
        <v/>
      </c>
    </row>
    <row r="97" spans="1:1">
      <c r="A97" t="str" cm="1">
        <f t="array" ref="A97">IFERROR(_xlfn.TEXTSPLIT(Input!A98,"*"),"")</f>
        <v/>
      </c>
    </row>
    <row r="98" spans="1:1">
      <c r="A98" t="str" cm="1">
        <f t="array" ref="A98">IFERROR(_xlfn.TEXTSPLIT(Input!A99,"*"),"")</f>
        <v/>
      </c>
    </row>
    <row r="99" spans="1:1">
      <c r="A99" t="str" cm="1">
        <f t="array" ref="A99">IFERROR(_xlfn.TEXTSPLIT(Input!A100,"*"),"")</f>
        <v/>
      </c>
    </row>
    <row r="100" spans="1:1">
      <c r="A100" t="str" cm="1">
        <f t="array" ref="A100">IFERROR(_xlfn.TEXTSPLIT(Input!A101,"*"),"")</f>
        <v/>
      </c>
    </row>
    <row r="101" spans="1:1">
      <c r="A101" t="str" cm="1">
        <f t="array" ref="A101">IFERROR(_xlfn.TEXTSPLIT(Input!A102,"*"),"")</f>
        <v/>
      </c>
    </row>
    <row r="102" spans="1:1">
      <c r="A102" t="str" cm="1">
        <f t="array" ref="A102">IFERROR(_xlfn.TEXTSPLIT(Input!A103,"*"),"")</f>
        <v/>
      </c>
    </row>
    <row r="103" spans="1:1">
      <c r="A103" t="str" cm="1">
        <f t="array" ref="A103">IFERROR(_xlfn.TEXTSPLIT(Input!A104,"*"),"")</f>
        <v/>
      </c>
    </row>
    <row r="104" spans="1:1">
      <c r="A104" t="str" cm="1">
        <f t="array" ref="A104">IFERROR(_xlfn.TEXTSPLIT(Input!A105,"*"),"")</f>
        <v/>
      </c>
    </row>
    <row r="105" spans="1:1">
      <c r="A105" t="str" cm="1">
        <f t="array" ref="A105">IFERROR(_xlfn.TEXTSPLIT(Input!A106,"*"),"")</f>
        <v/>
      </c>
    </row>
    <row r="106" spans="1:1">
      <c r="A106" t="str" cm="1">
        <f t="array" ref="A106">IFERROR(_xlfn.TEXTSPLIT(Input!A107,"*"),"")</f>
        <v/>
      </c>
    </row>
    <row r="107" spans="1:1">
      <c r="A107" t="str" cm="1">
        <f t="array" ref="A107">IFERROR(_xlfn.TEXTSPLIT(Input!A108,"*"),"")</f>
        <v/>
      </c>
    </row>
    <row r="108" spans="1:1">
      <c r="A108" t="str" cm="1">
        <f t="array" ref="A108">IFERROR(_xlfn.TEXTSPLIT(Input!A109,"*"),"")</f>
        <v/>
      </c>
    </row>
    <row r="109" spans="1:1">
      <c r="A109" t="str" cm="1">
        <f t="array" ref="A109">IFERROR(_xlfn.TEXTSPLIT(Input!A110,"*"),"")</f>
        <v/>
      </c>
    </row>
    <row r="110" spans="1:1">
      <c r="A110" t="str" cm="1">
        <f t="array" ref="A110">IFERROR(_xlfn.TEXTSPLIT(Input!A111,"*"),"")</f>
        <v/>
      </c>
    </row>
    <row r="111" spans="1:1">
      <c r="A111" t="str" cm="1">
        <f t="array" ref="A111">IFERROR(_xlfn.TEXTSPLIT(Input!A112,"*"),"")</f>
        <v/>
      </c>
    </row>
    <row r="112" spans="1:1">
      <c r="A112" t="str" cm="1">
        <f t="array" ref="A112">IFERROR(_xlfn.TEXTSPLIT(Input!A113,"*"),"")</f>
        <v/>
      </c>
    </row>
    <row r="113" spans="1:1">
      <c r="A113" t="str" cm="1">
        <f t="array" ref="A113">IFERROR(_xlfn.TEXTSPLIT(Input!A114,"*"),"")</f>
        <v/>
      </c>
    </row>
    <row r="114" spans="1:1">
      <c r="A114" t="str" cm="1">
        <f t="array" ref="A114">IFERROR(_xlfn.TEXTSPLIT(Input!A115,"*"),"")</f>
        <v/>
      </c>
    </row>
    <row r="115" spans="1:1">
      <c r="A115" t="str" cm="1">
        <f t="array" ref="A115">IFERROR(_xlfn.TEXTSPLIT(Input!A116,"*"),"")</f>
        <v/>
      </c>
    </row>
    <row r="116" spans="1:1">
      <c r="A116" t="str" cm="1">
        <f t="array" ref="A116">IFERROR(_xlfn.TEXTSPLIT(Input!A117,"*"),"")</f>
        <v/>
      </c>
    </row>
    <row r="117" spans="1:1">
      <c r="A117" t="str" cm="1">
        <f t="array" ref="A117">IFERROR(_xlfn.TEXTSPLIT(Input!A118,"*"),"")</f>
        <v/>
      </c>
    </row>
    <row r="118" spans="1:1">
      <c r="A118" t="str" cm="1">
        <f t="array" ref="A118">IFERROR(_xlfn.TEXTSPLIT(Input!A119,"*"),"")</f>
        <v/>
      </c>
    </row>
    <row r="119" spans="1:1">
      <c r="A119" t="str" cm="1">
        <f t="array" ref="A119">IFERROR(_xlfn.TEXTSPLIT(Input!A120,"*"),"")</f>
        <v/>
      </c>
    </row>
    <row r="120" spans="1:1">
      <c r="A120" t="str" cm="1">
        <f t="array" ref="A120">IFERROR(_xlfn.TEXTSPLIT(Input!A121,"*"),"")</f>
        <v/>
      </c>
    </row>
    <row r="121" spans="1:1">
      <c r="A121" t="str" cm="1">
        <f t="array" ref="A121">IFERROR(_xlfn.TEXTSPLIT(Input!A122,"*"),"")</f>
        <v/>
      </c>
    </row>
    <row r="122" spans="1:1">
      <c r="A122" t="str" cm="1">
        <f t="array" ref="A122">IFERROR(_xlfn.TEXTSPLIT(Input!A123,"*"),"")</f>
        <v/>
      </c>
    </row>
    <row r="123" spans="1:1">
      <c r="A123" t="str" cm="1">
        <f t="array" ref="A123">IFERROR(_xlfn.TEXTSPLIT(Input!A124,"*"),"")</f>
        <v/>
      </c>
    </row>
    <row r="124" spans="1:1">
      <c r="A124" t="str" cm="1">
        <f t="array" ref="A124">IFERROR(_xlfn.TEXTSPLIT(Input!A125,"*"),"")</f>
        <v/>
      </c>
    </row>
    <row r="125" spans="1:1">
      <c r="A125" t="str" cm="1">
        <f t="array" ref="A125">IFERROR(_xlfn.TEXTSPLIT(Input!A126,"*"),"")</f>
        <v/>
      </c>
    </row>
    <row r="126" spans="1:1">
      <c r="A126" t="str" cm="1">
        <f t="array" ref="A126">IFERROR(_xlfn.TEXTSPLIT(Input!A127,"*"),"")</f>
        <v/>
      </c>
    </row>
    <row r="127" spans="1:1">
      <c r="A127" t="str" cm="1">
        <f t="array" ref="A127">IFERROR(_xlfn.TEXTSPLIT(Input!A128,"*"),"")</f>
        <v/>
      </c>
    </row>
    <row r="128" spans="1:1">
      <c r="A128" t="str" cm="1">
        <f t="array" ref="A128">IFERROR(_xlfn.TEXTSPLIT(Input!A129,"*"),"")</f>
        <v/>
      </c>
    </row>
    <row r="129" spans="1:1">
      <c r="A129" t="str" cm="1">
        <f t="array" ref="A129">IFERROR(_xlfn.TEXTSPLIT(Input!A130,"*"),"")</f>
        <v/>
      </c>
    </row>
    <row r="130" spans="1:1">
      <c r="A130" t="str" cm="1">
        <f t="array" ref="A130">IFERROR(_xlfn.TEXTSPLIT(Input!A131,"*"),"")</f>
        <v/>
      </c>
    </row>
    <row r="131" spans="1:1">
      <c r="A131" t="str" cm="1">
        <f t="array" ref="A131">IFERROR(_xlfn.TEXTSPLIT(Input!A132,"*"),"")</f>
        <v/>
      </c>
    </row>
    <row r="132" spans="1:1">
      <c r="A132" t="str" cm="1">
        <f t="array" ref="A132">IFERROR(_xlfn.TEXTSPLIT(Input!A133,"*"),"")</f>
        <v/>
      </c>
    </row>
    <row r="133" spans="1:1">
      <c r="A133" t="str" cm="1">
        <f t="array" ref="A133">IFERROR(_xlfn.TEXTSPLIT(Input!A134,"*"),"")</f>
        <v/>
      </c>
    </row>
    <row r="134" spans="1:1">
      <c r="A134" t="str" cm="1">
        <f t="array" ref="A134">IFERROR(_xlfn.TEXTSPLIT(Input!A135,"*"),"")</f>
        <v/>
      </c>
    </row>
    <row r="135" spans="1:1">
      <c r="A135" t="str" cm="1">
        <f t="array" ref="A135">IFERROR(_xlfn.TEXTSPLIT(Input!A136,"*"),"")</f>
        <v/>
      </c>
    </row>
    <row r="136" spans="1:1">
      <c r="A136" t="str" cm="1">
        <f t="array" ref="A136">IFERROR(_xlfn.TEXTSPLIT(Input!A137,"*"),"")</f>
        <v/>
      </c>
    </row>
    <row r="137" spans="1:1">
      <c r="A137" t="str" cm="1">
        <f t="array" ref="A137">IFERROR(_xlfn.TEXTSPLIT(Input!A138,"*"),"")</f>
        <v/>
      </c>
    </row>
    <row r="138" spans="1:1">
      <c r="A138" t="str" cm="1">
        <f t="array" ref="A138">IFERROR(_xlfn.TEXTSPLIT(Input!A139,"*"),"")</f>
        <v/>
      </c>
    </row>
    <row r="139" spans="1:1">
      <c r="A139" t="str" cm="1">
        <f t="array" ref="A139">IFERROR(_xlfn.TEXTSPLIT(Input!A140,"*"),"")</f>
        <v/>
      </c>
    </row>
    <row r="140" spans="1:1">
      <c r="A140" t="str" cm="1">
        <f t="array" ref="A140">IFERROR(_xlfn.TEXTSPLIT(Input!A141,"*"),"")</f>
        <v/>
      </c>
    </row>
    <row r="141" spans="1:1">
      <c r="A141" t="str" cm="1">
        <f t="array" ref="A141">IFERROR(_xlfn.TEXTSPLIT(Input!A142,"*"),"")</f>
        <v/>
      </c>
    </row>
    <row r="142" spans="1:1">
      <c r="A142" t="str" cm="1">
        <f t="array" ref="A142">IFERROR(_xlfn.TEXTSPLIT(Input!A143,"*"),"")</f>
        <v/>
      </c>
    </row>
    <row r="143" spans="1:1">
      <c r="A143" t="str" cm="1">
        <f t="array" ref="A143">IFERROR(_xlfn.TEXTSPLIT(Input!A144,"*"),"")</f>
        <v/>
      </c>
    </row>
    <row r="144" spans="1:1">
      <c r="A144" t="str" cm="1">
        <f t="array" ref="A144">IFERROR(_xlfn.TEXTSPLIT(Input!A145,"*"),"")</f>
        <v/>
      </c>
    </row>
    <row r="145" spans="1:1">
      <c r="A145" t="str" cm="1">
        <f t="array" ref="A145">IFERROR(_xlfn.TEXTSPLIT(Input!A146,"*"),"")</f>
        <v/>
      </c>
    </row>
    <row r="146" spans="1:1">
      <c r="A146" t="str" cm="1">
        <f t="array" ref="A146">IFERROR(_xlfn.TEXTSPLIT(Input!A147,"*"),"")</f>
        <v/>
      </c>
    </row>
    <row r="147" spans="1:1">
      <c r="A147" t="str" cm="1">
        <f t="array" ref="A147">IFERROR(_xlfn.TEXTSPLIT(Input!A148,"*"),"")</f>
        <v/>
      </c>
    </row>
    <row r="148" spans="1:1">
      <c r="A148" t="str" cm="1">
        <f t="array" ref="A148">IFERROR(_xlfn.TEXTSPLIT(Input!A149,"*"),"")</f>
        <v/>
      </c>
    </row>
    <row r="149" spans="1:1">
      <c r="A149" t="str" cm="1">
        <f t="array" ref="A149">IFERROR(_xlfn.TEXTSPLIT(Input!A150,"*"),"")</f>
        <v/>
      </c>
    </row>
    <row r="150" spans="1:1">
      <c r="A150" t="str" cm="1">
        <f t="array" ref="A150">IFERROR(_xlfn.TEXTSPLIT(Input!A151,"*"),"")</f>
        <v/>
      </c>
    </row>
    <row r="151" spans="1:1">
      <c r="A151" t="str" cm="1">
        <f t="array" ref="A151">IFERROR(_xlfn.TEXTSPLIT(Input!A152,"*"),"")</f>
        <v/>
      </c>
    </row>
    <row r="152" spans="1:1">
      <c r="A152" t="str" cm="1">
        <f t="array" ref="A152">IFERROR(_xlfn.TEXTSPLIT(Input!A153,"*"),"")</f>
        <v/>
      </c>
    </row>
    <row r="153" spans="1:1">
      <c r="A153" t="str" cm="1">
        <f t="array" ref="A153">IFERROR(_xlfn.TEXTSPLIT(Input!A154,"*"),"")</f>
        <v/>
      </c>
    </row>
    <row r="154" spans="1:1">
      <c r="A154" t="str" cm="1">
        <f t="array" ref="A154">IFERROR(_xlfn.TEXTSPLIT(Input!A155,"*"),"")</f>
        <v/>
      </c>
    </row>
    <row r="155" spans="1:1">
      <c r="A155" t="str" cm="1">
        <f t="array" ref="A155">IFERROR(_xlfn.TEXTSPLIT(Input!A156,"*"),"")</f>
        <v/>
      </c>
    </row>
    <row r="156" spans="1:1">
      <c r="A156" t="str" cm="1">
        <f t="array" ref="A156">IFERROR(_xlfn.TEXTSPLIT(Input!A157,"*"),"")</f>
        <v/>
      </c>
    </row>
    <row r="157" spans="1:1">
      <c r="A157" t="str" cm="1">
        <f t="array" ref="A157">IFERROR(_xlfn.TEXTSPLIT(Input!A158,"*"),"")</f>
        <v/>
      </c>
    </row>
    <row r="158" spans="1:1">
      <c r="A158" t="str" cm="1">
        <f t="array" ref="A158">IFERROR(_xlfn.TEXTSPLIT(Input!A159,"*"),"")</f>
        <v/>
      </c>
    </row>
    <row r="159" spans="1:1">
      <c r="A159" t="str" cm="1">
        <f t="array" ref="A159">IFERROR(_xlfn.TEXTSPLIT(Input!A160,"*"),"")</f>
        <v/>
      </c>
    </row>
    <row r="160" spans="1:1">
      <c r="A160" t="str" cm="1">
        <f t="array" ref="A160">IFERROR(_xlfn.TEXTSPLIT(Input!A161,"*"),"")</f>
        <v/>
      </c>
    </row>
    <row r="161" spans="1:1">
      <c r="A161" t="str" cm="1">
        <f t="array" ref="A161">IFERROR(_xlfn.TEXTSPLIT(Input!A162,"*"),"")</f>
        <v/>
      </c>
    </row>
    <row r="162" spans="1:1">
      <c r="A162" t="str" cm="1">
        <f t="array" ref="A162">IFERROR(_xlfn.TEXTSPLIT(Input!A163,"*"),"")</f>
        <v/>
      </c>
    </row>
    <row r="163" spans="1:1">
      <c r="A163" t="str" cm="1">
        <f t="array" ref="A163">IFERROR(_xlfn.TEXTSPLIT(Input!A164,"*"),"")</f>
        <v/>
      </c>
    </row>
    <row r="164" spans="1:1">
      <c r="A164" t="str" cm="1">
        <f t="array" ref="A164">IFERROR(_xlfn.TEXTSPLIT(Input!A165,"*"),"")</f>
        <v/>
      </c>
    </row>
    <row r="165" spans="1:1">
      <c r="A165" t="str" cm="1">
        <f t="array" ref="A165">IFERROR(_xlfn.TEXTSPLIT(Input!A166,"*"),"")</f>
        <v/>
      </c>
    </row>
    <row r="166" spans="1:1">
      <c r="A166" t="str" cm="1">
        <f t="array" ref="A166">IFERROR(_xlfn.TEXTSPLIT(Input!A167,"*"),"")</f>
        <v/>
      </c>
    </row>
    <row r="167" spans="1:1">
      <c r="A167" t="str" cm="1">
        <f t="array" ref="A167">IFERROR(_xlfn.TEXTSPLIT(Input!A168,"*"),"")</f>
        <v/>
      </c>
    </row>
    <row r="168" spans="1:1">
      <c r="A168" t="str" cm="1">
        <f t="array" ref="A168">IFERROR(_xlfn.TEXTSPLIT(Input!A169,"*"),"")</f>
        <v/>
      </c>
    </row>
    <row r="169" spans="1:1">
      <c r="A169" t="str" cm="1">
        <f t="array" ref="A169">IFERROR(_xlfn.TEXTSPLIT(Input!A170,"*"),"")</f>
        <v/>
      </c>
    </row>
    <row r="170" spans="1:1">
      <c r="A170" t="str" cm="1">
        <f t="array" ref="A170">IFERROR(_xlfn.TEXTSPLIT(Input!A171,"*"),"")</f>
        <v/>
      </c>
    </row>
    <row r="171" spans="1:1">
      <c r="A171" t="str" cm="1">
        <f t="array" ref="A171">IFERROR(_xlfn.TEXTSPLIT(Input!A172,"*"),"")</f>
        <v/>
      </c>
    </row>
    <row r="172" spans="1:1">
      <c r="A172" t="str" cm="1">
        <f t="array" ref="A172">IFERROR(_xlfn.TEXTSPLIT(Input!A173,"*"),"")</f>
        <v/>
      </c>
    </row>
    <row r="173" spans="1:1">
      <c r="A173" t="str" cm="1">
        <f t="array" ref="A173">IFERROR(_xlfn.TEXTSPLIT(Input!A174,"*"),"")</f>
        <v/>
      </c>
    </row>
    <row r="174" spans="1:1">
      <c r="A174" t="str" cm="1">
        <f t="array" ref="A174">IFERROR(_xlfn.TEXTSPLIT(Input!A175,"*"),"")</f>
        <v/>
      </c>
    </row>
    <row r="175" spans="1:1">
      <c r="A175" t="str" cm="1">
        <f t="array" ref="A175">IFERROR(_xlfn.TEXTSPLIT(Input!A176,"*"),"")</f>
        <v/>
      </c>
    </row>
    <row r="176" spans="1:1">
      <c r="A176" t="str" cm="1">
        <f t="array" ref="A176">IFERROR(_xlfn.TEXTSPLIT(Input!A177,"*"),"")</f>
        <v/>
      </c>
    </row>
    <row r="177" spans="1:1">
      <c r="A177" t="str" cm="1">
        <f t="array" ref="A177">IFERROR(_xlfn.TEXTSPLIT(Input!A178,"*"),"")</f>
        <v/>
      </c>
    </row>
    <row r="178" spans="1:1">
      <c r="A178" t="str" cm="1">
        <f t="array" ref="A178">IFERROR(_xlfn.TEXTSPLIT(Input!A179,"*"),"")</f>
        <v/>
      </c>
    </row>
    <row r="179" spans="1:1">
      <c r="A179" t="str" cm="1">
        <f t="array" ref="A179">IFERROR(_xlfn.TEXTSPLIT(Input!A180,"*"),"")</f>
        <v/>
      </c>
    </row>
    <row r="180" spans="1:1">
      <c r="A180" t="str" cm="1">
        <f t="array" ref="A180">IFERROR(_xlfn.TEXTSPLIT(Input!A181,"*"),"")</f>
        <v/>
      </c>
    </row>
    <row r="181" spans="1:1">
      <c r="A181" t="str" cm="1">
        <f t="array" ref="A181">IFERROR(_xlfn.TEXTSPLIT(Input!A182,"*"),"")</f>
        <v/>
      </c>
    </row>
    <row r="182" spans="1:1">
      <c r="A182" t="str" cm="1">
        <f t="array" ref="A182">IFERROR(_xlfn.TEXTSPLIT(Input!A183,"*"),"")</f>
        <v/>
      </c>
    </row>
    <row r="183" spans="1:1">
      <c r="A183" t="str" cm="1">
        <f t="array" ref="A183">IFERROR(_xlfn.TEXTSPLIT(Input!A184,"*"),"")</f>
        <v/>
      </c>
    </row>
    <row r="184" spans="1:1">
      <c r="A184" t="str" cm="1">
        <f t="array" ref="A184">IFERROR(_xlfn.TEXTSPLIT(Input!A185,"*"),"")</f>
        <v/>
      </c>
    </row>
    <row r="185" spans="1:1">
      <c r="A185" t="str" cm="1">
        <f t="array" ref="A185">IFERROR(_xlfn.TEXTSPLIT(Input!A186,"*"),"")</f>
        <v/>
      </c>
    </row>
    <row r="186" spans="1:1">
      <c r="A186" t="str" cm="1">
        <f t="array" ref="A186">IFERROR(_xlfn.TEXTSPLIT(Input!A187,"*"),"")</f>
        <v/>
      </c>
    </row>
    <row r="187" spans="1:1">
      <c r="A187" t="str" cm="1">
        <f t="array" ref="A187">IFERROR(_xlfn.TEXTSPLIT(Input!A188,"*"),"")</f>
        <v/>
      </c>
    </row>
    <row r="188" spans="1:1">
      <c r="A188" t="str" cm="1">
        <f t="array" ref="A188">IFERROR(_xlfn.TEXTSPLIT(Input!A189,"*"),"")</f>
        <v/>
      </c>
    </row>
    <row r="189" spans="1:1">
      <c r="A189" t="str" cm="1">
        <f t="array" ref="A189">IFERROR(_xlfn.TEXTSPLIT(Input!A190,"*"),"")</f>
        <v/>
      </c>
    </row>
    <row r="190" spans="1:1">
      <c r="A190" t="str" cm="1">
        <f t="array" ref="A190">IFERROR(_xlfn.TEXTSPLIT(Input!A191,"*"),"")</f>
        <v/>
      </c>
    </row>
    <row r="191" spans="1:1">
      <c r="A191" t="str" cm="1">
        <f t="array" ref="A191">IFERROR(_xlfn.TEXTSPLIT(Input!A192,"*"),"")</f>
        <v/>
      </c>
    </row>
    <row r="192" spans="1:1">
      <c r="A192" t="str" cm="1">
        <f t="array" ref="A192">IFERROR(_xlfn.TEXTSPLIT(Input!A193,"*"),"")</f>
        <v/>
      </c>
    </row>
    <row r="193" spans="1:1">
      <c r="A193" t="str" cm="1">
        <f t="array" ref="A193">IFERROR(_xlfn.TEXTSPLIT(Input!A194,"*"),"")</f>
        <v/>
      </c>
    </row>
    <row r="194" spans="1:1">
      <c r="A194" t="str" cm="1">
        <f t="array" ref="A194">IFERROR(_xlfn.TEXTSPLIT(Input!A195,"*"),"")</f>
        <v/>
      </c>
    </row>
    <row r="195" spans="1:1">
      <c r="A195" t="str" cm="1">
        <f t="array" ref="A195">IFERROR(_xlfn.TEXTSPLIT(Input!A196,"*"),"")</f>
        <v/>
      </c>
    </row>
    <row r="196" spans="1:1">
      <c r="A196" t="str" cm="1">
        <f t="array" ref="A196">IFERROR(_xlfn.TEXTSPLIT(Input!A197,"*"),"")</f>
        <v/>
      </c>
    </row>
    <row r="197" spans="1:1">
      <c r="A197" t="str" cm="1">
        <f t="array" ref="A197">IFERROR(_xlfn.TEXTSPLIT(Input!A198,"*"),"")</f>
        <v/>
      </c>
    </row>
    <row r="198" spans="1:1">
      <c r="A198" t="str" cm="1">
        <f t="array" ref="A198">IFERROR(_xlfn.TEXTSPLIT(Input!A199,"*"),"")</f>
        <v/>
      </c>
    </row>
    <row r="199" spans="1:1">
      <c r="A199" t="str" cm="1">
        <f t="array" ref="A199">IFERROR(_xlfn.TEXTSPLIT(Input!A200,"*"),"")</f>
        <v/>
      </c>
    </row>
    <row r="200" spans="1:1">
      <c r="A200" t="str" cm="1">
        <f t="array" ref="A200">IFERROR(_xlfn.TEXTSPLIT(Input!A201,"*"),"")</f>
        <v/>
      </c>
    </row>
    <row r="201" spans="1:1">
      <c r="A201" t="str" cm="1">
        <f t="array" ref="A201">IFERROR(_xlfn.TEXTSPLIT(Input!A202,"*"),"")</f>
        <v/>
      </c>
    </row>
    <row r="202" spans="1:1">
      <c r="A202" t="str" cm="1">
        <f t="array" ref="A202">IFERROR(_xlfn.TEXTSPLIT(Input!A203,"*"),"")</f>
        <v/>
      </c>
    </row>
    <row r="203" spans="1:1">
      <c r="A203" t="str" cm="1">
        <f t="array" ref="A203">IFERROR(_xlfn.TEXTSPLIT(Input!A204,"*"),"")</f>
        <v/>
      </c>
    </row>
    <row r="204" spans="1:1">
      <c r="A204" t="str" cm="1">
        <f t="array" ref="A204">IFERROR(_xlfn.TEXTSPLIT(Input!A205,"*"),"")</f>
        <v/>
      </c>
    </row>
    <row r="205" spans="1:1">
      <c r="A205" t="str" cm="1">
        <f t="array" ref="A205">IFERROR(_xlfn.TEXTSPLIT(Input!A206,"*"),"")</f>
        <v/>
      </c>
    </row>
    <row r="206" spans="1:1">
      <c r="A206" t="str" cm="1">
        <f t="array" ref="A206">IFERROR(_xlfn.TEXTSPLIT(Input!A207,"*"),"")</f>
        <v/>
      </c>
    </row>
    <row r="207" spans="1:1">
      <c r="A207" t="str" cm="1">
        <f t="array" ref="A207">IFERROR(_xlfn.TEXTSPLIT(Input!A208,"*"),"")</f>
        <v/>
      </c>
    </row>
    <row r="208" spans="1:1">
      <c r="A208" t="str" cm="1">
        <f t="array" ref="A208">IFERROR(_xlfn.TEXTSPLIT(Input!A209,"*"),"")</f>
        <v/>
      </c>
    </row>
    <row r="209" spans="1:1">
      <c r="A209" t="str" cm="1">
        <f t="array" ref="A209">IFERROR(_xlfn.TEXTSPLIT(Input!A210,"*"),"")</f>
        <v/>
      </c>
    </row>
    <row r="210" spans="1:1">
      <c r="A210" t="str" cm="1">
        <f t="array" ref="A210">IFERROR(_xlfn.TEXTSPLIT(Input!A211,"*"),"")</f>
        <v/>
      </c>
    </row>
    <row r="211" spans="1:1">
      <c r="A211" t="str" cm="1">
        <f t="array" ref="A211">IFERROR(_xlfn.TEXTSPLIT(Input!A212,"*"),"")</f>
        <v/>
      </c>
    </row>
    <row r="212" spans="1:1">
      <c r="A212" t="str" cm="1">
        <f t="array" ref="A212">IFERROR(_xlfn.TEXTSPLIT(Input!A213,"*"),"")</f>
        <v/>
      </c>
    </row>
    <row r="213" spans="1:1">
      <c r="A213" t="str" cm="1">
        <f t="array" ref="A213">IFERROR(_xlfn.TEXTSPLIT(Input!A214,"*"),"")</f>
        <v/>
      </c>
    </row>
    <row r="214" spans="1:1">
      <c r="A214" t="str" cm="1">
        <f t="array" ref="A214">IFERROR(_xlfn.TEXTSPLIT(Input!A215,"*"),"")</f>
        <v/>
      </c>
    </row>
    <row r="215" spans="1:1">
      <c r="A215" t="str" cm="1">
        <f t="array" ref="A215">IFERROR(_xlfn.TEXTSPLIT(Input!A216,"*"),"")</f>
        <v/>
      </c>
    </row>
    <row r="216" spans="1:1">
      <c r="A216" t="str" cm="1">
        <f t="array" ref="A216">IFERROR(_xlfn.TEXTSPLIT(Input!A217,"*"),"")</f>
        <v/>
      </c>
    </row>
    <row r="217" spans="1:1">
      <c r="A217" t="str" cm="1">
        <f t="array" ref="A217">IFERROR(_xlfn.TEXTSPLIT(Input!A218,"*"),"")</f>
        <v/>
      </c>
    </row>
    <row r="218" spans="1:1">
      <c r="A218" t="str" cm="1">
        <f t="array" ref="A218">IFERROR(_xlfn.TEXTSPLIT(Input!A219,"*"),"")</f>
        <v/>
      </c>
    </row>
    <row r="219" spans="1:1">
      <c r="A219" t="str" cm="1">
        <f t="array" ref="A219">IFERROR(_xlfn.TEXTSPLIT(Input!A220,"*"),"")</f>
        <v/>
      </c>
    </row>
    <row r="220" spans="1:1">
      <c r="A220" t="str" cm="1">
        <f t="array" ref="A220">IFERROR(_xlfn.TEXTSPLIT(Input!A221,"*"),"")</f>
        <v/>
      </c>
    </row>
    <row r="221" spans="1:1">
      <c r="A221" t="str" cm="1">
        <f t="array" ref="A221">IFERROR(_xlfn.TEXTSPLIT(Input!A222,"*"),"")</f>
        <v/>
      </c>
    </row>
    <row r="222" spans="1:1">
      <c r="A222" t="str" cm="1">
        <f t="array" ref="A222">IFERROR(_xlfn.TEXTSPLIT(Input!A223,"*"),"")</f>
        <v/>
      </c>
    </row>
    <row r="223" spans="1:1">
      <c r="A223" t="str" cm="1">
        <f t="array" ref="A223">IFERROR(_xlfn.TEXTSPLIT(Input!A224,"*"),"")</f>
        <v/>
      </c>
    </row>
    <row r="224" spans="1:1">
      <c r="A224" t="str" cm="1">
        <f t="array" ref="A224">IFERROR(_xlfn.TEXTSPLIT(Input!A225,"*"),"")</f>
        <v/>
      </c>
    </row>
    <row r="225" spans="1:1">
      <c r="A225" t="str" cm="1">
        <f t="array" ref="A225">IFERROR(_xlfn.TEXTSPLIT(Input!A226,"*"),"")</f>
        <v/>
      </c>
    </row>
    <row r="226" spans="1:1">
      <c r="A226" t="str" cm="1">
        <f t="array" ref="A226">IFERROR(_xlfn.TEXTSPLIT(Input!A227,"*"),"")</f>
        <v/>
      </c>
    </row>
    <row r="227" spans="1:1">
      <c r="A227" t="str" cm="1">
        <f t="array" ref="A227">IFERROR(_xlfn.TEXTSPLIT(Input!A228,"*"),"")</f>
        <v/>
      </c>
    </row>
    <row r="228" spans="1:1">
      <c r="A228" t="str" cm="1">
        <f t="array" ref="A228">IFERROR(_xlfn.TEXTSPLIT(Input!A229,"*"),"")</f>
        <v/>
      </c>
    </row>
    <row r="229" spans="1:1">
      <c r="A229" t="str" cm="1">
        <f t="array" ref="A229">IFERROR(_xlfn.TEXTSPLIT(Input!A230,"*"),"")</f>
        <v/>
      </c>
    </row>
    <row r="230" spans="1:1">
      <c r="A230" t="str" cm="1">
        <f t="array" ref="A230">IFERROR(_xlfn.TEXTSPLIT(Input!A231,"*"),"")</f>
        <v/>
      </c>
    </row>
    <row r="231" spans="1:1">
      <c r="A231" t="str" cm="1">
        <f t="array" ref="A231">IFERROR(_xlfn.TEXTSPLIT(Input!A232,"*"),"")</f>
        <v/>
      </c>
    </row>
    <row r="232" spans="1:1">
      <c r="A232" t="str" cm="1">
        <f t="array" ref="A232">IFERROR(_xlfn.TEXTSPLIT(Input!A233,"*"),"")</f>
        <v/>
      </c>
    </row>
    <row r="233" spans="1:1">
      <c r="A233" t="str" cm="1">
        <f t="array" ref="A233">IFERROR(_xlfn.TEXTSPLIT(Input!A234,"*"),"")</f>
        <v/>
      </c>
    </row>
    <row r="234" spans="1:1">
      <c r="A234" t="str" cm="1">
        <f t="array" ref="A234">IFERROR(_xlfn.TEXTSPLIT(Input!A235,"*"),"")</f>
        <v/>
      </c>
    </row>
    <row r="235" spans="1:1">
      <c r="A235" t="str" cm="1">
        <f t="array" ref="A235">IFERROR(_xlfn.TEXTSPLIT(Input!A236,"*"),"")</f>
        <v/>
      </c>
    </row>
    <row r="236" spans="1:1">
      <c r="A236" t="str" cm="1">
        <f t="array" ref="A236">IFERROR(_xlfn.TEXTSPLIT(Input!A237,"*"),"")</f>
        <v/>
      </c>
    </row>
    <row r="237" spans="1:1">
      <c r="A237" t="str" cm="1">
        <f t="array" ref="A237">IFERROR(_xlfn.TEXTSPLIT(Input!A238,"*"),"")</f>
        <v/>
      </c>
    </row>
    <row r="238" spans="1:1">
      <c r="A238" t="str" cm="1">
        <f t="array" ref="A238">IFERROR(_xlfn.TEXTSPLIT(Input!A239,"*"),"")</f>
        <v/>
      </c>
    </row>
    <row r="239" spans="1:1">
      <c r="A239" t="str" cm="1">
        <f t="array" ref="A239">IFERROR(_xlfn.TEXTSPLIT(Input!A240,"*"),"")</f>
        <v/>
      </c>
    </row>
    <row r="240" spans="1:1">
      <c r="A240" t="str" cm="1">
        <f t="array" ref="A240">IFERROR(_xlfn.TEXTSPLIT(Input!A241,"*"),"")</f>
        <v/>
      </c>
    </row>
    <row r="241" spans="1:1">
      <c r="A241" t="str" cm="1">
        <f t="array" ref="A241">IFERROR(_xlfn.TEXTSPLIT(Input!A242,"*"),"")</f>
        <v/>
      </c>
    </row>
    <row r="242" spans="1:1">
      <c r="A242" t="str" cm="1">
        <f t="array" ref="A242">IFERROR(_xlfn.TEXTSPLIT(Input!A243,"*"),"")</f>
        <v/>
      </c>
    </row>
    <row r="243" spans="1:1">
      <c r="A243" t="str" cm="1">
        <f t="array" ref="A243">IFERROR(_xlfn.TEXTSPLIT(Input!A244,"*"),"")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3DA2B-B715-491E-AC27-1379016E487C}">
  <sheetPr codeName="Sheet7"/>
  <dimension ref="A1:AK260"/>
  <sheetViews>
    <sheetView topLeftCell="P1" zoomScaleNormal="100" workbookViewId="0">
      <pane ySplit="1" topLeftCell="A2" activePane="bottomLeft" state="frozen"/>
      <selection activeCell="E1" sqref="E1"/>
      <selection pane="bottomLeft" activeCell="AB2" sqref="AB2"/>
    </sheetView>
  </sheetViews>
  <sheetFormatPr defaultRowHeight="15"/>
  <cols>
    <col min="1" max="1" width="15.85546875" customWidth="1"/>
    <col min="2" max="2" width="17" customWidth="1"/>
    <col min="3" max="3" width="17" style="13" hidden="1" customWidth="1"/>
    <col min="4" max="4" width="20.28515625" customWidth="1"/>
    <col min="8" max="8" width="22.42578125" customWidth="1"/>
    <col min="11" max="11" width="18.42578125" customWidth="1"/>
    <col min="12" max="12" width="23.85546875" style="13" customWidth="1"/>
    <col min="13" max="15" width="38.42578125" style="13" customWidth="1"/>
    <col min="16" max="16" width="38.42578125" customWidth="1"/>
    <col min="17" max="17" width="16.28515625" customWidth="1"/>
    <col min="18" max="18" width="15.140625" bestFit="1" customWidth="1"/>
    <col min="19" max="22" width="15.140625" style="13" customWidth="1"/>
    <col min="23" max="23" width="24.28515625" style="13" customWidth="1"/>
    <col min="24" max="28" width="15.140625" style="13" customWidth="1"/>
    <col min="29" max="29" width="46.5703125" customWidth="1"/>
    <col min="30" max="30" width="17.28515625" bestFit="1" customWidth="1"/>
    <col min="31" max="31" width="15.85546875" bestFit="1" customWidth="1"/>
    <col min="32" max="32" width="18" bestFit="1" customWidth="1"/>
    <col min="33" max="33" width="17.140625" bestFit="1" customWidth="1"/>
    <col min="34" max="34" width="26.7109375" bestFit="1" customWidth="1"/>
    <col min="35" max="36" width="12.5703125" bestFit="1" customWidth="1"/>
    <col min="37" max="37" width="11.28515625" bestFit="1" customWidth="1"/>
  </cols>
  <sheetData>
    <row r="1" spans="1:37" ht="18" thickBot="1">
      <c r="A1" s="1" t="s">
        <v>0</v>
      </c>
      <c r="B1" s="1" t="s">
        <v>1</v>
      </c>
      <c r="C1" s="12" t="s">
        <v>2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2" t="s">
        <v>10</v>
      </c>
      <c r="M1" s="12" t="s">
        <v>288</v>
      </c>
      <c r="N1" s="12" t="s">
        <v>289</v>
      </c>
      <c r="O1" s="12" t="s">
        <v>290</v>
      </c>
      <c r="P1" s="1" t="s">
        <v>10</v>
      </c>
      <c r="Q1" s="1" t="s">
        <v>11</v>
      </c>
      <c r="R1" s="1" t="s">
        <v>12</v>
      </c>
      <c r="S1" s="12" t="s">
        <v>301</v>
      </c>
      <c r="T1" s="12" t="s">
        <v>300</v>
      </c>
      <c r="U1" s="42" t="s">
        <v>19</v>
      </c>
      <c r="V1" s="42"/>
      <c r="W1" s="42"/>
      <c r="X1" s="42"/>
      <c r="Y1" s="42"/>
      <c r="Z1" s="42"/>
      <c r="AA1" s="12"/>
      <c r="AB1" s="12"/>
      <c r="AC1" s="1" t="s">
        <v>13</v>
      </c>
      <c r="AD1" s="1" t="s">
        <v>14</v>
      </c>
      <c r="AE1" s="1" t="s">
        <v>15</v>
      </c>
      <c r="AF1" s="1" t="s">
        <v>16</v>
      </c>
      <c r="AG1" s="1" t="s">
        <v>17</v>
      </c>
      <c r="AH1" s="1" t="s">
        <v>18</v>
      </c>
      <c r="AI1" s="1" t="s">
        <v>19</v>
      </c>
      <c r="AJ1" s="1" t="s">
        <v>20</v>
      </c>
      <c r="AK1" s="1" t="s">
        <v>21</v>
      </c>
    </row>
    <row r="2" spans="1:37" ht="15.75" thickTop="1">
      <c r="A2" t="str">
        <f>_xlfn.TEXTJOIN("",TRUE,_xlfn.XLOOKUP(B2,Input!J:J,Input!G:G,"",0,1),_xlfn.XLOOKUP(B2,Input!J:J,Input!H:H,"",0,1))</f>
        <v/>
      </c>
      <c r="B2" cm="1">
        <f t="array" ref="B2">_xlfn.UNIQUE(_xlfn._xlws.FILTER(Input!J2:J500,ISNA(MATCH(Input!J2:J500,MacReports!B:B,0))))</f>
        <v>0</v>
      </c>
      <c r="C2" s="13" t="e">
        <f>_xlfn.XLOOKUP(B2,Input!J:J,Input!F:F)</f>
        <v>#N/A</v>
      </c>
      <c r="D2" t="e">
        <f>_xlfn.XLOOKUP(C2,Models!H:H,Models!G:G,C2)</f>
        <v>#N/A</v>
      </c>
      <c r="F2" t="e">
        <f>_xlfn.XLOOKUP(H2,Models!B:B,Models!F:F,"")</f>
        <v>#N/A</v>
      </c>
      <c r="G2" t="e">
        <f>_xlfn.XLOOKUP(B2,Input!J:J,Input!E:E)</f>
        <v>#N/A</v>
      </c>
      <c r="H2" t="e">
        <f>IF(G2="LENOVO",_xlfn.XLOOKUP(B2,Input!J:J,Input!K:K),_xlfn.XLOOKUP(B2,Input!J:J,Input!L:L))</f>
        <v>#N/A</v>
      </c>
      <c r="K2" t="str">
        <f>_xlfn.XLOOKUP(B2,CPU_Formula!A:A,CPU_Formula!I:I)</f>
        <v/>
      </c>
      <c r="L2" s="13" t="e">
        <f>INDEX(Input!$D$2:$AC$500,
       MATCH(B2, Input!$J$2:$J$500, 0),
       MATCH("Memory Capacity", Input!$D$1:$AC$1, 0))</f>
        <v>#N/A</v>
      </c>
      <c r="M2" s="13" t="e">
        <f>INDEX(Input!$D$2:$AC$500,
       MATCH(B2, Input!$J$2:$J$500, 0),
       MATCH("Memory Type", Input!$D$1:$AC$1, 0))</f>
        <v>#N/A</v>
      </c>
      <c r="N2" s="13" t="e">
        <f>IF(ISNUMBER(L2), L2, SUBSTITUTE(SUBSTITUTE(SUBSTITUTE(L2,"GiB","")," ",""),"/","+"))</f>
        <v>#N/A</v>
      </c>
      <c r="O2" s="13" t="str" cm="1">
        <f t="array" ref="O2">IFERROR(_xlfn.FILTERXML("&lt;t&gt;&lt;s&gt;" &amp; SUBSTITUTE(M2," / ","&lt;/s&gt;&lt;s&gt;") &amp; "&lt;/s&gt;&lt;/t&gt;","(//s[contains(.,'DDR')])[1]"),"")</f>
        <v/>
      </c>
      <c r="P2" t="e">
        <f>_xlfn.TEXTJOIN(" ",TRUE,N2,"GB",O2)</f>
        <v>#N/A</v>
      </c>
      <c r="Q2" t="e">
        <f>INDEX(Input!$D$2:$AC$500,
       MATCH(B2, Input!$J$2:$J$500, 0),
       MATCH("Disk Capacity", Input!$D$1:$AC$1, 0))</f>
        <v>#N/A</v>
      </c>
      <c r="S2" s="13" t="e">
        <f>_xlfn.LET(_xlpm.Result,INDEX(Input!$D$2:$AC$500,
       MATCH(B2, Input!$J$2:$J$500, 0),
       MATCH("Capacity", Input!$D$1:$AC$1, 0)),IF(_xlpm.Result="","",_xlpm.Result))</f>
        <v>#N/A</v>
      </c>
      <c r="T2" s="13" t="str" cm="1">
        <f t="array" ref="T2">IFERROR(_xlfn.IFS(
   --S2&lt;55,"Battery Defect",
  -- S2&lt;=69,"Battery D",
  --S2&lt;=80,"Battery C",
 --S2&gt;80,""
),"")</f>
        <v/>
      </c>
      <c r="U2" s="13" t="str" cm="1">
        <f t="array" ref="U2">IFERROR(IF(_xlfn.XLOOKUP(B2,Input!J:J,Input!N:U)=0,"",
          _xlfn.XLOOKUP(B2,Input!J:J,Input!N:U)),"")</f>
        <v/>
      </c>
      <c r="AC2" t="str">
        <f>_xlfn.TEXTJOIN(", ",TRUE,T2,U2,V2,W2,X2,Y2,Z2)</f>
        <v/>
      </c>
      <c r="AD2" t="str">
        <f>_xlfn.XLOOKUP(B:B,Disk_Pivot!G:G,Disk_Pivot!I:I)</f>
        <v>Yes</v>
      </c>
      <c r="AE2" t="str">
        <f>_xlfn.XLOOKUP(B2,Disk_Pivot!G:G,Disk_Pivot!N:N)</f>
        <v>Fail</v>
      </c>
    </row>
    <row r="3" spans="1:37">
      <c r="A3" t="str">
        <f>_xlfn.TEXTJOIN("",TRUE,_xlfn.XLOOKUP(B3,Input!J:J,Input!G:G,"",0,1),_xlfn.XLOOKUP(B3,Input!J:J,Input!H:H,"",0,1))</f>
        <v/>
      </c>
      <c r="C3" s="13">
        <f>_xlfn.XLOOKUP(B3,Input!J:J,Input!F:F)</f>
        <v>0</v>
      </c>
      <c r="D3">
        <f>_xlfn.XLOOKUP(C3,Models!H:H,Models!G:G,C3)</f>
        <v>0</v>
      </c>
      <c r="F3" t="str">
        <f>_xlfn.XLOOKUP(H3,Models!B:B,Models!F:F,"")</f>
        <v/>
      </c>
      <c r="G3">
        <f>_xlfn.XLOOKUP(B3,Input!J:J,Input!E:E)</f>
        <v>0</v>
      </c>
      <c r="H3">
        <f>IF(G3="LENOVO",_xlfn.XLOOKUP(B3,Input!J:J,Input!K:K),_xlfn.XLOOKUP(B3,Input!J:J,Input!L:L))</f>
        <v>0</v>
      </c>
      <c r="K3">
        <f>_xlfn.XLOOKUP(B3,CPU_Formula!A:A,CPU_Formula!I:I)</f>
        <v>0</v>
      </c>
      <c r="L3" s="13" t="e">
        <f>INDEX(Input!$D$2:$AC$500,
       MATCH(B3, Input!$J$2:$J$500, 0),
       MATCH("Memory Capacity", Input!$D$1:$AC$1, 0))</f>
        <v>#N/A</v>
      </c>
      <c r="M3" s="13" t="e">
        <f>INDEX(Input!$D$2:$AC$500,
       MATCH(B3, Input!$J$2:$J$500, 0),
       MATCH("Memory Type", Input!$D$1:$AC$1, 0))</f>
        <v>#N/A</v>
      </c>
      <c r="N3" s="13" t="e">
        <f t="shared" ref="N3:N66" si="0">IF(ISNUMBER(L3), L3, SUBSTITUTE(SUBSTITUTE(SUBSTITUTE(L3,"GiB","")," ",""),"/","+"))</f>
        <v>#N/A</v>
      </c>
      <c r="O3" s="13" t="str" cm="1">
        <f t="array" ref="O3">IFERROR(_xlfn.FILTERXML("&lt;t&gt;&lt;s&gt;" &amp; SUBSTITUTE(M3," / ","&lt;/s&gt;&lt;s&gt;") &amp; "&lt;/s&gt;&lt;/t&gt;","(//s[contains(.,'DDR')])[1]"),"")</f>
        <v/>
      </c>
      <c r="P3" t="e">
        <f t="shared" ref="P3:P66" si="1">_xlfn.TEXTJOIN(" ",TRUE,N3,"GB",O3)</f>
        <v>#N/A</v>
      </c>
      <c r="Q3" t="e">
        <f>INDEX(Input!$D$2:$AC$500,
       MATCH(B3, Input!$J$2:$J$500, 0),
       MATCH("Disk Capacity", Input!$D$1:$AC$1, 0))</f>
        <v>#N/A</v>
      </c>
      <c r="S3" s="13" t="e">
        <f>_xlfn.LET(_xlpm.Result,INDEX(Input!$D$2:$AC$500,
       MATCH(B3, Input!$J$2:$J$500, 0),
       MATCH("Capacity", Input!$D$1:$AC$1, 0)),IF(_xlpm.Result="","",_xlpm.Result))</f>
        <v>#N/A</v>
      </c>
      <c r="T3" s="13" t="str" cm="1">
        <f t="array" ref="T3">IFERROR(_xlfn.IFS(
   --S3&lt;55,"Battery Defect",
  -- S3&lt;=69,"Battery D",
  --S3&lt;=80,"Battery C",
 --S3&gt;80,""
),"")</f>
        <v/>
      </c>
      <c r="U3" s="13" t="str" cm="1">
        <f t="array" ref="U3:AB3">IFERROR(IF(_xlfn.XLOOKUP(B3,Input!J:J,Input!N:U)=0,"",
          _xlfn.XLOOKUP(B3,Input!J:J,Input!N:U)),"")</f>
        <v/>
      </c>
      <c r="V3" s="13" t="str">
        <v/>
      </c>
      <c r="W3" s="13" t="str">
        <v/>
      </c>
      <c r="X3" s="13" t="str">
        <v/>
      </c>
      <c r="Y3" s="13" t="str">
        <v/>
      </c>
      <c r="Z3" s="13" t="str">
        <v/>
      </c>
      <c r="AA3" s="13" t="str">
        <v/>
      </c>
      <c r="AB3" s="13" t="str">
        <v/>
      </c>
      <c r="AC3" t="str">
        <f t="shared" ref="AC3:AC66" si="2">_xlfn.TEXTJOIN(", ",TRUE,T3,U3,V3,W3,X3,Y3,Z3)</f>
        <v/>
      </c>
      <c r="AD3" t="str">
        <f>_xlfn.XLOOKUP(B:B,Disk_Pivot!G:G,Disk_Pivot!I:I)</f>
        <v>Yes</v>
      </c>
      <c r="AE3" t="str">
        <f>_xlfn.XLOOKUP(B3,Disk_Pivot!G:G,Disk_Pivot!N:N)</f>
        <v>Fail</v>
      </c>
    </row>
    <row r="4" spans="1:37">
      <c r="A4" t="str">
        <f>_xlfn.TEXTJOIN("",TRUE,_xlfn.XLOOKUP(B4,Input!J:J,Input!G:G,"",0,1),_xlfn.XLOOKUP(B4,Input!J:J,Input!H:H,"",0,1))</f>
        <v/>
      </c>
      <c r="C4" s="13">
        <f>_xlfn.XLOOKUP(B4,Input!J:J,Input!F:F)</f>
        <v>0</v>
      </c>
      <c r="D4">
        <f>_xlfn.XLOOKUP(C4,Models!H:H,Models!G:G,C4)</f>
        <v>0</v>
      </c>
      <c r="F4" t="str">
        <f>_xlfn.XLOOKUP(H4,Models!B:B,Models!F:F,"")</f>
        <v/>
      </c>
      <c r="G4">
        <f>_xlfn.XLOOKUP(B4,Input!J:J,Input!E:E)</f>
        <v>0</v>
      </c>
      <c r="H4">
        <f>IF(G4="LENOVO",_xlfn.XLOOKUP(B4,Input!J:J,Input!K:K),_xlfn.XLOOKUP(B4,Input!J:J,Input!L:L))</f>
        <v>0</v>
      </c>
      <c r="K4">
        <f>_xlfn.XLOOKUP(B4,CPU_Formula!A:A,CPU_Formula!I:I)</f>
        <v>0</v>
      </c>
      <c r="L4" s="13" t="e">
        <f>INDEX(Input!$D$2:$AC$500,
       MATCH(B4, Input!$J$2:$J$500, 0),
       MATCH("Memory Capacity", Input!$D$1:$AC$1, 0))</f>
        <v>#N/A</v>
      </c>
      <c r="M4" s="13" t="e">
        <f>INDEX(Input!$D$2:$AC$500,
       MATCH(B4, Input!$J$2:$J$500, 0),
       MATCH("Memory Type", Input!$D$1:$AC$1, 0))</f>
        <v>#N/A</v>
      </c>
      <c r="N4" s="13" t="e">
        <f t="shared" si="0"/>
        <v>#N/A</v>
      </c>
      <c r="O4" s="13" t="str" cm="1">
        <f t="array" ref="O4">IFERROR(_xlfn.FILTERXML("&lt;t&gt;&lt;s&gt;" &amp; SUBSTITUTE(M4," / ","&lt;/s&gt;&lt;s&gt;") &amp; "&lt;/s&gt;&lt;/t&gt;","(//s[contains(.,'DDR')])[1]"),"")</f>
        <v/>
      </c>
      <c r="P4" t="e">
        <f t="shared" si="1"/>
        <v>#N/A</v>
      </c>
      <c r="Q4" t="e">
        <f>INDEX(Input!$D$2:$AC$500,
       MATCH(B4, Input!$J$2:$J$500, 0),
       MATCH("Disk Capacity", Input!$D$1:$AC$1, 0))</f>
        <v>#N/A</v>
      </c>
      <c r="S4" s="13" t="e">
        <f>_xlfn.LET(_xlpm.Result,INDEX(Input!$D$2:$AC$500,
       MATCH(B4, Input!$J$2:$J$500, 0),
       MATCH("Capacity", Input!$D$1:$AC$1, 0)),IF(_xlpm.Result="","",_xlpm.Result))</f>
        <v>#N/A</v>
      </c>
      <c r="T4" s="13" t="str" cm="1">
        <f t="array" ref="T4">IFERROR(_xlfn.IFS(
   --S4&lt;55,"Battery Defect",
  -- S4&lt;=69,"Battery D",
  --S4&lt;=80,"Battery C",
 --S4&gt;80,""
),"")</f>
        <v/>
      </c>
      <c r="U4" s="13" t="str" cm="1">
        <f t="array" ref="U4:AB4">IFERROR(IF(_xlfn.XLOOKUP(B4,Input!J:J,Input!N:U)=0,"",
          _xlfn.XLOOKUP(B4,Input!J:J,Input!N:U)),"")</f>
        <v/>
      </c>
      <c r="V4" s="13" t="str">
        <v/>
      </c>
      <c r="W4" s="13" t="str">
        <v/>
      </c>
      <c r="X4" s="13" t="str">
        <v/>
      </c>
      <c r="Y4" s="13" t="str">
        <v/>
      </c>
      <c r="Z4" s="13" t="str">
        <v/>
      </c>
      <c r="AA4" s="13" t="str">
        <v/>
      </c>
      <c r="AB4" s="13" t="str">
        <v/>
      </c>
      <c r="AC4" t="str">
        <f t="shared" si="2"/>
        <v/>
      </c>
      <c r="AD4" t="str">
        <f>_xlfn.XLOOKUP(B:B,Disk_Pivot!G:G,Disk_Pivot!I:I)</f>
        <v>Yes</v>
      </c>
      <c r="AE4" t="str">
        <f>_xlfn.XLOOKUP(B4,Disk_Pivot!G:G,Disk_Pivot!N:N)</f>
        <v>Fail</v>
      </c>
    </row>
    <row r="5" spans="1:37">
      <c r="A5" t="str">
        <f>_xlfn.TEXTJOIN("",TRUE,_xlfn.XLOOKUP(B5,Input!J:J,Input!G:G,"",0,1),_xlfn.XLOOKUP(B5,Input!J:J,Input!H:H,"",0,1))</f>
        <v/>
      </c>
      <c r="C5" s="13">
        <f>_xlfn.XLOOKUP(B5,Input!J:J,Input!F:F)</f>
        <v>0</v>
      </c>
      <c r="D5">
        <f>_xlfn.XLOOKUP(C5,Models!H:H,Models!G:G,C5)</f>
        <v>0</v>
      </c>
      <c r="F5" t="str">
        <f>_xlfn.XLOOKUP(H5,Models!B:B,Models!F:F,"")</f>
        <v/>
      </c>
      <c r="G5">
        <f>_xlfn.XLOOKUP(B5,Input!J:J,Input!E:E)</f>
        <v>0</v>
      </c>
      <c r="H5">
        <f>IF(G5="LENOVO",_xlfn.XLOOKUP(B5,Input!J:J,Input!K:K),_xlfn.XLOOKUP(B5,Input!J:J,Input!L:L))</f>
        <v>0</v>
      </c>
      <c r="K5">
        <f>_xlfn.XLOOKUP(B5,CPU_Formula!A:A,CPU_Formula!I:I)</f>
        <v>0</v>
      </c>
      <c r="L5" s="13" t="e">
        <f>INDEX(Input!$D$2:$AC$500,
       MATCH(B5, Input!$J$2:$J$500, 0),
       MATCH("Memory Capacity", Input!$D$1:$AC$1, 0))</f>
        <v>#N/A</v>
      </c>
      <c r="M5" s="13" t="e">
        <f>INDEX(Input!$D$2:$AC$500,
       MATCH(B5, Input!$J$2:$J$500, 0),
       MATCH("Memory Type", Input!$D$1:$AC$1, 0))</f>
        <v>#N/A</v>
      </c>
      <c r="N5" s="13" t="e">
        <f t="shared" si="0"/>
        <v>#N/A</v>
      </c>
      <c r="O5" s="13" t="str" cm="1">
        <f t="array" ref="O5">IFERROR(_xlfn.FILTERXML("&lt;t&gt;&lt;s&gt;" &amp; SUBSTITUTE(M5," / ","&lt;/s&gt;&lt;s&gt;") &amp; "&lt;/s&gt;&lt;/t&gt;","(//s[contains(.,'DDR')])[1]"),"")</f>
        <v/>
      </c>
      <c r="P5" t="e">
        <f t="shared" si="1"/>
        <v>#N/A</v>
      </c>
      <c r="Q5" t="e">
        <f>INDEX(Input!$D$2:$AC$500,
       MATCH(B5, Input!$J$2:$J$500, 0),
       MATCH("Disk Capacity", Input!$D$1:$AC$1, 0))</f>
        <v>#N/A</v>
      </c>
      <c r="S5" s="13" t="e">
        <f>_xlfn.LET(_xlpm.Result,INDEX(Input!$D$2:$AC$500,
       MATCH(B5, Input!$J$2:$J$500, 0),
       MATCH("Capacity", Input!$D$1:$AC$1, 0)),IF(_xlpm.Result="","",_xlpm.Result))</f>
        <v>#N/A</v>
      </c>
      <c r="T5" s="13" t="str" cm="1">
        <f t="array" ref="T5">IFERROR(_xlfn.IFS(
   --S5&lt;55,"Battery Defect",
  -- S5&lt;=69,"Battery D",
  --S5&lt;=80,"Battery C",
 --S5&gt;80,""
),"")</f>
        <v/>
      </c>
      <c r="U5" s="13" t="str" cm="1">
        <f t="array" ref="U5:AB5">IFERROR(IF(_xlfn.XLOOKUP(B5,Input!J:J,Input!N:U)=0,"",
          _xlfn.XLOOKUP(B5,Input!J:J,Input!N:U)),"")</f>
        <v/>
      </c>
      <c r="V5" s="13" t="str">
        <v/>
      </c>
      <c r="W5" s="13" t="str">
        <v/>
      </c>
      <c r="X5" s="13" t="str">
        <v/>
      </c>
      <c r="Y5" s="13" t="str">
        <v/>
      </c>
      <c r="Z5" s="13" t="str">
        <v/>
      </c>
      <c r="AA5" s="13" t="str">
        <v/>
      </c>
      <c r="AB5" s="13" t="str">
        <v/>
      </c>
      <c r="AC5" t="str">
        <f t="shared" si="2"/>
        <v/>
      </c>
      <c r="AD5" t="str">
        <f>_xlfn.XLOOKUP(B:B,Disk_Pivot!G:G,Disk_Pivot!I:I)</f>
        <v>Yes</v>
      </c>
      <c r="AE5" t="str">
        <f>_xlfn.XLOOKUP(B5,Disk_Pivot!G:G,Disk_Pivot!N:N)</f>
        <v>Fail</v>
      </c>
    </row>
    <row r="6" spans="1:37">
      <c r="A6" t="str">
        <f>_xlfn.TEXTJOIN("",TRUE,_xlfn.XLOOKUP(B6,Input!J:J,Input!G:G,"",0,1),_xlfn.XLOOKUP(B6,Input!J:J,Input!H:H,"",0,1))</f>
        <v/>
      </c>
      <c r="C6" s="13">
        <f>_xlfn.XLOOKUP(B6,Input!J:J,Input!F:F)</f>
        <v>0</v>
      </c>
      <c r="D6">
        <f>_xlfn.XLOOKUP(C6,Models!H:H,Models!G:G,C6)</f>
        <v>0</v>
      </c>
      <c r="F6" t="str">
        <f>_xlfn.XLOOKUP(H6,Models!B:B,Models!F:F,"")</f>
        <v/>
      </c>
      <c r="G6">
        <f>_xlfn.XLOOKUP(B6,Input!J:J,Input!E:E)</f>
        <v>0</v>
      </c>
      <c r="H6">
        <f>IF(G6="LENOVO",_xlfn.XLOOKUP(B6,Input!J:J,Input!K:K),_xlfn.XLOOKUP(B6,Input!J:J,Input!L:L))</f>
        <v>0</v>
      </c>
      <c r="K6">
        <f>_xlfn.XLOOKUP(B6,CPU_Formula!A:A,CPU_Formula!I:I)</f>
        <v>0</v>
      </c>
      <c r="L6" s="13" t="e">
        <f>INDEX(Input!$D$2:$AC$500,
       MATCH(B6, Input!$J$2:$J$500, 0),
       MATCH("Memory Capacity", Input!$D$1:$AC$1, 0))</f>
        <v>#N/A</v>
      </c>
      <c r="M6" s="13" t="e">
        <f>INDEX(Input!$D$2:$AC$500,
       MATCH(B6, Input!$J$2:$J$500, 0),
       MATCH("Memory Type", Input!$D$1:$AC$1, 0))</f>
        <v>#N/A</v>
      </c>
      <c r="N6" s="13" t="e">
        <f t="shared" si="0"/>
        <v>#N/A</v>
      </c>
      <c r="O6" s="13" t="str" cm="1">
        <f t="array" ref="O6">IFERROR(_xlfn.FILTERXML("&lt;t&gt;&lt;s&gt;" &amp; SUBSTITUTE(M6," / ","&lt;/s&gt;&lt;s&gt;") &amp; "&lt;/s&gt;&lt;/t&gt;","(//s[contains(.,'DDR')])[1]"),"")</f>
        <v/>
      </c>
      <c r="P6" t="e">
        <f t="shared" si="1"/>
        <v>#N/A</v>
      </c>
      <c r="Q6" t="e">
        <f>INDEX(Input!$D$2:$AC$500,
       MATCH(B6, Input!$J$2:$J$500, 0),
       MATCH("Disk Capacity", Input!$D$1:$AC$1, 0))</f>
        <v>#N/A</v>
      </c>
      <c r="S6" s="13" t="e">
        <f>_xlfn.LET(_xlpm.Result,INDEX(Input!$D$2:$AC$500,
       MATCH(B6, Input!$J$2:$J$500, 0),
       MATCH("Capacity", Input!$D$1:$AC$1, 0)),IF(_xlpm.Result="","",_xlpm.Result))</f>
        <v>#N/A</v>
      </c>
      <c r="T6" s="13" t="str" cm="1">
        <f t="array" ref="T6">IFERROR(_xlfn.IFS(
   --S6&lt;55,"Battery Defect",
  -- S6&lt;=69,"Battery D",
  --S6&lt;=80,"Battery C",
 --S6&gt;80,""
),"")</f>
        <v/>
      </c>
      <c r="U6" s="13" t="str" cm="1">
        <f t="array" ref="U6:AB6">IFERROR(IF(_xlfn.XLOOKUP(B6,Input!J:J,Input!N:U)=0,"",
          _xlfn.XLOOKUP(B6,Input!J:J,Input!N:U)),"")</f>
        <v/>
      </c>
      <c r="V6" s="13" t="str">
        <v/>
      </c>
      <c r="W6" s="13" t="str">
        <v/>
      </c>
      <c r="X6" s="13" t="str">
        <v/>
      </c>
      <c r="Y6" s="13" t="str">
        <v/>
      </c>
      <c r="Z6" s="13" t="str">
        <v/>
      </c>
      <c r="AA6" s="13" t="str">
        <v/>
      </c>
      <c r="AB6" s="13" t="str">
        <v/>
      </c>
      <c r="AC6" t="str">
        <f t="shared" si="2"/>
        <v/>
      </c>
      <c r="AD6" t="str">
        <f>_xlfn.XLOOKUP(B:B,Disk_Pivot!G:G,Disk_Pivot!I:I)</f>
        <v>Yes</v>
      </c>
      <c r="AE6" t="str">
        <f>_xlfn.XLOOKUP(B6,Disk_Pivot!G:G,Disk_Pivot!N:N)</f>
        <v>Fail</v>
      </c>
    </row>
    <row r="7" spans="1:37">
      <c r="A7" t="str">
        <f>_xlfn.TEXTJOIN("",TRUE,_xlfn.XLOOKUP(B7,Input!J:J,Input!G:G,"",0,1),_xlfn.XLOOKUP(B7,Input!J:J,Input!H:H,"",0,1))</f>
        <v/>
      </c>
      <c r="C7" s="13">
        <f>_xlfn.XLOOKUP(B7,Input!J:J,Input!F:F)</f>
        <v>0</v>
      </c>
      <c r="D7">
        <f>_xlfn.XLOOKUP(C7,Models!H:H,Models!G:G,C7)</f>
        <v>0</v>
      </c>
      <c r="F7" t="str">
        <f>_xlfn.XLOOKUP(H7,Models!B:B,Models!F:F,"")</f>
        <v/>
      </c>
      <c r="G7">
        <f>_xlfn.XLOOKUP(B7,Input!J:J,Input!E:E)</f>
        <v>0</v>
      </c>
      <c r="H7">
        <f>IF(G7="LENOVO",_xlfn.XLOOKUP(B7,Input!J:J,Input!K:K),_xlfn.XLOOKUP(B7,Input!J:J,Input!L:L))</f>
        <v>0</v>
      </c>
      <c r="K7">
        <f>_xlfn.XLOOKUP(B7,CPU_Formula!A:A,CPU_Formula!I:I)</f>
        <v>0</v>
      </c>
      <c r="L7" s="13" t="e">
        <f>INDEX(Input!$D$2:$AC$500,
       MATCH(B7, Input!$J$2:$J$500, 0),
       MATCH("Memory Capacity", Input!$D$1:$AC$1, 0))</f>
        <v>#N/A</v>
      </c>
      <c r="M7" s="13" t="e">
        <f>INDEX(Input!$D$2:$AC$500,
       MATCH(B7, Input!$J$2:$J$500, 0),
       MATCH("Memory Type", Input!$D$1:$AC$1, 0))</f>
        <v>#N/A</v>
      </c>
      <c r="N7" s="13" t="e">
        <f t="shared" si="0"/>
        <v>#N/A</v>
      </c>
      <c r="O7" s="13" t="str" cm="1">
        <f t="array" ref="O7">IFERROR(_xlfn.FILTERXML("&lt;t&gt;&lt;s&gt;" &amp; SUBSTITUTE(M7," / ","&lt;/s&gt;&lt;s&gt;") &amp; "&lt;/s&gt;&lt;/t&gt;","(//s[contains(.,'DDR')])[1]"),"")</f>
        <v/>
      </c>
      <c r="P7" t="e">
        <f t="shared" si="1"/>
        <v>#N/A</v>
      </c>
      <c r="Q7" t="e">
        <f>INDEX(Input!$D$2:$AC$500,
       MATCH(B7, Input!$J$2:$J$500, 0),
       MATCH("Disk Capacity", Input!$D$1:$AC$1, 0))</f>
        <v>#N/A</v>
      </c>
      <c r="S7" s="13" t="e">
        <f>_xlfn.LET(_xlpm.Result,INDEX(Input!$D$2:$AC$500,
       MATCH(B7, Input!$J$2:$J$500, 0),
       MATCH("Capacity", Input!$D$1:$AC$1, 0)),IF(_xlpm.Result="","",_xlpm.Result))</f>
        <v>#N/A</v>
      </c>
      <c r="T7" s="13" t="str" cm="1">
        <f t="array" ref="T7">IFERROR(_xlfn.IFS(
   --S7&lt;55,"Battery Defect",
  -- S7&lt;=69,"Battery D",
  --S7&lt;=80,"Battery C",
 --S7&gt;80,""
),"")</f>
        <v/>
      </c>
      <c r="U7" s="13" t="str" cm="1">
        <f t="array" ref="U7:AB7">IFERROR(IF(_xlfn.XLOOKUP(B7,Input!J:J,Input!N:U)=0,"",
          _xlfn.XLOOKUP(B7,Input!J:J,Input!N:U)),"")</f>
        <v/>
      </c>
      <c r="V7" s="13" t="str">
        <v/>
      </c>
      <c r="W7" s="13" t="str">
        <v/>
      </c>
      <c r="X7" s="13" t="str">
        <v/>
      </c>
      <c r="Y7" s="13" t="str">
        <v/>
      </c>
      <c r="Z7" s="13" t="str">
        <v/>
      </c>
      <c r="AA7" s="13" t="str">
        <v/>
      </c>
      <c r="AB7" s="13" t="str">
        <v/>
      </c>
      <c r="AC7" t="str">
        <f t="shared" si="2"/>
        <v/>
      </c>
      <c r="AD7" t="str">
        <f>_xlfn.XLOOKUP(B:B,Disk_Pivot!G:G,Disk_Pivot!I:I)</f>
        <v>Yes</v>
      </c>
      <c r="AE7" t="str">
        <f>_xlfn.XLOOKUP(B7,Disk_Pivot!G:G,Disk_Pivot!N:N)</f>
        <v>Fail</v>
      </c>
    </row>
    <row r="8" spans="1:37">
      <c r="A8" t="str">
        <f>_xlfn.TEXTJOIN("",TRUE,_xlfn.XLOOKUP(B8,Input!J:J,Input!G:G,"",0,1),_xlfn.XLOOKUP(B8,Input!J:J,Input!H:H,"",0,1))</f>
        <v/>
      </c>
      <c r="C8" s="13">
        <f>_xlfn.XLOOKUP(B8,Input!J:J,Input!F:F)</f>
        <v>0</v>
      </c>
      <c r="D8">
        <f>_xlfn.XLOOKUP(C8,Models!H:H,Models!G:G,C8)</f>
        <v>0</v>
      </c>
      <c r="F8" t="str">
        <f>_xlfn.XLOOKUP(H8,Models!B:B,Models!F:F,"")</f>
        <v/>
      </c>
      <c r="G8">
        <f>_xlfn.XLOOKUP(B8,Input!J:J,Input!E:E)</f>
        <v>0</v>
      </c>
      <c r="H8">
        <f>IF(G8="LENOVO",_xlfn.XLOOKUP(B8,Input!J:J,Input!K:K),_xlfn.XLOOKUP(B8,Input!J:J,Input!L:L))</f>
        <v>0</v>
      </c>
      <c r="K8">
        <f>_xlfn.XLOOKUP(B8,CPU_Formula!A:A,CPU_Formula!I:I)</f>
        <v>0</v>
      </c>
      <c r="L8" s="13" t="e">
        <f>INDEX(Input!$D$2:$AC$500,
       MATCH(B8, Input!$J$2:$J$500, 0),
       MATCH("Memory Capacity", Input!$D$1:$AC$1, 0))</f>
        <v>#N/A</v>
      </c>
      <c r="M8" s="13" t="e">
        <f>INDEX(Input!$D$2:$AC$500,
       MATCH(B8, Input!$J$2:$J$500, 0),
       MATCH("Memory Type", Input!$D$1:$AC$1, 0))</f>
        <v>#N/A</v>
      </c>
      <c r="N8" s="13" t="e">
        <f t="shared" si="0"/>
        <v>#N/A</v>
      </c>
      <c r="O8" s="13" t="str" cm="1">
        <f t="array" ref="O8">IFERROR(_xlfn.FILTERXML("&lt;t&gt;&lt;s&gt;" &amp; SUBSTITUTE(M8," / ","&lt;/s&gt;&lt;s&gt;") &amp; "&lt;/s&gt;&lt;/t&gt;","(//s[contains(.,'DDR')])[1]"),"")</f>
        <v/>
      </c>
      <c r="P8" t="e">
        <f t="shared" si="1"/>
        <v>#N/A</v>
      </c>
      <c r="Q8" t="e">
        <f>INDEX(Input!$D$2:$AC$500,
       MATCH(B8, Input!$J$2:$J$500, 0),
       MATCH("Disk Capacity", Input!$D$1:$AC$1, 0))</f>
        <v>#N/A</v>
      </c>
      <c r="S8" s="13" t="e">
        <f>_xlfn.LET(_xlpm.Result,INDEX(Input!$D$2:$AC$500,
       MATCH(B8, Input!$J$2:$J$500, 0),
       MATCH("Capacity", Input!$D$1:$AC$1, 0)),IF(_xlpm.Result="","",_xlpm.Result))</f>
        <v>#N/A</v>
      </c>
      <c r="T8" s="13" t="str" cm="1">
        <f t="array" ref="T8">IFERROR(_xlfn.IFS(
   --S8&lt;55,"Battery Defect",
  -- S8&lt;=69,"Battery D",
  --S8&lt;=80,"Battery C",
 --S8&gt;80,""
),"")</f>
        <v/>
      </c>
      <c r="U8" s="13" t="str" cm="1">
        <f t="array" ref="U8:AB8">IFERROR(IF(_xlfn.XLOOKUP(B8,Input!J:J,Input!N:U)=0,"",
          _xlfn.XLOOKUP(B8,Input!J:J,Input!N:U)),"")</f>
        <v/>
      </c>
      <c r="V8" s="13" t="str">
        <v/>
      </c>
      <c r="W8" s="13" t="str">
        <v/>
      </c>
      <c r="X8" s="13" t="str">
        <v/>
      </c>
      <c r="Y8" s="13" t="str">
        <v/>
      </c>
      <c r="Z8" s="13" t="str">
        <v/>
      </c>
      <c r="AA8" s="13" t="str">
        <v/>
      </c>
      <c r="AB8" s="13" t="str">
        <v/>
      </c>
      <c r="AC8" t="str">
        <f t="shared" si="2"/>
        <v/>
      </c>
      <c r="AD8" t="str">
        <f>_xlfn.XLOOKUP(B:B,Disk_Pivot!G:G,Disk_Pivot!I:I)</f>
        <v>Yes</v>
      </c>
      <c r="AE8" t="str">
        <f>_xlfn.XLOOKUP(B8,Disk_Pivot!G:G,Disk_Pivot!N:N)</f>
        <v>Fail</v>
      </c>
    </row>
    <row r="9" spans="1:37">
      <c r="A9" t="str">
        <f>_xlfn.TEXTJOIN("",TRUE,_xlfn.XLOOKUP(B9,Input!J:J,Input!G:G,"",0,1),_xlfn.XLOOKUP(B9,Input!J:J,Input!H:H,"",0,1))</f>
        <v/>
      </c>
      <c r="C9" s="13">
        <f>_xlfn.XLOOKUP(B9,Input!J:J,Input!F:F)</f>
        <v>0</v>
      </c>
      <c r="D9">
        <f>_xlfn.XLOOKUP(C9,Models!H:H,Models!G:G,C9)</f>
        <v>0</v>
      </c>
      <c r="F9" t="str">
        <f>_xlfn.XLOOKUP(H9,Models!B:B,Models!F:F,"")</f>
        <v/>
      </c>
      <c r="G9">
        <f>_xlfn.XLOOKUP(B9,Input!J:J,Input!E:E)</f>
        <v>0</v>
      </c>
      <c r="H9">
        <f>IF(G9="LENOVO",_xlfn.XLOOKUP(B9,Input!J:J,Input!K:K),_xlfn.XLOOKUP(B9,Input!J:J,Input!L:L))</f>
        <v>0</v>
      </c>
      <c r="K9">
        <f>_xlfn.XLOOKUP(B9,CPU_Formula!A:A,CPU_Formula!I:I)</f>
        <v>0</v>
      </c>
      <c r="L9" s="13" t="e">
        <f>INDEX(Input!$D$2:$AC$500,
       MATCH(B9, Input!$J$2:$J$500, 0),
       MATCH("Memory Capacity", Input!$D$1:$AC$1, 0))</f>
        <v>#N/A</v>
      </c>
      <c r="M9" s="13" t="e">
        <f>INDEX(Input!$D$2:$AC$500,
       MATCH(B9, Input!$J$2:$J$500, 0),
       MATCH("Memory Type", Input!$D$1:$AC$1, 0))</f>
        <v>#N/A</v>
      </c>
      <c r="N9" s="13" t="e">
        <f t="shared" si="0"/>
        <v>#N/A</v>
      </c>
      <c r="O9" s="13" t="str" cm="1">
        <f t="array" ref="O9">IFERROR(_xlfn.FILTERXML("&lt;t&gt;&lt;s&gt;" &amp; SUBSTITUTE(M9," / ","&lt;/s&gt;&lt;s&gt;") &amp; "&lt;/s&gt;&lt;/t&gt;","(//s[contains(.,'DDR')])[1]"),"")</f>
        <v/>
      </c>
      <c r="P9" t="e">
        <f t="shared" si="1"/>
        <v>#N/A</v>
      </c>
      <c r="Q9" t="e">
        <f>INDEX(Input!$D$2:$AC$500,
       MATCH(B9, Input!$J$2:$J$500, 0),
       MATCH("Disk Capacity", Input!$D$1:$AC$1, 0))</f>
        <v>#N/A</v>
      </c>
      <c r="S9" s="13" t="e">
        <f>_xlfn.LET(_xlpm.Result,INDEX(Input!$D$2:$AC$500,
       MATCH(B9, Input!$J$2:$J$500, 0),
       MATCH("Capacity", Input!$D$1:$AC$1, 0)),IF(_xlpm.Result="","",_xlpm.Result))</f>
        <v>#N/A</v>
      </c>
      <c r="T9" s="13" t="str" cm="1">
        <f t="array" ref="T9">IFERROR(_xlfn.IFS(
   --S9&lt;55,"Battery Defect",
  -- S9&lt;=69,"Battery D",
  --S9&lt;=80,"Battery C",
 --S9&gt;80,""
),"")</f>
        <v/>
      </c>
      <c r="U9" s="13" t="str" cm="1">
        <f t="array" ref="U9:AB9">IFERROR(IF(_xlfn.XLOOKUP(B9,Input!J:J,Input!N:U)=0,"",
          _xlfn.XLOOKUP(B9,Input!J:J,Input!N:U)),"")</f>
        <v/>
      </c>
      <c r="V9" s="13" t="str">
        <v/>
      </c>
      <c r="W9" s="13" t="str">
        <v/>
      </c>
      <c r="X9" s="13" t="str">
        <v/>
      </c>
      <c r="Y9" s="13" t="str">
        <v/>
      </c>
      <c r="Z9" s="13" t="str">
        <v/>
      </c>
      <c r="AA9" s="13" t="str">
        <v/>
      </c>
      <c r="AB9" s="13" t="str">
        <v/>
      </c>
      <c r="AC9" t="str">
        <f t="shared" si="2"/>
        <v/>
      </c>
      <c r="AD9" t="str">
        <f>_xlfn.XLOOKUP(B:B,Disk_Pivot!G:G,Disk_Pivot!I:I)</f>
        <v>Yes</v>
      </c>
      <c r="AE9" t="str">
        <f>_xlfn.XLOOKUP(B9,Disk_Pivot!G:G,Disk_Pivot!N:N)</f>
        <v>Fail</v>
      </c>
    </row>
    <row r="10" spans="1:37">
      <c r="A10" t="str">
        <f>_xlfn.TEXTJOIN("",TRUE,_xlfn.XLOOKUP(B10,Input!J:J,Input!G:G,"",0,1),_xlfn.XLOOKUP(B10,Input!J:J,Input!H:H,"",0,1))</f>
        <v/>
      </c>
      <c r="C10" s="13">
        <f>_xlfn.XLOOKUP(B10,Input!J:J,Input!F:F)</f>
        <v>0</v>
      </c>
      <c r="D10">
        <f>_xlfn.XLOOKUP(C10,Models!H:H,Models!G:G,C10)</f>
        <v>0</v>
      </c>
      <c r="F10" t="str">
        <f>_xlfn.XLOOKUP(H10,Models!B:B,Models!F:F,"")</f>
        <v/>
      </c>
      <c r="G10">
        <f>_xlfn.XLOOKUP(B10,Input!J:J,Input!E:E)</f>
        <v>0</v>
      </c>
      <c r="H10">
        <f>IF(G10="LENOVO",_xlfn.XLOOKUP(B10,Input!J:J,Input!K:K),_xlfn.XLOOKUP(B10,Input!J:J,Input!L:L))</f>
        <v>0</v>
      </c>
      <c r="K10">
        <f>_xlfn.XLOOKUP(B10,CPU_Formula!A:A,CPU_Formula!I:I)</f>
        <v>0</v>
      </c>
      <c r="L10" s="13" t="e">
        <f>INDEX(Input!$D$2:$AC$500,
       MATCH(B10, Input!$J$2:$J$500, 0),
       MATCH("Memory Capacity", Input!$D$1:$AC$1, 0))</f>
        <v>#N/A</v>
      </c>
      <c r="M10" s="13" t="e">
        <f>INDEX(Input!$D$2:$AC$500,
       MATCH(B10, Input!$J$2:$J$500, 0),
       MATCH("Memory Type", Input!$D$1:$AC$1, 0))</f>
        <v>#N/A</v>
      </c>
      <c r="N10" s="13" t="e">
        <f t="shared" si="0"/>
        <v>#N/A</v>
      </c>
      <c r="O10" s="13" t="str" cm="1">
        <f t="array" ref="O10">IFERROR(_xlfn.FILTERXML("&lt;t&gt;&lt;s&gt;" &amp; SUBSTITUTE(M10," / ","&lt;/s&gt;&lt;s&gt;") &amp; "&lt;/s&gt;&lt;/t&gt;","(//s[contains(.,'DDR')])[1]"),"")</f>
        <v/>
      </c>
      <c r="P10" t="e">
        <f t="shared" si="1"/>
        <v>#N/A</v>
      </c>
      <c r="Q10" t="e">
        <f>INDEX(Input!$D$2:$AC$500,
       MATCH(B10, Input!$J$2:$J$500, 0),
       MATCH("Disk Capacity", Input!$D$1:$AC$1, 0))</f>
        <v>#N/A</v>
      </c>
      <c r="S10" s="13" t="e">
        <f>_xlfn.LET(_xlpm.Result,INDEX(Input!$D$2:$AC$500,
       MATCH(B10, Input!$J$2:$J$500, 0),
       MATCH("Capacity", Input!$D$1:$AC$1, 0)),IF(_xlpm.Result="","",_xlpm.Result))</f>
        <v>#N/A</v>
      </c>
      <c r="T10" s="13" t="str" cm="1">
        <f t="array" ref="T10">IFERROR(_xlfn.IFS(
   --S10&lt;55,"Battery Defect",
  -- S10&lt;=69,"Battery D",
  --S10&lt;=80,"Battery C",
 --S10&gt;80,""
),"")</f>
        <v/>
      </c>
      <c r="U10" s="13" t="str" cm="1">
        <f t="array" ref="U10:AB10">IFERROR(IF(_xlfn.XLOOKUP(B10,Input!J:J,Input!N:U)=0,"",
          _xlfn.XLOOKUP(B10,Input!J:J,Input!N:U)),"")</f>
        <v/>
      </c>
      <c r="V10" s="13" t="str">
        <v/>
      </c>
      <c r="W10" s="13" t="str">
        <v/>
      </c>
      <c r="X10" s="13" t="str">
        <v/>
      </c>
      <c r="Y10" s="13" t="str">
        <v/>
      </c>
      <c r="Z10" s="13" t="str">
        <v/>
      </c>
      <c r="AA10" s="13" t="str">
        <v/>
      </c>
      <c r="AB10" s="13" t="str">
        <v/>
      </c>
      <c r="AC10" t="str">
        <f t="shared" si="2"/>
        <v/>
      </c>
      <c r="AD10" t="str">
        <f>_xlfn.XLOOKUP(B:B,Disk_Pivot!G:G,Disk_Pivot!I:I)</f>
        <v>Yes</v>
      </c>
      <c r="AE10" t="str">
        <f>_xlfn.XLOOKUP(B10,Disk_Pivot!G:G,Disk_Pivot!N:N)</f>
        <v>Fail</v>
      </c>
    </row>
    <row r="11" spans="1:37">
      <c r="A11" t="str">
        <f>_xlfn.TEXTJOIN("",TRUE,_xlfn.XLOOKUP(B11,Input!J:J,Input!G:G,"",0,1),_xlfn.XLOOKUP(B11,Input!J:J,Input!H:H,"",0,1))</f>
        <v/>
      </c>
      <c r="C11" s="13">
        <f>_xlfn.XLOOKUP(B11,Input!J:J,Input!F:F)</f>
        <v>0</v>
      </c>
      <c r="D11">
        <f>_xlfn.XLOOKUP(C11,Models!H:H,Models!G:G,C11)</f>
        <v>0</v>
      </c>
      <c r="F11" t="str">
        <f>_xlfn.XLOOKUP(H11,Models!B:B,Models!F:F,"")</f>
        <v/>
      </c>
      <c r="G11">
        <f>_xlfn.XLOOKUP(B11,Input!J:J,Input!E:E)</f>
        <v>0</v>
      </c>
      <c r="H11">
        <f>IF(G11="LENOVO",_xlfn.XLOOKUP(B11,Input!J:J,Input!K:K),_xlfn.XLOOKUP(B11,Input!J:J,Input!L:L))</f>
        <v>0</v>
      </c>
      <c r="K11">
        <f>_xlfn.XLOOKUP(B11,CPU_Formula!A:A,CPU_Formula!I:I)</f>
        <v>0</v>
      </c>
      <c r="L11" s="13" t="e">
        <f>INDEX(Input!$D$2:$AC$500,
       MATCH(B11, Input!$J$2:$J$500, 0),
       MATCH("Memory Capacity", Input!$D$1:$AC$1, 0))</f>
        <v>#N/A</v>
      </c>
      <c r="M11" s="13" t="e">
        <f>INDEX(Input!$D$2:$AC$500,
       MATCH(B11, Input!$J$2:$J$500, 0),
       MATCH("Memory Type", Input!$D$1:$AC$1, 0))</f>
        <v>#N/A</v>
      </c>
      <c r="N11" s="13" t="e">
        <f t="shared" si="0"/>
        <v>#N/A</v>
      </c>
      <c r="O11" s="13" t="str" cm="1">
        <f t="array" ref="O11">IFERROR(_xlfn.FILTERXML("&lt;t&gt;&lt;s&gt;" &amp; SUBSTITUTE(M11," / ","&lt;/s&gt;&lt;s&gt;") &amp; "&lt;/s&gt;&lt;/t&gt;","(//s[contains(.,'DDR')])[1]"),"")</f>
        <v/>
      </c>
      <c r="P11" t="e">
        <f t="shared" si="1"/>
        <v>#N/A</v>
      </c>
      <c r="Q11" t="e">
        <f>INDEX(Input!$D$2:$AC$500,
       MATCH(B11, Input!$J$2:$J$500, 0),
       MATCH("Disk Capacity", Input!$D$1:$AC$1, 0))</f>
        <v>#N/A</v>
      </c>
      <c r="S11" s="13" t="e">
        <f>_xlfn.LET(_xlpm.Result,INDEX(Input!$D$2:$AC$500,
       MATCH(B11, Input!$J$2:$J$500, 0),
       MATCH("Capacity", Input!$D$1:$AC$1, 0)),IF(_xlpm.Result="","",_xlpm.Result))</f>
        <v>#N/A</v>
      </c>
      <c r="T11" s="13" t="str" cm="1">
        <f t="array" ref="T11">IFERROR(_xlfn.IFS(
   --S11&lt;55,"Battery Defect",
  -- S11&lt;=69,"Battery D",
  --S11&lt;=80,"Battery C",
 --S11&gt;80,""
),"")</f>
        <v/>
      </c>
      <c r="U11" s="13" t="str" cm="1">
        <f t="array" ref="U11:AB11">IFERROR(IF(_xlfn.XLOOKUP(B11,Input!J:J,Input!N:U)=0,"",
          _xlfn.XLOOKUP(B11,Input!J:J,Input!N:U)),"")</f>
        <v/>
      </c>
      <c r="V11" s="13" t="str">
        <v/>
      </c>
      <c r="W11" s="13" t="str">
        <v/>
      </c>
      <c r="X11" s="13" t="str">
        <v/>
      </c>
      <c r="Y11" s="13" t="str">
        <v/>
      </c>
      <c r="Z11" s="13" t="str">
        <v/>
      </c>
      <c r="AA11" s="13" t="str">
        <v/>
      </c>
      <c r="AB11" s="13" t="str">
        <v/>
      </c>
      <c r="AC11" t="str">
        <f t="shared" si="2"/>
        <v/>
      </c>
      <c r="AD11" t="str">
        <f>_xlfn.XLOOKUP(B:B,Disk_Pivot!G:G,Disk_Pivot!I:I)</f>
        <v>Yes</v>
      </c>
      <c r="AE11" t="str">
        <f>_xlfn.XLOOKUP(B11,Disk_Pivot!G:G,Disk_Pivot!N:N)</f>
        <v>Fail</v>
      </c>
    </row>
    <row r="12" spans="1:37">
      <c r="A12" t="str">
        <f>_xlfn.TEXTJOIN("",TRUE,_xlfn.XLOOKUP(B12,Input!J:J,Input!G:G,"",0,1),_xlfn.XLOOKUP(B12,Input!J:J,Input!H:H,"",0,1))</f>
        <v/>
      </c>
      <c r="C12" s="13">
        <f>_xlfn.XLOOKUP(B12,Input!J:J,Input!F:F)</f>
        <v>0</v>
      </c>
      <c r="D12">
        <f>_xlfn.XLOOKUP(C12,Models!H:H,Models!G:G,C12)</f>
        <v>0</v>
      </c>
      <c r="F12" t="str">
        <f>_xlfn.XLOOKUP(H12,Models!B:B,Models!F:F,"")</f>
        <v/>
      </c>
      <c r="G12">
        <f>_xlfn.XLOOKUP(B12,Input!J:J,Input!E:E)</f>
        <v>0</v>
      </c>
      <c r="H12">
        <f>IF(G12="LENOVO",_xlfn.XLOOKUP(B12,Input!J:J,Input!K:K),_xlfn.XLOOKUP(B12,Input!J:J,Input!L:L))</f>
        <v>0</v>
      </c>
      <c r="K12">
        <f>_xlfn.XLOOKUP(B12,CPU_Formula!A:A,CPU_Formula!I:I)</f>
        <v>0</v>
      </c>
      <c r="L12" s="13" t="e">
        <f>INDEX(Input!$D$2:$AC$500,
       MATCH(B12, Input!$J$2:$J$500, 0),
       MATCH("Memory Capacity", Input!$D$1:$AC$1, 0))</f>
        <v>#N/A</v>
      </c>
      <c r="M12" s="13" t="e">
        <f>INDEX(Input!$D$2:$AC$500,
       MATCH(B12, Input!$J$2:$J$500, 0),
       MATCH("Memory Type", Input!$D$1:$AC$1, 0))</f>
        <v>#N/A</v>
      </c>
      <c r="N12" s="13" t="e">
        <f t="shared" si="0"/>
        <v>#N/A</v>
      </c>
      <c r="O12" s="13" t="str" cm="1">
        <f t="array" ref="O12">IFERROR(_xlfn.FILTERXML("&lt;t&gt;&lt;s&gt;" &amp; SUBSTITUTE(M12," / ","&lt;/s&gt;&lt;s&gt;") &amp; "&lt;/s&gt;&lt;/t&gt;","(//s[contains(.,'DDR')])[1]"),"")</f>
        <v/>
      </c>
      <c r="P12" t="e">
        <f t="shared" si="1"/>
        <v>#N/A</v>
      </c>
      <c r="Q12" t="e">
        <f>INDEX(Input!$D$2:$AC$500,
       MATCH(B12, Input!$J$2:$J$500, 0),
       MATCH("Disk Capacity", Input!$D$1:$AC$1, 0))</f>
        <v>#N/A</v>
      </c>
      <c r="S12" s="13" t="e">
        <f>_xlfn.LET(_xlpm.Result,INDEX(Input!$D$2:$AC$500,
       MATCH(B12, Input!$J$2:$J$500, 0),
       MATCH("Capacity", Input!$D$1:$AC$1, 0)),IF(_xlpm.Result="","",_xlpm.Result))</f>
        <v>#N/A</v>
      </c>
      <c r="T12" s="13" t="str" cm="1">
        <f t="array" ref="T12">IFERROR(_xlfn.IFS(
   --S12&lt;55,"Battery Defect",
  -- S12&lt;=69,"Battery D",
  --S12&lt;=80,"Battery C",
 --S12&gt;80,""
),"")</f>
        <v/>
      </c>
      <c r="U12" s="13" t="str" cm="1">
        <f t="array" ref="U12:AB12">IFERROR(IF(_xlfn.XLOOKUP(B12,Input!J:J,Input!N:U)=0,"",
          _xlfn.XLOOKUP(B12,Input!J:J,Input!N:U)),"")</f>
        <v/>
      </c>
      <c r="V12" s="13" t="str">
        <v/>
      </c>
      <c r="W12" s="13" t="str">
        <v/>
      </c>
      <c r="X12" s="13" t="str">
        <v/>
      </c>
      <c r="Y12" s="13" t="str">
        <v/>
      </c>
      <c r="Z12" s="13" t="str">
        <v/>
      </c>
      <c r="AA12" s="13" t="str">
        <v/>
      </c>
      <c r="AB12" s="13" t="str">
        <v/>
      </c>
      <c r="AC12" t="str">
        <f t="shared" si="2"/>
        <v/>
      </c>
      <c r="AD12" t="str">
        <f>_xlfn.XLOOKUP(B:B,Disk_Pivot!G:G,Disk_Pivot!I:I)</f>
        <v>Yes</v>
      </c>
      <c r="AE12" t="str">
        <f>_xlfn.XLOOKUP(B12,Disk_Pivot!G:G,Disk_Pivot!N:N)</f>
        <v>Fail</v>
      </c>
    </row>
    <row r="13" spans="1:37">
      <c r="A13" t="str">
        <f>_xlfn.TEXTJOIN("",TRUE,_xlfn.XLOOKUP(B13,Input!J:J,Input!G:G,"",0,1),_xlfn.XLOOKUP(B13,Input!J:J,Input!H:H,"",0,1))</f>
        <v/>
      </c>
      <c r="C13" s="13">
        <f>_xlfn.XLOOKUP(B13,Input!J:J,Input!F:F)</f>
        <v>0</v>
      </c>
      <c r="D13">
        <f>_xlfn.XLOOKUP(C13,Models!H:H,Models!G:G,C13)</f>
        <v>0</v>
      </c>
      <c r="F13" t="str">
        <f>_xlfn.XLOOKUP(H13,Models!B:B,Models!F:F,"")</f>
        <v/>
      </c>
      <c r="G13">
        <f>_xlfn.XLOOKUP(B13,Input!J:J,Input!E:E)</f>
        <v>0</v>
      </c>
      <c r="H13">
        <f>IF(G13="LENOVO",_xlfn.XLOOKUP(B13,Input!J:J,Input!K:K),_xlfn.XLOOKUP(B13,Input!J:J,Input!L:L))</f>
        <v>0</v>
      </c>
      <c r="K13">
        <f>_xlfn.XLOOKUP(B13,CPU_Formula!A:A,CPU_Formula!I:I)</f>
        <v>0</v>
      </c>
      <c r="L13" s="13" t="e">
        <f>INDEX(Input!$D$2:$AC$500,
       MATCH(B13, Input!$J$2:$J$500, 0),
       MATCH("Memory Capacity", Input!$D$1:$AC$1, 0))</f>
        <v>#N/A</v>
      </c>
      <c r="M13" s="13" t="e">
        <f>INDEX(Input!$D$2:$AC$500,
       MATCH(B13, Input!$J$2:$J$500, 0),
       MATCH("Memory Type", Input!$D$1:$AC$1, 0))</f>
        <v>#N/A</v>
      </c>
      <c r="N13" s="13" t="e">
        <f t="shared" si="0"/>
        <v>#N/A</v>
      </c>
      <c r="O13" s="13" t="str" cm="1">
        <f t="array" ref="O13">IFERROR(_xlfn.FILTERXML("&lt;t&gt;&lt;s&gt;" &amp; SUBSTITUTE(M13," / ","&lt;/s&gt;&lt;s&gt;") &amp; "&lt;/s&gt;&lt;/t&gt;","(//s[contains(.,'DDR')])[1]"),"")</f>
        <v/>
      </c>
      <c r="P13" t="e">
        <f t="shared" si="1"/>
        <v>#N/A</v>
      </c>
      <c r="Q13" t="e">
        <f>INDEX(Input!$D$2:$AC$500,
       MATCH(B13, Input!$J$2:$J$500, 0),
       MATCH("Disk Capacity", Input!$D$1:$AC$1, 0))</f>
        <v>#N/A</v>
      </c>
      <c r="S13" s="13" t="e">
        <f>_xlfn.LET(_xlpm.Result,INDEX(Input!$D$2:$AC$500,
       MATCH(B13, Input!$J$2:$J$500, 0),
       MATCH("Capacity", Input!$D$1:$AC$1, 0)),IF(_xlpm.Result="","",_xlpm.Result))</f>
        <v>#N/A</v>
      </c>
      <c r="T13" s="13" t="str" cm="1">
        <f t="array" ref="T13">IFERROR(_xlfn.IFS(
   --S13&lt;55,"Battery Defect",
  -- S13&lt;=69,"Battery D",
  --S13&lt;=80,"Battery C",
 --S13&gt;80,""
),"")</f>
        <v/>
      </c>
      <c r="U13" s="13" t="str" cm="1">
        <f t="array" ref="U13:AB13">IFERROR(IF(_xlfn.XLOOKUP(B13,Input!J:J,Input!N:U)=0,"",
          _xlfn.XLOOKUP(B13,Input!J:J,Input!N:U)),"")</f>
        <v/>
      </c>
      <c r="V13" s="13" t="str">
        <v/>
      </c>
      <c r="W13" s="13" t="str">
        <v/>
      </c>
      <c r="X13" s="13" t="str">
        <v/>
      </c>
      <c r="Y13" s="13" t="str">
        <v/>
      </c>
      <c r="Z13" s="13" t="str">
        <v/>
      </c>
      <c r="AA13" s="13" t="str">
        <v/>
      </c>
      <c r="AB13" s="13" t="str">
        <v/>
      </c>
      <c r="AC13" t="str">
        <f t="shared" si="2"/>
        <v/>
      </c>
      <c r="AD13" t="str">
        <f>_xlfn.XLOOKUP(B:B,Disk_Pivot!G:G,Disk_Pivot!I:I)</f>
        <v>Yes</v>
      </c>
      <c r="AE13" t="str">
        <f>_xlfn.XLOOKUP(B13,Disk_Pivot!G:G,Disk_Pivot!N:N)</f>
        <v>Fail</v>
      </c>
    </row>
    <row r="14" spans="1:37">
      <c r="A14" t="str">
        <f>_xlfn.TEXTJOIN("",TRUE,_xlfn.XLOOKUP(B14,Input!J:J,Input!G:G,"",0,1),_xlfn.XLOOKUP(B14,Input!J:J,Input!H:H,"",0,1))</f>
        <v/>
      </c>
      <c r="C14" s="13">
        <f>_xlfn.XLOOKUP(B14,Input!J:J,Input!F:F)</f>
        <v>0</v>
      </c>
      <c r="D14">
        <f>_xlfn.XLOOKUP(C14,Models!H:H,Models!G:G,C14)</f>
        <v>0</v>
      </c>
      <c r="F14" t="str">
        <f>_xlfn.XLOOKUP(H14,Models!B:B,Models!F:F,"")</f>
        <v/>
      </c>
      <c r="G14">
        <f>_xlfn.XLOOKUP(B14,Input!J:J,Input!E:E)</f>
        <v>0</v>
      </c>
      <c r="H14">
        <f>IF(G14="LENOVO",_xlfn.XLOOKUP(B14,Input!J:J,Input!K:K),_xlfn.XLOOKUP(B14,Input!J:J,Input!L:L))</f>
        <v>0</v>
      </c>
      <c r="K14">
        <f>_xlfn.XLOOKUP(B14,CPU_Formula!A:A,CPU_Formula!I:I)</f>
        <v>0</v>
      </c>
      <c r="L14" s="13" t="e">
        <f>INDEX(Input!$D$2:$AC$500,
       MATCH(B14, Input!$J$2:$J$500, 0),
       MATCH("Memory Capacity", Input!$D$1:$AC$1, 0))</f>
        <v>#N/A</v>
      </c>
      <c r="M14" s="13" t="e">
        <f>INDEX(Input!$D$2:$AC$500,
       MATCH(B14, Input!$J$2:$J$500, 0),
       MATCH("Memory Type", Input!$D$1:$AC$1, 0))</f>
        <v>#N/A</v>
      </c>
      <c r="N14" s="13" t="e">
        <f t="shared" si="0"/>
        <v>#N/A</v>
      </c>
      <c r="O14" s="13" t="str" cm="1">
        <f t="array" ref="O14">IFERROR(_xlfn.FILTERXML("&lt;t&gt;&lt;s&gt;" &amp; SUBSTITUTE(M14," / ","&lt;/s&gt;&lt;s&gt;") &amp; "&lt;/s&gt;&lt;/t&gt;","(//s[contains(.,'DDR')])[1]"),"")</f>
        <v/>
      </c>
      <c r="P14" t="e">
        <f t="shared" si="1"/>
        <v>#N/A</v>
      </c>
      <c r="Q14" t="e">
        <f>INDEX(Input!$D$2:$AC$500,
       MATCH(B14, Input!$J$2:$J$500, 0),
       MATCH("Disk Capacity", Input!$D$1:$AC$1, 0))</f>
        <v>#N/A</v>
      </c>
      <c r="S14" s="13" t="e">
        <f>_xlfn.LET(_xlpm.Result,INDEX(Input!$D$2:$AC$500,
       MATCH(B14, Input!$J$2:$J$500, 0),
       MATCH("Capacity", Input!$D$1:$AC$1, 0)),IF(_xlpm.Result="","",_xlpm.Result))</f>
        <v>#N/A</v>
      </c>
      <c r="T14" s="13" t="str" cm="1">
        <f t="array" ref="T14">IFERROR(_xlfn.IFS(
   --S14&lt;55,"Battery Defect",
  -- S14&lt;=69,"Battery D",
  --S14&lt;=80,"Battery C",
 --S14&gt;80,""
),"")</f>
        <v/>
      </c>
      <c r="U14" s="13" t="str" cm="1">
        <f t="array" ref="U14:AB14">IFERROR(IF(_xlfn.XLOOKUP(B14,Input!J:J,Input!N:U)=0,"",
          _xlfn.XLOOKUP(B14,Input!J:J,Input!N:U)),"")</f>
        <v/>
      </c>
      <c r="V14" s="13" t="str">
        <v/>
      </c>
      <c r="W14" s="13" t="str">
        <v/>
      </c>
      <c r="X14" s="13" t="str">
        <v/>
      </c>
      <c r="Y14" s="13" t="str">
        <v/>
      </c>
      <c r="Z14" s="13" t="str">
        <v/>
      </c>
      <c r="AA14" s="13" t="str">
        <v/>
      </c>
      <c r="AB14" s="13" t="str">
        <v/>
      </c>
      <c r="AC14" t="str">
        <f t="shared" si="2"/>
        <v/>
      </c>
      <c r="AD14" t="str">
        <f>_xlfn.XLOOKUP(B:B,Disk_Pivot!G:G,Disk_Pivot!I:I)</f>
        <v>Yes</v>
      </c>
      <c r="AE14" t="str">
        <f>_xlfn.XLOOKUP(B14,Disk_Pivot!G:G,Disk_Pivot!N:N)</f>
        <v>Fail</v>
      </c>
    </row>
    <row r="15" spans="1:37">
      <c r="A15" t="str">
        <f>_xlfn.TEXTJOIN("",TRUE,_xlfn.XLOOKUP(B15,Input!J:J,Input!G:G,"",0,1),_xlfn.XLOOKUP(B15,Input!J:J,Input!H:H,"",0,1))</f>
        <v/>
      </c>
      <c r="C15" s="13">
        <f>_xlfn.XLOOKUP(B15,Input!J:J,Input!F:F)</f>
        <v>0</v>
      </c>
      <c r="D15">
        <f>_xlfn.XLOOKUP(C15,Models!H:H,Models!G:G,C15)</f>
        <v>0</v>
      </c>
      <c r="F15" t="str">
        <f>_xlfn.XLOOKUP(H15,Models!B:B,Models!F:F,"")</f>
        <v/>
      </c>
      <c r="G15">
        <f>_xlfn.XLOOKUP(B15,Input!J:J,Input!E:E)</f>
        <v>0</v>
      </c>
      <c r="H15">
        <f>IF(G15="LENOVO",_xlfn.XLOOKUP(B15,Input!J:J,Input!K:K),_xlfn.XLOOKUP(B15,Input!J:J,Input!L:L))</f>
        <v>0</v>
      </c>
      <c r="K15">
        <f>_xlfn.XLOOKUP(B15,CPU_Formula!A:A,CPU_Formula!I:I)</f>
        <v>0</v>
      </c>
      <c r="L15" s="13" t="e">
        <f>INDEX(Input!$D$2:$AC$500,
       MATCH(B15, Input!$J$2:$J$500, 0),
       MATCH("Memory Capacity", Input!$D$1:$AC$1, 0))</f>
        <v>#N/A</v>
      </c>
      <c r="M15" s="13" t="e">
        <f>INDEX(Input!$D$2:$AC$500,
       MATCH(B15, Input!$J$2:$J$500, 0),
       MATCH("Memory Type", Input!$D$1:$AC$1, 0))</f>
        <v>#N/A</v>
      </c>
      <c r="N15" s="13" t="e">
        <f t="shared" si="0"/>
        <v>#N/A</v>
      </c>
      <c r="O15" s="13" t="str" cm="1">
        <f t="array" ref="O15">IFERROR(_xlfn.FILTERXML("&lt;t&gt;&lt;s&gt;" &amp; SUBSTITUTE(M15," / ","&lt;/s&gt;&lt;s&gt;") &amp; "&lt;/s&gt;&lt;/t&gt;","(//s[contains(.,'DDR')])[1]"),"")</f>
        <v/>
      </c>
      <c r="P15" t="e">
        <f t="shared" si="1"/>
        <v>#N/A</v>
      </c>
      <c r="Q15" t="e">
        <f>INDEX(Input!$D$2:$AC$500,
       MATCH(B15, Input!$J$2:$J$500, 0),
       MATCH("Disk Capacity", Input!$D$1:$AC$1, 0))</f>
        <v>#N/A</v>
      </c>
      <c r="S15" s="13" t="e">
        <f>_xlfn.LET(_xlpm.Result,INDEX(Input!$D$2:$AC$500,
       MATCH(B15, Input!$J$2:$J$500, 0),
       MATCH("Capacity", Input!$D$1:$AC$1, 0)),IF(_xlpm.Result="","",_xlpm.Result))</f>
        <v>#N/A</v>
      </c>
      <c r="T15" s="13" t="str" cm="1">
        <f t="array" ref="T15">IFERROR(_xlfn.IFS(
   --S15&lt;55,"Battery Defect",
  -- S15&lt;=69,"Battery D",
  --S15&lt;=80,"Battery C",
 --S15&gt;80,""
),"")</f>
        <v/>
      </c>
      <c r="U15" s="13" t="str" cm="1">
        <f t="array" ref="U15:AB15">IFERROR(IF(_xlfn.XLOOKUP(B15,Input!J:J,Input!N:U)=0,"",
          _xlfn.XLOOKUP(B15,Input!J:J,Input!N:U)),"")</f>
        <v/>
      </c>
      <c r="V15" s="13" t="str">
        <v/>
      </c>
      <c r="W15" s="13" t="str">
        <v/>
      </c>
      <c r="X15" s="13" t="str">
        <v/>
      </c>
      <c r="Y15" s="13" t="str">
        <v/>
      </c>
      <c r="Z15" s="13" t="str">
        <v/>
      </c>
      <c r="AA15" s="13" t="str">
        <v/>
      </c>
      <c r="AB15" s="13" t="str">
        <v/>
      </c>
      <c r="AC15" t="str">
        <f t="shared" si="2"/>
        <v/>
      </c>
      <c r="AD15" t="str">
        <f>_xlfn.XLOOKUP(B:B,Disk_Pivot!G:G,Disk_Pivot!I:I)</f>
        <v>Yes</v>
      </c>
      <c r="AE15" t="str">
        <f>_xlfn.XLOOKUP(B15,Disk_Pivot!G:G,Disk_Pivot!N:N)</f>
        <v>Fail</v>
      </c>
    </row>
    <row r="16" spans="1:37">
      <c r="A16" t="str">
        <f>_xlfn.TEXTJOIN("",TRUE,_xlfn.XLOOKUP(B16,Input!J:J,Input!G:G,"",0,1),_xlfn.XLOOKUP(B16,Input!J:J,Input!H:H,"",0,1))</f>
        <v/>
      </c>
      <c r="C16" s="13">
        <f>_xlfn.XLOOKUP(B16,Input!J:J,Input!F:F)</f>
        <v>0</v>
      </c>
      <c r="D16">
        <f>_xlfn.XLOOKUP(C16,Models!H:H,Models!G:G,C16)</f>
        <v>0</v>
      </c>
      <c r="F16" t="str">
        <f>_xlfn.XLOOKUP(H16,Models!B:B,Models!F:F,"")</f>
        <v/>
      </c>
      <c r="G16">
        <f>_xlfn.XLOOKUP(B16,Input!J:J,Input!E:E)</f>
        <v>0</v>
      </c>
      <c r="H16">
        <f>IF(G16="LENOVO",_xlfn.XLOOKUP(B16,Input!J:J,Input!K:K),_xlfn.XLOOKUP(B16,Input!J:J,Input!L:L))</f>
        <v>0</v>
      </c>
      <c r="K16">
        <f>_xlfn.XLOOKUP(B16,CPU_Formula!A:A,CPU_Formula!I:I)</f>
        <v>0</v>
      </c>
      <c r="L16" s="13" t="e">
        <f>INDEX(Input!$D$2:$AC$500,
       MATCH(B16, Input!$J$2:$J$500, 0),
       MATCH("Memory Capacity", Input!$D$1:$AC$1, 0))</f>
        <v>#N/A</v>
      </c>
      <c r="M16" s="13" t="e">
        <f>INDEX(Input!$D$2:$AC$500,
       MATCH(B16, Input!$J$2:$J$500, 0),
       MATCH("Memory Type", Input!$D$1:$AC$1, 0))</f>
        <v>#N/A</v>
      </c>
      <c r="N16" s="13" t="e">
        <f t="shared" si="0"/>
        <v>#N/A</v>
      </c>
      <c r="O16" s="13" t="str" cm="1">
        <f t="array" ref="O16">IFERROR(_xlfn.FILTERXML("&lt;t&gt;&lt;s&gt;" &amp; SUBSTITUTE(M16," / ","&lt;/s&gt;&lt;s&gt;") &amp; "&lt;/s&gt;&lt;/t&gt;","(//s[contains(.,'DDR')])[1]"),"")</f>
        <v/>
      </c>
      <c r="P16" t="e">
        <f t="shared" si="1"/>
        <v>#N/A</v>
      </c>
      <c r="Q16" t="e">
        <f>INDEX(Input!$D$2:$AC$500,
       MATCH(B16, Input!$J$2:$J$500, 0),
       MATCH("Disk Capacity", Input!$D$1:$AC$1, 0))</f>
        <v>#N/A</v>
      </c>
      <c r="S16" s="13" t="e">
        <f>_xlfn.LET(_xlpm.Result,INDEX(Input!$D$2:$AC$500,
       MATCH(B16, Input!$J$2:$J$500, 0),
       MATCH("Capacity", Input!$D$1:$AC$1, 0)),IF(_xlpm.Result="","",_xlpm.Result))</f>
        <v>#N/A</v>
      </c>
      <c r="T16" s="13" t="str" cm="1">
        <f t="array" ref="T16">IFERROR(_xlfn.IFS(
   --S16&lt;55,"Battery Defect",
  -- S16&lt;=69,"Battery D",
  --S16&lt;=80,"Battery C",
 --S16&gt;80,""
),"")</f>
        <v/>
      </c>
      <c r="U16" s="13" t="str" cm="1">
        <f t="array" ref="U16:AB16">IFERROR(IF(_xlfn.XLOOKUP(B16,Input!J:J,Input!N:U)=0,"",
          _xlfn.XLOOKUP(B16,Input!J:J,Input!N:U)),"")</f>
        <v/>
      </c>
      <c r="V16" s="13" t="str">
        <v/>
      </c>
      <c r="W16" s="13" t="str">
        <v/>
      </c>
      <c r="X16" s="13" t="str">
        <v/>
      </c>
      <c r="Y16" s="13" t="str">
        <v/>
      </c>
      <c r="Z16" s="13" t="str">
        <v/>
      </c>
      <c r="AA16" s="13" t="str">
        <v/>
      </c>
      <c r="AB16" s="13" t="str">
        <v/>
      </c>
      <c r="AC16" t="str">
        <f t="shared" si="2"/>
        <v/>
      </c>
      <c r="AD16" t="str">
        <f>_xlfn.XLOOKUP(B:B,Disk_Pivot!G:G,Disk_Pivot!I:I)</f>
        <v>Yes</v>
      </c>
      <c r="AE16" t="str">
        <f>_xlfn.XLOOKUP(B16,Disk_Pivot!G:G,Disk_Pivot!N:N)</f>
        <v>Fail</v>
      </c>
    </row>
    <row r="17" spans="1:31">
      <c r="A17" t="str">
        <f>_xlfn.TEXTJOIN("",TRUE,_xlfn.XLOOKUP(B17,Input!J:J,Input!G:G,"",0,1),_xlfn.XLOOKUP(B17,Input!J:J,Input!H:H,"",0,1))</f>
        <v/>
      </c>
      <c r="C17" s="13">
        <f>_xlfn.XLOOKUP(B17,Input!J:J,Input!F:F)</f>
        <v>0</v>
      </c>
      <c r="D17">
        <f>_xlfn.XLOOKUP(C17,Models!H:H,Models!G:G,C17)</f>
        <v>0</v>
      </c>
      <c r="F17" t="str">
        <f>_xlfn.XLOOKUP(H17,Models!B:B,Models!F:F,"")</f>
        <v/>
      </c>
      <c r="G17">
        <f>_xlfn.XLOOKUP(B17,Input!J:J,Input!E:E)</f>
        <v>0</v>
      </c>
      <c r="H17">
        <f>IF(G17="LENOVO",_xlfn.XLOOKUP(B17,Input!J:J,Input!K:K),_xlfn.XLOOKUP(B17,Input!J:J,Input!L:L))</f>
        <v>0</v>
      </c>
      <c r="K17">
        <f>_xlfn.XLOOKUP(B17,CPU_Formula!A:A,CPU_Formula!I:I)</f>
        <v>0</v>
      </c>
      <c r="L17" s="13" t="e">
        <f>INDEX(Input!$D$2:$AC$500,
       MATCH(B17, Input!$J$2:$J$500, 0),
       MATCH("Memory Capacity", Input!$D$1:$AC$1, 0))</f>
        <v>#N/A</v>
      </c>
      <c r="M17" s="13" t="e">
        <f>INDEX(Input!$D$2:$AC$500,
       MATCH(B17, Input!$J$2:$J$500, 0),
       MATCH("Memory Type", Input!$D$1:$AC$1, 0))</f>
        <v>#N/A</v>
      </c>
      <c r="N17" s="13" t="e">
        <f t="shared" si="0"/>
        <v>#N/A</v>
      </c>
      <c r="O17" s="13" t="str" cm="1">
        <f t="array" ref="O17">IFERROR(_xlfn.FILTERXML("&lt;t&gt;&lt;s&gt;" &amp; SUBSTITUTE(M17," / ","&lt;/s&gt;&lt;s&gt;") &amp; "&lt;/s&gt;&lt;/t&gt;","(//s[contains(.,'DDR')])[1]"),"")</f>
        <v/>
      </c>
      <c r="P17" t="e">
        <f t="shared" si="1"/>
        <v>#N/A</v>
      </c>
      <c r="Q17" t="e">
        <f>INDEX(Input!$D$2:$AC$500,
       MATCH(B17, Input!$J$2:$J$500, 0),
       MATCH("Disk Capacity", Input!$D$1:$AC$1, 0))</f>
        <v>#N/A</v>
      </c>
      <c r="S17" s="13" t="e">
        <f>_xlfn.LET(_xlpm.Result,INDEX(Input!$D$2:$AC$500,
       MATCH(B17, Input!$J$2:$J$500, 0),
       MATCH("Capacity", Input!$D$1:$AC$1, 0)),IF(_xlpm.Result="","",_xlpm.Result))</f>
        <v>#N/A</v>
      </c>
      <c r="T17" s="13" t="str" cm="1">
        <f t="array" ref="T17">IFERROR(_xlfn.IFS(
   --S17&lt;55,"Battery Defect",
  -- S17&lt;=69,"Battery D",
  --S17&lt;=80,"Battery C",
 --S17&gt;80,""
),"")</f>
        <v/>
      </c>
      <c r="U17" s="13" t="str" cm="1">
        <f t="array" ref="U17:AB17">IFERROR(IF(_xlfn.XLOOKUP(B17,Input!J:J,Input!N:U)=0,"",
          _xlfn.XLOOKUP(B17,Input!J:J,Input!N:U)),"")</f>
        <v/>
      </c>
      <c r="V17" s="13" t="str">
        <v/>
      </c>
      <c r="W17" s="13" t="str">
        <v/>
      </c>
      <c r="X17" s="13" t="str">
        <v/>
      </c>
      <c r="Y17" s="13" t="str">
        <v/>
      </c>
      <c r="Z17" s="13" t="str">
        <v/>
      </c>
      <c r="AA17" s="13" t="str">
        <v/>
      </c>
      <c r="AB17" s="13" t="str">
        <v/>
      </c>
      <c r="AC17" t="str">
        <f t="shared" si="2"/>
        <v/>
      </c>
      <c r="AD17" t="str">
        <f>_xlfn.XLOOKUP(B:B,Disk_Pivot!G:G,Disk_Pivot!I:I)</f>
        <v>Yes</v>
      </c>
      <c r="AE17" t="str">
        <f>_xlfn.XLOOKUP(B17,Disk_Pivot!G:G,Disk_Pivot!N:N)</f>
        <v>Fail</v>
      </c>
    </row>
    <row r="18" spans="1:31">
      <c r="A18" t="str">
        <f>_xlfn.TEXTJOIN("",TRUE,_xlfn.XLOOKUP(B18,Input!J:J,Input!G:G,"",0,1),_xlfn.XLOOKUP(B18,Input!J:J,Input!H:H,"",0,1))</f>
        <v/>
      </c>
      <c r="C18" s="13">
        <f>_xlfn.XLOOKUP(B18,Input!J:J,Input!F:F)</f>
        <v>0</v>
      </c>
      <c r="D18">
        <f>_xlfn.XLOOKUP(C18,Models!H:H,Models!G:G,C18)</f>
        <v>0</v>
      </c>
      <c r="F18" t="str">
        <f>_xlfn.XLOOKUP(H18,Models!B:B,Models!F:F,"")</f>
        <v/>
      </c>
      <c r="G18">
        <f>_xlfn.XLOOKUP(B18,Input!J:J,Input!E:E)</f>
        <v>0</v>
      </c>
      <c r="H18">
        <f>IF(G18="LENOVO",_xlfn.XLOOKUP(B18,Input!J:J,Input!K:K),_xlfn.XLOOKUP(B18,Input!J:J,Input!L:L))</f>
        <v>0</v>
      </c>
      <c r="K18">
        <f>_xlfn.XLOOKUP(B18,CPU_Formula!A:A,CPU_Formula!I:I)</f>
        <v>0</v>
      </c>
      <c r="L18" s="13" t="e">
        <f>INDEX(Input!$D$2:$AC$500,
       MATCH(B18, Input!$J$2:$J$500, 0),
       MATCH("Memory Capacity", Input!$D$1:$AC$1, 0))</f>
        <v>#N/A</v>
      </c>
      <c r="M18" s="13" t="e">
        <f>INDEX(Input!$D$2:$AC$500,
       MATCH(B18, Input!$J$2:$J$500, 0),
       MATCH("Memory Type", Input!$D$1:$AC$1, 0))</f>
        <v>#N/A</v>
      </c>
      <c r="N18" s="13" t="e">
        <f t="shared" si="0"/>
        <v>#N/A</v>
      </c>
      <c r="O18" s="13" t="str" cm="1">
        <f t="array" ref="O18">IFERROR(_xlfn.FILTERXML("&lt;t&gt;&lt;s&gt;" &amp; SUBSTITUTE(M18," / ","&lt;/s&gt;&lt;s&gt;") &amp; "&lt;/s&gt;&lt;/t&gt;","(//s[contains(.,'DDR')])[1]"),"")</f>
        <v/>
      </c>
      <c r="P18" t="e">
        <f t="shared" si="1"/>
        <v>#N/A</v>
      </c>
      <c r="Q18" t="e">
        <f>INDEX(Input!$D$2:$AC$500,
       MATCH(B18, Input!$J$2:$J$500, 0),
       MATCH("Disk Capacity", Input!$D$1:$AC$1, 0))</f>
        <v>#N/A</v>
      </c>
      <c r="S18" s="13" t="e">
        <f>_xlfn.LET(_xlpm.Result,INDEX(Input!$D$2:$AC$500,
       MATCH(B18, Input!$J$2:$J$500, 0),
       MATCH("Capacity", Input!$D$1:$AC$1, 0)),IF(_xlpm.Result="","",_xlpm.Result))</f>
        <v>#N/A</v>
      </c>
      <c r="T18" s="13" t="str" cm="1">
        <f t="array" ref="T18">IFERROR(_xlfn.IFS(
   --S18&lt;55,"Battery Defect",
  -- S18&lt;=69,"Battery D",
  --S18&lt;=80,"Battery C",
 --S18&gt;80,""
),"")</f>
        <v/>
      </c>
      <c r="U18" s="13" t="str" cm="1">
        <f t="array" ref="U18:AB18">IFERROR(IF(_xlfn.XLOOKUP(B18,Input!J:J,Input!N:U)=0,"",
          _xlfn.XLOOKUP(B18,Input!J:J,Input!N:U)),"")</f>
        <v/>
      </c>
      <c r="V18" s="13" t="str">
        <v/>
      </c>
      <c r="W18" s="13" t="str">
        <v/>
      </c>
      <c r="X18" s="13" t="str">
        <v/>
      </c>
      <c r="Y18" s="13" t="str">
        <v/>
      </c>
      <c r="Z18" s="13" t="str">
        <v/>
      </c>
      <c r="AA18" s="13" t="str">
        <v/>
      </c>
      <c r="AB18" s="13" t="str">
        <v/>
      </c>
      <c r="AC18" t="str">
        <f t="shared" si="2"/>
        <v/>
      </c>
      <c r="AD18" t="str">
        <f>_xlfn.XLOOKUP(B:B,Disk_Pivot!G:G,Disk_Pivot!I:I)</f>
        <v>Yes</v>
      </c>
      <c r="AE18" t="str">
        <f>_xlfn.XLOOKUP(B18,Disk_Pivot!G:G,Disk_Pivot!N:N)</f>
        <v>Fail</v>
      </c>
    </row>
    <row r="19" spans="1:31">
      <c r="A19" t="str">
        <f>_xlfn.TEXTJOIN("",TRUE,_xlfn.XLOOKUP(B19,Input!J:J,Input!G:G,"",0,1),_xlfn.XLOOKUP(B19,Input!J:J,Input!H:H,"",0,1))</f>
        <v/>
      </c>
      <c r="C19" s="13">
        <f>_xlfn.XLOOKUP(B19,Input!J:J,Input!F:F)</f>
        <v>0</v>
      </c>
      <c r="D19">
        <f>_xlfn.XLOOKUP(C19,Models!H:H,Models!G:G,C19)</f>
        <v>0</v>
      </c>
      <c r="F19" t="str">
        <f>_xlfn.XLOOKUP(H19,Models!B:B,Models!F:F,"")</f>
        <v/>
      </c>
      <c r="G19">
        <f>_xlfn.XLOOKUP(B19,Input!J:J,Input!E:E)</f>
        <v>0</v>
      </c>
      <c r="H19">
        <f>IF(G19="LENOVO",_xlfn.XLOOKUP(B19,Input!J:J,Input!K:K),_xlfn.XLOOKUP(B19,Input!J:J,Input!L:L))</f>
        <v>0</v>
      </c>
      <c r="K19">
        <f>_xlfn.XLOOKUP(B19,CPU_Formula!A:A,CPU_Formula!I:I)</f>
        <v>0</v>
      </c>
      <c r="L19" s="13" t="e">
        <f>INDEX(Input!$D$2:$AC$500,
       MATCH(B19, Input!$J$2:$J$500, 0),
       MATCH("Memory Capacity", Input!$D$1:$AC$1, 0))</f>
        <v>#N/A</v>
      </c>
      <c r="M19" s="13" t="e">
        <f>INDEX(Input!$D$2:$AC$500,
       MATCH(B19, Input!$J$2:$J$500, 0),
       MATCH("Memory Type", Input!$D$1:$AC$1, 0))</f>
        <v>#N/A</v>
      </c>
      <c r="N19" s="13" t="e">
        <f t="shared" si="0"/>
        <v>#N/A</v>
      </c>
      <c r="O19" s="13" t="str" cm="1">
        <f t="array" ref="O19">IFERROR(_xlfn.FILTERXML("&lt;t&gt;&lt;s&gt;" &amp; SUBSTITUTE(M19," / ","&lt;/s&gt;&lt;s&gt;") &amp; "&lt;/s&gt;&lt;/t&gt;","(//s[contains(.,'DDR')])[1]"),"")</f>
        <v/>
      </c>
      <c r="P19" t="e">
        <f t="shared" si="1"/>
        <v>#N/A</v>
      </c>
      <c r="Q19" t="e">
        <f>INDEX(Input!$D$2:$AC$500,
       MATCH(B19, Input!$J$2:$J$500, 0),
       MATCH("Disk Capacity", Input!$D$1:$AC$1, 0))</f>
        <v>#N/A</v>
      </c>
      <c r="S19" s="13" t="e">
        <f>_xlfn.LET(_xlpm.Result,INDEX(Input!$D$2:$AC$500,
       MATCH(B19, Input!$J$2:$J$500, 0),
       MATCH("Capacity", Input!$D$1:$AC$1, 0)),IF(_xlpm.Result="","",_xlpm.Result))</f>
        <v>#N/A</v>
      </c>
      <c r="T19" s="13" t="str" cm="1">
        <f t="array" ref="T19">IFERROR(_xlfn.IFS(
   --S19&lt;55,"Battery Defect",
  -- S19&lt;=69,"Battery D",
  --S19&lt;=80,"Battery C",
 --S19&gt;80,""
),"")</f>
        <v/>
      </c>
      <c r="U19" s="13" t="str" cm="1">
        <f t="array" ref="U19:AB19">IFERROR(IF(_xlfn.XLOOKUP(B19,Input!J:J,Input!N:U)=0,"",
          _xlfn.XLOOKUP(B19,Input!J:J,Input!N:U)),"")</f>
        <v/>
      </c>
      <c r="V19" s="13" t="str">
        <v/>
      </c>
      <c r="W19" s="13" t="str">
        <v/>
      </c>
      <c r="X19" s="13" t="str">
        <v/>
      </c>
      <c r="Y19" s="13" t="str">
        <v/>
      </c>
      <c r="Z19" s="13" t="str">
        <v/>
      </c>
      <c r="AA19" s="13" t="str">
        <v/>
      </c>
      <c r="AB19" s="13" t="str">
        <v/>
      </c>
      <c r="AC19" t="str">
        <f t="shared" si="2"/>
        <v/>
      </c>
      <c r="AD19" t="str">
        <f>_xlfn.XLOOKUP(B:B,Disk_Pivot!G:G,Disk_Pivot!I:I)</f>
        <v>Yes</v>
      </c>
      <c r="AE19" t="str">
        <f>_xlfn.XLOOKUP(B19,Disk_Pivot!G:G,Disk_Pivot!N:N)</f>
        <v>Fail</v>
      </c>
    </row>
    <row r="20" spans="1:31">
      <c r="A20" t="str">
        <f>_xlfn.TEXTJOIN("",TRUE,_xlfn.XLOOKUP(B20,Input!J:J,Input!G:G,"",0,1),_xlfn.XLOOKUP(B20,Input!J:J,Input!H:H,"",0,1))</f>
        <v/>
      </c>
      <c r="C20" s="13">
        <f>_xlfn.XLOOKUP(B20,Input!J:J,Input!F:F)</f>
        <v>0</v>
      </c>
      <c r="D20">
        <f>_xlfn.XLOOKUP(C20,Models!H:H,Models!G:G,C20)</f>
        <v>0</v>
      </c>
      <c r="F20" t="str">
        <f>_xlfn.XLOOKUP(H20,Models!B:B,Models!F:F,"")</f>
        <v/>
      </c>
      <c r="G20">
        <f>_xlfn.XLOOKUP(B20,Input!J:J,Input!E:E)</f>
        <v>0</v>
      </c>
      <c r="H20">
        <f>IF(G20="LENOVO",_xlfn.XLOOKUP(B20,Input!J:J,Input!K:K),_xlfn.XLOOKUP(B20,Input!J:J,Input!L:L))</f>
        <v>0</v>
      </c>
      <c r="K20">
        <f>_xlfn.XLOOKUP(B20,CPU_Formula!A:A,CPU_Formula!I:I)</f>
        <v>0</v>
      </c>
      <c r="L20" s="13" t="e">
        <f>INDEX(Input!$D$2:$AC$500,
       MATCH(B20, Input!$J$2:$J$500, 0),
       MATCH("Memory Capacity", Input!$D$1:$AC$1, 0))</f>
        <v>#N/A</v>
      </c>
      <c r="M20" s="13" t="e">
        <f>INDEX(Input!$D$2:$AC$500,
       MATCH(B20, Input!$J$2:$J$500, 0),
       MATCH("Memory Type", Input!$D$1:$AC$1, 0))</f>
        <v>#N/A</v>
      </c>
      <c r="N20" s="13" t="e">
        <f t="shared" si="0"/>
        <v>#N/A</v>
      </c>
      <c r="O20" s="13" t="str" cm="1">
        <f t="array" ref="O20">IFERROR(_xlfn.FILTERXML("&lt;t&gt;&lt;s&gt;" &amp; SUBSTITUTE(M20," / ","&lt;/s&gt;&lt;s&gt;") &amp; "&lt;/s&gt;&lt;/t&gt;","(//s[contains(.,'DDR')])[1]"),"")</f>
        <v/>
      </c>
      <c r="P20" t="e">
        <f t="shared" si="1"/>
        <v>#N/A</v>
      </c>
      <c r="Q20" t="e">
        <f>INDEX(Input!$D$2:$AC$500,
       MATCH(B20, Input!$J$2:$J$500, 0),
       MATCH("Disk Capacity", Input!$D$1:$AC$1, 0))</f>
        <v>#N/A</v>
      </c>
      <c r="S20" s="13" t="e">
        <f>_xlfn.LET(_xlpm.Result,INDEX(Input!$D$2:$AC$500,
       MATCH(B20, Input!$J$2:$J$500, 0),
       MATCH("Capacity", Input!$D$1:$AC$1, 0)),IF(_xlpm.Result="","",_xlpm.Result))</f>
        <v>#N/A</v>
      </c>
      <c r="T20" s="13" t="str" cm="1">
        <f t="array" ref="T20">IFERROR(_xlfn.IFS(
   --S20&lt;55,"Battery Defect",
  -- S20&lt;=69,"Battery D",
  --S20&lt;=80,"Battery C",
 --S20&gt;80,""
),"")</f>
        <v/>
      </c>
      <c r="U20" s="13" t="str" cm="1">
        <f t="array" ref="U20:AB20">IFERROR(IF(_xlfn.XLOOKUP(B20,Input!J:J,Input!N:U)=0,"",
          _xlfn.XLOOKUP(B20,Input!J:J,Input!N:U)),"")</f>
        <v/>
      </c>
      <c r="V20" s="13" t="str">
        <v/>
      </c>
      <c r="W20" s="13" t="str">
        <v/>
      </c>
      <c r="X20" s="13" t="str">
        <v/>
      </c>
      <c r="Y20" s="13" t="str">
        <v/>
      </c>
      <c r="Z20" s="13" t="str">
        <v/>
      </c>
      <c r="AA20" s="13" t="str">
        <v/>
      </c>
      <c r="AB20" s="13" t="str">
        <v/>
      </c>
      <c r="AC20" t="str">
        <f t="shared" si="2"/>
        <v/>
      </c>
      <c r="AD20" t="str">
        <f>_xlfn.XLOOKUP(B:B,Disk_Pivot!G:G,Disk_Pivot!I:I)</f>
        <v>Yes</v>
      </c>
      <c r="AE20" t="str">
        <f>_xlfn.XLOOKUP(B20,Disk_Pivot!G:G,Disk_Pivot!N:N)</f>
        <v>Fail</v>
      </c>
    </row>
    <row r="21" spans="1:31">
      <c r="A21" t="str">
        <f>_xlfn.TEXTJOIN("",TRUE,_xlfn.XLOOKUP(B21,Input!J:J,Input!G:G,"",0,1),_xlfn.XLOOKUP(B21,Input!J:J,Input!H:H,"",0,1))</f>
        <v/>
      </c>
      <c r="C21" s="13">
        <f>_xlfn.XLOOKUP(B21,Input!J:J,Input!F:F)</f>
        <v>0</v>
      </c>
      <c r="D21">
        <f>_xlfn.XLOOKUP(C21,Models!H:H,Models!G:G,C21)</f>
        <v>0</v>
      </c>
      <c r="F21" t="str">
        <f>_xlfn.XLOOKUP(H21,Models!B:B,Models!F:F,"")</f>
        <v/>
      </c>
      <c r="G21">
        <f>_xlfn.XLOOKUP(B21,Input!J:J,Input!E:E)</f>
        <v>0</v>
      </c>
      <c r="H21">
        <f>IF(G21="LENOVO",_xlfn.XLOOKUP(B21,Input!J:J,Input!K:K),_xlfn.XLOOKUP(B21,Input!J:J,Input!L:L))</f>
        <v>0</v>
      </c>
      <c r="K21">
        <f>_xlfn.XLOOKUP(B21,CPU_Formula!A:A,CPU_Formula!I:I)</f>
        <v>0</v>
      </c>
      <c r="L21" s="13" t="e">
        <f>INDEX(Input!$D$2:$AC$500,
       MATCH(B21, Input!$J$2:$J$500, 0),
       MATCH("Memory Capacity", Input!$D$1:$AC$1, 0))</f>
        <v>#N/A</v>
      </c>
      <c r="M21" s="13" t="e">
        <f>INDEX(Input!$D$2:$AC$500,
       MATCH(B21, Input!$J$2:$J$500, 0),
       MATCH("Memory Type", Input!$D$1:$AC$1, 0))</f>
        <v>#N/A</v>
      </c>
      <c r="N21" s="13" t="e">
        <f t="shared" si="0"/>
        <v>#N/A</v>
      </c>
      <c r="O21" s="13" t="str" cm="1">
        <f t="array" ref="O21">IFERROR(_xlfn.FILTERXML("&lt;t&gt;&lt;s&gt;" &amp; SUBSTITUTE(M21," / ","&lt;/s&gt;&lt;s&gt;") &amp; "&lt;/s&gt;&lt;/t&gt;","(//s[contains(.,'DDR')])[1]"),"")</f>
        <v/>
      </c>
      <c r="P21" t="e">
        <f t="shared" si="1"/>
        <v>#N/A</v>
      </c>
      <c r="Q21" t="e">
        <f>INDEX(Input!$D$2:$AC$500,
       MATCH(B21, Input!$J$2:$J$500, 0),
       MATCH("Disk Capacity", Input!$D$1:$AC$1, 0))</f>
        <v>#N/A</v>
      </c>
      <c r="S21" s="13" t="e">
        <f>_xlfn.LET(_xlpm.Result,INDEX(Input!$D$2:$AC$500,
       MATCH(B21, Input!$J$2:$J$500, 0),
       MATCH("Capacity", Input!$D$1:$AC$1, 0)),IF(_xlpm.Result="","",_xlpm.Result))</f>
        <v>#N/A</v>
      </c>
      <c r="T21" s="13" t="str" cm="1">
        <f t="array" ref="T21">IFERROR(_xlfn.IFS(
   --S21&lt;55,"Battery Defect",
  -- S21&lt;=69,"Battery D",
  --S21&lt;=80,"Battery C",
 --S21&gt;80,""
),"")</f>
        <v/>
      </c>
      <c r="U21" s="13" t="str" cm="1">
        <f t="array" ref="U21:AB21">IFERROR(IF(_xlfn.XLOOKUP(B21,Input!J:J,Input!N:U)=0,"",
          _xlfn.XLOOKUP(B21,Input!J:J,Input!N:U)),"")</f>
        <v/>
      </c>
      <c r="V21" s="13" t="str">
        <v/>
      </c>
      <c r="W21" s="13" t="str">
        <v/>
      </c>
      <c r="X21" s="13" t="str">
        <v/>
      </c>
      <c r="Y21" s="13" t="str">
        <v/>
      </c>
      <c r="Z21" s="13" t="str">
        <v/>
      </c>
      <c r="AA21" s="13" t="str">
        <v/>
      </c>
      <c r="AB21" s="13" t="str">
        <v/>
      </c>
      <c r="AC21" t="str">
        <f t="shared" si="2"/>
        <v/>
      </c>
      <c r="AD21" t="str">
        <f>_xlfn.XLOOKUP(B:B,Disk_Pivot!G:G,Disk_Pivot!I:I)</f>
        <v>Yes</v>
      </c>
      <c r="AE21" t="str">
        <f>_xlfn.XLOOKUP(B21,Disk_Pivot!G:G,Disk_Pivot!N:N)</f>
        <v>Fail</v>
      </c>
    </row>
    <row r="22" spans="1:31">
      <c r="A22" t="str">
        <f>_xlfn.TEXTJOIN("",TRUE,_xlfn.XLOOKUP(B22,Input!J:J,Input!G:G,"",0,1),_xlfn.XLOOKUP(B22,Input!J:J,Input!H:H,"",0,1))</f>
        <v/>
      </c>
      <c r="C22" s="13">
        <f>_xlfn.XLOOKUP(B22,Input!J:J,Input!F:F)</f>
        <v>0</v>
      </c>
      <c r="D22">
        <f>_xlfn.XLOOKUP(C22,Models!H:H,Models!G:G,C22)</f>
        <v>0</v>
      </c>
      <c r="F22" t="str">
        <f>_xlfn.XLOOKUP(H22,Models!B:B,Models!F:F,"")</f>
        <v/>
      </c>
      <c r="G22">
        <f>_xlfn.XLOOKUP(B22,Input!J:J,Input!E:E)</f>
        <v>0</v>
      </c>
      <c r="H22">
        <f>IF(G22="LENOVO",_xlfn.XLOOKUP(B22,Input!J:J,Input!K:K),_xlfn.XLOOKUP(B22,Input!J:J,Input!L:L))</f>
        <v>0</v>
      </c>
      <c r="K22">
        <f>_xlfn.XLOOKUP(B22,CPU_Formula!A:A,CPU_Formula!I:I)</f>
        <v>0</v>
      </c>
      <c r="L22" s="13" t="e">
        <f>INDEX(Input!$D$2:$AC$500,
       MATCH(B22, Input!$J$2:$J$500, 0),
       MATCH("Memory Capacity", Input!$D$1:$AC$1, 0))</f>
        <v>#N/A</v>
      </c>
      <c r="M22" s="13" t="e">
        <f>INDEX(Input!$D$2:$AC$500,
       MATCH(B22, Input!$J$2:$J$500, 0),
       MATCH("Memory Type", Input!$D$1:$AC$1, 0))</f>
        <v>#N/A</v>
      </c>
      <c r="N22" s="13" t="e">
        <f t="shared" si="0"/>
        <v>#N/A</v>
      </c>
      <c r="O22" s="13" t="str" cm="1">
        <f t="array" ref="O22">IFERROR(_xlfn.FILTERXML("&lt;t&gt;&lt;s&gt;" &amp; SUBSTITUTE(M22," / ","&lt;/s&gt;&lt;s&gt;") &amp; "&lt;/s&gt;&lt;/t&gt;","(//s[contains(.,'DDR')])[1]"),"")</f>
        <v/>
      </c>
      <c r="P22" t="e">
        <f t="shared" si="1"/>
        <v>#N/A</v>
      </c>
      <c r="Q22" t="e">
        <f>INDEX(Input!$D$2:$AC$500,
       MATCH(B22, Input!$J$2:$J$500, 0),
       MATCH("Disk Capacity", Input!$D$1:$AC$1, 0))</f>
        <v>#N/A</v>
      </c>
      <c r="S22" s="13" t="e">
        <f>_xlfn.LET(_xlpm.Result,INDEX(Input!$D$2:$AC$500,
       MATCH(B22, Input!$J$2:$J$500, 0),
       MATCH("Capacity", Input!$D$1:$AC$1, 0)),IF(_xlpm.Result="","",_xlpm.Result))</f>
        <v>#N/A</v>
      </c>
      <c r="T22" s="13" t="str" cm="1">
        <f t="array" ref="T22">IFERROR(_xlfn.IFS(
   --S22&lt;55,"Battery Defect",
  -- S22&lt;=69,"Battery D",
  --S22&lt;=80,"Battery C",
 --S22&gt;80,""
),"")</f>
        <v/>
      </c>
      <c r="U22" s="13" t="str" cm="1">
        <f t="array" ref="U22:AB22">IFERROR(IF(_xlfn.XLOOKUP(B22,Input!J:J,Input!N:U)=0,"",
          _xlfn.XLOOKUP(B22,Input!J:J,Input!N:U)),"")</f>
        <v/>
      </c>
      <c r="V22" s="13" t="str">
        <v/>
      </c>
      <c r="W22" s="13" t="str">
        <v/>
      </c>
      <c r="X22" s="13" t="str">
        <v/>
      </c>
      <c r="Y22" s="13" t="str">
        <v/>
      </c>
      <c r="Z22" s="13" t="str">
        <v/>
      </c>
      <c r="AA22" s="13" t="str">
        <v/>
      </c>
      <c r="AB22" s="13" t="str">
        <v/>
      </c>
      <c r="AC22" t="str">
        <f t="shared" si="2"/>
        <v/>
      </c>
      <c r="AD22" t="str">
        <f>_xlfn.XLOOKUP(B:B,Disk_Pivot!G:G,Disk_Pivot!I:I)</f>
        <v>Yes</v>
      </c>
      <c r="AE22" t="str">
        <f>_xlfn.XLOOKUP(B22,Disk_Pivot!G:G,Disk_Pivot!N:N)</f>
        <v>Fail</v>
      </c>
    </row>
    <row r="23" spans="1:31">
      <c r="A23" t="str">
        <f>_xlfn.TEXTJOIN("",TRUE,_xlfn.XLOOKUP(B23,Input!J:J,Input!G:G,"",0,1),_xlfn.XLOOKUP(B23,Input!J:J,Input!H:H,"",0,1))</f>
        <v/>
      </c>
      <c r="C23" s="13">
        <f>_xlfn.XLOOKUP(B23,Input!J:J,Input!F:F)</f>
        <v>0</v>
      </c>
      <c r="D23">
        <f>_xlfn.XLOOKUP(C23,Models!H:H,Models!G:G,C23)</f>
        <v>0</v>
      </c>
      <c r="F23" t="str">
        <f>_xlfn.XLOOKUP(H23,Models!B:B,Models!F:F,"")</f>
        <v/>
      </c>
      <c r="G23">
        <f>_xlfn.XLOOKUP(B23,Input!J:J,Input!E:E)</f>
        <v>0</v>
      </c>
      <c r="H23">
        <f>IF(G23="LENOVO",_xlfn.XLOOKUP(B23,Input!J:J,Input!K:K),_xlfn.XLOOKUP(B23,Input!J:J,Input!L:L))</f>
        <v>0</v>
      </c>
      <c r="K23">
        <f>_xlfn.XLOOKUP(B23,CPU_Formula!A:A,CPU_Formula!I:I)</f>
        <v>0</v>
      </c>
      <c r="L23" s="13" t="e">
        <f>INDEX(Input!$D$2:$AC$500,
       MATCH(B23, Input!$J$2:$J$500, 0),
       MATCH("Memory Capacity", Input!$D$1:$AC$1, 0))</f>
        <v>#N/A</v>
      </c>
      <c r="M23" s="13" t="e">
        <f>INDEX(Input!$D$2:$AC$500,
       MATCH(B23, Input!$J$2:$J$500, 0),
       MATCH("Memory Type", Input!$D$1:$AC$1, 0))</f>
        <v>#N/A</v>
      </c>
      <c r="N23" s="13" t="e">
        <f t="shared" si="0"/>
        <v>#N/A</v>
      </c>
      <c r="O23" s="13" t="str" cm="1">
        <f t="array" ref="O23">IFERROR(_xlfn.FILTERXML("&lt;t&gt;&lt;s&gt;" &amp; SUBSTITUTE(M23," / ","&lt;/s&gt;&lt;s&gt;") &amp; "&lt;/s&gt;&lt;/t&gt;","(//s[contains(.,'DDR')])[1]"),"")</f>
        <v/>
      </c>
      <c r="P23" t="e">
        <f t="shared" si="1"/>
        <v>#N/A</v>
      </c>
      <c r="Q23" t="e">
        <f>INDEX(Input!$D$2:$AC$500,
       MATCH(B23, Input!$J$2:$J$500, 0),
       MATCH("Disk Capacity", Input!$D$1:$AC$1, 0))</f>
        <v>#N/A</v>
      </c>
      <c r="S23" s="13" t="e">
        <f>_xlfn.LET(_xlpm.Result,INDEX(Input!$D$2:$AC$500,
       MATCH(B23, Input!$J$2:$J$500, 0),
       MATCH("Capacity", Input!$D$1:$AC$1, 0)),IF(_xlpm.Result="","",_xlpm.Result))</f>
        <v>#N/A</v>
      </c>
      <c r="T23" s="13" t="str" cm="1">
        <f t="array" ref="T23">IFERROR(_xlfn.IFS(
   --S23&lt;55,"Battery Defect",
  -- S23&lt;=69,"Battery D",
  --S23&lt;=80,"Battery C",
 --S23&gt;80,""
),"")</f>
        <v/>
      </c>
      <c r="U23" s="13" t="str" cm="1">
        <f t="array" ref="U23:AB23">IFERROR(IF(_xlfn.XLOOKUP(B23,Input!J:J,Input!N:U)=0,"",
          _xlfn.XLOOKUP(B23,Input!J:J,Input!N:U)),"")</f>
        <v/>
      </c>
      <c r="V23" s="13" t="str">
        <v/>
      </c>
      <c r="W23" s="13" t="str">
        <v/>
      </c>
      <c r="X23" s="13" t="str">
        <v/>
      </c>
      <c r="Y23" s="13" t="str">
        <v/>
      </c>
      <c r="Z23" s="13" t="str">
        <v/>
      </c>
      <c r="AA23" s="13" t="str">
        <v/>
      </c>
      <c r="AB23" s="13" t="str">
        <v/>
      </c>
      <c r="AC23" t="str">
        <f t="shared" si="2"/>
        <v/>
      </c>
      <c r="AD23" t="str">
        <f>_xlfn.XLOOKUP(B:B,Disk_Pivot!G:G,Disk_Pivot!I:I)</f>
        <v>Yes</v>
      </c>
      <c r="AE23" t="str">
        <f>_xlfn.XLOOKUP(B23,Disk_Pivot!G:G,Disk_Pivot!N:N)</f>
        <v>Fail</v>
      </c>
    </row>
    <row r="24" spans="1:31">
      <c r="A24" t="str">
        <f>_xlfn.TEXTJOIN("",TRUE,_xlfn.XLOOKUP(B24,Input!J:J,Input!G:G,"",0,1),_xlfn.XLOOKUP(B24,Input!J:J,Input!H:H,"",0,1))</f>
        <v/>
      </c>
      <c r="C24" s="13">
        <f>_xlfn.XLOOKUP(B24,Input!J:J,Input!F:F)</f>
        <v>0</v>
      </c>
      <c r="D24">
        <f>_xlfn.XLOOKUP(C24,Models!H:H,Models!G:G,C24)</f>
        <v>0</v>
      </c>
      <c r="F24" t="str">
        <f>_xlfn.XLOOKUP(H24,Models!B:B,Models!F:F,"")</f>
        <v/>
      </c>
      <c r="G24">
        <f>_xlfn.XLOOKUP(B24,Input!J:J,Input!E:E)</f>
        <v>0</v>
      </c>
      <c r="H24">
        <f>IF(G24="LENOVO",_xlfn.XLOOKUP(B24,Input!J:J,Input!K:K),_xlfn.XLOOKUP(B24,Input!J:J,Input!L:L))</f>
        <v>0</v>
      </c>
      <c r="K24">
        <f>_xlfn.XLOOKUP(B24,CPU_Formula!A:A,CPU_Formula!I:I)</f>
        <v>0</v>
      </c>
      <c r="L24" s="13" t="e">
        <f>INDEX(Input!$D$2:$AC$500,
       MATCH(B24, Input!$J$2:$J$500, 0),
       MATCH("Memory Capacity", Input!$D$1:$AC$1, 0))</f>
        <v>#N/A</v>
      </c>
      <c r="M24" s="13" t="e">
        <f>INDEX(Input!$D$2:$AC$500,
       MATCH(B24, Input!$J$2:$J$500, 0),
       MATCH("Memory Type", Input!$D$1:$AC$1, 0))</f>
        <v>#N/A</v>
      </c>
      <c r="N24" s="13" t="e">
        <f t="shared" si="0"/>
        <v>#N/A</v>
      </c>
      <c r="O24" s="13" t="str" cm="1">
        <f t="array" ref="O24">IFERROR(_xlfn.FILTERXML("&lt;t&gt;&lt;s&gt;" &amp; SUBSTITUTE(M24," / ","&lt;/s&gt;&lt;s&gt;") &amp; "&lt;/s&gt;&lt;/t&gt;","(//s[contains(.,'DDR')])[1]"),"")</f>
        <v/>
      </c>
      <c r="P24" t="e">
        <f t="shared" si="1"/>
        <v>#N/A</v>
      </c>
      <c r="Q24" t="e">
        <f>INDEX(Input!$D$2:$AC$500,
       MATCH(B24, Input!$J$2:$J$500, 0),
       MATCH("Disk Capacity", Input!$D$1:$AC$1, 0))</f>
        <v>#N/A</v>
      </c>
      <c r="S24" s="13" t="e">
        <f>_xlfn.LET(_xlpm.Result,INDEX(Input!$D$2:$AC$500,
       MATCH(B24, Input!$J$2:$J$500, 0),
       MATCH("Capacity", Input!$D$1:$AC$1, 0)),IF(_xlpm.Result="","",_xlpm.Result))</f>
        <v>#N/A</v>
      </c>
      <c r="T24" s="13" t="str" cm="1">
        <f t="array" ref="T24">IFERROR(_xlfn.IFS(
   --S24&lt;55,"Battery Defect",
  -- S24&lt;=69,"Battery D",
  --S24&lt;=80,"Battery C",
 --S24&gt;80,""
),"")</f>
        <v/>
      </c>
      <c r="U24" s="13" t="str" cm="1">
        <f t="array" ref="U24:AB24">IFERROR(IF(_xlfn.XLOOKUP(B24,Input!J:J,Input!N:U)=0,"",
          _xlfn.XLOOKUP(B24,Input!J:J,Input!N:U)),"")</f>
        <v/>
      </c>
      <c r="V24" s="13" t="str">
        <v/>
      </c>
      <c r="W24" s="13" t="str">
        <v/>
      </c>
      <c r="X24" s="13" t="str">
        <v/>
      </c>
      <c r="Y24" s="13" t="str">
        <v/>
      </c>
      <c r="Z24" s="13" t="str">
        <v/>
      </c>
      <c r="AA24" s="13" t="str">
        <v/>
      </c>
      <c r="AB24" s="13" t="str">
        <v/>
      </c>
      <c r="AC24" t="str">
        <f t="shared" si="2"/>
        <v/>
      </c>
      <c r="AD24" t="str">
        <f>_xlfn.XLOOKUP(B:B,Disk_Pivot!G:G,Disk_Pivot!I:I)</f>
        <v>Yes</v>
      </c>
      <c r="AE24" t="str">
        <f>_xlfn.XLOOKUP(B24,Disk_Pivot!G:G,Disk_Pivot!N:N)</f>
        <v>Fail</v>
      </c>
    </row>
    <row r="25" spans="1:31">
      <c r="A25" t="str">
        <f>_xlfn.TEXTJOIN("",TRUE,_xlfn.XLOOKUP(B25,Input!J:J,Input!G:G,"",0,1),_xlfn.XLOOKUP(B25,Input!J:J,Input!H:H,"",0,1))</f>
        <v/>
      </c>
      <c r="C25" s="13">
        <f>_xlfn.XLOOKUP(B25,Input!J:J,Input!F:F)</f>
        <v>0</v>
      </c>
      <c r="D25">
        <f>_xlfn.XLOOKUP(C25,Models!H:H,Models!G:G,C25)</f>
        <v>0</v>
      </c>
      <c r="F25" t="str">
        <f>_xlfn.XLOOKUP(H25,Models!B:B,Models!F:F,"")</f>
        <v/>
      </c>
      <c r="G25">
        <f>_xlfn.XLOOKUP(B25,Input!J:J,Input!E:E)</f>
        <v>0</v>
      </c>
      <c r="H25">
        <f>IF(G25="LENOVO",_xlfn.XLOOKUP(B25,Input!J:J,Input!K:K),_xlfn.XLOOKUP(B25,Input!J:J,Input!L:L))</f>
        <v>0</v>
      </c>
      <c r="K25">
        <f>_xlfn.XLOOKUP(B25,CPU_Formula!A:A,CPU_Formula!I:I)</f>
        <v>0</v>
      </c>
      <c r="L25" s="13" t="e">
        <f>INDEX(Input!$D$2:$AC$500,
       MATCH(B25, Input!$J$2:$J$500, 0),
       MATCH("Memory Capacity", Input!$D$1:$AC$1, 0))</f>
        <v>#N/A</v>
      </c>
      <c r="M25" s="13" t="e">
        <f>INDEX(Input!$D$2:$AC$500,
       MATCH(B25, Input!$J$2:$J$500, 0),
       MATCH("Memory Type", Input!$D$1:$AC$1, 0))</f>
        <v>#N/A</v>
      </c>
      <c r="N25" s="13" t="e">
        <f t="shared" si="0"/>
        <v>#N/A</v>
      </c>
      <c r="O25" s="13" t="str" cm="1">
        <f t="array" ref="O25">IFERROR(_xlfn.FILTERXML("&lt;t&gt;&lt;s&gt;" &amp; SUBSTITUTE(M25," / ","&lt;/s&gt;&lt;s&gt;") &amp; "&lt;/s&gt;&lt;/t&gt;","(//s[contains(.,'DDR')])[1]"),"")</f>
        <v/>
      </c>
      <c r="P25" t="e">
        <f t="shared" si="1"/>
        <v>#N/A</v>
      </c>
      <c r="Q25" t="e">
        <f>INDEX(Input!$D$2:$AC$500,
       MATCH(B25, Input!$J$2:$J$500, 0),
       MATCH("Disk Capacity", Input!$D$1:$AC$1, 0))</f>
        <v>#N/A</v>
      </c>
      <c r="S25" s="13" t="e">
        <f>_xlfn.LET(_xlpm.Result,INDEX(Input!$D$2:$AC$500,
       MATCH(B25, Input!$J$2:$J$500, 0),
       MATCH("Capacity", Input!$D$1:$AC$1, 0)),IF(_xlpm.Result="","",_xlpm.Result))</f>
        <v>#N/A</v>
      </c>
      <c r="T25" s="13" t="str" cm="1">
        <f t="array" ref="T25">IFERROR(_xlfn.IFS(
   --S25&lt;55,"Battery Defect",
  -- S25&lt;=69,"Battery D",
  --S25&lt;=80,"Battery C",
 --S25&gt;80,""
),"")</f>
        <v/>
      </c>
      <c r="U25" s="13" t="str" cm="1">
        <f t="array" ref="U25:AB25">IFERROR(IF(_xlfn.XLOOKUP(B25,Input!J:J,Input!N:U)=0,"",
          _xlfn.XLOOKUP(B25,Input!J:J,Input!N:U)),"")</f>
        <v/>
      </c>
      <c r="V25" s="13" t="str">
        <v/>
      </c>
      <c r="W25" s="13" t="str">
        <v/>
      </c>
      <c r="X25" s="13" t="str">
        <v/>
      </c>
      <c r="Y25" s="13" t="str">
        <v/>
      </c>
      <c r="Z25" s="13" t="str">
        <v/>
      </c>
      <c r="AA25" s="13" t="str">
        <v/>
      </c>
      <c r="AB25" s="13" t="str">
        <v/>
      </c>
      <c r="AC25" t="str">
        <f t="shared" si="2"/>
        <v/>
      </c>
      <c r="AD25" t="str">
        <f>_xlfn.XLOOKUP(B:B,Disk_Pivot!G:G,Disk_Pivot!I:I)</f>
        <v>Yes</v>
      </c>
      <c r="AE25" t="str">
        <f>_xlfn.XLOOKUP(B25,Disk_Pivot!G:G,Disk_Pivot!N:N)</f>
        <v>Fail</v>
      </c>
    </row>
    <row r="26" spans="1:31">
      <c r="A26" t="str">
        <f>_xlfn.TEXTJOIN("",TRUE,_xlfn.XLOOKUP(B26,Input!J:J,Input!G:G,"",0,1),_xlfn.XLOOKUP(B26,Input!J:J,Input!H:H,"",0,1))</f>
        <v/>
      </c>
      <c r="C26" s="13">
        <f>_xlfn.XLOOKUP(B26,Input!J:J,Input!F:F)</f>
        <v>0</v>
      </c>
      <c r="D26">
        <f>_xlfn.XLOOKUP(C26,Models!H:H,Models!G:G,C26)</f>
        <v>0</v>
      </c>
      <c r="F26" t="str">
        <f>_xlfn.XLOOKUP(H26,Models!B:B,Models!F:F,"")</f>
        <v/>
      </c>
      <c r="G26">
        <f>_xlfn.XLOOKUP(B26,Input!J:J,Input!E:E)</f>
        <v>0</v>
      </c>
      <c r="H26">
        <f>IF(G26="LENOVO",_xlfn.XLOOKUP(B26,Input!J:J,Input!K:K),_xlfn.XLOOKUP(B26,Input!J:J,Input!L:L))</f>
        <v>0</v>
      </c>
      <c r="K26">
        <f>_xlfn.XLOOKUP(B26,CPU_Formula!A:A,CPU_Formula!I:I)</f>
        <v>0</v>
      </c>
      <c r="L26" s="13" t="e">
        <f>INDEX(Input!$D$2:$AC$500,
       MATCH(B26, Input!$J$2:$J$500, 0),
       MATCH("Memory Capacity", Input!$D$1:$AC$1, 0))</f>
        <v>#N/A</v>
      </c>
      <c r="M26" s="13" t="e">
        <f>INDEX(Input!$D$2:$AC$500,
       MATCH(B26, Input!$J$2:$J$500, 0),
       MATCH("Memory Type", Input!$D$1:$AC$1, 0))</f>
        <v>#N/A</v>
      </c>
      <c r="N26" s="13" t="e">
        <f t="shared" si="0"/>
        <v>#N/A</v>
      </c>
      <c r="O26" s="13" t="str" cm="1">
        <f t="array" ref="O26">IFERROR(_xlfn.FILTERXML("&lt;t&gt;&lt;s&gt;" &amp; SUBSTITUTE(M26," / ","&lt;/s&gt;&lt;s&gt;") &amp; "&lt;/s&gt;&lt;/t&gt;","(//s[contains(.,'DDR')])[1]"),"")</f>
        <v/>
      </c>
      <c r="P26" t="e">
        <f t="shared" si="1"/>
        <v>#N/A</v>
      </c>
      <c r="Q26" t="e">
        <f>INDEX(Input!$D$2:$AC$500,
       MATCH(B26, Input!$J$2:$J$500, 0),
       MATCH("Disk Capacity", Input!$D$1:$AC$1, 0))</f>
        <v>#N/A</v>
      </c>
      <c r="S26" s="13" t="e">
        <f>_xlfn.LET(_xlpm.Result,INDEX(Input!$D$2:$AC$500,
       MATCH(B26, Input!$J$2:$J$500, 0),
       MATCH("Capacity", Input!$D$1:$AC$1, 0)),IF(_xlpm.Result="","",_xlpm.Result))</f>
        <v>#N/A</v>
      </c>
      <c r="T26" s="13" t="str" cm="1">
        <f t="array" ref="T26">IFERROR(_xlfn.IFS(
   --S26&lt;55,"Battery Defect",
  -- S26&lt;=69,"Battery D",
  --S26&lt;=80,"Battery C",
 --S26&gt;80,""
),"")</f>
        <v/>
      </c>
      <c r="U26" s="13" t="str" cm="1">
        <f t="array" ref="U26:AB26">IFERROR(IF(_xlfn.XLOOKUP(B26,Input!J:J,Input!N:U)=0,"",
          _xlfn.XLOOKUP(B26,Input!J:J,Input!N:U)),"")</f>
        <v/>
      </c>
      <c r="V26" s="13" t="str">
        <v/>
      </c>
      <c r="W26" s="13" t="str">
        <v/>
      </c>
      <c r="X26" s="13" t="str">
        <v/>
      </c>
      <c r="Y26" s="13" t="str">
        <v/>
      </c>
      <c r="Z26" s="13" t="str">
        <v/>
      </c>
      <c r="AA26" s="13" t="str">
        <v/>
      </c>
      <c r="AB26" s="13" t="str">
        <v/>
      </c>
      <c r="AC26" t="str">
        <f t="shared" si="2"/>
        <v/>
      </c>
      <c r="AD26" t="str">
        <f>_xlfn.XLOOKUP(B:B,Disk_Pivot!G:G,Disk_Pivot!I:I)</f>
        <v>Yes</v>
      </c>
      <c r="AE26" t="str">
        <f>_xlfn.XLOOKUP(B26,Disk_Pivot!G:G,Disk_Pivot!N:N)</f>
        <v>Fail</v>
      </c>
    </row>
    <row r="27" spans="1:31">
      <c r="A27" t="str">
        <f>_xlfn.TEXTJOIN("",TRUE,_xlfn.XLOOKUP(B27,Input!J:J,Input!G:G,"",0,1),_xlfn.XLOOKUP(B27,Input!J:J,Input!H:H,"",0,1))</f>
        <v/>
      </c>
      <c r="C27" s="13">
        <f>_xlfn.XLOOKUP(B27,Input!J:J,Input!F:F)</f>
        <v>0</v>
      </c>
      <c r="D27">
        <f>_xlfn.XLOOKUP(C27,Models!H:H,Models!G:G,C27)</f>
        <v>0</v>
      </c>
      <c r="F27" t="str">
        <f>_xlfn.XLOOKUP(H27,Models!B:B,Models!F:F,"")</f>
        <v/>
      </c>
      <c r="G27">
        <f>_xlfn.XLOOKUP(B27,Input!J:J,Input!E:E)</f>
        <v>0</v>
      </c>
      <c r="H27">
        <f>IF(G27="LENOVO",_xlfn.XLOOKUP(B27,Input!J:J,Input!K:K),_xlfn.XLOOKUP(B27,Input!J:J,Input!L:L))</f>
        <v>0</v>
      </c>
      <c r="K27">
        <f>_xlfn.XLOOKUP(B27,CPU_Formula!A:A,CPU_Formula!I:I)</f>
        <v>0</v>
      </c>
      <c r="L27" s="13" t="e">
        <f>INDEX(Input!$D$2:$AC$500,
       MATCH(B27, Input!$J$2:$J$500, 0),
       MATCH("Memory Capacity", Input!$D$1:$AC$1, 0))</f>
        <v>#N/A</v>
      </c>
      <c r="M27" s="13" t="e">
        <f>INDEX(Input!$D$2:$AC$500,
       MATCH(B27, Input!$J$2:$J$500, 0),
       MATCH("Memory Type", Input!$D$1:$AC$1, 0))</f>
        <v>#N/A</v>
      </c>
      <c r="N27" s="13" t="e">
        <f t="shared" si="0"/>
        <v>#N/A</v>
      </c>
      <c r="O27" s="13" t="str" cm="1">
        <f t="array" ref="O27">IFERROR(_xlfn.FILTERXML("&lt;t&gt;&lt;s&gt;" &amp; SUBSTITUTE(M27," / ","&lt;/s&gt;&lt;s&gt;") &amp; "&lt;/s&gt;&lt;/t&gt;","(//s[contains(.,'DDR')])[1]"),"")</f>
        <v/>
      </c>
      <c r="P27" t="e">
        <f t="shared" si="1"/>
        <v>#N/A</v>
      </c>
      <c r="Q27" t="e">
        <f>INDEX(Input!$D$2:$AC$500,
       MATCH(B27, Input!$J$2:$J$500, 0),
       MATCH("Disk Capacity", Input!$D$1:$AC$1, 0))</f>
        <v>#N/A</v>
      </c>
      <c r="S27" s="13" t="e">
        <f>_xlfn.LET(_xlpm.Result,INDEX(Input!$D$2:$AC$500,
       MATCH(B27, Input!$J$2:$J$500, 0),
       MATCH("Capacity", Input!$D$1:$AC$1, 0)),IF(_xlpm.Result="","",_xlpm.Result))</f>
        <v>#N/A</v>
      </c>
      <c r="T27" s="13" t="str" cm="1">
        <f t="array" ref="T27">IFERROR(_xlfn.IFS(
   --S27&lt;55,"Battery Defect",
  -- S27&lt;=69,"Battery D",
  --S27&lt;=80,"Battery C",
 --S27&gt;80,""
),"")</f>
        <v/>
      </c>
      <c r="U27" s="13" t="str" cm="1">
        <f t="array" ref="U27:AB27">IFERROR(IF(_xlfn.XLOOKUP(B27,Input!J:J,Input!N:U)=0,"",
          _xlfn.XLOOKUP(B27,Input!J:J,Input!N:U)),"")</f>
        <v/>
      </c>
      <c r="V27" s="13" t="str">
        <v/>
      </c>
      <c r="W27" s="13" t="str">
        <v/>
      </c>
      <c r="X27" s="13" t="str">
        <v/>
      </c>
      <c r="Y27" s="13" t="str">
        <v/>
      </c>
      <c r="Z27" s="13" t="str">
        <v/>
      </c>
      <c r="AA27" s="13" t="str">
        <v/>
      </c>
      <c r="AB27" s="13" t="str">
        <v/>
      </c>
      <c r="AC27" t="str">
        <f t="shared" si="2"/>
        <v/>
      </c>
      <c r="AD27" t="str">
        <f>_xlfn.XLOOKUP(B:B,Disk_Pivot!G:G,Disk_Pivot!I:I)</f>
        <v>Yes</v>
      </c>
      <c r="AE27" t="str">
        <f>_xlfn.XLOOKUP(B27,Disk_Pivot!G:G,Disk_Pivot!N:N)</f>
        <v>Fail</v>
      </c>
    </row>
    <row r="28" spans="1:31">
      <c r="A28" t="str">
        <f>_xlfn.TEXTJOIN("",TRUE,_xlfn.XLOOKUP(B28,Input!J:J,Input!G:G,"",0,1),_xlfn.XLOOKUP(B28,Input!J:J,Input!H:H,"",0,1))</f>
        <v/>
      </c>
      <c r="C28" s="13">
        <f>_xlfn.XLOOKUP(B28,Input!J:J,Input!F:F)</f>
        <v>0</v>
      </c>
      <c r="D28">
        <f>_xlfn.XLOOKUP(C28,Models!H:H,Models!G:G,C28)</f>
        <v>0</v>
      </c>
      <c r="F28" t="str">
        <f>_xlfn.XLOOKUP(H28,Models!B:B,Models!F:F,"")</f>
        <v/>
      </c>
      <c r="G28">
        <f>_xlfn.XLOOKUP(B28,Input!J:J,Input!E:E)</f>
        <v>0</v>
      </c>
      <c r="H28">
        <f>IF(G28="LENOVO",_xlfn.XLOOKUP(B28,Input!J:J,Input!K:K),_xlfn.XLOOKUP(B28,Input!J:J,Input!L:L))</f>
        <v>0</v>
      </c>
      <c r="K28">
        <f>_xlfn.XLOOKUP(B28,CPU_Formula!A:A,CPU_Formula!I:I)</f>
        <v>0</v>
      </c>
      <c r="L28" s="13" t="e">
        <f>INDEX(Input!$D$2:$AC$500,
       MATCH(B28, Input!$J$2:$J$500, 0),
       MATCH("Memory Capacity", Input!$D$1:$AC$1, 0))</f>
        <v>#N/A</v>
      </c>
      <c r="M28" s="13" t="e">
        <f>INDEX(Input!$D$2:$AC$500,
       MATCH(B28, Input!$J$2:$J$500, 0),
       MATCH("Memory Type", Input!$D$1:$AC$1, 0))</f>
        <v>#N/A</v>
      </c>
      <c r="N28" s="13" t="e">
        <f t="shared" si="0"/>
        <v>#N/A</v>
      </c>
      <c r="O28" s="13" t="str" cm="1">
        <f t="array" ref="O28">IFERROR(_xlfn.FILTERXML("&lt;t&gt;&lt;s&gt;" &amp; SUBSTITUTE(M28," / ","&lt;/s&gt;&lt;s&gt;") &amp; "&lt;/s&gt;&lt;/t&gt;","(//s[contains(.,'DDR')])[1]"),"")</f>
        <v/>
      </c>
      <c r="P28" t="e">
        <f t="shared" si="1"/>
        <v>#N/A</v>
      </c>
      <c r="Q28" t="e">
        <f>INDEX(Input!$D$2:$AC$500,
       MATCH(B28, Input!$J$2:$J$500, 0),
       MATCH("Disk Capacity", Input!$D$1:$AC$1, 0))</f>
        <v>#N/A</v>
      </c>
      <c r="S28" s="13" t="e">
        <f>_xlfn.LET(_xlpm.Result,INDEX(Input!$D$2:$AC$500,
       MATCH(B28, Input!$J$2:$J$500, 0),
       MATCH("Capacity", Input!$D$1:$AC$1, 0)),IF(_xlpm.Result="","",_xlpm.Result))</f>
        <v>#N/A</v>
      </c>
      <c r="T28" s="13" t="str" cm="1">
        <f t="array" ref="T28">IFERROR(_xlfn.IFS(
   --S28&lt;55,"Battery Defect",
  -- S28&lt;=69,"Battery D",
  --S28&lt;=80,"Battery C",
 --S28&gt;80,""
),"")</f>
        <v/>
      </c>
      <c r="U28" s="13" t="str" cm="1">
        <f t="array" ref="U28:AB28">IFERROR(IF(_xlfn.XLOOKUP(B28,Input!J:J,Input!N:U)=0,"",
          _xlfn.XLOOKUP(B28,Input!J:J,Input!N:U)),"")</f>
        <v/>
      </c>
      <c r="V28" s="13" t="str">
        <v/>
      </c>
      <c r="W28" s="13" t="str">
        <v/>
      </c>
      <c r="X28" s="13" t="str">
        <v/>
      </c>
      <c r="Y28" s="13" t="str">
        <v/>
      </c>
      <c r="Z28" s="13" t="str">
        <v/>
      </c>
      <c r="AA28" s="13" t="str">
        <v/>
      </c>
      <c r="AB28" s="13" t="str">
        <v/>
      </c>
      <c r="AC28" t="str">
        <f t="shared" si="2"/>
        <v/>
      </c>
      <c r="AD28" t="str">
        <f>_xlfn.XLOOKUP(B:B,Disk_Pivot!G:G,Disk_Pivot!I:I)</f>
        <v>Yes</v>
      </c>
      <c r="AE28" t="str">
        <f>_xlfn.XLOOKUP(B28,Disk_Pivot!G:G,Disk_Pivot!N:N)</f>
        <v>Fail</v>
      </c>
    </row>
    <row r="29" spans="1:31">
      <c r="A29" t="str">
        <f>_xlfn.TEXTJOIN("",TRUE,_xlfn.XLOOKUP(B29,Input!J:J,Input!G:G,"",0,1),_xlfn.XLOOKUP(B29,Input!J:J,Input!H:H,"",0,1))</f>
        <v/>
      </c>
      <c r="C29" s="13">
        <f>_xlfn.XLOOKUP(B29,Input!J:J,Input!F:F)</f>
        <v>0</v>
      </c>
      <c r="D29">
        <f>_xlfn.XLOOKUP(C29,Models!H:H,Models!G:G,C29)</f>
        <v>0</v>
      </c>
      <c r="F29" t="str">
        <f>_xlfn.XLOOKUP(H29,Models!B:B,Models!F:F,"")</f>
        <v/>
      </c>
      <c r="G29">
        <f>_xlfn.XLOOKUP(B29,Input!J:J,Input!E:E)</f>
        <v>0</v>
      </c>
      <c r="H29">
        <f>IF(G29="LENOVO",_xlfn.XLOOKUP(B29,Input!J:J,Input!K:K),_xlfn.XLOOKUP(B29,Input!J:J,Input!L:L))</f>
        <v>0</v>
      </c>
      <c r="K29">
        <f>_xlfn.XLOOKUP(B29,CPU_Formula!A:A,CPU_Formula!I:I)</f>
        <v>0</v>
      </c>
      <c r="L29" s="13" t="e">
        <f>INDEX(Input!$D$2:$AC$500,
       MATCH(B29, Input!$J$2:$J$500, 0),
       MATCH("Memory Capacity", Input!$D$1:$AC$1, 0))</f>
        <v>#N/A</v>
      </c>
      <c r="M29" s="13" t="e">
        <f>INDEX(Input!$D$2:$AC$500,
       MATCH(B29, Input!$J$2:$J$500, 0),
       MATCH("Memory Type", Input!$D$1:$AC$1, 0))</f>
        <v>#N/A</v>
      </c>
      <c r="N29" s="13" t="e">
        <f t="shared" si="0"/>
        <v>#N/A</v>
      </c>
      <c r="O29" s="13" t="str" cm="1">
        <f t="array" ref="O29">IFERROR(_xlfn.FILTERXML("&lt;t&gt;&lt;s&gt;" &amp; SUBSTITUTE(M29," / ","&lt;/s&gt;&lt;s&gt;") &amp; "&lt;/s&gt;&lt;/t&gt;","(//s[contains(.,'DDR')])[1]"),"")</f>
        <v/>
      </c>
      <c r="P29" t="e">
        <f t="shared" si="1"/>
        <v>#N/A</v>
      </c>
      <c r="Q29" t="e">
        <f>INDEX(Input!$D$2:$AC$500,
       MATCH(B29, Input!$J$2:$J$500, 0),
       MATCH("Disk Capacity", Input!$D$1:$AC$1, 0))</f>
        <v>#N/A</v>
      </c>
      <c r="S29" s="13" t="e">
        <f>_xlfn.LET(_xlpm.Result,INDEX(Input!$D$2:$AC$500,
       MATCH(B29, Input!$J$2:$J$500, 0),
       MATCH("Capacity", Input!$D$1:$AC$1, 0)),IF(_xlpm.Result="","",_xlpm.Result))</f>
        <v>#N/A</v>
      </c>
      <c r="T29" s="13" t="str" cm="1">
        <f t="array" ref="T29">IFERROR(_xlfn.IFS(
   --S29&lt;55,"Battery Defect",
  -- S29&lt;=69,"Battery D",
  --S29&lt;=80,"Battery C",
 --S29&gt;80,""
),"")</f>
        <v/>
      </c>
      <c r="U29" s="13" t="str" cm="1">
        <f t="array" ref="U29:AB29">IFERROR(IF(_xlfn.XLOOKUP(B29,Input!J:J,Input!N:U)=0,"",
          _xlfn.XLOOKUP(B29,Input!J:J,Input!N:U)),"")</f>
        <v/>
      </c>
      <c r="V29" s="13" t="str">
        <v/>
      </c>
      <c r="W29" s="13" t="str">
        <v/>
      </c>
      <c r="X29" s="13" t="str">
        <v/>
      </c>
      <c r="Y29" s="13" t="str">
        <v/>
      </c>
      <c r="Z29" s="13" t="str">
        <v/>
      </c>
      <c r="AA29" s="13" t="str">
        <v/>
      </c>
      <c r="AB29" s="13" t="str">
        <v/>
      </c>
      <c r="AC29" t="str">
        <f t="shared" si="2"/>
        <v/>
      </c>
      <c r="AD29" t="str">
        <f>_xlfn.XLOOKUP(B:B,Disk_Pivot!G:G,Disk_Pivot!I:I)</f>
        <v>Yes</v>
      </c>
      <c r="AE29" t="str">
        <f>_xlfn.XLOOKUP(B29,Disk_Pivot!G:G,Disk_Pivot!N:N)</f>
        <v>Fail</v>
      </c>
    </row>
    <row r="30" spans="1:31">
      <c r="A30" t="str">
        <f>_xlfn.TEXTJOIN("",TRUE,_xlfn.XLOOKUP(B30,Input!J:J,Input!G:G,"",0,1),_xlfn.XLOOKUP(B30,Input!J:J,Input!H:H,"",0,1))</f>
        <v/>
      </c>
      <c r="C30" s="13">
        <f>_xlfn.XLOOKUP(B30,Input!J:J,Input!F:F)</f>
        <v>0</v>
      </c>
      <c r="D30">
        <f>_xlfn.XLOOKUP(C30,Models!H:H,Models!G:G,C30)</f>
        <v>0</v>
      </c>
      <c r="F30" t="str">
        <f>_xlfn.XLOOKUP(H30,Models!B:B,Models!F:F,"")</f>
        <v/>
      </c>
      <c r="G30">
        <f>_xlfn.XLOOKUP(B30,Input!J:J,Input!E:E)</f>
        <v>0</v>
      </c>
      <c r="H30">
        <f>IF(G30="LENOVO",_xlfn.XLOOKUP(B30,Input!J:J,Input!K:K),_xlfn.XLOOKUP(B30,Input!J:J,Input!L:L))</f>
        <v>0</v>
      </c>
      <c r="K30">
        <f>_xlfn.XLOOKUP(B30,CPU_Formula!A:A,CPU_Formula!I:I)</f>
        <v>0</v>
      </c>
      <c r="L30" s="13" t="e">
        <f>INDEX(Input!$D$2:$AC$500,
       MATCH(B30, Input!$J$2:$J$500, 0),
       MATCH("Memory Capacity", Input!$D$1:$AC$1, 0))</f>
        <v>#N/A</v>
      </c>
      <c r="M30" s="13" t="e">
        <f>INDEX(Input!$D$2:$AC$500,
       MATCH(B30, Input!$J$2:$J$500, 0),
       MATCH("Memory Type", Input!$D$1:$AC$1, 0))</f>
        <v>#N/A</v>
      </c>
      <c r="N30" s="13" t="e">
        <f t="shared" si="0"/>
        <v>#N/A</v>
      </c>
      <c r="O30" s="13" t="str" cm="1">
        <f t="array" ref="O30">IFERROR(_xlfn.FILTERXML("&lt;t&gt;&lt;s&gt;" &amp; SUBSTITUTE(M30," / ","&lt;/s&gt;&lt;s&gt;") &amp; "&lt;/s&gt;&lt;/t&gt;","(//s[contains(.,'DDR')])[1]"),"")</f>
        <v/>
      </c>
      <c r="P30" t="e">
        <f t="shared" si="1"/>
        <v>#N/A</v>
      </c>
      <c r="Q30" t="e">
        <f>INDEX(Input!$D$2:$AC$500,
       MATCH(B30, Input!$J$2:$J$500, 0),
       MATCH("Disk Capacity", Input!$D$1:$AC$1, 0))</f>
        <v>#N/A</v>
      </c>
      <c r="S30" s="13" t="e">
        <f>_xlfn.LET(_xlpm.Result,INDEX(Input!$D$2:$AC$500,
       MATCH(B30, Input!$J$2:$J$500, 0),
       MATCH("Capacity", Input!$D$1:$AC$1, 0)),IF(_xlpm.Result="","",_xlpm.Result))</f>
        <v>#N/A</v>
      </c>
      <c r="T30" s="13" t="str" cm="1">
        <f t="array" ref="T30">IFERROR(_xlfn.IFS(
   --S30&lt;55,"Battery Defect",
  -- S30&lt;=69,"Battery D",
  --S30&lt;=80,"Battery C",
 --S30&gt;80,""
),"")</f>
        <v/>
      </c>
      <c r="U30" s="13" t="str" cm="1">
        <f t="array" ref="U30:AB30">IFERROR(IF(_xlfn.XLOOKUP(B30,Input!J:J,Input!N:U)=0,"",
          _xlfn.XLOOKUP(B30,Input!J:J,Input!N:U)),"")</f>
        <v/>
      </c>
      <c r="V30" s="13" t="str">
        <v/>
      </c>
      <c r="W30" s="13" t="str">
        <v/>
      </c>
      <c r="X30" s="13" t="str">
        <v/>
      </c>
      <c r="Y30" s="13" t="str">
        <v/>
      </c>
      <c r="Z30" s="13" t="str">
        <v/>
      </c>
      <c r="AA30" s="13" t="str">
        <v/>
      </c>
      <c r="AB30" s="13" t="str">
        <v/>
      </c>
      <c r="AC30" t="str">
        <f t="shared" si="2"/>
        <v/>
      </c>
      <c r="AD30" t="str">
        <f>_xlfn.XLOOKUP(B:B,Disk_Pivot!G:G,Disk_Pivot!I:I)</f>
        <v>Yes</v>
      </c>
      <c r="AE30" t="str">
        <f>_xlfn.XLOOKUP(B30,Disk_Pivot!G:G,Disk_Pivot!N:N)</f>
        <v>Fail</v>
      </c>
    </row>
    <row r="31" spans="1:31">
      <c r="A31" t="str">
        <f>_xlfn.TEXTJOIN("",TRUE,_xlfn.XLOOKUP(B31,Input!J:J,Input!G:G,"",0,1),_xlfn.XLOOKUP(B31,Input!J:J,Input!H:H,"",0,1))</f>
        <v/>
      </c>
      <c r="C31" s="13">
        <f>_xlfn.XLOOKUP(B31,Input!J:J,Input!F:F)</f>
        <v>0</v>
      </c>
      <c r="D31">
        <f>_xlfn.XLOOKUP(C31,Models!H:H,Models!G:G,C31)</f>
        <v>0</v>
      </c>
      <c r="F31" t="str">
        <f>_xlfn.XLOOKUP(H31,Models!B:B,Models!F:F,"")</f>
        <v/>
      </c>
      <c r="G31">
        <f>_xlfn.XLOOKUP(B31,Input!J:J,Input!E:E)</f>
        <v>0</v>
      </c>
      <c r="H31">
        <f>IF(G31="LENOVO",_xlfn.XLOOKUP(B31,Input!J:J,Input!K:K),_xlfn.XLOOKUP(B31,Input!J:J,Input!L:L))</f>
        <v>0</v>
      </c>
      <c r="K31">
        <f>_xlfn.XLOOKUP(B31,CPU_Formula!A:A,CPU_Formula!I:I)</f>
        <v>0</v>
      </c>
      <c r="L31" s="13" t="e">
        <f>INDEX(Input!$D$2:$AC$500,
       MATCH(B31, Input!$J$2:$J$500, 0),
       MATCH("Memory Capacity", Input!$D$1:$AC$1, 0))</f>
        <v>#N/A</v>
      </c>
      <c r="M31" s="13" t="e">
        <f>INDEX(Input!$D$2:$AC$500,
       MATCH(B31, Input!$J$2:$J$500, 0),
       MATCH("Memory Type", Input!$D$1:$AC$1, 0))</f>
        <v>#N/A</v>
      </c>
      <c r="N31" s="13" t="e">
        <f t="shared" si="0"/>
        <v>#N/A</v>
      </c>
      <c r="O31" s="13" t="str" cm="1">
        <f t="array" ref="O31">IFERROR(_xlfn.FILTERXML("&lt;t&gt;&lt;s&gt;" &amp; SUBSTITUTE(M31," / ","&lt;/s&gt;&lt;s&gt;") &amp; "&lt;/s&gt;&lt;/t&gt;","(//s[contains(.,'DDR')])[1]"),"")</f>
        <v/>
      </c>
      <c r="P31" t="e">
        <f t="shared" si="1"/>
        <v>#N/A</v>
      </c>
      <c r="Q31" t="e">
        <f>INDEX(Input!$D$2:$AC$500,
       MATCH(B31, Input!$J$2:$J$500, 0),
       MATCH("Disk Capacity", Input!$D$1:$AC$1, 0))</f>
        <v>#N/A</v>
      </c>
      <c r="S31" s="13" t="e">
        <f>_xlfn.LET(_xlpm.Result,INDEX(Input!$D$2:$AC$500,
       MATCH(B31, Input!$J$2:$J$500, 0),
       MATCH("Capacity", Input!$D$1:$AC$1, 0)),IF(_xlpm.Result="","",_xlpm.Result))</f>
        <v>#N/A</v>
      </c>
      <c r="T31" s="13" t="str" cm="1">
        <f t="array" ref="T31">IFERROR(_xlfn.IFS(
   --S31&lt;55,"Battery Defect",
  -- S31&lt;=69,"Battery D",
  --S31&lt;=80,"Battery C",
 --S31&gt;80,""
),"")</f>
        <v/>
      </c>
      <c r="U31" s="13" t="str" cm="1">
        <f t="array" ref="U31:AB31">IFERROR(IF(_xlfn.XLOOKUP(B31,Input!J:J,Input!N:U)=0,"",
          _xlfn.XLOOKUP(B31,Input!J:J,Input!N:U)),"")</f>
        <v/>
      </c>
      <c r="V31" s="13" t="str">
        <v/>
      </c>
      <c r="W31" s="13" t="str">
        <v/>
      </c>
      <c r="X31" s="13" t="str">
        <v/>
      </c>
      <c r="Y31" s="13" t="str">
        <v/>
      </c>
      <c r="Z31" s="13" t="str">
        <v/>
      </c>
      <c r="AA31" s="13" t="str">
        <v/>
      </c>
      <c r="AB31" s="13" t="str">
        <v/>
      </c>
      <c r="AC31" t="str">
        <f t="shared" si="2"/>
        <v/>
      </c>
      <c r="AD31" t="str">
        <f>_xlfn.XLOOKUP(B:B,Disk_Pivot!G:G,Disk_Pivot!I:I)</f>
        <v>Yes</v>
      </c>
      <c r="AE31" t="str">
        <f>_xlfn.XLOOKUP(B31,Disk_Pivot!G:G,Disk_Pivot!N:N)</f>
        <v>Fail</v>
      </c>
    </row>
    <row r="32" spans="1:31">
      <c r="A32" t="str">
        <f>_xlfn.TEXTJOIN("",TRUE,_xlfn.XLOOKUP(B32,Input!J:J,Input!G:G,"",0,1),_xlfn.XLOOKUP(B32,Input!J:J,Input!H:H,"",0,1))</f>
        <v/>
      </c>
      <c r="C32" s="13">
        <f>_xlfn.XLOOKUP(B32,Input!J:J,Input!F:F)</f>
        <v>0</v>
      </c>
      <c r="D32">
        <f>_xlfn.XLOOKUP(C32,Models!H:H,Models!G:G,C32)</f>
        <v>0</v>
      </c>
      <c r="F32" t="str">
        <f>_xlfn.XLOOKUP(H32,Models!B:B,Models!F:F,"")</f>
        <v/>
      </c>
      <c r="G32">
        <f>_xlfn.XLOOKUP(B32,Input!J:J,Input!E:E)</f>
        <v>0</v>
      </c>
      <c r="H32">
        <f>IF(G32="LENOVO",_xlfn.XLOOKUP(B32,Input!J:J,Input!K:K),_xlfn.XLOOKUP(B32,Input!J:J,Input!L:L))</f>
        <v>0</v>
      </c>
      <c r="K32">
        <f>_xlfn.XLOOKUP(B32,CPU_Formula!A:A,CPU_Formula!I:I)</f>
        <v>0</v>
      </c>
      <c r="L32" s="13" t="e">
        <f>INDEX(Input!$D$2:$AC$500,
       MATCH(B32, Input!$J$2:$J$500, 0),
       MATCH("Memory Capacity", Input!$D$1:$AC$1, 0))</f>
        <v>#N/A</v>
      </c>
      <c r="M32" s="13" t="e">
        <f>INDEX(Input!$D$2:$AC$500,
       MATCH(B32, Input!$J$2:$J$500, 0),
       MATCH("Memory Type", Input!$D$1:$AC$1, 0))</f>
        <v>#N/A</v>
      </c>
      <c r="N32" s="13" t="e">
        <f t="shared" si="0"/>
        <v>#N/A</v>
      </c>
      <c r="O32" s="13" t="str" cm="1">
        <f t="array" ref="O32">IFERROR(_xlfn.FILTERXML("&lt;t&gt;&lt;s&gt;" &amp; SUBSTITUTE(M32," / ","&lt;/s&gt;&lt;s&gt;") &amp; "&lt;/s&gt;&lt;/t&gt;","(//s[contains(.,'DDR')])[1]"),"")</f>
        <v/>
      </c>
      <c r="P32" t="e">
        <f t="shared" si="1"/>
        <v>#N/A</v>
      </c>
      <c r="Q32" t="e">
        <f>INDEX(Input!$D$2:$AC$500,
       MATCH(B32, Input!$J$2:$J$500, 0),
       MATCH("Disk Capacity", Input!$D$1:$AC$1, 0))</f>
        <v>#N/A</v>
      </c>
      <c r="S32" s="13" t="e">
        <f>_xlfn.LET(_xlpm.Result,INDEX(Input!$D$2:$AC$500,
       MATCH(B32, Input!$J$2:$J$500, 0),
       MATCH("Capacity", Input!$D$1:$AC$1, 0)),IF(_xlpm.Result="","",_xlpm.Result))</f>
        <v>#N/A</v>
      </c>
      <c r="T32" s="13" t="str" cm="1">
        <f t="array" ref="T32">IFERROR(_xlfn.IFS(
   --S32&lt;55,"Battery Defect",
  -- S32&lt;=69,"Battery D",
  --S32&lt;=80,"Battery C",
 --S32&gt;80,""
),"")</f>
        <v/>
      </c>
      <c r="U32" s="13" t="str" cm="1">
        <f t="array" ref="U32:AB32">IFERROR(IF(_xlfn.XLOOKUP(B32,Input!J:J,Input!N:U)=0,"",
          _xlfn.XLOOKUP(B32,Input!J:J,Input!N:U)),"")</f>
        <v/>
      </c>
      <c r="V32" s="13" t="str">
        <v/>
      </c>
      <c r="W32" s="13" t="str">
        <v/>
      </c>
      <c r="X32" s="13" t="str">
        <v/>
      </c>
      <c r="Y32" s="13" t="str">
        <v/>
      </c>
      <c r="Z32" s="13" t="str">
        <v/>
      </c>
      <c r="AA32" s="13" t="str">
        <v/>
      </c>
      <c r="AB32" s="13" t="str">
        <v/>
      </c>
      <c r="AC32" t="str">
        <f t="shared" si="2"/>
        <v/>
      </c>
      <c r="AD32" t="str">
        <f>_xlfn.XLOOKUP(B:B,Disk_Pivot!G:G,Disk_Pivot!I:I)</f>
        <v>Yes</v>
      </c>
      <c r="AE32" t="str">
        <f>_xlfn.XLOOKUP(B32,Disk_Pivot!G:G,Disk_Pivot!N:N)</f>
        <v>Fail</v>
      </c>
    </row>
    <row r="33" spans="1:31">
      <c r="A33" t="str">
        <f>_xlfn.TEXTJOIN("",TRUE,_xlfn.XLOOKUP(B33,Input!J:J,Input!G:G,"",0,1),_xlfn.XLOOKUP(B33,Input!J:J,Input!H:H,"",0,1))</f>
        <v/>
      </c>
      <c r="C33" s="13">
        <f>_xlfn.XLOOKUP(B33,Input!J:J,Input!F:F)</f>
        <v>0</v>
      </c>
      <c r="D33">
        <f>_xlfn.XLOOKUP(C33,Models!H:H,Models!G:G,C33)</f>
        <v>0</v>
      </c>
      <c r="F33" t="str">
        <f>_xlfn.XLOOKUP(H33,Models!B:B,Models!F:F,"")</f>
        <v/>
      </c>
      <c r="G33">
        <f>_xlfn.XLOOKUP(B33,Input!J:J,Input!E:E)</f>
        <v>0</v>
      </c>
      <c r="H33">
        <f>IF(G33="LENOVO",_xlfn.XLOOKUP(B33,Input!J:J,Input!K:K),_xlfn.XLOOKUP(B33,Input!J:J,Input!L:L))</f>
        <v>0</v>
      </c>
      <c r="K33">
        <f>_xlfn.XLOOKUP(B33,CPU_Formula!A:A,CPU_Formula!I:I)</f>
        <v>0</v>
      </c>
      <c r="L33" s="13" t="e">
        <f>INDEX(Input!$D$2:$AC$500,
       MATCH(B33, Input!$J$2:$J$500, 0),
       MATCH("Memory Capacity", Input!$D$1:$AC$1, 0))</f>
        <v>#N/A</v>
      </c>
      <c r="M33" s="13" t="e">
        <f>INDEX(Input!$D$2:$AC$500,
       MATCH(B33, Input!$J$2:$J$500, 0),
       MATCH("Memory Type", Input!$D$1:$AC$1, 0))</f>
        <v>#N/A</v>
      </c>
      <c r="N33" s="13" t="e">
        <f t="shared" si="0"/>
        <v>#N/A</v>
      </c>
      <c r="O33" s="13" t="str" cm="1">
        <f t="array" ref="O33">IFERROR(_xlfn.FILTERXML("&lt;t&gt;&lt;s&gt;" &amp; SUBSTITUTE(M33," / ","&lt;/s&gt;&lt;s&gt;") &amp; "&lt;/s&gt;&lt;/t&gt;","(//s[contains(.,'DDR')])[1]"),"")</f>
        <v/>
      </c>
      <c r="P33" t="e">
        <f t="shared" si="1"/>
        <v>#N/A</v>
      </c>
      <c r="Q33" t="e">
        <f>INDEX(Input!$D$2:$AC$500,
       MATCH(B33, Input!$J$2:$J$500, 0),
       MATCH("Disk Capacity", Input!$D$1:$AC$1, 0))</f>
        <v>#N/A</v>
      </c>
      <c r="S33" s="13" t="e">
        <f>_xlfn.LET(_xlpm.Result,INDEX(Input!$D$2:$AC$500,
       MATCH(B33, Input!$J$2:$J$500, 0),
       MATCH("Capacity", Input!$D$1:$AC$1, 0)),IF(_xlpm.Result="","",_xlpm.Result))</f>
        <v>#N/A</v>
      </c>
      <c r="T33" s="13" t="str" cm="1">
        <f t="array" ref="T33">IFERROR(_xlfn.IFS(
   --S33&lt;55,"Battery Defect",
  -- S33&lt;=69,"Battery D",
  --S33&lt;=80,"Battery C",
 --S33&gt;80,""
),"")</f>
        <v/>
      </c>
      <c r="U33" s="13" t="str" cm="1">
        <f t="array" ref="U33:AB33">IFERROR(IF(_xlfn.XLOOKUP(B33,Input!J:J,Input!N:U)=0,"",
          _xlfn.XLOOKUP(B33,Input!J:J,Input!N:U)),"")</f>
        <v/>
      </c>
      <c r="V33" s="13" t="str">
        <v/>
      </c>
      <c r="W33" s="13" t="str">
        <v/>
      </c>
      <c r="X33" s="13" t="str">
        <v/>
      </c>
      <c r="Y33" s="13" t="str">
        <v/>
      </c>
      <c r="Z33" s="13" t="str">
        <v/>
      </c>
      <c r="AA33" s="13" t="str">
        <v/>
      </c>
      <c r="AB33" s="13" t="str">
        <v/>
      </c>
      <c r="AC33" t="str">
        <f t="shared" si="2"/>
        <v/>
      </c>
      <c r="AD33" t="str">
        <f>_xlfn.XLOOKUP(B:B,Disk_Pivot!G:G,Disk_Pivot!I:I)</f>
        <v>Yes</v>
      </c>
      <c r="AE33" t="str">
        <f>_xlfn.XLOOKUP(B33,Disk_Pivot!G:G,Disk_Pivot!N:N)</f>
        <v>Fail</v>
      </c>
    </row>
    <row r="34" spans="1:31">
      <c r="A34" t="str">
        <f>_xlfn.TEXTJOIN("",TRUE,_xlfn.XLOOKUP(B34,Input!J:J,Input!G:G,"",0,1),_xlfn.XLOOKUP(B34,Input!J:J,Input!H:H,"",0,1))</f>
        <v/>
      </c>
      <c r="C34" s="13">
        <f>_xlfn.XLOOKUP(B34,Input!J:J,Input!F:F)</f>
        <v>0</v>
      </c>
      <c r="D34">
        <f>_xlfn.XLOOKUP(C34,Models!H:H,Models!G:G,C34)</f>
        <v>0</v>
      </c>
      <c r="F34" t="str">
        <f>_xlfn.XLOOKUP(H34,Models!B:B,Models!F:F,"")</f>
        <v/>
      </c>
      <c r="G34">
        <f>_xlfn.XLOOKUP(B34,Input!J:J,Input!E:E)</f>
        <v>0</v>
      </c>
      <c r="H34">
        <f>IF(G34="LENOVO",_xlfn.XLOOKUP(B34,Input!J:J,Input!K:K),_xlfn.XLOOKUP(B34,Input!J:J,Input!L:L))</f>
        <v>0</v>
      </c>
      <c r="K34">
        <f>_xlfn.XLOOKUP(B34,CPU_Formula!A:A,CPU_Formula!I:I)</f>
        <v>0</v>
      </c>
      <c r="L34" s="13" t="e">
        <f>INDEX(Input!$D$2:$AC$500,
       MATCH(B34, Input!$J$2:$J$500, 0),
       MATCH("Memory Capacity", Input!$D$1:$AC$1, 0))</f>
        <v>#N/A</v>
      </c>
      <c r="M34" s="13" t="e">
        <f>INDEX(Input!$D$2:$AC$500,
       MATCH(B34, Input!$J$2:$J$500, 0),
       MATCH("Memory Type", Input!$D$1:$AC$1, 0))</f>
        <v>#N/A</v>
      </c>
      <c r="N34" s="13" t="e">
        <f t="shared" si="0"/>
        <v>#N/A</v>
      </c>
      <c r="O34" s="13" t="str" cm="1">
        <f t="array" ref="O34">IFERROR(_xlfn.FILTERXML("&lt;t&gt;&lt;s&gt;" &amp; SUBSTITUTE(M34," / ","&lt;/s&gt;&lt;s&gt;") &amp; "&lt;/s&gt;&lt;/t&gt;","(//s[contains(.,'DDR')])[1]"),"")</f>
        <v/>
      </c>
      <c r="P34" t="e">
        <f t="shared" si="1"/>
        <v>#N/A</v>
      </c>
      <c r="Q34" t="e">
        <f>INDEX(Input!$D$2:$AC$500,
       MATCH(B34, Input!$J$2:$J$500, 0),
       MATCH("Disk Capacity", Input!$D$1:$AC$1, 0))</f>
        <v>#N/A</v>
      </c>
      <c r="S34" s="13" t="e">
        <f>_xlfn.LET(_xlpm.Result,INDEX(Input!$D$2:$AC$500,
       MATCH(B34, Input!$J$2:$J$500, 0),
       MATCH("Capacity", Input!$D$1:$AC$1, 0)),IF(_xlpm.Result="","",_xlpm.Result))</f>
        <v>#N/A</v>
      </c>
      <c r="T34" s="13" t="str" cm="1">
        <f t="array" ref="T34">IFERROR(_xlfn.IFS(
   --S34&lt;55,"Battery Defect",
  -- S34&lt;=69,"Battery D",
  --S34&lt;=80,"Battery C",
 --S34&gt;80,""
),"")</f>
        <v/>
      </c>
      <c r="U34" s="13" t="str" cm="1">
        <f t="array" ref="U34:AB34">IFERROR(IF(_xlfn.XLOOKUP(B34,Input!J:J,Input!N:U)=0,"",
          _xlfn.XLOOKUP(B34,Input!J:J,Input!N:U)),"")</f>
        <v/>
      </c>
      <c r="V34" s="13" t="str">
        <v/>
      </c>
      <c r="W34" s="13" t="str">
        <v/>
      </c>
      <c r="X34" s="13" t="str">
        <v/>
      </c>
      <c r="Y34" s="13" t="str">
        <v/>
      </c>
      <c r="Z34" s="13" t="str">
        <v/>
      </c>
      <c r="AA34" s="13" t="str">
        <v/>
      </c>
      <c r="AB34" s="13" t="str">
        <v/>
      </c>
      <c r="AC34" t="str">
        <f t="shared" si="2"/>
        <v/>
      </c>
      <c r="AD34" t="str">
        <f>_xlfn.XLOOKUP(B:B,Disk_Pivot!G:G,Disk_Pivot!I:I)</f>
        <v>Yes</v>
      </c>
      <c r="AE34" t="str">
        <f>_xlfn.XLOOKUP(B34,Disk_Pivot!G:G,Disk_Pivot!N:N)</f>
        <v>Fail</v>
      </c>
    </row>
    <row r="35" spans="1:31">
      <c r="A35" t="str">
        <f>_xlfn.TEXTJOIN("",TRUE,_xlfn.XLOOKUP(B35,Input!J:J,Input!G:G,"",0,1),_xlfn.XLOOKUP(B35,Input!J:J,Input!H:H,"",0,1))</f>
        <v/>
      </c>
      <c r="C35" s="13">
        <f>_xlfn.XLOOKUP(B35,Input!J:J,Input!F:F)</f>
        <v>0</v>
      </c>
      <c r="D35">
        <f>_xlfn.XLOOKUP(C35,Models!H:H,Models!G:G,C35)</f>
        <v>0</v>
      </c>
      <c r="F35" t="str">
        <f>_xlfn.XLOOKUP(H35,Models!B:B,Models!F:F,"")</f>
        <v/>
      </c>
      <c r="G35">
        <f>_xlfn.XLOOKUP(B35,Input!J:J,Input!E:E)</f>
        <v>0</v>
      </c>
      <c r="H35">
        <f>IF(G35="LENOVO",_xlfn.XLOOKUP(B35,Input!J:J,Input!K:K),_xlfn.XLOOKUP(B35,Input!J:J,Input!L:L))</f>
        <v>0</v>
      </c>
      <c r="K35">
        <f>_xlfn.XLOOKUP(B35,CPU_Formula!A:A,CPU_Formula!I:I)</f>
        <v>0</v>
      </c>
      <c r="L35" s="13" t="e">
        <f>INDEX(Input!$D$2:$AC$500,
       MATCH(B35, Input!$J$2:$J$500, 0),
       MATCH("Memory Capacity", Input!$D$1:$AC$1, 0))</f>
        <v>#N/A</v>
      </c>
      <c r="M35" s="13" t="e">
        <f>INDEX(Input!$D$2:$AC$500,
       MATCH(B35, Input!$J$2:$J$500, 0),
       MATCH("Memory Type", Input!$D$1:$AC$1, 0))</f>
        <v>#N/A</v>
      </c>
      <c r="N35" s="13" t="e">
        <f t="shared" si="0"/>
        <v>#N/A</v>
      </c>
      <c r="O35" s="13" t="str" cm="1">
        <f t="array" ref="O35">IFERROR(_xlfn.FILTERXML("&lt;t&gt;&lt;s&gt;" &amp; SUBSTITUTE(M35," / ","&lt;/s&gt;&lt;s&gt;") &amp; "&lt;/s&gt;&lt;/t&gt;","(//s[contains(.,'DDR')])[1]"),"")</f>
        <v/>
      </c>
      <c r="P35" t="e">
        <f t="shared" si="1"/>
        <v>#N/A</v>
      </c>
      <c r="Q35" t="e">
        <f>INDEX(Input!$D$2:$AC$500,
       MATCH(B35, Input!$J$2:$J$500, 0),
       MATCH("Disk Capacity", Input!$D$1:$AC$1, 0))</f>
        <v>#N/A</v>
      </c>
      <c r="S35" s="13" t="e">
        <f>_xlfn.LET(_xlpm.Result,INDEX(Input!$D$2:$AC$500,
       MATCH(B35, Input!$J$2:$J$500, 0),
       MATCH("Capacity", Input!$D$1:$AC$1, 0)),IF(_xlpm.Result="","",_xlpm.Result))</f>
        <v>#N/A</v>
      </c>
      <c r="T35" s="13" t="str" cm="1">
        <f t="array" ref="T35">IFERROR(_xlfn.IFS(
   --S35&lt;55,"Battery Defect",
  -- S35&lt;=69,"Battery D",
  --S35&lt;=80,"Battery C",
 --S35&gt;80,""
),"")</f>
        <v/>
      </c>
      <c r="U35" s="13" t="str" cm="1">
        <f t="array" ref="U35:AB35">IFERROR(IF(_xlfn.XLOOKUP(B35,Input!J:J,Input!N:U)=0,"",
          _xlfn.XLOOKUP(B35,Input!J:J,Input!N:U)),"")</f>
        <v/>
      </c>
      <c r="V35" s="13" t="str">
        <v/>
      </c>
      <c r="W35" s="13" t="str">
        <v/>
      </c>
      <c r="X35" s="13" t="str">
        <v/>
      </c>
      <c r="Y35" s="13" t="str">
        <v/>
      </c>
      <c r="Z35" s="13" t="str">
        <v/>
      </c>
      <c r="AA35" s="13" t="str">
        <v/>
      </c>
      <c r="AB35" s="13" t="str">
        <v/>
      </c>
      <c r="AC35" t="str">
        <f t="shared" si="2"/>
        <v/>
      </c>
      <c r="AD35" t="str">
        <f>_xlfn.XLOOKUP(B:B,Disk_Pivot!G:G,Disk_Pivot!I:I)</f>
        <v>Yes</v>
      </c>
      <c r="AE35" t="str">
        <f>_xlfn.XLOOKUP(B35,Disk_Pivot!G:G,Disk_Pivot!N:N)</f>
        <v>Fail</v>
      </c>
    </row>
    <row r="36" spans="1:31">
      <c r="A36" t="str">
        <f>_xlfn.TEXTJOIN("",TRUE,_xlfn.XLOOKUP(B36,Input!J:J,Input!G:G,"",0,1),_xlfn.XLOOKUP(B36,Input!J:J,Input!H:H,"",0,1))</f>
        <v/>
      </c>
      <c r="C36" s="13">
        <f>_xlfn.XLOOKUP(B36,Input!J:J,Input!F:F)</f>
        <v>0</v>
      </c>
      <c r="D36">
        <f>_xlfn.XLOOKUP(C36,Models!H:H,Models!G:G,C36)</f>
        <v>0</v>
      </c>
      <c r="F36" t="str">
        <f>_xlfn.XLOOKUP(H36,Models!B:B,Models!F:F,"")</f>
        <v/>
      </c>
      <c r="G36">
        <f>_xlfn.XLOOKUP(B36,Input!J:J,Input!E:E)</f>
        <v>0</v>
      </c>
      <c r="H36">
        <f>IF(G36="LENOVO",_xlfn.XLOOKUP(B36,Input!J:J,Input!K:K),_xlfn.XLOOKUP(B36,Input!J:J,Input!L:L))</f>
        <v>0</v>
      </c>
      <c r="K36">
        <f>_xlfn.XLOOKUP(B36,CPU_Formula!A:A,CPU_Formula!I:I)</f>
        <v>0</v>
      </c>
      <c r="L36" s="13" t="e">
        <f>INDEX(Input!$D$2:$AC$500,
       MATCH(B36, Input!$J$2:$J$500, 0),
       MATCH("Memory Capacity", Input!$D$1:$AC$1, 0))</f>
        <v>#N/A</v>
      </c>
      <c r="M36" s="13" t="e">
        <f>INDEX(Input!$D$2:$AC$500,
       MATCH(B36, Input!$J$2:$J$500, 0),
       MATCH("Memory Type", Input!$D$1:$AC$1, 0))</f>
        <v>#N/A</v>
      </c>
      <c r="N36" s="13" t="e">
        <f t="shared" si="0"/>
        <v>#N/A</v>
      </c>
      <c r="O36" s="13" t="str" cm="1">
        <f t="array" ref="O36">IFERROR(_xlfn.FILTERXML("&lt;t&gt;&lt;s&gt;" &amp; SUBSTITUTE(M36," / ","&lt;/s&gt;&lt;s&gt;") &amp; "&lt;/s&gt;&lt;/t&gt;","(//s[contains(.,'DDR')])[1]"),"")</f>
        <v/>
      </c>
      <c r="P36" t="e">
        <f t="shared" si="1"/>
        <v>#N/A</v>
      </c>
      <c r="Q36" t="e">
        <f>INDEX(Input!$D$2:$AC$500,
       MATCH(B36, Input!$J$2:$J$500, 0),
       MATCH("Disk Capacity", Input!$D$1:$AC$1, 0))</f>
        <v>#N/A</v>
      </c>
      <c r="S36" s="13" t="e">
        <f>_xlfn.LET(_xlpm.Result,INDEX(Input!$D$2:$AC$500,
       MATCH(B36, Input!$J$2:$J$500, 0),
       MATCH("Capacity", Input!$D$1:$AC$1, 0)),IF(_xlpm.Result="","",_xlpm.Result))</f>
        <v>#N/A</v>
      </c>
      <c r="T36" s="13" t="str" cm="1">
        <f t="array" ref="T36">IFERROR(_xlfn.IFS(
   --S36&lt;55,"Battery Defect",
  -- S36&lt;=69,"Battery D",
  --S36&lt;=80,"Battery C",
 --S36&gt;80,""
),"")</f>
        <v/>
      </c>
      <c r="U36" s="13" t="str" cm="1">
        <f t="array" ref="U36:AB36">IFERROR(IF(_xlfn.XLOOKUP(B36,Input!J:J,Input!N:U)=0,"",
          _xlfn.XLOOKUP(B36,Input!J:J,Input!N:U)),"")</f>
        <v/>
      </c>
      <c r="V36" s="13" t="str">
        <v/>
      </c>
      <c r="W36" s="13" t="str">
        <v/>
      </c>
      <c r="X36" s="13" t="str">
        <v/>
      </c>
      <c r="Y36" s="13" t="str">
        <v/>
      </c>
      <c r="Z36" s="13" t="str">
        <v/>
      </c>
      <c r="AA36" s="13" t="str">
        <v/>
      </c>
      <c r="AB36" s="13" t="str">
        <v/>
      </c>
      <c r="AC36" t="str">
        <f t="shared" si="2"/>
        <v/>
      </c>
      <c r="AD36" t="str">
        <f>_xlfn.XLOOKUP(B:B,Disk_Pivot!G:G,Disk_Pivot!I:I)</f>
        <v>Yes</v>
      </c>
      <c r="AE36" t="str">
        <f>_xlfn.XLOOKUP(B36,Disk_Pivot!G:G,Disk_Pivot!N:N)</f>
        <v>Fail</v>
      </c>
    </row>
    <row r="37" spans="1:31">
      <c r="A37" t="str">
        <f>_xlfn.TEXTJOIN("",TRUE,_xlfn.XLOOKUP(B37,Input!J:J,Input!G:G,"",0,1),_xlfn.XLOOKUP(B37,Input!J:J,Input!H:H,"",0,1))</f>
        <v/>
      </c>
      <c r="C37" s="13">
        <f>_xlfn.XLOOKUP(B37,Input!J:J,Input!F:F)</f>
        <v>0</v>
      </c>
      <c r="D37">
        <f>_xlfn.XLOOKUP(C37,Models!H:H,Models!G:G,C37)</f>
        <v>0</v>
      </c>
      <c r="F37" t="str">
        <f>_xlfn.XLOOKUP(H37,Models!B:B,Models!F:F,"")</f>
        <v/>
      </c>
      <c r="G37">
        <f>_xlfn.XLOOKUP(B37,Input!J:J,Input!E:E)</f>
        <v>0</v>
      </c>
      <c r="H37">
        <f>IF(G37="LENOVO",_xlfn.XLOOKUP(B37,Input!J:J,Input!K:K),_xlfn.XLOOKUP(B37,Input!J:J,Input!L:L))</f>
        <v>0</v>
      </c>
      <c r="K37">
        <f>_xlfn.XLOOKUP(B37,CPU_Formula!A:A,CPU_Formula!I:I)</f>
        <v>0</v>
      </c>
      <c r="L37" s="13" t="e">
        <f>INDEX(Input!$D$2:$AC$500,
       MATCH(B37, Input!$J$2:$J$500, 0),
       MATCH("Memory Capacity", Input!$D$1:$AC$1, 0))</f>
        <v>#N/A</v>
      </c>
      <c r="M37" s="13" t="e">
        <f>INDEX(Input!$D$2:$AC$500,
       MATCH(B37, Input!$J$2:$J$500, 0),
       MATCH("Memory Type", Input!$D$1:$AC$1, 0))</f>
        <v>#N/A</v>
      </c>
      <c r="N37" s="13" t="e">
        <f t="shared" si="0"/>
        <v>#N/A</v>
      </c>
      <c r="O37" s="13" t="str" cm="1">
        <f t="array" ref="O37">IFERROR(_xlfn.FILTERXML("&lt;t&gt;&lt;s&gt;" &amp; SUBSTITUTE(M37," / ","&lt;/s&gt;&lt;s&gt;") &amp; "&lt;/s&gt;&lt;/t&gt;","(//s[contains(.,'DDR')])[1]"),"")</f>
        <v/>
      </c>
      <c r="P37" t="e">
        <f t="shared" si="1"/>
        <v>#N/A</v>
      </c>
      <c r="Q37" t="e">
        <f>INDEX(Input!$D$2:$AC$500,
       MATCH(B37, Input!$J$2:$J$500, 0),
       MATCH("Disk Capacity", Input!$D$1:$AC$1, 0))</f>
        <v>#N/A</v>
      </c>
      <c r="S37" s="13" t="e">
        <f>_xlfn.LET(_xlpm.Result,INDEX(Input!$D$2:$AC$500,
       MATCH(B37, Input!$J$2:$J$500, 0),
       MATCH("Capacity", Input!$D$1:$AC$1, 0)),IF(_xlpm.Result="","",_xlpm.Result))</f>
        <v>#N/A</v>
      </c>
      <c r="T37" s="13" t="str" cm="1">
        <f t="array" ref="T37">IFERROR(_xlfn.IFS(
   --S37&lt;55,"Battery Defect",
  -- S37&lt;=69,"Battery D",
  --S37&lt;=80,"Battery C",
 --S37&gt;80,""
),"")</f>
        <v/>
      </c>
      <c r="U37" s="13" t="str" cm="1">
        <f t="array" ref="U37:AB37">IFERROR(IF(_xlfn.XLOOKUP(B37,Input!J:J,Input!N:U)=0,"",
          _xlfn.XLOOKUP(B37,Input!J:J,Input!N:U)),"")</f>
        <v/>
      </c>
      <c r="V37" s="13" t="str">
        <v/>
      </c>
      <c r="W37" s="13" t="str">
        <v/>
      </c>
      <c r="X37" s="13" t="str">
        <v/>
      </c>
      <c r="Y37" s="13" t="str">
        <v/>
      </c>
      <c r="Z37" s="13" t="str">
        <v/>
      </c>
      <c r="AA37" s="13" t="str">
        <v/>
      </c>
      <c r="AB37" s="13" t="str">
        <v/>
      </c>
      <c r="AC37" t="str">
        <f t="shared" si="2"/>
        <v/>
      </c>
      <c r="AD37" t="str">
        <f>_xlfn.XLOOKUP(B:B,Disk_Pivot!G:G,Disk_Pivot!I:I)</f>
        <v>Yes</v>
      </c>
      <c r="AE37" t="str">
        <f>_xlfn.XLOOKUP(B37,Disk_Pivot!G:G,Disk_Pivot!N:N)</f>
        <v>Fail</v>
      </c>
    </row>
    <row r="38" spans="1:31">
      <c r="A38" t="str">
        <f>_xlfn.TEXTJOIN("",TRUE,_xlfn.XLOOKUP(B38,Input!J:J,Input!G:G,"",0,1),_xlfn.XLOOKUP(B38,Input!J:J,Input!H:H,"",0,1))</f>
        <v/>
      </c>
      <c r="C38" s="13">
        <f>_xlfn.XLOOKUP(B38,Input!J:J,Input!F:F)</f>
        <v>0</v>
      </c>
      <c r="D38">
        <f>_xlfn.XLOOKUP(C38,Models!H:H,Models!G:G,C38)</f>
        <v>0</v>
      </c>
      <c r="F38" t="str">
        <f>_xlfn.XLOOKUP(H38,Models!B:B,Models!F:F,"")</f>
        <v/>
      </c>
      <c r="G38">
        <f>_xlfn.XLOOKUP(B38,Input!J:J,Input!E:E)</f>
        <v>0</v>
      </c>
      <c r="H38">
        <f>IF(G38="LENOVO",_xlfn.XLOOKUP(B38,Input!J:J,Input!K:K),_xlfn.XLOOKUP(B38,Input!J:J,Input!L:L))</f>
        <v>0</v>
      </c>
      <c r="K38">
        <f>_xlfn.XLOOKUP(B38,CPU_Formula!A:A,CPU_Formula!I:I)</f>
        <v>0</v>
      </c>
      <c r="L38" s="13" t="e">
        <f>INDEX(Input!$D$2:$AC$500,
       MATCH(B38, Input!$J$2:$J$500, 0),
       MATCH("Memory Capacity", Input!$D$1:$AC$1, 0))</f>
        <v>#N/A</v>
      </c>
      <c r="M38" s="13" t="e">
        <f>INDEX(Input!$D$2:$AC$500,
       MATCH(B38, Input!$J$2:$J$500, 0),
       MATCH("Memory Type", Input!$D$1:$AC$1, 0))</f>
        <v>#N/A</v>
      </c>
      <c r="N38" s="13" t="e">
        <f t="shared" si="0"/>
        <v>#N/A</v>
      </c>
      <c r="O38" s="13" t="str" cm="1">
        <f t="array" ref="O38">IFERROR(_xlfn.FILTERXML("&lt;t&gt;&lt;s&gt;" &amp; SUBSTITUTE(M38," / ","&lt;/s&gt;&lt;s&gt;") &amp; "&lt;/s&gt;&lt;/t&gt;","(//s[contains(.,'DDR')])[1]"),"")</f>
        <v/>
      </c>
      <c r="P38" t="e">
        <f t="shared" si="1"/>
        <v>#N/A</v>
      </c>
      <c r="Q38" t="e">
        <f>INDEX(Input!$D$2:$AC$500,
       MATCH(B38, Input!$J$2:$J$500, 0),
       MATCH("Disk Capacity", Input!$D$1:$AC$1, 0))</f>
        <v>#N/A</v>
      </c>
      <c r="S38" s="13" t="e">
        <f>_xlfn.LET(_xlpm.Result,INDEX(Input!$D$2:$AC$500,
       MATCH(B38, Input!$J$2:$J$500, 0),
       MATCH("Capacity", Input!$D$1:$AC$1, 0)),IF(_xlpm.Result="","",_xlpm.Result))</f>
        <v>#N/A</v>
      </c>
      <c r="T38" s="13" t="str" cm="1">
        <f t="array" ref="T38">IFERROR(_xlfn.IFS(
   --S38&lt;55,"Battery Defect",
  -- S38&lt;=69,"Battery D",
  --S38&lt;=80,"Battery C",
 --S38&gt;80,""
),"")</f>
        <v/>
      </c>
      <c r="U38" s="13" t="str" cm="1">
        <f t="array" ref="U38:AB38">IFERROR(IF(_xlfn.XLOOKUP(B38,Input!J:J,Input!N:U)=0,"",
          _xlfn.XLOOKUP(B38,Input!J:J,Input!N:U)),"")</f>
        <v/>
      </c>
      <c r="V38" s="13" t="str">
        <v/>
      </c>
      <c r="W38" s="13" t="str">
        <v/>
      </c>
      <c r="X38" s="13" t="str">
        <v/>
      </c>
      <c r="Y38" s="13" t="str">
        <v/>
      </c>
      <c r="Z38" s="13" t="str">
        <v/>
      </c>
      <c r="AA38" s="13" t="str">
        <v/>
      </c>
      <c r="AB38" s="13" t="str">
        <v/>
      </c>
      <c r="AC38" t="str">
        <f t="shared" si="2"/>
        <v/>
      </c>
      <c r="AD38" t="str">
        <f>_xlfn.XLOOKUP(B:B,Disk_Pivot!G:G,Disk_Pivot!I:I)</f>
        <v>Yes</v>
      </c>
      <c r="AE38" t="str">
        <f>_xlfn.XLOOKUP(B38,Disk_Pivot!G:G,Disk_Pivot!N:N)</f>
        <v>Fail</v>
      </c>
    </row>
    <row r="39" spans="1:31">
      <c r="A39" t="str">
        <f>_xlfn.TEXTJOIN("",TRUE,_xlfn.XLOOKUP(B39,Input!J:J,Input!G:G,"",0,1),_xlfn.XLOOKUP(B39,Input!J:J,Input!H:H,"",0,1))</f>
        <v/>
      </c>
      <c r="C39" s="13">
        <f>_xlfn.XLOOKUP(B39,Input!J:J,Input!F:F)</f>
        <v>0</v>
      </c>
      <c r="D39">
        <f>_xlfn.XLOOKUP(C39,Models!H:H,Models!G:G,C39)</f>
        <v>0</v>
      </c>
      <c r="F39" t="str">
        <f>_xlfn.XLOOKUP(H39,Models!B:B,Models!F:F,"")</f>
        <v/>
      </c>
      <c r="G39">
        <f>_xlfn.XLOOKUP(B39,Input!J:J,Input!E:E)</f>
        <v>0</v>
      </c>
      <c r="H39">
        <f>IF(G39="LENOVO",_xlfn.XLOOKUP(B39,Input!J:J,Input!K:K),_xlfn.XLOOKUP(B39,Input!J:J,Input!L:L))</f>
        <v>0</v>
      </c>
      <c r="K39">
        <f>_xlfn.XLOOKUP(B39,CPU_Formula!A:A,CPU_Formula!I:I)</f>
        <v>0</v>
      </c>
      <c r="L39" s="13" t="e">
        <f>INDEX(Input!$D$2:$AC$500,
       MATCH(B39, Input!$J$2:$J$500, 0),
       MATCH("Memory Capacity", Input!$D$1:$AC$1, 0))</f>
        <v>#N/A</v>
      </c>
      <c r="M39" s="13" t="e">
        <f>INDEX(Input!$D$2:$AC$500,
       MATCH(B39, Input!$J$2:$J$500, 0),
       MATCH("Memory Type", Input!$D$1:$AC$1, 0))</f>
        <v>#N/A</v>
      </c>
      <c r="N39" s="13" t="e">
        <f t="shared" si="0"/>
        <v>#N/A</v>
      </c>
      <c r="O39" s="13" t="str" cm="1">
        <f t="array" ref="O39">IFERROR(_xlfn.FILTERXML("&lt;t&gt;&lt;s&gt;" &amp; SUBSTITUTE(M39," / ","&lt;/s&gt;&lt;s&gt;") &amp; "&lt;/s&gt;&lt;/t&gt;","(//s[contains(.,'DDR')])[1]"),"")</f>
        <v/>
      </c>
      <c r="P39" t="e">
        <f t="shared" si="1"/>
        <v>#N/A</v>
      </c>
      <c r="Q39" t="e">
        <f>INDEX(Input!$D$2:$AC$500,
       MATCH(B39, Input!$J$2:$J$500, 0),
       MATCH("Disk Capacity", Input!$D$1:$AC$1, 0))</f>
        <v>#N/A</v>
      </c>
      <c r="S39" s="13" t="e">
        <f>_xlfn.LET(_xlpm.Result,INDEX(Input!$D$2:$AC$500,
       MATCH(B39, Input!$J$2:$J$500, 0),
       MATCH("Capacity", Input!$D$1:$AC$1, 0)),IF(_xlpm.Result="","",_xlpm.Result))</f>
        <v>#N/A</v>
      </c>
      <c r="T39" s="13" t="str" cm="1">
        <f t="array" ref="T39">IFERROR(_xlfn.IFS(
   --S39&lt;55,"Battery Defect",
  -- S39&lt;=69,"Battery D",
  --S39&lt;=80,"Battery C",
 --S39&gt;80,""
),"")</f>
        <v/>
      </c>
      <c r="U39" s="13" t="str" cm="1">
        <f t="array" ref="U39:AB39">IFERROR(IF(_xlfn.XLOOKUP(B39,Input!J:J,Input!N:U)=0,"",
          _xlfn.XLOOKUP(B39,Input!J:J,Input!N:U)),"")</f>
        <v/>
      </c>
      <c r="V39" s="13" t="str">
        <v/>
      </c>
      <c r="W39" s="13" t="str">
        <v/>
      </c>
      <c r="X39" s="13" t="str">
        <v/>
      </c>
      <c r="Y39" s="13" t="str">
        <v/>
      </c>
      <c r="Z39" s="13" t="str">
        <v/>
      </c>
      <c r="AA39" s="13" t="str">
        <v/>
      </c>
      <c r="AB39" s="13" t="str">
        <v/>
      </c>
      <c r="AC39" t="str">
        <f t="shared" si="2"/>
        <v/>
      </c>
      <c r="AD39" t="str">
        <f>_xlfn.XLOOKUP(B:B,Disk_Pivot!G:G,Disk_Pivot!I:I)</f>
        <v>Yes</v>
      </c>
      <c r="AE39" t="str">
        <f>_xlfn.XLOOKUP(B39,Disk_Pivot!G:G,Disk_Pivot!N:N)</f>
        <v>Fail</v>
      </c>
    </row>
    <row r="40" spans="1:31">
      <c r="A40" t="str">
        <f>_xlfn.TEXTJOIN("",TRUE,_xlfn.XLOOKUP(B40,Input!J:J,Input!G:G,"",0,1),_xlfn.XLOOKUP(B40,Input!J:J,Input!H:H,"",0,1))</f>
        <v/>
      </c>
      <c r="C40" s="13">
        <f>_xlfn.XLOOKUP(B40,Input!J:J,Input!F:F)</f>
        <v>0</v>
      </c>
      <c r="D40">
        <f>_xlfn.XLOOKUP(C40,Models!H:H,Models!G:G,C40)</f>
        <v>0</v>
      </c>
      <c r="F40" t="str">
        <f>_xlfn.XLOOKUP(H40,Models!B:B,Models!F:F,"")</f>
        <v/>
      </c>
      <c r="G40">
        <f>_xlfn.XLOOKUP(B40,Input!J:J,Input!E:E)</f>
        <v>0</v>
      </c>
      <c r="H40">
        <f>IF(G40="LENOVO",_xlfn.XLOOKUP(B40,Input!J:J,Input!K:K),_xlfn.XLOOKUP(B40,Input!J:J,Input!L:L))</f>
        <v>0</v>
      </c>
      <c r="K40">
        <f>_xlfn.XLOOKUP(B40,CPU_Formula!A:A,CPU_Formula!I:I)</f>
        <v>0</v>
      </c>
      <c r="L40" s="13" t="e">
        <f>INDEX(Input!$D$2:$AC$500,
       MATCH(B40, Input!$J$2:$J$500, 0),
       MATCH("Memory Capacity", Input!$D$1:$AC$1, 0))</f>
        <v>#N/A</v>
      </c>
      <c r="M40" s="13" t="e">
        <f>INDEX(Input!$D$2:$AC$500,
       MATCH(B40, Input!$J$2:$J$500, 0),
       MATCH("Memory Type", Input!$D$1:$AC$1, 0))</f>
        <v>#N/A</v>
      </c>
      <c r="N40" s="13" t="e">
        <f t="shared" si="0"/>
        <v>#N/A</v>
      </c>
      <c r="O40" s="13" t="str" cm="1">
        <f t="array" ref="O40">IFERROR(_xlfn.FILTERXML("&lt;t&gt;&lt;s&gt;" &amp; SUBSTITUTE(M40," / ","&lt;/s&gt;&lt;s&gt;") &amp; "&lt;/s&gt;&lt;/t&gt;","(//s[contains(.,'DDR')])[1]"),"")</f>
        <v/>
      </c>
      <c r="P40" t="e">
        <f t="shared" si="1"/>
        <v>#N/A</v>
      </c>
      <c r="Q40" t="e">
        <f>INDEX(Input!$D$2:$AC$500,
       MATCH(B40, Input!$J$2:$J$500, 0),
       MATCH("Disk Capacity", Input!$D$1:$AC$1, 0))</f>
        <v>#N/A</v>
      </c>
      <c r="S40" s="13" t="e">
        <f>_xlfn.LET(_xlpm.Result,INDEX(Input!$D$2:$AC$500,
       MATCH(B40, Input!$J$2:$J$500, 0),
       MATCH("Capacity", Input!$D$1:$AC$1, 0)),IF(_xlpm.Result="","",_xlpm.Result))</f>
        <v>#N/A</v>
      </c>
      <c r="T40" s="13" t="str" cm="1">
        <f t="array" ref="T40">IFERROR(_xlfn.IFS(
   --S40&lt;55,"Battery Defect",
  -- S40&lt;=69,"Battery D",
  --S40&lt;=80,"Battery C",
 --S40&gt;80,""
),"")</f>
        <v/>
      </c>
      <c r="U40" s="13" t="str" cm="1">
        <f t="array" ref="U40:AB40">IFERROR(IF(_xlfn.XLOOKUP(B40,Input!J:J,Input!N:U)=0,"",
          _xlfn.XLOOKUP(B40,Input!J:J,Input!N:U)),"")</f>
        <v/>
      </c>
      <c r="V40" s="13" t="str">
        <v/>
      </c>
      <c r="W40" s="13" t="str">
        <v/>
      </c>
      <c r="X40" s="13" t="str">
        <v/>
      </c>
      <c r="Y40" s="13" t="str">
        <v/>
      </c>
      <c r="Z40" s="13" t="str">
        <v/>
      </c>
      <c r="AA40" s="13" t="str">
        <v/>
      </c>
      <c r="AB40" s="13" t="str">
        <v/>
      </c>
      <c r="AC40" t="str">
        <f t="shared" si="2"/>
        <v/>
      </c>
      <c r="AD40" t="str">
        <f>_xlfn.XLOOKUP(B:B,Disk_Pivot!G:G,Disk_Pivot!I:I)</f>
        <v>Yes</v>
      </c>
      <c r="AE40" t="str">
        <f>_xlfn.XLOOKUP(B40,Disk_Pivot!G:G,Disk_Pivot!N:N)</f>
        <v>Fail</v>
      </c>
    </row>
    <row r="41" spans="1:31">
      <c r="A41" t="str">
        <f>_xlfn.TEXTJOIN("",TRUE,_xlfn.XLOOKUP(B41,Input!J:J,Input!G:G,"",0,1),_xlfn.XLOOKUP(B41,Input!J:J,Input!H:H,"",0,1))</f>
        <v/>
      </c>
      <c r="C41" s="13">
        <f>_xlfn.XLOOKUP(B41,Input!J:J,Input!F:F)</f>
        <v>0</v>
      </c>
      <c r="D41">
        <f>_xlfn.XLOOKUP(C41,Models!H:H,Models!G:G,C41)</f>
        <v>0</v>
      </c>
      <c r="F41" t="str">
        <f>_xlfn.XLOOKUP(H41,Models!B:B,Models!F:F,"")</f>
        <v/>
      </c>
      <c r="G41">
        <f>_xlfn.XLOOKUP(B41,Input!J:J,Input!E:E)</f>
        <v>0</v>
      </c>
      <c r="H41">
        <f>IF(G41="LENOVO",_xlfn.XLOOKUP(B41,Input!J:J,Input!K:K),_xlfn.XLOOKUP(B41,Input!J:J,Input!L:L))</f>
        <v>0</v>
      </c>
      <c r="K41">
        <f>_xlfn.XLOOKUP(B41,CPU_Formula!A:A,CPU_Formula!I:I)</f>
        <v>0</v>
      </c>
      <c r="L41" s="13" t="e">
        <f>INDEX(Input!$D$2:$AC$500,
       MATCH(B41, Input!$J$2:$J$500, 0),
       MATCH("Memory Capacity", Input!$D$1:$AC$1, 0))</f>
        <v>#N/A</v>
      </c>
      <c r="M41" s="13" t="e">
        <f>INDEX(Input!$D$2:$AC$500,
       MATCH(B41, Input!$J$2:$J$500, 0),
       MATCH("Memory Type", Input!$D$1:$AC$1, 0))</f>
        <v>#N/A</v>
      </c>
      <c r="N41" s="13" t="e">
        <f t="shared" si="0"/>
        <v>#N/A</v>
      </c>
      <c r="O41" s="13" t="str" cm="1">
        <f t="array" ref="O41">IFERROR(_xlfn.FILTERXML("&lt;t&gt;&lt;s&gt;" &amp; SUBSTITUTE(M41," / ","&lt;/s&gt;&lt;s&gt;") &amp; "&lt;/s&gt;&lt;/t&gt;","(//s[contains(.,'DDR')])[1]"),"")</f>
        <v/>
      </c>
      <c r="P41" t="e">
        <f t="shared" si="1"/>
        <v>#N/A</v>
      </c>
      <c r="Q41" t="e">
        <f>INDEX(Input!$D$2:$AC$500,
       MATCH(B41, Input!$J$2:$J$500, 0),
       MATCH("Disk Capacity", Input!$D$1:$AC$1, 0))</f>
        <v>#N/A</v>
      </c>
      <c r="S41" s="13" t="e">
        <f>_xlfn.LET(_xlpm.Result,INDEX(Input!$D$2:$AC$500,
       MATCH(B41, Input!$J$2:$J$500, 0),
       MATCH("Capacity", Input!$D$1:$AC$1, 0)),IF(_xlpm.Result="","",_xlpm.Result))</f>
        <v>#N/A</v>
      </c>
      <c r="T41" s="13" t="str" cm="1">
        <f t="array" ref="T41">IFERROR(_xlfn.IFS(
   --S41&lt;55,"Battery Defect",
  -- S41&lt;=69,"Battery D",
  --S41&lt;=80,"Battery C",
 --S41&gt;80,""
),"")</f>
        <v/>
      </c>
      <c r="U41" s="13" t="str" cm="1">
        <f t="array" ref="U41:AB41">IFERROR(IF(_xlfn.XLOOKUP(B41,Input!J:J,Input!N:U)=0,"",
          _xlfn.XLOOKUP(B41,Input!J:J,Input!N:U)),"")</f>
        <v/>
      </c>
      <c r="V41" s="13" t="str">
        <v/>
      </c>
      <c r="W41" s="13" t="str">
        <v/>
      </c>
      <c r="X41" s="13" t="str">
        <v/>
      </c>
      <c r="Y41" s="13" t="str">
        <v/>
      </c>
      <c r="Z41" s="13" t="str">
        <v/>
      </c>
      <c r="AA41" s="13" t="str">
        <v/>
      </c>
      <c r="AB41" s="13" t="str">
        <v/>
      </c>
      <c r="AC41" t="str">
        <f t="shared" si="2"/>
        <v/>
      </c>
      <c r="AD41" t="str">
        <f>_xlfn.XLOOKUP(B:B,Disk_Pivot!G:G,Disk_Pivot!I:I)</f>
        <v>Yes</v>
      </c>
      <c r="AE41" t="str">
        <f>_xlfn.XLOOKUP(B41,Disk_Pivot!G:G,Disk_Pivot!N:N)</f>
        <v>Fail</v>
      </c>
    </row>
    <row r="42" spans="1:31">
      <c r="A42" t="str">
        <f>_xlfn.TEXTJOIN("",TRUE,_xlfn.XLOOKUP(B42,Input!J:J,Input!G:G,"",0,1),_xlfn.XLOOKUP(B42,Input!J:J,Input!H:H,"",0,1))</f>
        <v/>
      </c>
      <c r="C42" s="13">
        <f>_xlfn.XLOOKUP(B42,Input!J:J,Input!F:F)</f>
        <v>0</v>
      </c>
      <c r="D42">
        <f>_xlfn.XLOOKUP(C42,Models!H:H,Models!G:G,C42)</f>
        <v>0</v>
      </c>
      <c r="F42" t="str">
        <f>_xlfn.XLOOKUP(H42,Models!B:B,Models!F:F,"")</f>
        <v/>
      </c>
      <c r="G42">
        <f>_xlfn.XLOOKUP(B42,Input!J:J,Input!E:E)</f>
        <v>0</v>
      </c>
      <c r="H42">
        <f>IF(G42="LENOVO",_xlfn.XLOOKUP(B42,Input!J:J,Input!K:K),_xlfn.XLOOKUP(B42,Input!J:J,Input!L:L))</f>
        <v>0</v>
      </c>
      <c r="K42">
        <f>_xlfn.XLOOKUP(B42,CPU_Formula!A:A,CPU_Formula!I:I)</f>
        <v>0</v>
      </c>
      <c r="L42" s="13" t="e">
        <f>INDEX(Input!$D$2:$AC$500,
       MATCH(B42, Input!$J$2:$J$500, 0),
       MATCH("Memory Capacity", Input!$D$1:$AC$1, 0))</f>
        <v>#N/A</v>
      </c>
      <c r="M42" s="13" t="e">
        <f>INDEX(Input!$D$2:$AC$500,
       MATCH(B42, Input!$J$2:$J$500, 0),
       MATCH("Memory Type", Input!$D$1:$AC$1, 0))</f>
        <v>#N/A</v>
      </c>
      <c r="N42" s="13" t="e">
        <f t="shared" si="0"/>
        <v>#N/A</v>
      </c>
      <c r="O42" s="13" t="str" cm="1">
        <f t="array" ref="O42">IFERROR(_xlfn.FILTERXML("&lt;t&gt;&lt;s&gt;" &amp; SUBSTITUTE(M42," / ","&lt;/s&gt;&lt;s&gt;") &amp; "&lt;/s&gt;&lt;/t&gt;","(//s[contains(.,'DDR')])[1]"),"")</f>
        <v/>
      </c>
      <c r="P42" t="e">
        <f t="shared" si="1"/>
        <v>#N/A</v>
      </c>
      <c r="Q42" t="e">
        <f>INDEX(Input!$D$2:$AC$500,
       MATCH(B42, Input!$J$2:$J$500, 0),
       MATCH("Disk Capacity", Input!$D$1:$AC$1, 0))</f>
        <v>#N/A</v>
      </c>
      <c r="S42" s="13" t="e">
        <f>_xlfn.LET(_xlpm.Result,INDEX(Input!$D$2:$AC$500,
       MATCH(B42, Input!$J$2:$J$500, 0),
       MATCH("Capacity", Input!$D$1:$AC$1, 0)),IF(_xlpm.Result="","",_xlpm.Result))</f>
        <v>#N/A</v>
      </c>
      <c r="T42" s="13" t="str" cm="1">
        <f t="array" ref="T42">IFERROR(_xlfn.IFS(
   --S42&lt;55,"Battery Defect",
  -- S42&lt;=69,"Battery D",
  --S42&lt;=80,"Battery C",
 --S42&gt;80,""
),"")</f>
        <v/>
      </c>
      <c r="U42" s="13" t="str" cm="1">
        <f t="array" ref="U42:AB42">IFERROR(IF(_xlfn.XLOOKUP(B42,Input!J:J,Input!N:U)=0,"",
          _xlfn.XLOOKUP(B42,Input!J:J,Input!N:U)),"")</f>
        <v/>
      </c>
      <c r="V42" s="13" t="str">
        <v/>
      </c>
      <c r="W42" s="13" t="str">
        <v/>
      </c>
      <c r="X42" s="13" t="str">
        <v/>
      </c>
      <c r="Y42" s="13" t="str">
        <v/>
      </c>
      <c r="Z42" s="13" t="str">
        <v/>
      </c>
      <c r="AA42" s="13" t="str">
        <v/>
      </c>
      <c r="AB42" s="13" t="str">
        <v/>
      </c>
      <c r="AC42" t="str">
        <f t="shared" si="2"/>
        <v/>
      </c>
      <c r="AD42" t="str">
        <f>_xlfn.XLOOKUP(B:B,Disk_Pivot!G:G,Disk_Pivot!I:I)</f>
        <v>Yes</v>
      </c>
      <c r="AE42" t="str">
        <f>_xlfn.XLOOKUP(B42,Disk_Pivot!G:G,Disk_Pivot!N:N)</f>
        <v>Fail</v>
      </c>
    </row>
    <row r="43" spans="1:31">
      <c r="A43" t="str">
        <f>_xlfn.TEXTJOIN("",TRUE,_xlfn.XLOOKUP(B43,Input!J:J,Input!G:G,"",0,1),_xlfn.XLOOKUP(B43,Input!J:J,Input!H:H,"",0,1))</f>
        <v/>
      </c>
      <c r="C43" s="13">
        <f>_xlfn.XLOOKUP(B43,Input!J:J,Input!F:F)</f>
        <v>0</v>
      </c>
      <c r="D43">
        <f>_xlfn.XLOOKUP(C43,Models!H:H,Models!G:G,C43)</f>
        <v>0</v>
      </c>
      <c r="F43" t="str">
        <f>_xlfn.XLOOKUP(H43,Models!B:B,Models!F:F,"")</f>
        <v/>
      </c>
      <c r="G43">
        <f>_xlfn.XLOOKUP(B43,Input!J:J,Input!E:E)</f>
        <v>0</v>
      </c>
      <c r="H43">
        <f>IF(G43="LENOVO",_xlfn.XLOOKUP(B43,Input!J:J,Input!K:K),_xlfn.XLOOKUP(B43,Input!J:J,Input!L:L))</f>
        <v>0</v>
      </c>
      <c r="K43">
        <f>_xlfn.XLOOKUP(B43,CPU_Formula!A:A,CPU_Formula!I:I)</f>
        <v>0</v>
      </c>
      <c r="L43" s="13" t="e">
        <f>INDEX(Input!$D$2:$AC$500,
       MATCH(B43, Input!$J$2:$J$500, 0),
       MATCH("Memory Capacity", Input!$D$1:$AC$1, 0))</f>
        <v>#N/A</v>
      </c>
      <c r="M43" s="13" t="e">
        <f>INDEX(Input!$D$2:$AC$500,
       MATCH(B43, Input!$J$2:$J$500, 0),
       MATCH("Memory Type", Input!$D$1:$AC$1, 0))</f>
        <v>#N/A</v>
      </c>
      <c r="N43" s="13" t="e">
        <f t="shared" si="0"/>
        <v>#N/A</v>
      </c>
      <c r="O43" s="13" t="str" cm="1">
        <f t="array" ref="O43">IFERROR(_xlfn.FILTERXML("&lt;t&gt;&lt;s&gt;" &amp; SUBSTITUTE(M43," / ","&lt;/s&gt;&lt;s&gt;") &amp; "&lt;/s&gt;&lt;/t&gt;","(//s[contains(.,'DDR')])[1]"),"")</f>
        <v/>
      </c>
      <c r="P43" t="e">
        <f t="shared" si="1"/>
        <v>#N/A</v>
      </c>
      <c r="Q43" t="e">
        <f>INDEX(Input!$D$2:$AC$500,
       MATCH(B43, Input!$J$2:$J$500, 0),
       MATCH("Disk Capacity", Input!$D$1:$AC$1, 0))</f>
        <v>#N/A</v>
      </c>
      <c r="S43" s="13" t="e">
        <f>_xlfn.LET(_xlpm.Result,INDEX(Input!$D$2:$AC$500,
       MATCH(B43, Input!$J$2:$J$500, 0),
       MATCH("Capacity", Input!$D$1:$AC$1, 0)),IF(_xlpm.Result="","",_xlpm.Result))</f>
        <v>#N/A</v>
      </c>
      <c r="T43" s="13" t="str" cm="1">
        <f t="array" ref="T43">IFERROR(_xlfn.IFS(
   --S43&lt;55,"Battery Defect",
  -- S43&lt;=69,"Battery D",
  --S43&lt;=80,"Battery C",
 --S43&gt;80,""
),"")</f>
        <v/>
      </c>
      <c r="U43" s="13" t="str" cm="1">
        <f t="array" ref="U43:AB43">IFERROR(IF(_xlfn.XLOOKUP(B43,Input!J:J,Input!N:U)=0,"",
          _xlfn.XLOOKUP(B43,Input!J:J,Input!N:U)),"")</f>
        <v/>
      </c>
      <c r="V43" s="13" t="str">
        <v/>
      </c>
      <c r="W43" s="13" t="str">
        <v/>
      </c>
      <c r="X43" s="13" t="str">
        <v/>
      </c>
      <c r="Y43" s="13" t="str">
        <v/>
      </c>
      <c r="Z43" s="13" t="str">
        <v/>
      </c>
      <c r="AA43" s="13" t="str">
        <v/>
      </c>
      <c r="AB43" s="13" t="str">
        <v/>
      </c>
      <c r="AC43" t="str">
        <f t="shared" si="2"/>
        <v/>
      </c>
      <c r="AD43" t="str">
        <f>_xlfn.XLOOKUP(B:B,Disk_Pivot!G:G,Disk_Pivot!I:I)</f>
        <v>Yes</v>
      </c>
      <c r="AE43" t="str">
        <f>_xlfn.XLOOKUP(B43,Disk_Pivot!G:G,Disk_Pivot!N:N)</f>
        <v>Fail</v>
      </c>
    </row>
    <row r="44" spans="1:31">
      <c r="A44" t="str">
        <f>_xlfn.TEXTJOIN("",TRUE,_xlfn.XLOOKUP(B44,Input!J:J,Input!G:G,"",0,1),_xlfn.XLOOKUP(B44,Input!J:J,Input!H:H,"",0,1))</f>
        <v/>
      </c>
      <c r="C44" s="13">
        <f>_xlfn.XLOOKUP(B44,Input!J:J,Input!F:F)</f>
        <v>0</v>
      </c>
      <c r="D44">
        <f>_xlfn.XLOOKUP(C44,Models!H:H,Models!G:G,C44)</f>
        <v>0</v>
      </c>
      <c r="F44" t="str">
        <f>_xlfn.XLOOKUP(H44,Models!B:B,Models!F:F,"")</f>
        <v/>
      </c>
      <c r="G44">
        <f>_xlfn.XLOOKUP(B44,Input!J:J,Input!E:E)</f>
        <v>0</v>
      </c>
      <c r="H44">
        <f>IF(G44="LENOVO",_xlfn.XLOOKUP(B44,Input!J:J,Input!K:K),_xlfn.XLOOKUP(B44,Input!J:J,Input!L:L))</f>
        <v>0</v>
      </c>
      <c r="K44">
        <f>_xlfn.XLOOKUP(B44,CPU_Formula!A:A,CPU_Formula!I:I)</f>
        <v>0</v>
      </c>
      <c r="L44" s="13" t="e">
        <f>INDEX(Input!$D$2:$AC$500,
       MATCH(B44, Input!$J$2:$J$500, 0),
       MATCH("Memory Capacity", Input!$D$1:$AC$1, 0))</f>
        <v>#N/A</v>
      </c>
      <c r="M44" s="13" t="e">
        <f>INDEX(Input!$D$2:$AC$500,
       MATCH(B44, Input!$J$2:$J$500, 0),
       MATCH("Memory Type", Input!$D$1:$AC$1, 0))</f>
        <v>#N/A</v>
      </c>
      <c r="N44" s="13" t="e">
        <f t="shared" si="0"/>
        <v>#N/A</v>
      </c>
      <c r="O44" s="13" t="str" cm="1">
        <f t="array" ref="O44">IFERROR(_xlfn.FILTERXML("&lt;t&gt;&lt;s&gt;" &amp; SUBSTITUTE(M44," / ","&lt;/s&gt;&lt;s&gt;") &amp; "&lt;/s&gt;&lt;/t&gt;","(//s[contains(.,'DDR')])[1]"),"")</f>
        <v/>
      </c>
      <c r="P44" t="e">
        <f t="shared" si="1"/>
        <v>#N/A</v>
      </c>
      <c r="Q44" t="e">
        <f>INDEX(Input!$D$2:$AC$500,
       MATCH(B44, Input!$J$2:$J$500, 0),
       MATCH("Disk Capacity", Input!$D$1:$AC$1, 0))</f>
        <v>#N/A</v>
      </c>
      <c r="S44" s="13" t="e">
        <f>_xlfn.LET(_xlpm.Result,INDEX(Input!$D$2:$AC$500,
       MATCH(B44, Input!$J$2:$J$500, 0),
       MATCH("Capacity", Input!$D$1:$AC$1, 0)),IF(_xlpm.Result="","",_xlpm.Result))</f>
        <v>#N/A</v>
      </c>
      <c r="T44" s="13" t="str" cm="1">
        <f t="array" ref="T44">IFERROR(_xlfn.IFS(
   --S44&lt;55,"Battery Defect",
  -- S44&lt;=69,"Battery D",
  --S44&lt;=80,"Battery C",
 --S44&gt;80,""
),"")</f>
        <v/>
      </c>
      <c r="U44" s="13" t="str" cm="1">
        <f t="array" ref="U44:AB44">IFERROR(IF(_xlfn.XLOOKUP(B44,Input!J:J,Input!N:U)=0,"",
          _xlfn.XLOOKUP(B44,Input!J:J,Input!N:U)),"")</f>
        <v/>
      </c>
      <c r="V44" s="13" t="str">
        <v/>
      </c>
      <c r="W44" s="13" t="str">
        <v/>
      </c>
      <c r="X44" s="13" t="str">
        <v/>
      </c>
      <c r="Y44" s="13" t="str">
        <v/>
      </c>
      <c r="Z44" s="13" t="str">
        <v/>
      </c>
      <c r="AA44" s="13" t="str">
        <v/>
      </c>
      <c r="AB44" s="13" t="str">
        <v/>
      </c>
      <c r="AC44" t="str">
        <f t="shared" si="2"/>
        <v/>
      </c>
      <c r="AD44" t="str">
        <f>_xlfn.XLOOKUP(B:B,Disk_Pivot!G:G,Disk_Pivot!I:I)</f>
        <v>Yes</v>
      </c>
      <c r="AE44" t="str">
        <f>_xlfn.XLOOKUP(B44,Disk_Pivot!G:G,Disk_Pivot!N:N)</f>
        <v>Fail</v>
      </c>
    </row>
    <row r="45" spans="1:31">
      <c r="A45" t="str">
        <f>_xlfn.TEXTJOIN("",TRUE,_xlfn.XLOOKUP(B45,Input!J:J,Input!G:G,"",0,1),_xlfn.XLOOKUP(B45,Input!J:J,Input!H:H,"",0,1))</f>
        <v/>
      </c>
      <c r="C45" s="13">
        <f>_xlfn.XLOOKUP(B45,Input!J:J,Input!F:F)</f>
        <v>0</v>
      </c>
      <c r="D45">
        <f>_xlfn.XLOOKUP(C45,Models!H:H,Models!G:G,C45)</f>
        <v>0</v>
      </c>
      <c r="F45" t="str">
        <f>_xlfn.XLOOKUP(H45,Models!B:B,Models!F:F,"")</f>
        <v/>
      </c>
      <c r="G45">
        <f>_xlfn.XLOOKUP(B45,Input!J:J,Input!E:E)</f>
        <v>0</v>
      </c>
      <c r="H45">
        <f>IF(G45="LENOVO",_xlfn.XLOOKUP(B45,Input!J:J,Input!K:K),_xlfn.XLOOKUP(B45,Input!J:J,Input!L:L))</f>
        <v>0</v>
      </c>
      <c r="K45">
        <f>_xlfn.XLOOKUP(B45,CPU_Formula!A:A,CPU_Formula!I:I)</f>
        <v>0</v>
      </c>
      <c r="L45" s="13" t="e">
        <f>INDEX(Input!$D$2:$AC$500,
       MATCH(B45, Input!$J$2:$J$500, 0),
       MATCH("Memory Capacity", Input!$D$1:$AC$1, 0))</f>
        <v>#N/A</v>
      </c>
      <c r="M45" s="13" t="e">
        <f>INDEX(Input!$D$2:$AC$500,
       MATCH(B45, Input!$J$2:$J$500, 0),
       MATCH("Memory Type", Input!$D$1:$AC$1, 0))</f>
        <v>#N/A</v>
      </c>
      <c r="N45" s="13" t="e">
        <f t="shared" si="0"/>
        <v>#N/A</v>
      </c>
      <c r="O45" s="13" t="str" cm="1">
        <f t="array" ref="O45">IFERROR(_xlfn.FILTERXML("&lt;t&gt;&lt;s&gt;" &amp; SUBSTITUTE(M45," / ","&lt;/s&gt;&lt;s&gt;") &amp; "&lt;/s&gt;&lt;/t&gt;","(//s[contains(.,'DDR')])[1]"),"")</f>
        <v/>
      </c>
      <c r="P45" t="e">
        <f t="shared" si="1"/>
        <v>#N/A</v>
      </c>
      <c r="Q45" t="e">
        <f>INDEX(Input!$D$2:$AC$500,
       MATCH(B45, Input!$J$2:$J$500, 0),
       MATCH("Disk Capacity", Input!$D$1:$AC$1, 0))</f>
        <v>#N/A</v>
      </c>
      <c r="S45" s="13" t="e">
        <f>_xlfn.LET(_xlpm.Result,INDEX(Input!$D$2:$AC$500,
       MATCH(B45, Input!$J$2:$J$500, 0),
       MATCH("Capacity", Input!$D$1:$AC$1, 0)),IF(_xlpm.Result="","",_xlpm.Result))</f>
        <v>#N/A</v>
      </c>
      <c r="T45" s="13" t="str" cm="1">
        <f t="array" ref="T45">IFERROR(_xlfn.IFS(
   --S45&lt;55,"Battery Defect",
  -- S45&lt;=69,"Battery D",
  --S45&lt;=80,"Battery C",
 --S45&gt;80,""
),"")</f>
        <v/>
      </c>
      <c r="U45" s="13" t="str" cm="1">
        <f t="array" ref="U45:AB45">IFERROR(IF(_xlfn.XLOOKUP(B45,Input!J:J,Input!N:U)=0,"",
          _xlfn.XLOOKUP(B45,Input!J:J,Input!N:U)),"")</f>
        <v/>
      </c>
      <c r="V45" s="13" t="str">
        <v/>
      </c>
      <c r="W45" s="13" t="str">
        <v/>
      </c>
      <c r="X45" s="13" t="str">
        <v/>
      </c>
      <c r="Y45" s="13" t="str">
        <v/>
      </c>
      <c r="Z45" s="13" t="str">
        <v/>
      </c>
      <c r="AA45" s="13" t="str">
        <v/>
      </c>
      <c r="AB45" s="13" t="str">
        <v/>
      </c>
      <c r="AC45" t="str">
        <f t="shared" si="2"/>
        <v/>
      </c>
      <c r="AD45" t="str">
        <f>_xlfn.XLOOKUP(B:B,Disk_Pivot!G:G,Disk_Pivot!I:I)</f>
        <v>Yes</v>
      </c>
      <c r="AE45" t="str">
        <f>_xlfn.XLOOKUP(B45,Disk_Pivot!G:G,Disk_Pivot!N:N)</f>
        <v>Fail</v>
      </c>
    </row>
    <row r="46" spans="1:31">
      <c r="A46" t="str">
        <f>_xlfn.TEXTJOIN("",TRUE,_xlfn.XLOOKUP(B46,Input!J:J,Input!G:G,"",0,1),_xlfn.XLOOKUP(B46,Input!J:J,Input!H:H,"",0,1))</f>
        <v/>
      </c>
      <c r="C46" s="13">
        <f>_xlfn.XLOOKUP(B46,Input!J:J,Input!F:F)</f>
        <v>0</v>
      </c>
      <c r="D46">
        <f>_xlfn.XLOOKUP(C46,Models!H:H,Models!G:G,C46)</f>
        <v>0</v>
      </c>
      <c r="F46" t="str">
        <f>_xlfn.XLOOKUP(H46,Models!B:B,Models!F:F,"")</f>
        <v/>
      </c>
      <c r="G46">
        <f>_xlfn.XLOOKUP(B46,Input!J:J,Input!E:E)</f>
        <v>0</v>
      </c>
      <c r="H46">
        <f>IF(G46="LENOVO",_xlfn.XLOOKUP(B46,Input!J:J,Input!K:K),_xlfn.XLOOKUP(B46,Input!J:J,Input!L:L))</f>
        <v>0</v>
      </c>
      <c r="K46">
        <f>_xlfn.XLOOKUP(B46,CPU_Formula!A:A,CPU_Formula!I:I)</f>
        <v>0</v>
      </c>
      <c r="L46" s="13" t="e">
        <f>INDEX(Input!$D$2:$AC$500,
       MATCH(B46, Input!$J$2:$J$500, 0),
       MATCH("Memory Capacity", Input!$D$1:$AC$1, 0))</f>
        <v>#N/A</v>
      </c>
      <c r="M46" s="13" t="e">
        <f>INDEX(Input!$D$2:$AC$500,
       MATCH(B46, Input!$J$2:$J$500, 0),
       MATCH("Memory Type", Input!$D$1:$AC$1, 0))</f>
        <v>#N/A</v>
      </c>
      <c r="N46" s="13" t="e">
        <f t="shared" si="0"/>
        <v>#N/A</v>
      </c>
      <c r="O46" s="13" t="str" cm="1">
        <f t="array" ref="O46">IFERROR(_xlfn.FILTERXML("&lt;t&gt;&lt;s&gt;" &amp; SUBSTITUTE(M46," / ","&lt;/s&gt;&lt;s&gt;") &amp; "&lt;/s&gt;&lt;/t&gt;","(//s[contains(.,'DDR')])[1]"),"")</f>
        <v/>
      </c>
      <c r="P46" t="e">
        <f t="shared" si="1"/>
        <v>#N/A</v>
      </c>
      <c r="Q46" t="e">
        <f>INDEX(Input!$D$2:$AC$500,
       MATCH(B46, Input!$J$2:$J$500, 0),
       MATCH("Disk Capacity", Input!$D$1:$AC$1, 0))</f>
        <v>#N/A</v>
      </c>
      <c r="S46" s="13" t="e">
        <f>_xlfn.LET(_xlpm.Result,INDEX(Input!$D$2:$AC$500,
       MATCH(B46, Input!$J$2:$J$500, 0),
       MATCH("Capacity", Input!$D$1:$AC$1, 0)),IF(_xlpm.Result="","",_xlpm.Result))</f>
        <v>#N/A</v>
      </c>
      <c r="T46" s="13" t="str" cm="1">
        <f t="array" ref="T46">IFERROR(_xlfn.IFS(
   --S46&lt;55,"Battery Defect",
  -- S46&lt;=69,"Battery D",
  --S46&lt;=80,"Battery C",
 --S46&gt;80,""
),"")</f>
        <v/>
      </c>
      <c r="U46" s="13" t="str" cm="1">
        <f t="array" ref="U46:AB46">IFERROR(IF(_xlfn.XLOOKUP(B46,Input!J:J,Input!N:U)=0,"",
          _xlfn.XLOOKUP(B46,Input!J:J,Input!N:U)),"")</f>
        <v/>
      </c>
      <c r="V46" s="13" t="str">
        <v/>
      </c>
      <c r="W46" s="13" t="str">
        <v/>
      </c>
      <c r="X46" s="13" t="str">
        <v/>
      </c>
      <c r="Y46" s="13" t="str">
        <v/>
      </c>
      <c r="Z46" s="13" t="str">
        <v/>
      </c>
      <c r="AA46" s="13" t="str">
        <v/>
      </c>
      <c r="AB46" s="13" t="str">
        <v/>
      </c>
      <c r="AC46" t="str">
        <f t="shared" si="2"/>
        <v/>
      </c>
      <c r="AD46" t="str">
        <f>_xlfn.XLOOKUP(B:B,Disk_Pivot!G:G,Disk_Pivot!I:I)</f>
        <v>Yes</v>
      </c>
      <c r="AE46" t="str">
        <f>_xlfn.XLOOKUP(B46,Disk_Pivot!G:G,Disk_Pivot!N:N)</f>
        <v>Fail</v>
      </c>
    </row>
    <row r="47" spans="1:31">
      <c r="A47" t="str">
        <f>_xlfn.TEXTJOIN("",TRUE,_xlfn.XLOOKUP(B47,Input!J:J,Input!G:G,"",0,1),_xlfn.XLOOKUP(B47,Input!J:J,Input!H:H,"",0,1))</f>
        <v/>
      </c>
      <c r="C47" s="13">
        <f>_xlfn.XLOOKUP(B47,Input!J:J,Input!F:F)</f>
        <v>0</v>
      </c>
      <c r="D47">
        <f>_xlfn.XLOOKUP(C47,Models!H:H,Models!G:G,C47)</f>
        <v>0</v>
      </c>
      <c r="F47" t="str">
        <f>_xlfn.XLOOKUP(H47,Models!B:B,Models!F:F,"")</f>
        <v/>
      </c>
      <c r="G47">
        <f>_xlfn.XLOOKUP(B47,Input!J:J,Input!E:E)</f>
        <v>0</v>
      </c>
      <c r="H47">
        <f>IF(G47="LENOVO",_xlfn.XLOOKUP(B47,Input!J:J,Input!K:K),_xlfn.XLOOKUP(B47,Input!J:J,Input!L:L))</f>
        <v>0</v>
      </c>
      <c r="K47">
        <f>_xlfn.XLOOKUP(B47,CPU_Formula!A:A,CPU_Formula!I:I)</f>
        <v>0</v>
      </c>
      <c r="L47" s="13" t="e">
        <f>INDEX(Input!$D$2:$AC$500,
       MATCH(B47, Input!$J$2:$J$500, 0),
       MATCH("Memory Capacity", Input!$D$1:$AC$1, 0))</f>
        <v>#N/A</v>
      </c>
      <c r="M47" s="13" t="e">
        <f>INDEX(Input!$D$2:$AC$500,
       MATCH(B47, Input!$J$2:$J$500, 0),
       MATCH("Memory Type", Input!$D$1:$AC$1, 0))</f>
        <v>#N/A</v>
      </c>
      <c r="N47" s="13" t="e">
        <f t="shared" si="0"/>
        <v>#N/A</v>
      </c>
      <c r="O47" s="13" t="str" cm="1">
        <f t="array" ref="O47">IFERROR(_xlfn.FILTERXML("&lt;t&gt;&lt;s&gt;" &amp; SUBSTITUTE(M47," / ","&lt;/s&gt;&lt;s&gt;") &amp; "&lt;/s&gt;&lt;/t&gt;","(//s[contains(.,'DDR')])[1]"),"")</f>
        <v/>
      </c>
      <c r="P47" t="e">
        <f t="shared" si="1"/>
        <v>#N/A</v>
      </c>
      <c r="Q47" t="e">
        <f>INDEX(Input!$D$2:$AC$500,
       MATCH(B47, Input!$J$2:$J$500, 0),
       MATCH("Disk Capacity", Input!$D$1:$AC$1, 0))</f>
        <v>#N/A</v>
      </c>
      <c r="S47" s="13" t="str">
        <f>_xlfn.LET(_xlpm.Result,_xlfn.XLOOKUP(B47,Input!J:J,Input!AC:AC),IF(_xlpm.Result="","",_xlpm.Result))</f>
        <v/>
      </c>
      <c r="T47" s="13" t="str" cm="1">
        <f t="array" ref="T47">IFERROR(_xlfn.IFS(
   --S47&lt;55,"Battery Defect",
  -- S47&lt;=69,"Battery D",
  --S47&lt;=80,"Battery C",
 --S47&gt;80,""
),"")</f>
        <v/>
      </c>
      <c r="U47" s="13" t="str" cm="1">
        <f t="array" ref="U47:AB47">IFERROR(IF(_xlfn.XLOOKUP(B47,Input!J:J,Input!N:U)=0,"",
          _xlfn.XLOOKUP(B47,Input!J:J,Input!N:U)),"")</f>
        <v/>
      </c>
      <c r="V47" s="13" t="str">
        <v/>
      </c>
      <c r="W47" s="13" t="str">
        <v/>
      </c>
      <c r="X47" s="13" t="str">
        <v/>
      </c>
      <c r="Y47" s="13" t="str">
        <v/>
      </c>
      <c r="Z47" s="13" t="str">
        <v/>
      </c>
      <c r="AA47" s="13" t="str">
        <v/>
      </c>
      <c r="AB47" s="13" t="str">
        <v/>
      </c>
      <c r="AC47" t="str">
        <f t="shared" si="2"/>
        <v/>
      </c>
      <c r="AD47" t="str">
        <f>_xlfn.XLOOKUP(B:B,Disk_Pivot!G:G,Disk_Pivot!I:I)</f>
        <v>Yes</v>
      </c>
      <c r="AE47" t="str">
        <f>_xlfn.XLOOKUP(B47,Disk_Pivot!G:G,Disk_Pivot!N:N)</f>
        <v>Fail</v>
      </c>
    </row>
    <row r="48" spans="1:31">
      <c r="A48" t="str">
        <f>_xlfn.TEXTJOIN("",TRUE,_xlfn.XLOOKUP(B48,Input!J:J,Input!G:G,"",0,1),_xlfn.XLOOKUP(B48,Input!J:J,Input!H:H,"",0,1))</f>
        <v/>
      </c>
      <c r="C48" s="13">
        <f>_xlfn.XLOOKUP(B48,Input!J:J,Input!F:F)</f>
        <v>0</v>
      </c>
      <c r="D48">
        <f>_xlfn.XLOOKUP(C48,Models!H:H,Models!G:G,C48)</f>
        <v>0</v>
      </c>
      <c r="F48" t="str">
        <f>_xlfn.XLOOKUP(H48,Models!B:B,Models!F:F,"")</f>
        <v/>
      </c>
      <c r="G48">
        <f>_xlfn.XLOOKUP(B48,Input!J:J,Input!E:E)</f>
        <v>0</v>
      </c>
      <c r="H48">
        <f>IF(G48="LENOVO",_xlfn.XLOOKUP(B48,Input!J:J,Input!K:K),_xlfn.XLOOKUP(B48,Input!J:J,Input!L:L))</f>
        <v>0</v>
      </c>
      <c r="K48">
        <f>_xlfn.XLOOKUP(B48,CPU_Formula!A:A,CPU_Formula!I:I)</f>
        <v>0</v>
      </c>
      <c r="L48" s="13" t="e">
        <f>INDEX(Input!$D$2:$AC$500,
       MATCH(B48, Input!$J$2:$J$500, 0),
       MATCH("Memory Capacity", Input!$D$1:$AC$1, 0))</f>
        <v>#N/A</v>
      </c>
      <c r="M48" s="13" t="e">
        <f>INDEX(Input!$D$2:$AC$500,
       MATCH(B48, Input!$J$2:$J$500, 0),
       MATCH("Memory Type", Input!$D$1:$AC$1, 0))</f>
        <v>#N/A</v>
      </c>
      <c r="N48" s="13" t="e">
        <f t="shared" si="0"/>
        <v>#N/A</v>
      </c>
      <c r="O48" s="13" t="str" cm="1">
        <f t="array" ref="O48">IFERROR(_xlfn.FILTERXML("&lt;t&gt;&lt;s&gt;" &amp; SUBSTITUTE(M48," / ","&lt;/s&gt;&lt;s&gt;") &amp; "&lt;/s&gt;&lt;/t&gt;","(//s[contains(.,'DDR')])[1]"),"")</f>
        <v/>
      </c>
      <c r="P48" t="e">
        <f t="shared" si="1"/>
        <v>#N/A</v>
      </c>
      <c r="Q48" t="e">
        <f>INDEX(Input!$D$2:$AC$500,
       MATCH(B48, Input!$J$2:$J$500, 0),
       MATCH("Disk Capacity", Input!$D$1:$AC$1, 0))</f>
        <v>#N/A</v>
      </c>
      <c r="S48" s="13" t="str">
        <f>_xlfn.LET(_xlpm.Result,_xlfn.XLOOKUP(B48,Input!J:J,Input!AC:AC),IF(_xlpm.Result="","",_xlpm.Result))</f>
        <v/>
      </c>
      <c r="T48" s="13" t="str" cm="1">
        <f t="array" ref="T48">IFERROR(_xlfn.IFS(
   --S48&lt;55,"Battery Defect",
  -- S48&lt;=69,"Battery D",
  --S48&lt;=80,"Battery C",
 --S48&gt;80,""
),"")</f>
        <v/>
      </c>
      <c r="U48" s="13" t="str" cm="1">
        <f t="array" ref="U48:AB48">IFERROR(IF(_xlfn.XLOOKUP(B48,Input!J:J,Input!N:U)=0,"",
          _xlfn.XLOOKUP(B48,Input!J:J,Input!N:U)),"")</f>
        <v/>
      </c>
      <c r="V48" s="13" t="str">
        <v/>
      </c>
      <c r="W48" s="13" t="str">
        <v/>
      </c>
      <c r="X48" s="13" t="str">
        <v/>
      </c>
      <c r="Y48" s="13" t="str">
        <v/>
      </c>
      <c r="Z48" s="13" t="str">
        <v/>
      </c>
      <c r="AA48" s="13" t="str">
        <v/>
      </c>
      <c r="AB48" s="13" t="str">
        <v/>
      </c>
      <c r="AC48" t="str">
        <f t="shared" si="2"/>
        <v/>
      </c>
      <c r="AD48" t="str">
        <f>_xlfn.XLOOKUP(B:B,Disk_Pivot!G:G,Disk_Pivot!I:I)</f>
        <v>Yes</v>
      </c>
      <c r="AE48" t="str">
        <f>_xlfn.XLOOKUP(B48,Disk_Pivot!G:G,Disk_Pivot!N:N)</f>
        <v>Fail</v>
      </c>
    </row>
    <row r="49" spans="1:31">
      <c r="A49" t="str">
        <f>_xlfn.TEXTJOIN("",TRUE,_xlfn.XLOOKUP(B49,Input!J:J,Input!G:G,"",0,1),_xlfn.XLOOKUP(B49,Input!J:J,Input!H:H,"",0,1))</f>
        <v/>
      </c>
      <c r="C49" s="13">
        <f>_xlfn.XLOOKUP(B49,Input!J:J,Input!F:F)</f>
        <v>0</v>
      </c>
      <c r="D49">
        <f>_xlfn.XLOOKUP(C49,Models!H:H,Models!G:G,C49)</f>
        <v>0</v>
      </c>
      <c r="F49" t="str">
        <f>_xlfn.XLOOKUP(H49,Models!B:B,Models!F:F,"")</f>
        <v/>
      </c>
      <c r="G49">
        <f>_xlfn.XLOOKUP(B49,Input!J:J,Input!E:E)</f>
        <v>0</v>
      </c>
      <c r="H49">
        <f>IF(G49="LENOVO",_xlfn.XLOOKUP(B49,Input!J:J,Input!K:K),_xlfn.XLOOKUP(B49,Input!J:J,Input!L:L))</f>
        <v>0</v>
      </c>
      <c r="K49">
        <f>_xlfn.XLOOKUP(B49,CPU_Formula!A:A,CPU_Formula!I:I)</f>
        <v>0</v>
      </c>
      <c r="L49" s="13" t="e">
        <f>INDEX(Input!$D$2:$AC$500,
       MATCH(B49, Input!$J$2:$J$500, 0),
       MATCH("Memory Capacity", Input!$D$1:$AC$1, 0))</f>
        <v>#N/A</v>
      </c>
      <c r="M49" s="13" t="e">
        <f>INDEX(Input!$D$2:$AC$500,
       MATCH(B49, Input!$J$2:$J$500, 0),
       MATCH("Memory Type", Input!$D$1:$AC$1, 0))</f>
        <v>#N/A</v>
      </c>
      <c r="N49" s="13" t="e">
        <f t="shared" si="0"/>
        <v>#N/A</v>
      </c>
      <c r="O49" s="13" t="str" cm="1">
        <f t="array" ref="O49">IFERROR(_xlfn.FILTERXML("&lt;t&gt;&lt;s&gt;" &amp; SUBSTITUTE(M49," / ","&lt;/s&gt;&lt;s&gt;") &amp; "&lt;/s&gt;&lt;/t&gt;","(//s[contains(.,'DDR')])[1]"),"")</f>
        <v/>
      </c>
      <c r="P49" t="e">
        <f t="shared" si="1"/>
        <v>#N/A</v>
      </c>
      <c r="Q49" t="e">
        <f>INDEX(Input!$D$2:$AC$500,
       MATCH(B49, Input!$J$2:$J$500, 0),
       MATCH("Disk Capacity", Input!$D$1:$AC$1, 0))</f>
        <v>#N/A</v>
      </c>
      <c r="S49" s="13" t="str">
        <f>_xlfn.LET(_xlpm.Result,_xlfn.XLOOKUP(B49,Input!J:J,Input!AC:AC),IF(_xlpm.Result="","",_xlpm.Result))</f>
        <v/>
      </c>
      <c r="T49" s="13" t="str" cm="1">
        <f t="array" ref="T49">IFERROR(_xlfn.IFS(
   --S49&lt;55,"Battery Defect",
  -- S49&lt;=69,"Battery D",
  --S49&lt;=80,"Battery C",
 --S49&gt;80,""
),"")</f>
        <v/>
      </c>
      <c r="U49" s="13" t="str" cm="1">
        <f t="array" ref="U49:AB49">IFERROR(IF(_xlfn.XLOOKUP(B49,Input!J:J,Input!N:U)=0,"",
          _xlfn.XLOOKUP(B49,Input!J:J,Input!N:U)),"")</f>
        <v/>
      </c>
      <c r="V49" s="13" t="str">
        <v/>
      </c>
      <c r="W49" s="13" t="str">
        <v/>
      </c>
      <c r="X49" s="13" t="str">
        <v/>
      </c>
      <c r="Y49" s="13" t="str">
        <v/>
      </c>
      <c r="Z49" s="13" t="str">
        <v/>
      </c>
      <c r="AA49" s="13" t="str">
        <v/>
      </c>
      <c r="AB49" s="13" t="str">
        <v/>
      </c>
      <c r="AC49" t="str">
        <f t="shared" si="2"/>
        <v/>
      </c>
      <c r="AD49" t="str">
        <f>_xlfn.XLOOKUP(B:B,Disk_Pivot!G:G,Disk_Pivot!I:I)</f>
        <v>Yes</v>
      </c>
      <c r="AE49" t="str">
        <f>_xlfn.XLOOKUP(B49,Disk_Pivot!G:G,Disk_Pivot!N:N)</f>
        <v>Fail</v>
      </c>
    </row>
    <row r="50" spans="1:31">
      <c r="A50" t="str">
        <f>_xlfn.TEXTJOIN("",TRUE,_xlfn.XLOOKUP(B50,Input!J:J,Input!G:G,"",0,1),_xlfn.XLOOKUP(B50,Input!J:J,Input!H:H,"",0,1))</f>
        <v/>
      </c>
      <c r="C50" s="13">
        <f>_xlfn.XLOOKUP(B50,Input!J:J,Input!F:F)</f>
        <v>0</v>
      </c>
      <c r="D50">
        <f>_xlfn.XLOOKUP(C50,Models!H:H,Models!G:G,C50)</f>
        <v>0</v>
      </c>
      <c r="F50" t="str">
        <f>_xlfn.XLOOKUP(H50,Models!B:B,Models!F:F,"")</f>
        <v/>
      </c>
      <c r="G50">
        <f>_xlfn.XLOOKUP(B50,Input!J:J,Input!E:E)</f>
        <v>0</v>
      </c>
      <c r="H50">
        <f>IF(G50="LENOVO",_xlfn.XLOOKUP(B50,Input!J:J,Input!K:K),_xlfn.XLOOKUP(B50,Input!J:J,Input!L:L))</f>
        <v>0</v>
      </c>
      <c r="K50">
        <f>_xlfn.XLOOKUP(B50,CPU_Formula!A:A,CPU_Formula!I:I)</f>
        <v>0</v>
      </c>
      <c r="L50" s="13" t="e">
        <f>INDEX(Input!$D$2:$AC$500,
       MATCH(B50, Input!$J$2:$J$500, 0),
       MATCH("Memory Capacity", Input!$D$1:$AC$1, 0))</f>
        <v>#N/A</v>
      </c>
      <c r="M50" s="13" t="e">
        <f>INDEX(Input!$D$2:$AC$500,
       MATCH(B50, Input!$J$2:$J$500, 0),
       MATCH("Memory Type", Input!$D$1:$AC$1, 0))</f>
        <v>#N/A</v>
      </c>
      <c r="N50" s="13" t="e">
        <f t="shared" si="0"/>
        <v>#N/A</v>
      </c>
      <c r="O50" s="13" t="str" cm="1">
        <f t="array" ref="O50">IFERROR(_xlfn.FILTERXML("&lt;t&gt;&lt;s&gt;" &amp; SUBSTITUTE(M50," / ","&lt;/s&gt;&lt;s&gt;") &amp; "&lt;/s&gt;&lt;/t&gt;","(//s[contains(.,'DDR')])[1]"),"")</f>
        <v/>
      </c>
      <c r="P50" t="e">
        <f t="shared" si="1"/>
        <v>#N/A</v>
      </c>
      <c r="Q50" t="e">
        <f>INDEX(Input!$D$2:$AC$500,
       MATCH(B50, Input!$J$2:$J$500, 0),
       MATCH("Disk Capacity", Input!$D$1:$AC$1, 0))</f>
        <v>#N/A</v>
      </c>
      <c r="S50" s="13" t="str">
        <f>_xlfn.LET(_xlpm.Result,_xlfn.XLOOKUP(B50,Input!J:J,Input!AC:AC),IF(_xlpm.Result="","",_xlpm.Result))</f>
        <v/>
      </c>
      <c r="T50" s="13" t="str" cm="1">
        <f t="array" ref="T50">IFERROR(_xlfn.IFS(
   --S50&lt;55,"Battery Defect",
  -- S50&lt;=69,"Battery D",
  --S50&lt;=80,"Battery C",
 --S50&gt;80,""
),"")</f>
        <v/>
      </c>
      <c r="U50" s="13" t="str" cm="1">
        <f t="array" ref="U50:AB50">IFERROR(IF(_xlfn.XLOOKUP(B50,Input!J:J,Input!N:U)=0,"",
          _xlfn.XLOOKUP(B50,Input!J:J,Input!N:U)),"")</f>
        <v/>
      </c>
      <c r="V50" s="13" t="str">
        <v/>
      </c>
      <c r="W50" s="13" t="str">
        <v/>
      </c>
      <c r="X50" s="13" t="str">
        <v/>
      </c>
      <c r="Y50" s="13" t="str">
        <v/>
      </c>
      <c r="Z50" s="13" t="str">
        <v/>
      </c>
      <c r="AA50" s="13" t="str">
        <v/>
      </c>
      <c r="AB50" s="13" t="str">
        <v/>
      </c>
      <c r="AC50" t="str">
        <f t="shared" si="2"/>
        <v/>
      </c>
      <c r="AD50" t="str">
        <f>_xlfn.XLOOKUP(B:B,Disk_Pivot!G:G,Disk_Pivot!I:I)</f>
        <v>Yes</v>
      </c>
      <c r="AE50" t="str">
        <f>_xlfn.XLOOKUP(B50,Disk_Pivot!G:G,Disk_Pivot!N:N)</f>
        <v>Fail</v>
      </c>
    </row>
    <row r="51" spans="1:31">
      <c r="A51" t="str">
        <f>_xlfn.TEXTJOIN("",TRUE,_xlfn.XLOOKUP(B51,Input!J:J,Input!G:G,"",0,1),_xlfn.XLOOKUP(B51,Input!J:J,Input!H:H,"",0,1))</f>
        <v/>
      </c>
      <c r="C51" s="13">
        <f>_xlfn.XLOOKUP(B51,Input!J:J,Input!F:F)</f>
        <v>0</v>
      </c>
      <c r="D51">
        <f>_xlfn.XLOOKUP(C51,Models!H:H,Models!G:G,C51)</f>
        <v>0</v>
      </c>
      <c r="F51" t="str">
        <f>_xlfn.XLOOKUP(H51,Models!B:B,Models!F:F,"")</f>
        <v/>
      </c>
      <c r="G51">
        <f>_xlfn.XLOOKUP(B51,Input!J:J,Input!E:E)</f>
        <v>0</v>
      </c>
      <c r="H51">
        <f>IF(G51="LENOVO",_xlfn.XLOOKUP(B51,Input!J:J,Input!K:K),_xlfn.XLOOKUP(B51,Input!J:J,Input!L:L))</f>
        <v>0</v>
      </c>
      <c r="K51">
        <f>_xlfn.XLOOKUP(B51,CPU_Formula!A:A,CPU_Formula!I:I)</f>
        <v>0</v>
      </c>
      <c r="L51" s="13" t="e">
        <f>INDEX(Input!$D$2:$AC$500,
       MATCH(B51, Input!$J$2:$J$500, 0),
       MATCH("Memory Capacity", Input!$D$1:$AC$1, 0))</f>
        <v>#N/A</v>
      </c>
      <c r="M51" s="13" t="e">
        <f>INDEX(Input!$D$2:$AC$500,
       MATCH(B51, Input!$J$2:$J$500, 0),
       MATCH("Memory Type", Input!$D$1:$AC$1, 0))</f>
        <v>#N/A</v>
      </c>
      <c r="N51" s="13" t="e">
        <f t="shared" si="0"/>
        <v>#N/A</v>
      </c>
      <c r="O51" s="13" t="str" cm="1">
        <f t="array" ref="O51">IFERROR(_xlfn.FILTERXML("&lt;t&gt;&lt;s&gt;" &amp; SUBSTITUTE(M51," / ","&lt;/s&gt;&lt;s&gt;") &amp; "&lt;/s&gt;&lt;/t&gt;","(//s[contains(.,'DDR')])[1]"),"")</f>
        <v/>
      </c>
      <c r="P51" t="e">
        <f t="shared" si="1"/>
        <v>#N/A</v>
      </c>
      <c r="Q51" t="e">
        <f>INDEX(Input!$D$2:$AC$500,
       MATCH(B51, Input!$J$2:$J$500, 0),
       MATCH("Disk Capacity", Input!$D$1:$AC$1, 0))</f>
        <v>#N/A</v>
      </c>
      <c r="S51" s="13" t="str">
        <f>_xlfn.LET(_xlpm.Result,_xlfn.XLOOKUP(B51,Input!J:J,Input!AC:AC),IF(_xlpm.Result="","",_xlpm.Result))</f>
        <v/>
      </c>
      <c r="T51" s="13" t="str" cm="1">
        <f t="array" ref="T51">IFERROR(_xlfn.IFS(
   --S51&lt;55,"Battery Defect",
  -- S51&lt;=69,"Battery D",
  --S51&lt;=80,"Battery C",
 --S51&gt;80,""
),"")</f>
        <v/>
      </c>
      <c r="U51" s="13" t="str" cm="1">
        <f t="array" ref="U51:AB51">IFERROR(IF(_xlfn.XLOOKUP(B51,Input!J:J,Input!N:U)=0,"",
          _xlfn.XLOOKUP(B51,Input!J:J,Input!N:U)),"")</f>
        <v/>
      </c>
      <c r="V51" s="13" t="str">
        <v/>
      </c>
      <c r="W51" s="13" t="str">
        <v/>
      </c>
      <c r="X51" s="13" t="str">
        <v/>
      </c>
      <c r="Y51" s="13" t="str">
        <v/>
      </c>
      <c r="Z51" s="13" t="str">
        <v/>
      </c>
      <c r="AA51" s="13" t="str">
        <v/>
      </c>
      <c r="AB51" s="13" t="str">
        <v/>
      </c>
      <c r="AC51" t="str">
        <f t="shared" si="2"/>
        <v/>
      </c>
      <c r="AD51" t="str">
        <f>_xlfn.XLOOKUP(B:B,Disk_Pivot!G:G,Disk_Pivot!I:I)</f>
        <v>Yes</v>
      </c>
      <c r="AE51" t="str">
        <f>_xlfn.XLOOKUP(B51,Disk_Pivot!G:G,Disk_Pivot!N:N)</f>
        <v>Fail</v>
      </c>
    </row>
    <row r="52" spans="1:31">
      <c r="A52" t="str">
        <f>_xlfn.TEXTJOIN("",TRUE,_xlfn.XLOOKUP(B52,Input!J:J,Input!G:G,"",0,1),_xlfn.XLOOKUP(B52,Input!J:J,Input!H:H,"",0,1))</f>
        <v/>
      </c>
      <c r="C52" s="13">
        <f>_xlfn.XLOOKUP(B52,Input!J:J,Input!F:F)</f>
        <v>0</v>
      </c>
      <c r="D52">
        <f>_xlfn.XLOOKUP(C52,Models!H:H,Models!G:G,C52)</f>
        <v>0</v>
      </c>
      <c r="F52" t="str">
        <f>_xlfn.XLOOKUP(H52,Models!B:B,Models!F:F,"")</f>
        <v/>
      </c>
      <c r="G52">
        <f>_xlfn.XLOOKUP(B52,Input!J:J,Input!E:E)</f>
        <v>0</v>
      </c>
      <c r="H52">
        <f>IF(G52="LENOVO",_xlfn.XLOOKUP(B52,Input!J:J,Input!K:K),_xlfn.XLOOKUP(B52,Input!J:J,Input!L:L))</f>
        <v>0</v>
      </c>
      <c r="K52">
        <f>_xlfn.XLOOKUP(B52,CPU_Formula!A:A,CPU_Formula!I:I)</f>
        <v>0</v>
      </c>
      <c r="L52" s="13" t="e">
        <f>INDEX(Input!$D$2:$AC$500,
       MATCH(B52, Input!$J$2:$J$500, 0),
       MATCH("Memory Capacity", Input!$D$1:$AC$1, 0))</f>
        <v>#N/A</v>
      </c>
      <c r="M52" s="13" t="e">
        <f>INDEX(Input!$D$2:$AC$500,
       MATCH(B52, Input!$J$2:$J$500, 0),
       MATCH("Memory Type", Input!$D$1:$AC$1, 0))</f>
        <v>#N/A</v>
      </c>
      <c r="N52" s="13" t="e">
        <f t="shared" si="0"/>
        <v>#N/A</v>
      </c>
      <c r="O52" s="13" t="str" cm="1">
        <f t="array" ref="O52">IFERROR(_xlfn.FILTERXML("&lt;t&gt;&lt;s&gt;" &amp; SUBSTITUTE(M52," / ","&lt;/s&gt;&lt;s&gt;") &amp; "&lt;/s&gt;&lt;/t&gt;","(//s[contains(.,'DDR')])[1]"),"")</f>
        <v/>
      </c>
      <c r="P52" t="e">
        <f t="shared" si="1"/>
        <v>#N/A</v>
      </c>
      <c r="Q52" t="e">
        <f>INDEX(Input!$D$2:$AC$500,
       MATCH(B52, Input!$J$2:$J$500, 0),
       MATCH("Disk Capacity", Input!$D$1:$AC$1, 0))</f>
        <v>#N/A</v>
      </c>
      <c r="S52" s="13" t="str">
        <f>_xlfn.LET(_xlpm.Result,_xlfn.XLOOKUP(B52,Input!J:J,Input!AA:AA),IF(_xlpm.Result="","",_xlpm.Result))</f>
        <v/>
      </c>
      <c r="T52" s="13" t="str" cm="1">
        <f t="array" ref="T52">IFERROR(_xlfn.IFS(
   --S52&lt;55,"Battery Defect",
  -- S52&lt;=69,"Battery D",
  --S52&lt;=80,"Battery C",
 --S52&gt;80,""
),"")</f>
        <v/>
      </c>
      <c r="U52" s="13" t="str" cm="1">
        <f t="array" ref="U52:AB52">IFERROR(IF(_xlfn.XLOOKUP(B52,Input!J:J,Input!N:U)=0,"",
          _xlfn.XLOOKUP(B52,Input!J:J,Input!N:U)),"")</f>
        <v/>
      </c>
      <c r="V52" s="13" t="str">
        <v/>
      </c>
      <c r="W52" s="13" t="str">
        <v/>
      </c>
      <c r="X52" s="13" t="str">
        <v/>
      </c>
      <c r="Y52" s="13" t="str">
        <v/>
      </c>
      <c r="Z52" s="13" t="str">
        <v/>
      </c>
      <c r="AA52" s="13" t="str">
        <v/>
      </c>
      <c r="AB52" s="13" t="str">
        <v/>
      </c>
      <c r="AC52" t="str">
        <f t="shared" si="2"/>
        <v/>
      </c>
      <c r="AD52" t="str">
        <f>_xlfn.XLOOKUP(B:B,Disk_Pivot!G:G,Disk_Pivot!I:I)</f>
        <v>Yes</v>
      </c>
      <c r="AE52" t="str">
        <f>_xlfn.XLOOKUP(B52,Disk_Pivot!G:G,Disk_Pivot!N:N)</f>
        <v>Fail</v>
      </c>
    </row>
    <row r="53" spans="1:31">
      <c r="A53" t="str">
        <f>_xlfn.TEXTJOIN("",TRUE,_xlfn.XLOOKUP(B53,Input!J:J,Input!G:G,"",0,1),_xlfn.XLOOKUP(B53,Input!J:J,Input!H:H,"",0,1))</f>
        <v/>
      </c>
      <c r="C53" s="13">
        <f>_xlfn.XLOOKUP(B53,Input!J:J,Input!F:F)</f>
        <v>0</v>
      </c>
      <c r="D53">
        <f>_xlfn.XLOOKUP(C53,Models!H:H,Models!G:G,C53)</f>
        <v>0</v>
      </c>
      <c r="F53" t="str">
        <f>_xlfn.XLOOKUP(H53,Models!B:B,Models!F:F,"")</f>
        <v/>
      </c>
      <c r="G53">
        <f>_xlfn.XLOOKUP(B53,Input!J:J,Input!E:E)</f>
        <v>0</v>
      </c>
      <c r="H53">
        <f>IF(G53="LENOVO",_xlfn.XLOOKUP(B53,Input!J:J,Input!K:K),_xlfn.XLOOKUP(B53,Input!J:J,Input!L:L))</f>
        <v>0</v>
      </c>
      <c r="K53">
        <f>_xlfn.XLOOKUP(B53,CPU_Formula!A:A,CPU_Formula!I:I)</f>
        <v>0</v>
      </c>
      <c r="L53" s="13" t="e">
        <f>INDEX(Input!$D$2:$AC$500,
       MATCH(B53, Input!$J$2:$J$500, 0),
       MATCH("Memory Capacity", Input!$D$1:$AC$1, 0))</f>
        <v>#N/A</v>
      </c>
      <c r="M53" s="13" t="e">
        <f>INDEX(Input!$D$2:$AC$500,
       MATCH(B53, Input!$J$2:$J$500, 0),
       MATCH("Memory Type", Input!$D$1:$AC$1, 0))</f>
        <v>#N/A</v>
      </c>
      <c r="N53" s="13" t="e">
        <f t="shared" si="0"/>
        <v>#N/A</v>
      </c>
      <c r="O53" s="13" t="str" cm="1">
        <f t="array" ref="O53">IFERROR(_xlfn.FILTERXML("&lt;t&gt;&lt;s&gt;" &amp; SUBSTITUTE(M53," / ","&lt;/s&gt;&lt;s&gt;") &amp; "&lt;/s&gt;&lt;/t&gt;","(//s[contains(.,'DDR')])[1]"),"")</f>
        <v/>
      </c>
      <c r="P53" t="e">
        <f t="shared" si="1"/>
        <v>#N/A</v>
      </c>
      <c r="Q53" t="e">
        <f>INDEX(Input!$D$2:$AC$500,
       MATCH(B53, Input!$J$2:$J$500, 0),
       MATCH("Disk Capacity", Input!$D$1:$AC$1, 0))</f>
        <v>#N/A</v>
      </c>
      <c r="S53" s="13" t="str">
        <f>_xlfn.LET(_xlpm.Result,_xlfn.XLOOKUP(B53,Input!J:J,Input!AA:AA),IF(_xlpm.Result="","",_xlpm.Result))</f>
        <v/>
      </c>
      <c r="T53" s="13" t="str" cm="1">
        <f t="array" ref="T53">IFERROR(_xlfn.IFS(
   --S53&lt;55,"Battery Defect",
  -- S53&lt;=69,"Battery D",
  --S53&lt;=80,"Battery C",
 --S53&gt;80,""
),"")</f>
        <v/>
      </c>
      <c r="U53" s="13" t="str" cm="1">
        <f t="array" ref="U53:AB53">IFERROR(IF(_xlfn.XLOOKUP(B53,Input!J:J,Input!N:U)=0,"",
          _xlfn.XLOOKUP(B53,Input!J:J,Input!N:U)),"")</f>
        <v/>
      </c>
      <c r="V53" s="13" t="str">
        <v/>
      </c>
      <c r="W53" s="13" t="str">
        <v/>
      </c>
      <c r="X53" s="13" t="str">
        <v/>
      </c>
      <c r="Y53" s="13" t="str">
        <v/>
      </c>
      <c r="Z53" s="13" t="str">
        <v/>
      </c>
      <c r="AA53" s="13" t="str">
        <v/>
      </c>
      <c r="AB53" s="13" t="str">
        <v/>
      </c>
      <c r="AC53" t="str">
        <f t="shared" si="2"/>
        <v/>
      </c>
      <c r="AD53" t="str">
        <f>_xlfn.XLOOKUP(B:B,Disk_Pivot!G:G,Disk_Pivot!I:I)</f>
        <v>Yes</v>
      </c>
      <c r="AE53" t="str">
        <f>_xlfn.XLOOKUP(B53,Disk_Pivot!G:G,Disk_Pivot!N:N)</f>
        <v>Fail</v>
      </c>
    </row>
    <row r="54" spans="1:31">
      <c r="A54" t="str">
        <f>_xlfn.TEXTJOIN("",TRUE,_xlfn.XLOOKUP(B54,Input!J:J,Input!G:G,"",0,1),_xlfn.XLOOKUP(B54,Input!J:J,Input!H:H,"",0,1))</f>
        <v/>
      </c>
      <c r="C54" s="13">
        <f>_xlfn.XLOOKUP(B54,Input!J:J,Input!F:F)</f>
        <v>0</v>
      </c>
      <c r="D54">
        <f>_xlfn.XLOOKUP(C54,Models!H:H,Models!G:G,C54)</f>
        <v>0</v>
      </c>
      <c r="F54" t="str">
        <f>_xlfn.XLOOKUP(H54,Models!B:B,Models!F:F,"")</f>
        <v/>
      </c>
      <c r="G54">
        <f>_xlfn.XLOOKUP(B54,Input!J:J,Input!E:E)</f>
        <v>0</v>
      </c>
      <c r="H54">
        <f>IF(G54="LENOVO",_xlfn.XLOOKUP(B54,Input!J:J,Input!K:K),_xlfn.XLOOKUP(B54,Input!J:J,Input!L:L))</f>
        <v>0</v>
      </c>
      <c r="K54">
        <f>_xlfn.XLOOKUP(B54,CPU_Formula!A:A,CPU_Formula!I:I)</f>
        <v>0</v>
      </c>
      <c r="L54" s="13" t="e">
        <f>INDEX(Input!$D$2:$AC$500,
       MATCH(B54, Input!$J$2:$J$500, 0),
       MATCH("Memory Capacity", Input!$D$1:$AC$1, 0))</f>
        <v>#N/A</v>
      </c>
      <c r="M54" s="13" t="e">
        <f>INDEX(Input!$D$2:$AC$500,
       MATCH(B54, Input!$J$2:$J$500, 0),
       MATCH("Memory Type", Input!$D$1:$AC$1, 0))</f>
        <v>#N/A</v>
      </c>
      <c r="N54" s="13" t="e">
        <f t="shared" si="0"/>
        <v>#N/A</v>
      </c>
      <c r="O54" s="13" t="str" cm="1">
        <f t="array" ref="O54">IFERROR(_xlfn.FILTERXML("&lt;t&gt;&lt;s&gt;" &amp; SUBSTITUTE(M54," / ","&lt;/s&gt;&lt;s&gt;") &amp; "&lt;/s&gt;&lt;/t&gt;","(//s[contains(.,'DDR')])[1]"),"")</f>
        <v/>
      </c>
      <c r="P54" t="e">
        <f t="shared" si="1"/>
        <v>#N/A</v>
      </c>
      <c r="Q54" t="e">
        <f>INDEX(Input!$D$2:$AC$500,
       MATCH(B54, Input!$J$2:$J$500, 0),
       MATCH("Disk Capacity", Input!$D$1:$AC$1, 0))</f>
        <v>#N/A</v>
      </c>
      <c r="S54" s="13" t="str">
        <f>_xlfn.LET(_xlpm.Result,_xlfn.XLOOKUP(B54,Input!J:J,Input!AA:AA),IF(_xlpm.Result="","",_xlpm.Result))</f>
        <v/>
      </c>
      <c r="T54" s="13" t="str" cm="1">
        <f t="array" ref="T54">IFERROR(_xlfn.IFS(
   --S54&lt;55,"Battery Defect",
  -- S54&lt;=69,"Battery D",
  --S54&lt;=80,"Battery C",
 --S54&gt;80,""
),"")</f>
        <v/>
      </c>
      <c r="U54" s="13" t="str" cm="1">
        <f t="array" ref="U54:AB54">IFERROR(IF(_xlfn.XLOOKUP(B54,Input!J:J,Input!N:U)=0,"",
          _xlfn.XLOOKUP(B54,Input!J:J,Input!N:U)),"")</f>
        <v/>
      </c>
      <c r="V54" s="13" t="str">
        <v/>
      </c>
      <c r="W54" s="13" t="str">
        <v/>
      </c>
      <c r="X54" s="13" t="str">
        <v/>
      </c>
      <c r="Y54" s="13" t="str">
        <v/>
      </c>
      <c r="Z54" s="13" t="str">
        <v/>
      </c>
      <c r="AA54" s="13" t="str">
        <v/>
      </c>
      <c r="AB54" s="13" t="str">
        <v/>
      </c>
      <c r="AC54" t="str">
        <f t="shared" si="2"/>
        <v/>
      </c>
      <c r="AD54" t="str">
        <f>_xlfn.XLOOKUP(B:B,Disk_Pivot!G:G,Disk_Pivot!I:I)</f>
        <v>Yes</v>
      </c>
      <c r="AE54" t="str">
        <f>_xlfn.XLOOKUP(B54,Disk_Pivot!G:G,Disk_Pivot!N:N)</f>
        <v>Fail</v>
      </c>
    </row>
    <row r="55" spans="1:31">
      <c r="A55" t="str">
        <f>_xlfn.TEXTJOIN("",TRUE,_xlfn.XLOOKUP(B55,Input!J:J,Input!G:G,"",0,1),_xlfn.XLOOKUP(B55,Input!J:J,Input!H:H,"",0,1))</f>
        <v/>
      </c>
      <c r="C55" s="13">
        <f>_xlfn.XLOOKUP(B55,Input!J:J,Input!F:F)</f>
        <v>0</v>
      </c>
      <c r="D55">
        <f>_xlfn.XLOOKUP(C55,Models!H:H,Models!G:G,C55)</f>
        <v>0</v>
      </c>
      <c r="F55" t="str">
        <f>_xlfn.XLOOKUP(H55,Models!B:B,Models!F:F,"")</f>
        <v/>
      </c>
      <c r="G55">
        <f>_xlfn.XLOOKUP(B55,Input!J:J,Input!E:E)</f>
        <v>0</v>
      </c>
      <c r="H55">
        <f>IF(G55="LENOVO",_xlfn.XLOOKUP(B55,Input!J:J,Input!K:K),_xlfn.XLOOKUP(B55,Input!J:J,Input!L:L))</f>
        <v>0</v>
      </c>
      <c r="K55">
        <f>_xlfn.XLOOKUP(B55,CPU_Formula!A:A,CPU_Formula!I:I)</f>
        <v>0</v>
      </c>
      <c r="L55" s="13" t="e">
        <f>INDEX(Input!$D$2:$AC$500,
       MATCH(B55, Input!$J$2:$J$500, 0),
       MATCH("Memory Capacity", Input!$D$1:$AC$1, 0))</f>
        <v>#N/A</v>
      </c>
      <c r="M55" s="13" t="e">
        <f>INDEX(Input!$D$2:$AC$500,
       MATCH(B55, Input!$J$2:$J$500, 0),
       MATCH("Memory Type", Input!$D$1:$AC$1, 0))</f>
        <v>#N/A</v>
      </c>
      <c r="N55" s="13" t="e">
        <f t="shared" si="0"/>
        <v>#N/A</v>
      </c>
      <c r="O55" s="13" t="str" cm="1">
        <f t="array" ref="O55">IFERROR(_xlfn.FILTERXML("&lt;t&gt;&lt;s&gt;" &amp; SUBSTITUTE(M55," / ","&lt;/s&gt;&lt;s&gt;") &amp; "&lt;/s&gt;&lt;/t&gt;","(//s[contains(.,'DDR')])[1]"),"")</f>
        <v/>
      </c>
      <c r="P55" t="e">
        <f t="shared" si="1"/>
        <v>#N/A</v>
      </c>
      <c r="Q55" t="e">
        <f>INDEX(Input!$D$2:$AC$500,
       MATCH(B55, Input!$J$2:$J$500, 0),
       MATCH("Disk Capacity", Input!$D$1:$AC$1, 0))</f>
        <v>#N/A</v>
      </c>
      <c r="S55" s="13" t="str">
        <f>_xlfn.LET(_xlpm.Result,_xlfn.XLOOKUP(B55,Input!J:J,Input!AA:AA),IF(_xlpm.Result="","",_xlpm.Result))</f>
        <v/>
      </c>
      <c r="T55" s="13" t="str" cm="1">
        <f t="array" ref="T55">IFERROR(_xlfn.IFS(
   --S55&lt;55,"Battery Defect",
  -- S55&lt;=69,"Battery D",
  --S55&lt;=80,"Battery C",
 --S55&gt;80,""
),"")</f>
        <v/>
      </c>
      <c r="U55" s="13" t="str" cm="1">
        <f t="array" ref="U55:AB55">IFERROR(IF(_xlfn.XLOOKUP(B55,Input!J:J,Input!N:U)=0,"",
          _xlfn.XLOOKUP(B55,Input!J:J,Input!N:U)),"")</f>
        <v/>
      </c>
      <c r="V55" s="13" t="str">
        <v/>
      </c>
      <c r="W55" s="13" t="str">
        <v/>
      </c>
      <c r="X55" s="13" t="str">
        <v/>
      </c>
      <c r="Y55" s="13" t="str">
        <v/>
      </c>
      <c r="Z55" s="13" t="str">
        <v/>
      </c>
      <c r="AA55" s="13" t="str">
        <v/>
      </c>
      <c r="AB55" s="13" t="str">
        <v/>
      </c>
      <c r="AC55" t="str">
        <f t="shared" si="2"/>
        <v/>
      </c>
      <c r="AD55" t="str">
        <f>_xlfn.XLOOKUP(B:B,Disk_Pivot!G:G,Disk_Pivot!I:I)</f>
        <v>Yes</v>
      </c>
      <c r="AE55" t="str">
        <f>_xlfn.XLOOKUP(B55,Disk_Pivot!G:G,Disk_Pivot!N:N)</f>
        <v>Fail</v>
      </c>
    </row>
    <row r="56" spans="1:31">
      <c r="A56" t="str">
        <f>_xlfn.TEXTJOIN("",TRUE,_xlfn.XLOOKUP(B56,Input!J:J,Input!G:G,"",0,1),_xlfn.XLOOKUP(B56,Input!J:J,Input!H:H,"",0,1))</f>
        <v/>
      </c>
      <c r="C56" s="13">
        <f>_xlfn.XLOOKUP(B56,Input!J:J,Input!F:F)</f>
        <v>0</v>
      </c>
      <c r="D56">
        <f>_xlfn.XLOOKUP(C56,Models!H:H,Models!G:G,C56)</f>
        <v>0</v>
      </c>
      <c r="F56" t="str">
        <f>_xlfn.XLOOKUP(H56,Models!B:B,Models!F:F,"")</f>
        <v/>
      </c>
      <c r="G56">
        <f>_xlfn.XLOOKUP(B56,Input!J:J,Input!E:E)</f>
        <v>0</v>
      </c>
      <c r="H56">
        <f>IF(G56="LENOVO",_xlfn.XLOOKUP(B56,Input!J:J,Input!K:K),_xlfn.XLOOKUP(B56,Input!J:J,Input!L:L))</f>
        <v>0</v>
      </c>
      <c r="K56">
        <f>_xlfn.XLOOKUP(B56,CPU_Formula!A:A,CPU_Formula!I:I)</f>
        <v>0</v>
      </c>
      <c r="L56" s="13" t="e">
        <f>INDEX(Input!$D$2:$AC$500,
       MATCH(B56, Input!$J$2:$J$500, 0),
       MATCH("Memory Capacity", Input!$D$1:$AC$1, 0))</f>
        <v>#N/A</v>
      </c>
      <c r="M56" s="13" t="e">
        <f>INDEX(Input!$D$2:$AC$500,
       MATCH(B56, Input!$J$2:$J$500, 0),
       MATCH("Memory Type", Input!$D$1:$AC$1, 0))</f>
        <v>#N/A</v>
      </c>
      <c r="N56" s="13" t="e">
        <f t="shared" si="0"/>
        <v>#N/A</v>
      </c>
      <c r="O56" s="13" t="str" cm="1">
        <f t="array" ref="O56">IFERROR(_xlfn.FILTERXML("&lt;t&gt;&lt;s&gt;" &amp; SUBSTITUTE(M56," / ","&lt;/s&gt;&lt;s&gt;") &amp; "&lt;/s&gt;&lt;/t&gt;","(//s[contains(.,'DDR')])[1]"),"")</f>
        <v/>
      </c>
      <c r="P56" t="e">
        <f t="shared" si="1"/>
        <v>#N/A</v>
      </c>
      <c r="Q56" t="e">
        <f>INDEX(Input!$D$2:$AC$500,
       MATCH(B56, Input!$J$2:$J$500, 0),
       MATCH("Disk Capacity", Input!$D$1:$AC$1, 0))</f>
        <v>#N/A</v>
      </c>
      <c r="S56" s="13" t="str">
        <f>_xlfn.LET(_xlpm.Result,_xlfn.XLOOKUP(B56,Input!J:J,Input!AA:AA),IF(_xlpm.Result="","",_xlpm.Result))</f>
        <v/>
      </c>
      <c r="T56" s="13" t="str" cm="1">
        <f t="array" ref="T56">IFERROR(_xlfn.IFS(
   --S56&lt;55,"Battery Defect",
  -- S56&lt;=69,"Battery D",
  --S56&lt;=80,"Battery C",
 --S56&gt;80,""
),"")</f>
        <v/>
      </c>
      <c r="U56" s="13" t="str" cm="1">
        <f t="array" ref="U56:AB56">IFERROR(IF(_xlfn.XLOOKUP(B56,Input!J:J,Input!N:U)=0,"",
          _xlfn.XLOOKUP(B56,Input!J:J,Input!N:U)),"")</f>
        <v/>
      </c>
      <c r="V56" s="13" t="str">
        <v/>
      </c>
      <c r="W56" s="13" t="str">
        <v/>
      </c>
      <c r="X56" s="13" t="str">
        <v/>
      </c>
      <c r="Y56" s="13" t="str">
        <v/>
      </c>
      <c r="Z56" s="13" t="str">
        <v/>
      </c>
      <c r="AA56" s="13" t="str">
        <v/>
      </c>
      <c r="AB56" s="13" t="str">
        <v/>
      </c>
      <c r="AC56" t="str">
        <f t="shared" si="2"/>
        <v/>
      </c>
      <c r="AD56" t="str">
        <f>_xlfn.XLOOKUP(B:B,Disk_Pivot!G:G,Disk_Pivot!I:I)</f>
        <v>Yes</v>
      </c>
      <c r="AE56" t="str">
        <f>_xlfn.XLOOKUP(B56,Disk_Pivot!G:G,Disk_Pivot!N:N)</f>
        <v>Fail</v>
      </c>
    </row>
    <row r="57" spans="1:31">
      <c r="A57" t="str">
        <f>_xlfn.TEXTJOIN("",TRUE,_xlfn.XLOOKUP(B57,Input!J:J,Input!G:G,"",0,1),_xlfn.XLOOKUP(B57,Input!J:J,Input!H:H,"",0,1))</f>
        <v/>
      </c>
      <c r="C57" s="13">
        <f>_xlfn.XLOOKUP(B57,Input!J:J,Input!F:F)</f>
        <v>0</v>
      </c>
      <c r="D57">
        <f>_xlfn.XLOOKUP(C57,Models!H:H,Models!G:G,C57)</f>
        <v>0</v>
      </c>
      <c r="F57" t="str">
        <f>_xlfn.XLOOKUP(H57,Models!B:B,Models!F:F,"")</f>
        <v/>
      </c>
      <c r="G57">
        <f>_xlfn.XLOOKUP(B57,Input!J:J,Input!E:E)</f>
        <v>0</v>
      </c>
      <c r="H57">
        <f>IF(G57="LENOVO",_xlfn.XLOOKUP(B57,Input!J:J,Input!K:K),_xlfn.XLOOKUP(B57,Input!J:J,Input!L:L))</f>
        <v>0</v>
      </c>
      <c r="K57">
        <f>_xlfn.XLOOKUP(B57,CPU_Formula!A:A,CPU_Formula!I:I)</f>
        <v>0</v>
      </c>
      <c r="L57" s="13" t="e">
        <f>INDEX(Input!$D$2:$AC$500,
       MATCH(B57, Input!$J$2:$J$500, 0),
       MATCH("Memory Capacity", Input!$D$1:$AC$1, 0))</f>
        <v>#N/A</v>
      </c>
      <c r="M57" s="13" t="e">
        <f>INDEX(Input!$D$2:$AC$500,
       MATCH(B57, Input!$J$2:$J$500, 0),
       MATCH("Memory Type", Input!$D$1:$AC$1, 0))</f>
        <v>#N/A</v>
      </c>
      <c r="N57" s="13" t="e">
        <f t="shared" si="0"/>
        <v>#N/A</v>
      </c>
      <c r="O57" s="13" t="str" cm="1">
        <f t="array" ref="O57">IFERROR(_xlfn.FILTERXML("&lt;t&gt;&lt;s&gt;" &amp; SUBSTITUTE(M57," / ","&lt;/s&gt;&lt;s&gt;") &amp; "&lt;/s&gt;&lt;/t&gt;","(//s[contains(.,'DDR')])[1]"),"")</f>
        <v/>
      </c>
      <c r="P57" t="e">
        <f t="shared" si="1"/>
        <v>#N/A</v>
      </c>
      <c r="Q57" t="e">
        <f>INDEX(Input!$D$2:$AC$500,
       MATCH(B57, Input!$J$2:$J$500, 0),
       MATCH("Disk Capacity", Input!$D$1:$AC$1, 0))</f>
        <v>#N/A</v>
      </c>
      <c r="S57" s="13" t="str">
        <f>_xlfn.LET(_xlpm.Result,_xlfn.XLOOKUP(B57,Input!J:J,Input!AA:AA),IF(_xlpm.Result="","",_xlpm.Result))</f>
        <v/>
      </c>
      <c r="T57" s="13" t="str" cm="1">
        <f t="array" ref="T57">IFERROR(_xlfn.IFS(
   --S57&lt;55,"Battery Defect",
  -- S57&lt;=69,"Battery D",
  --S57&lt;=80,"Battery C",
 --S57&gt;80,""
),"")</f>
        <v/>
      </c>
      <c r="U57" s="13" t="str" cm="1">
        <f t="array" ref="U57:AB57">IFERROR(IF(_xlfn.XLOOKUP(B57,Input!J:J,Input!N:U)=0,"",
          _xlfn.XLOOKUP(B57,Input!J:J,Input!N:U)),"")</f>
        <v/>
      </c>
      <c r="V57" s="13" t="str">
        <v/>
      </c>
      <c r="W57" s="13" t="str">
        <v/>
      </c>
      <c r="X57" s="13" t="str">
        <v/>
      </c>
      <c r="Y57" s="13" t="str">
        <v/>
      </c>
      <c r="Z57" s="13" t="str">
        <v/>
      </c>
      <c r="AA57" s="13" t="str">
        <v/>
      </c>
      <c r="AB57" s="13" t="str">
        <v/>
      </c>
      <c r="AC57" t="str">
        <f t="shared" si="2"/>
        <v/>
      </c>
      <c r="AD57" t="str">
        <f>_xlfn.XLOOKUP(B:B,Disk_Pivot!G:G,Disk_Pivot!I:I)</f>
        <v>Yes</v>
      </c>
      <c r="AE57" t="str">
        <f>_xlfn.XLOOKUP(B57,Disk_Pivot!G:G,Disk_Pivot!N:N)</f>
        <v>Fail</v>
      </c>
    </row>
    <row r="58" spans="1:31">
      <c r="A58" t="str">
        <f>_xlfn.TEXTJOIN("",TRUE,_xlfn.XLOOKUP(B58,Input!J:J,Input!G:G,"",0,1),_xlfn.XLOOKUP(B58,Input!J:J,Input!H:H,"",0,1))</f>
        <v/>
      </c>
      <c r="C58" s="13">
        <f>_xlfn.XLOOKUP(B58,Input!J:J,Input!F:F)</f>
        <v>0</v>
      </c>
      <c r="D58">
        <f>_xlfn.XLOOKUP(C58,Models!H:H,Models!G:G,C58)</f>
        <v>0</v>
      </c>
      <c r="F58" t="str">
        <f>_xlfn.XLOOKUP(H58,Models!B:B,Models!F:F,"")</f>
        <v/>
      </c>
      <c r="G58">
        <f>_xlfn.XLOOKUP(B58,Input!J:J,Input!E:E)</f>
        <v>0</v>
      </c>
      <c r="H58">
        <f>IF(G58="LENOVO",_xlfn.XLOOKUP(B58,Input!J:J,Input!K:K),_xlfn.XLOOKUP(B58,Input!J:J,Input!L:L))</f>
        <v>0</v>
      </c>
      <c r="K58">
        <f>_xlfn.XLOOKUP(B58,CPU_Formula!A:A,CPU_Formula!I:I)</f>
        <v>0</v>
      </c>
      <c r="L58" s="13" t="e">
        <f>INDEX(Input!$D$2:$AC$500,
       MATCH(B58, Input!$J$2:$J$500, 0),
       MATCH("Memory Capacity", Input!$D$1:$AC$1, 0))</f>
        <v>#N/A</v>
      </c>
      <c r="M58" s="13" t="e">
        <f>INDEX(Input!$D$2:$AC$500,
       MATCH(B58, Input!$J$2:$J$500, 0),
       MATCH("Memory Type", Input!$D$1:$AC$1, 0))</f>
        <v>#N/A</v>
      </c>
      <c r="N58" s="13" t="e">
        <f t="shared" si="0"/>
        <v>#N/A</v>
      </c>
      <c r="O58" s="13" t="str" cm="1">
        <f t="array" ref="O58">IFERROR(_xlfn.FILTERXML("&lt;t&gt;&lt;s&gt;" &amp; SUBSTITUTE(M58," / ","&lt;/s&gt;&lt;s&gt;") &amp; "&lt;/s&gt;&lt;/t&gt;","(//s[contains(.,'DDR')])[1]"),"")</f>
        <v/>
      </c>
      <c r="P58" t="e">
        <f t="shared" si="1"/>
        <v>#N/A</v>
      </c>
      <c r="Q58" t="e">
        <f>INDEX(Input!$D$2:$AC$500,
       MATCH(B58, Input!$J$2:$J$500, 0),
       MATCH("Disk Capacity", Input!$D$1:$AC$1, 0))</f>
        <v>#N/A</v>
      </c>
      <c r="S58" s="13" t="str">
        <f>_xlfn.LET(_xlpm.Result,_xlfn.XLOOKUP(B58,Input!J:J,Input!AA:AA),IF(_xlpm.Result="","",_xlpm.Result))</f>
        <v/>
      </c>
      <c r="T58" s="13" t="str" cm="1">
        <f t="array" ref="T58">IFERROR(_xlfn.IFS(
   --S58&lt;55,"Battery Defect",
  -- S58&lt;=69,"Battery D",
  --S58&lt;=80,"Battery C",
 --S58&gt;80,""
),"")</f>
        <v/>
      </c>
      <c r="U58" s="13" t="str" cm="1">
        <f t="array" ref="U58:AB58">IFERROR(IF(_xlfn.XLOOKUP(B58,Input!J:J,Input!N:U)=0,"",
          _xlfn.XLOOKUP(B58,Input!J:J,Input!N:U)),"")</f>
        <v/>
      </c>
      <c r="V58" s="13" t="str">
        <v/>
      </c>
      <c r="W58" s="13" t="str">
        <v/>
      </c>
      <c r="X58" s="13" t="str">
        <v/>
      </c>
      <c r="Y58" s="13" t="str">
        <v/>
      </c>
      <c r="Z58" s="13" t="str">
        <v/>
      </c>
      <c r="AA58" s="13" t="str">
        <v/>
      </c>
      <c r="AB58" s="13" t="str">
        <v/>
      </c>
      <c r="AC58" t="str">
        <f t="shared" si="2"/>
        <v/>
      </c>
      <c r="AD58" t="str">
        <f>_xlfn.XLOOKUP(B:B,Disk_Pivot!G:G,Disk_Pivot!I:I)</f>
        <v>Yes</v>
      </c>
      <c r="AE58" t="str">
        <f>_xlfn.XLOOKUP(B58,Disk_Pivot!G:G,Disk_Pivot!N:N)</f>
        <v>Fail</v>
      </c>
    </row>
    <row r="59" spans="1:31">
      <c r="A59" t="str">
        <f>_xlfn.TEXTJOIN("",TRUE,_xlfn.XLOOKUP(B59,Input!J:J,Input!G:G,"",0,1),_xlfn.XLOOKUP(B59,Input!J:J,Input!H:H,"",0,1))</f>
        <v/>
      </c>
      <c r="C59" s="13">
        <f>_xlfn.XLOOKUP(B59,Input!J:J,Input!F:F)</f>
        <v>0</v>
      </c>
      <c r="D59">
        <f>_xlfn.XLOOKUP(C59,Models!H:H,Models!G:G,C59)</f>
        <v>0</v>
      </c>
      <c r="F59" t="str">
        <f>_xlfn.XLOOKUP(H59,Models!B:B,Models!F:F,"")</f>
        <v/>
      </c>
      <c r="G59">
        <f>_xlfn.XLOOKUP(B59,Input!J:J,Input!E:E)</f>
        <v>0</v>
      </c>
      <c r="H59">
        <f>IF(G59="LENOVO",_xlfn.XLOOKUP(B59,Input!J:J,Input!K:K),_xlfn.XLOOKUP(B59,Input!J:J,Input!L:L))</f>
        <v>0</v>
      </c>
      <c r="K59">
        <f>_xlfn.XLOOKUP(B59,CPU_Formula!A:A,CPU_Formula!I:I)</f>
        <v>0</v>
      </c>
      <c r="L59" s="13" t="e">
        <f>INDEX(Input!$D$2:$AC$500,
       MATCH(B59, Input!$J$2:$J$500, 0),
       MATCH("Memory Capacity", Input!$D$1:$AC$1, 0))</f>
        <v>#N/A</v>
      </c>
      <c r="M59" s="13" t="e">
        <f>INDEX(Input!$D$2:$AC$500,
       MATCH(B59, Input!$J$2:$J$500, 0),
       MATCH("Memory Type", Input!$D$1:$AC$1, 0))</f>
        <v>#N/A</v>
      </c>
      <c r="N59" s="13" t="e">
        <f t="shared" si="0"/>
        <v>#N/A</v>
      </c>
      <c r="O59" s="13" t="str" cm="1">
        <f t="array" ref="O59">IFERROR(_xlfn.FILTERXML("&lt;t&gt;&lt;s&gt;" &amp; SUBSTITUTE(M59," / ","&lt;/s&gt;&lt;s&gt;") &amp; "&lt;/s&gt;&lt;/t&gt;","(//s[contains(.,'DDR')])[1]"),"")</f>
        <v/>
      </c>
      <c r="P59" t="e">
        <f t="shared" si="1"/>
        <v>#N/A</v>
      </c>
      <c r="Q59" t="e">
        <f>INDEX(Input!$D$2:$AC$500,
       MATCH(B59, Input!$J$2:$J$500, 0),
       MATCH("Disk Capacity", Input!$D$1:$AC$1, 0))</f>
        <v>#N/A</v>
      </c>
      <c r="S59" s="13" t="str">
        <f>_xlfn.LET(_xlpm.Result,_xlfn.XLOOKUP(B59,Input!J:J,Input!AA:AA),IF(_xlpm.Result="","",_xlpm.Result))</f>
        <v/>
      </c>
      <c r="T59" s="13" t="str" cm="1">
        <f t="array" ref="T59">IFERROR(_xlfn.IFS(
   --S59&lt;55,"Battery Defect",
  -- S59&lt;=69,"Battery D",
  --S59&lt;=80,"Battery C",
 --S59&gt;80,""
),"")</f>
        <v/>
      </c>
      <c r="U59" s="13" t="str" cm="1">
        <f t="array" ref="U59:AB59">IFERROR(IF(_xlfn.XLOOKUP(B59,Input!J:J,Input!N:U)=0,"",
          _xlfn.XLOOKUP(B59,Input!J:J,Input!N:U)),"")</f>
        <v/>
      </c>
      <c r="V59" s="13" t="str">
        <v/>
      </c>
      <c r="W59" s="13" t="str">
        <v/>
      </c>
      <c r="X59" s="13" t="str">
        <v/>
      </c>
      <c r="Y59" s="13" t="str">
        <v/>
      </c>
      <c r="Z59" s="13" t="str">
        <v/>
      </c>
      <c r="AA59" s="13" t="str">
        <v/>
      </c>
      <c r="AB59" s="13" t="str">
        <v/>
      </c>
      <c r="AC59" t="str">
        <f t="shared" si="2"/>
        <v/>
      </c>
      <c r="AD59" t="str">
        <f>_xlfn.XLOOKUP(B:B,Disk_Pivot!G:G,Disk_Pivot!I:I)</f>
        <v>Yes</v>
      </c>
      <c r="AE59" t="str">
        <f>_xlfn.XLOOKUP(B59,Disk_Pivot!G:G,Disk_Pivot!N:N)</f>
        <v>Fail</v>
      </c>
    </row>
    <row r="60" spans="1:31">
      <c r="A60" t="str">
        <f>_xlfn.TEXTJOIN("",TRUE,_xlfn.XLOOKUP(B60,Input!J:J,Input!G:G,"",0,1),_xlfn.XLOOKUP(B60,Input!J:J,Input!H:H,"",0,1))</f>
        <v/>
      </c>
      <c r="C60" s="13">
        <f>_xlfn.XLOOKUP(B60,Input!J:J,Input!F:F)</f>
        <v>0</v>
      </c>
      <c r="D60">
        <f>_xlfn.XLOOKUP(C60,Models!H:H,Models!G:G,C60)</f>
        <v>0</v>
      </c>
      <c r="F60" t="str">
        <f>_xlfn.XLOOKUP(H60,Models!B:B,Models!F:F,"")</f>
        <v/>
      </c>
      <c r="G60">
        <f>_xlfn.XLOOKUP(B60,Input!J:J,Input!E:E)</f>
        <v>0</v>
      </c>
      <c r="H60">
        <f>IF(G60="LENOVO",_xlfn.XLOOKUP(B60,Input!J:J,Input!K:K),_xlfn.XLOOKUP(B60,Input!J:J,Input!L:L))</f>
        <v>0</v>
      </c>
      <c r="K60">
        <f>_xlfn.XLOOKUP(B60,CPU_Formula!A:A,CPU_Formula!I:I)</f>
        <v>0</v>
      </c>
      <c r="L60" s="13" t="e">
        <f>INDEX(Input!$D$2:$AC$500,
       MATCH(B60, Input!$J$2:$J$500, 0),
       MATCH("Memory Capacity", Input!$D$1:$AC$1, 0))</f>
        <v>#N/A</v>
      </c>
      <c r="M60" s="13" t="e">
        <f>INDEX(Input!$D$2:$AC$500,
       MATCH(B60, Input!$J$2:$J$500, 0),
       MATCH("Memory Type", Input!$D$1:$AC$1, 0))</f>
        <v>#N/A</v>
      </c>
      <c r="N60" s="13" t="e">
        <f t="shared" si="0"/>
        <v>#N/A</v>
      </c>
      <c r="O60" s="13" t="str" cm="1">
        <f t="array" ref="O60">IFERROR(_xlfn.FILTERXML("&lt;t&gt;&lt;s&gt;" &amp; SUBSTITUTE(M60," / ","&lt;/s&gt;&lt;s&gt;") &amp; "&lt;/s&gt;&lt;/t&gt;","(//s[contains(.,'DDR')])[1]"),"")</f>
        <v/>
      </c>
      <c r="P60" t="e">
        <f t="shared" si="1"/>
        <v>#N/A</v>
      </c>
      <c r="Q60" t="e">
        <f>INDEX(Input!$D$2:$AC$500,
       MATCH(B60, Input!$J$2:$J$500, 0),
       MATCH("Disk Capacity", Input!$D$1:$AC$1, 0))</f>
        <v>#N/A</v>
      </c>
      <c r="S60" s="13" t="str">
        <f>_xlfn.LET(_xlpm.Result,_xlfn.XLOOKUP(B60,Input!J:J,Input!AA:AA),IF(_xlpm.Result="","",_xlpm.Result))</f>
        <v/>
      </c>
      <c r="T60" s="13" t="str" cm="1">
        <f t="array" ref="T60">IFERROR(_xlfn.IFS(
   --S60&lt;55,"Battery Defect",
  -- S60&lt;=69,"Battery D",
  --S60&lt;=80,"Battery C",
 --S60&gt;80,""
),"")</f>
        <v/>
      </c>
      <c r="U60" s="13" t="str" cm="1">
        <f t="array" ref="U60:AB60">IFERROR(IF(_xlfn.XLOOKUP(B60,Input!J:J,Input!N:U)=0,"",
          _xlfn.XLOOKUP(B60,Input!J:J,Input!N:U)),"")</f>
        <v/>
      </c>
      <c r="V60" s="13" t="str">
        <v/>
      </c>
      <c r="W60" s="13" t="str">
        <v/>
      </c>
      <c r="X60" s="13" t="str">
        <v/>
      </c>
      <c r="Y60" s="13" t="str">
        <v/>
      </c>
      <c r="Z60" s="13" t="str">
        <v/>
      </c>
      <c r="AA60" s="13" t="str">
        <v/>
      </c>
      <c r="AB60" s="13" t="str">
        <v/>
      </c>
      <c r="AC60" t="str">
        <f t="shared" si="2"/>
        <v/>
      </c>
      <c r="AD60" t="str">
        <f>_xlfn.XLOOKUP(B:B,Disk_Pivot!G:G,Disk_Pivot!I:I)</f>
        <v>Yes</v>
      </c>
      <c r="AE60" t="str">
        <f>_xlfn.XLOOKUP(B60,Disk_Pivot!G:G,Disk_Pivot!N:N)</f>
        <v>Fail</v>
      </c>
    </row>
    <row r="61" spans="1:31">
      <c r="A61" t="str">
        <f>_xlfn.TEXTJOIN("",TRUE,_xlfn.XLOOKUP(B61,Input!J:J,Input!G:G,"",0,1),_xlfn.XLOOKUP(B61,Input!J:J,Input!H:H,"",0,1))</f>
        <v/>
      </c>
      <c r="C61" s="13">
        <f>_xlfn.XLOOKUP(B61,Input!J:J,Input!F:F)</f>
        <v>0</v>
      </c>
      <c r="D61">
        <f>_xlfn.XLOOKUP(C61,Models!H:H,Models!G:G,C61)</f>
        <v>0</v>
      </c>
      <c r="F61" t="str">
        <f>_xlfn.XLOOKUP(H61,Models!B:B,Models!F:F,"")</f>
        <v/>
      </c>
      <c r="G61">
        <f>_xlfn.XLOOKUP(B61,Input!J:J,Input!E:E)</f>
        <v>0</v>
      </c>
      <c r="H61">
        <f>IF(G61="LENOVO",_xlfn.XLOOKUP(B61,Input!J:J,Input!K:K),_xlfn.XLOOKUP(B61,Input!J:J,Input!L:L))</f>
        <v>0</v>
      </c>
      <c r="K61">
        <f>_xlfn.XLOOKUP(B61,CPU_Formula!A:A,CPU_Formula!I:I)</f>
        <v>0</v>
      </c>
      <c r="L61" s="13" t="e">
        <f>INDEX(Input!$D$2:$AC$500,
       MATCH(B61, Input!$J$2:$J$500, 0),
       MATCH("Memory Capacity", Input!$D$1:$AC$1, 0))</f>
        <v>#N/A</v>
      </c>
      <c r="M61" s="13" t="e">
        <f>INDEX(Input!$D$2:$AC$500,
       MATCH(B61, Input!$J$2:$J$500, 0),
       MATCH("Memory Type", Input!$D$1:$AC$1, 0))</f>
        <v>#N/A</v>
      </c>
      <c r="N61" s="13" t="e">
        <f t="shared" si="0"/>
        <v>#N/A</v>
      </c>
      <c r="O61" s="13" t="str" cm="1">
        <f t="array" ref="O61">IFERROR(_xlfn.FILTERXML("&lt;t&gt;&lt;s&gt;" &amp; SUBSTITUTE(M61," / ","&lt;/s&gt;&lt;s&gt;") &amp; "&lt;/s&gt;&lt;/t&gt;","(//s[contains(.,'DDR')])[1]"),"")</f>
        <v/>
      </c>
      <c r="P61" t="e">
        <f t="shared" si="1"/>
        <v>#N/A</v>
      </c>
      <c r="Q61" t="e">
        <f>INDEX(Input!$D$2:$AC$500,
       MATCH(B61, Input!$J$2:$J$500, 0),
       MATCH("Disk Capacity", Input!$D$1:$AC$1, 0))</f>
        <v>#N/A</v>
      </c>
      <c r="S61" s="13" t="str">
        <f>_xlfn.LET(_xlpm.Result,_xlfn.XLOOKUP(B61,Input!J:J,Input!AA:AA),IF(_xlpm.Result="","",_xlpm.Result))</f>
        <v/>
      </c>
      <c r="T61" s="13" t="str" cm="1">
        <f t="array" ref="T61">IFERROR(_xlfn.IFS(
   --S61&lt;55,"Battery Defect",
  -- S61&lt;=69,"Battery D",
  --S61&lt;=80,"Battery C",
 --S61&gt;80,""
),"")</f>
        <v/>
      </c>
      <c r="U61" s="13" t="str" cm="1">
        <f t="array" ref="U61:AB61">IFERROR(IF(_xlfn.XLOOKUP(B61,Input!J:J,Input!N:U)=0,"",
          _xlfn.XLOOKUP(B61,Input!J:J,Input!N:U)),"")</f>
        <v/>
      </c>
      <c r="V61" s="13" t="str">
        <v/>
      </c>
      <c r="W61" s="13" t="str">
        <v/>
      </c>
      <c r="X61" s="13" t="str">
        <v/>
      </c>
      <c r="Y61" s="13" t="str">
        <v/>
      </c>
      <c r="Z61" s="13" t="str">
        <v/>
      </c>
      <c r="AA61" s="13" t="str">
        <v/>
      </c>
      <c r="AB61" s="13" t="str">
        <v/>
      </c>
      <c r="AC61" t="str">
        <f t="shared" si="2"/>
        <v/>
      </c>
      <c r="AD61" t="str">
        <f>_xlfn.XLOOKUP(B:B,Disk_Pivot!G:G,Disk_Pivot!I:I)</f>
        <v>Yes</v>
      </c>
      <c r="AE61" t="str">
        <f>_xlfn.XLOOKUP(B61,Disk_Pivot!G:G,Disk_Pivot!N:N)</f>
        <v>Fail</v>
      </c>
    </row>
    <row r="62" spans="1:31">
      <c r="A62" t="str">
        <f>_xlfn.TEXTJOIN("",TRUE,_xlfn.XLOOKUP(B62,Input!J:J,Input!G:G,"",0,1),_xlfn.XLOOKUP(B62,Input!J:J,Input!H:H,"",0,1))</f>
        <v/>
      </c>
      <c r="C62" s="13">
        <f>_xlfn.XLOOKUP(B62,Input!J:J,Input!F:F)</f>
        <v>0</v>
      </c>
      <c r="D62">
        <f>_xlfn.XLOOKUP(C62,Models!H:H,Models!G:G,C62)</f>
        <v>0</v>
      </c>
      <c r="F62" t="str">
        <f>_xlfn.XLOOKUP(H62,Models!B:B,Models!F:F,"")</f>
        <v/>
      </c>
      <c r="G62">
        <f>_xlfn.XLOOKUP(B62,Input!J:J,Input!E:E)</f>
        <v>0</v>
      </c>
      <c r="H62">
        <f>IF(G62="LENOVO",_xlfn.XLOOKUP(B62,Input!J:J,Input!K:K),_xlfn.XLOOKUP(B62,Input!J:J,Input!L:L))</f>
        <v>0</v>
      </c>
      <c r="K62">
        <f>_xlfn.XLOOKUP(B62,CPU_Formula!A:A,CPU_Formula!I:I)</f>
        <v>0</v>
      </c>
      <c r="L62" s="13" t="e">
        <f>INDEX(Input!$D$2:$AC$500,
       MATCH(B62, Input!$J$2:$J$500, 0),
       MATCH("Memory Capacity", Input!$D$1:$AC$1, 0))</f>
        <v>#N/A</v>
      </c>
      <c r="M62" s="13" t="e">
        <f>INDEX(Input!$D$2:$AC$500,
       MATCH(B62, Input!$J$2:$J$500, 0),
       MATCH("Memory Type", Input!$D$1:$AC$1, 0))</f>
        <v>#N/A</v>
      </c>
      <c r="N62" s="13" t="e">
        <f t="shared" si="0"/>
        <v>#N/A</v>
      </c>
      <c r="O62" s="13" t="str" cm="1">
        <f t="array" ref="O62">IFERROR(_xlfn.FILTERXML("&lt;t&gt;&lt;s&gt;" &amp; SUBSTITUTE(M62," / ","&lt;/s&gt;&lt;s&gt;") &amp; "&lt;/s&gt;&lt;/t&gt;","(//s[contains(.,'DDR')])[1]"),"")</f>
        <v/>
      </c>
      <c r="P62" t="e">
        <f t="shared" si="1"/>
        <v>#N/A</v>
      </c>
      <c r="Q62" t="e">
        <f>INDEX(Input!$D$2:$AC$500,
       MATCH(B62, Input!$J$2:$J$500, 0),
       MATCH("Disk Capacity", Input!$D$1:$AC$1, 0))</f>
        <v>#N/A</v>
      </c>
      <c r="S62" s="13" t="str">
        <f>_xlfn.LET(_xlpm.Result,_xlfn.XLOOKUP(B62,Input!J:J,Input!AA:AA),IF(_xlpm.Result="","",_xlpm.Result))</f>
        <v/>
      </c>
      <c r="T62" s="13" t="str" cm="1">
        <f t="array" ref="T62">IFERROR(_xlfn.IFS(
   --S62&lt;55,"Battery Defect",
  -- S62&lt;=69,"Battery D",
  --S62&lt;=80,"Battery C",
 --S62&gt;80,""
),"")</f>
        <v/>
      </c>
      <c r="U62" s="13" t="str" cm="1">
        <f t="array" ref="U62:AB62">IFERROR(IF(_xlfn.XLOOKUP(B62,Input!J:J,Input!N:U)=0,"",
          _xlfn.XLOOKUP(B62,Input!J:J,Input!N:U)),"")</f>
        <v/>
      </c>
      <c r="V62" s="13" t="str">
        <v/>
      </c>
      <c r="W62" s="13" t="str">
        <v/>
      </c>
      <c r="X62" s="13" t="str">
        <v/>
      </c>
      <c r="Y62" s="13" t="str">
        <v/>
      </c>
      <c r="Z62" s="13" t="str">
        <v/>
      </c>
      <c r="AA62" s="13" t="str">
        <v/>
      </c>
      <c r="AB62" s="13" t="str">
        <v/>
      </c>
      <c r="AC62" t="str">
        <f t="shared" si="2"/>
        <v/>
      </c>
      <c r="AD62" t="str">
        <f>_xlfn.XLOOKUP(B:B,Disk_Pivot!G:G,Disk_Pivot!I:I)</f>
        <v>Yes</v>
      </c>
      <c r="AE62" t="str">
        <f>_xlfn.XLOOKUP(B62,Disk_Pivot!G:G,Disk_Pivot!N:N)</f>
        <v>Fail</v>
      </c>
    </row>
    <row r="63" spans="1:31">
      <c r="A63" t="str">
        <f>_xlfn.TEXTJOIN("",TRUE,_xlfn.XLOOKUP(B63,Input!J:J,Input!G:G,"",0,1),_xlfn.XLOOKUP(B63,Input!J:J,Input!H:H,"",0,1))</f>
        <v/>
      </c>
      <c r="C63" s="13">
        <f>_xlfn.XLOOKUP(B63,Input!J:J,Input!F:F)</f>
        <v>0</v>
      </c>
      <c r="D63">
        <f>_xlfn.XLOOKUP(C63,Models!H:H,Models!G:G,C63)</f>
        <v>0</v>
      </c>
      <c r="F63" t="str">
        <f>_xlfn.XLOOKUP(H63,Models!B:B,Models!F:F,"")</f>
        <v/>
      </c>
      <c r="G63">
        <f>_xlfn.XLOOKUP(B63,Input!J:J,Input!E:E)</f>
        <v>0</v>
      </c>
      <c r="H63">
        <f>IF(G63="LENOVO",_xlfn.XLOOKUP(B63,Input!J:J,Input!K:K),_xlfn.XLOOKUP(B63,Input!J:J,Input!L:L))</f>
        <v>0</v>
      </c>
      <c r="K63">
        <f>_xlfn.XLOOKUP(B63,CPU_Formula!A:A,CPU_Formula!I:I)</f>
        <v>0</v>
      </c>
      <c r="L63" s="13" t="e">
        <f>INDEX(Input!$D$2:$AC$500,
       MATCH(B63, Input!$J$2:$J$500, 0),
       MATCH("Memory Capacity", Input!$D$1:$AC$1, 0))</f>
        <v>#N/A</v>
      </c>
      <c r="M63" s="13" t="e">
        <f>INDEX(Input!$D$2:$AC$500,
       MATCH(B63, Input!$J$2:$J$500, 0),
       MATCH("Memory Type", Input!$D$1:$AC$1, 0))</f>
        <v>#N/A</v>
      </c>
      <c r="N63" s="13" t="e">
        <f t="shared" si="0"/>
        <v>#N/A</v>
      </c>
      <c r="O63" s="13" t="str" cm="1">
        <f t="array" ref="O63">IFERROR(_xlfn.FILTERXML("&lt;t&gt;&lt;s&gt;" &amp; SUBSTITUTE(M63," / ","&lt;/s&gt;&lt;s&gt;") &amp; "&lt;/s&gt;&lt;/t&gt;","(//s[contains(.,'DDR')])[1]"),"")</f>
        <v/>
      </c>
      <c r="P63" t="e">
        <f t="shared" si="1"/>
        <v>#N/A</v>
      </c>
      <c r="Q63" t="e">
        <f>INDEX(Input!$D$2:$AC$500,
       MATCH(B63, Input!$J$2:$J$500, 0),
       MATCH("Disk Capacity", Input!$D$1:$AC$1, 0))</f>
        <v>#N/A</v>
      </c>
      <c r="S63" s="13" t="str">
        <f>_xlfn.LET(_xlpm.Result,_xlfn.XLOOKUP(B63,Input!J:J,Input!AA:AA),IF(_xlpm.Result="","",_xlpm.Result))</f>
        <v/>
      </c>
      <c r="T63" s="13" t="str" cm="1">
        <f t="array" ref="T63">IFERROR(_xlfn.IFS(
   --S63&lt;55,"Battery Defect",
  -- S63&lt;=69,"Battery D",
  --S63&lt;=80,"Battery C",
 --S63&gt;80,""
),"")</f>
        <v/>
      </c>
      <c r="U63" s="13" t="str" cm="1">
        <f t="array" ref="U63:AB63">IFERROR(IF(_xlfn.XLOOKUP(B63,Input!J:J,Input!N:U)=0,"",
          _xlfn.XLOOKUP(B63,Input!J:J,Input!N:U)),"")</f>
        <v/>
      </c>
      <c r="V63" s="13" t="str">
        <v/>
      </c>
      <c r="W63" s="13" t="str">
        <v/>
      </c>
      <c r="X63" s="13" t="str">
        <v/>
      </c>
      <c r="Y63" s="13" t="str">
        <v/>
      </c>
      <c r="Z63" s="13" t="str">
        <v/>
      </c>
      <c r="AA63" s="13" t="str">
        <v/>
      </c>
      <c r="AB63" s="13" t="str">
        <v/>
      </c>
      <c r="AC63" t="str">
        <f t="shared" si="2"/>
        <v/>
      </c>
      <c r="AD63" t="str">
        <f>_xlfn.XLOOKUP(B:B,Disk_Pivot!G:G,Disk_Pivot!I:I)</f>
        <v>Yes</v>
      </c>
      <c r="AE63" t="str">
        <f>_xlfn.XLOOKUP(B63,Disk_Pivot!G:G,Disk_Pivot!N:N)</f>
        <v>Fail</v>
      </c>
    </row>
    <row r="64" spans="1:31">
      <c r="A64" t="str">
        <f>_xlfn.TEXTJOIN("",TRUE,_xlfn.XLOOKUP(B64,Input!J:J,Input!G:G,"",0,1),_xlfn.XLOOKUP(B64,Input!J:J,Input!H:H,"",0,1))</f>
        <v/>
      </c>
      <c r="C64" s="13">
        <f>_xlfn.XLOOKUP(B64,Input!J:J,Input!F:F)</f>
        <v>0</v>
      </c>
      <c r="D64">
        <f>_xlfn.XLOOKUP(C64,Models!H:H,Models!G:G,C64)</f>
        <v>0</v>
      </c>
      <c r="F64" t="str">
        <f>_xlfn.XLOOKUP(H64,Models!B:B,Models!F:F,"")</f>
        <v/>
      </c>
      <c r="G64">
        <f>_xlfn.XLOOKUP(B64,Input!J:J,Input!E:E)</f>
        <v>0</v>
      </c>
      <c r="H64">
        <f>IF(G64="LENOVO",_xlfn.XLOOKUP(B64,Input!J:J,Input!K:K),_xlfn.XLOOKUP(B64,Input!J:J,Input!L:L))</f>
        <v>0</v>
      </c>
      <c r="K64">
        <f>_xlfn.XLOOKUP(B64,CPU_Formula!A:A,CPU_Formula!I:I)</f>
        <v>0</v>
      </c>
      <c r="L64" s="13" t="e">
        <f>INDEX(Input!$D$2:$AC$500,
       MATCH(B64, Input!$J$2:$J$500, 0),
       MATCH("Memory Capacity", Input!$D$1:$AC$1, 0))</f>
        <v>#N/A</v>
      </c>
      <c r="M64" s="13" t="e">
        <f>INDEX(Input!$D$2:$AC$500,
       MATCH(B64, Input!$J$2:$J$500, 0),
       MATCH("Memory Type", Input!$D$1:$AC$1, 0))</f>
        <v>#N/A</v>
      </c>
      <c r="N64" s="13" t="e">
        <f t="shared" si="0"/>
        <v>#N/A</v>
      </c>
      <c r="O64" s="13" t="str" cm="1">
        <f t="array" ref="O64">IFERROR(_xlfn.FILTERXML("&lt;t&gt;&lt;s&gt;" &amp; SUBSTITUTE(M64," / ","&lt;/s&gt;&lt;s&gt;") &amp; "&lt;/s&gt;&lt;/t&gt;","(//s[contains(.,'DDR')])[1]"),"")</f>
        <v/>
      </c>
      <c r="P64" t="e">
        <f t="shared" si="1"/>
        <v>#N/A</v>
      </c>
      <c r="Q64" t="e">
        <f>INDEX(Input!$D$2:$AC$500,
       MATCH(B64, Input!$J$2:$J$500, 0),
       MATCH("Disk Capacity", Input!$D$1:$AC$1, 0))</f>
        <v>#N/A</v>
      </c>
      <c r="S64" s="13" t="str">
        <f>_xlfn.LET(_xlpm.Result,_xlfn.XLOOKUP(B64,Input!J:J,Input!AA:AA),IF(_xlpm.Result="","",_xlpm.Result))</f>
        <v/>
      </c>
      <c r="T64" s="13" t="str" cm="1">
        <f t="array" ref="T64">IFERROR(_xlfn.IFS(
   --S64&lt;55,"Battery Defect",
  -- S64&lt;=69,"Battery D",
  --S64&lt;=80,"Battery C",
 --S64&gt;80,""
),"")</f>
        <v/>
      </c>
      <c r="U64" s="13" t="str" cm="1">
        <f t="array" ref="U64:AB64">IFERROR(IF(_xlfn.XLOOKUP(B64,Input!J:J,Input!N:U)=0,"",
          _xlfn.XLOOKUP(B64,Input!J:J,Input!N:U)),"")</f>
        <v/>
      </c>
      <c r="V64" s="13" t="str">
        <v/>
      </c>
      <c r="W64" s="13" t="str">
        <v/>
      </c>
      <c r="X64" s="13" t="str">
        <v/>
      </c>
      <c r="Y64" s="13" t="str">
        <v/>
      </c>
      <c r="Z64" s="13" t="str">
        <v/>
      </c>
      <c r="AA64" s="13" t="str">
        <v/>
      </c>
      <c r="AB64" s="13" t="str">
        <v/>
      </c>
      <c r="AC64" t="str">
        <f t="shared" si="2"/>
        <v/>
      </c>
      <c r="AD64" t="str">
        <f>_xlfn.XLOOKUP(B:B,Disk_Pivot!G:G,Disk_Pivot!I:I)</f>
        <v>Yes</v>
      </c>
      <c r="AE64" t="str">
        <f>_xlfn.XLOOKUP(B64,Disk_Pivot!G:G,Disk_Pivot!N:N)</f>
        <v>Fail</v>
      </c>
    </row>
    <row r="65" spans="1:31">
      <c r="A65" t="str">
        <f>_xlfn.TEXTJOIN("",TRUE,_xlfn.XLOOKUP(B65,Input!J:J,Input!G:G,"",0,1),_xlfn.XLOOKUP(B65,Input!J:J,Input!H:H,"",0,1))</f>
        <v/>
      </c>
      <c r="C65" s="13">
        <f>_xlfn.XLOOKUP(B65,Input!J:J,Input!F:F)</f>
        <v>0</v>
      </c>
      <c r="D65">
        <f>_xlfn.XLOOKUP(C65,Models!H:H,Models!G:G,C65)</f>
        <v>0</v>
      </c>
      <c r="F65" t="str">
        <f>_xlfn.XLOOKUP(H65,Models!B:B,Models!F:F,"")</f>
        <v/>
      </c>
      <c r="G65">
        <f>_xlfn.XLOOKUP(B65,Input!J:J,Input!E:E)</f>
        <v>0</v>
      </c>
      <c r="H65">
        <f>IF(G65="LENOVO",_xlfn.XLOOKUP(B65,Input!J:J,Input!K:K),_xlfn.XLOOKUP(B65,Input!J:J,Input!L:L))</f>
        <v>0</v>
      </c>
      <c r="K65">
        <f>_xlfn.XLOOKUP(B65,CPU_Formula!A:A,CPU_Formula!I:I)</f>
        <v>0</v>
      </c>
      <c r="L65" s="13" t="e">
        <f>INDEX(Input!$D$2:$AC$500,
       MATCH(B65, Input!$J$2:$J$500, 0),
       MATCH("Memory Capacity", Input!$D$1:$AC$1, 0))</f>
        <v>#N/A</v>
      </c>
      <c r="M65" s="13" t="e">
        <f>INDEX(Input!$D$2:$AC$500,
       MATCH(B65, Input!$J$2:$J$500, 0),
       MATCH("Memory Type", Input!$D$1:$AC$1, 0))</f>
        <v>#N/A</v>
      </c>
      <c r="N65" s="13" t="e">
        <f t="shared" si="0"/>
        <v>#N/A</v>
      </c>
      <c r="O65" s="13" t="str" cm="1">
        <f t="array" ref="O65">IFERROR(_xlfn.FILTERXML("&lt;t&gt;&lt;s&gt;" &amp; SUBSTITUTE(M65," / ","&lt;/s&gt;&lt;s&gt;") &amp; "&lt;/s&gt;&lt;/t&gt;","(//s[contains(.,'DDR')])[1]"),"")</f>
        <v/>
      </c>
      <c r="P65" t="e">
        <f t="shared" si="1"/>
        <v>#N/A</v>
      </c>
      <c r="Q65" t="e">
        <f>INDEX(Input!$D$2:$AC$500,
       MATCH(B65, Input!$J$2:$J$500, 0),
       MATCH("Disk Capacity", Input!$D$1:$AC$1, 0))</f>
        <v>#N/A</v>
      </c>
      <c r="S65" s="13" t="str">
        <f>_xlfn.LET(_xlpm.Result,_xlfn.XLOOKUP(B65,Input!J:J,Input!AA:AA),IF(_xlpm.Result="","",_xlpm.Result))</f>
        <v/>
      </c>
      <c r="T65" s="13" t="str" cm="1">
        <f t="array" ref="T65">IFERROR(_xlfn.IFS(
   --S65&lt;55,"Battery Defect",
  -- S65&lt;=69,"Battery D",
  --S65&lt;=80,"Battery C",
 --S65&gt;80,""
),"")</f>
        <v/>
      </c>
      <c r="U65" s="13" t="str" cm="1">
        <f t="array" ref="U65:AB65">IFERROR(IF(_xlfn.XLOOKUP(B65,Input!J:J,Input!N:U)=0,"",
          _xlfn.XLOOKUP(B65,Input!J:J,Input!N:U)),"")</f>
        <v/>
      </c>
      <c r="V65" s="13" t="str">
        <v/>
      </c>
      <c r="W65" s="13" t="str">
        <v/>
      </c>
      <c r="X65" s="13" t="str">
        <v/>
      </c>
      <c r="Y65" s="13" t="str">
        <v/>
      </c>
      <c r="Z65" s="13" t="str">
        <v/>
      </c>
      <c r="AA65" s="13" t="str">
        <v/>
      </c>
      <c r="AB65" s="13" t="str">
        <v/>
      </c>
      <c r="AC65" t="str">
        <f t="shared" si="2"/>
        <v/>
      </c>
      <c r="AD65" t="str">
        <f>_xlfn.XLOOKUP(B:B,Disk_Pivot!G:G,Disk_Pivot!I:I)</f>
        <v>Yes</v>
      </c>
      <c r="AE65" t="str">
        <f>_xlfn.XLOOKUP(B65,Disk_Pivot!G:G,Disk_Pivot!N:N)</f>
        <v>Fail</v>
      </c>
    </row>
    <row r="66" spans="1:31">
      <c r="A66" t="str">
        <f>_xlfn.TEXTJOIN("",TRUE,_xlfn.XLOOKUP(B66,Input!J:J,Input!G:G,"",0,1),_xlfn.XLOOKUP(B66,Input!J:J,Input!H:H,"",0,1))</f>
        <v/>
      </c>
      <c r="C66" s="13">
        <f>_xlfn.XLOOKUP(B66,Input!J:J,Input!F:F)</f>
        <v>0</v>
      </c>
      <c r="D66">
        <f>_xlfn.XLOOKUP(C66,Models!H:H,Models!G:G,C66)</f>
        <v>0</v>
      </c>
      <c r="F66" t="str">
        <f>_xlfn.XLOOKUP(H66,Models!B:B,Models!F:F,"")</f>
        <v/>
      </c>
      <c r="G66">
        <f>_xlfn.XLOOKUP(B66,Input!J:J,Input!E:E)</f>
        <v>0</v>
      </c>
      <c r="H66">
        <f>IF(G66="LENOVO",_xlfn.XLOOKUP(B66,Input!J:J,Input!K:K),_xlfn.XLOOKUP(B66,Input!J:J,Input!L:L))</f>
        <v>0</v>
      </c>
      <c r="K66">
        <f>_xlfn.XLOOKUP(B66,CPU_Formula!A:A,CPU_Formula!I:I)</f>
        <v>0</v>
      </c>
      <c r="L66" s="13" t="e">
        <f>INDEX(Input!$D$2:$AC$500,
       MATCH(B66, Input!$J$2:$J$500, 0),
       MATCH("Memory Capacity", Input!$D$1:$AC$1, 0))</f>
        <v>#N/A</v>
      </c>
      <c r="M66" s="13" t="e">
        <f>INDEX(Input!$D$2:$AC$500,
       MATCH(B66, Input!$J$2:$J$500, 0),
       MATCH("Memory Type", Input!$D$1:$AC$1, 0))</f>
        <v>#N/A</v>
      </c>
      <c r="N66" s="13" t="e">
        <f t="shared" si="0"/>
        <v>#N/A</v>
      </c>
      <c r="O66" s="13" t="str" cm="1">
        <f t="array" ref="O66">IFERROR(_xlfn.FILTERXML("&lt;t&gt;&lt;s&gt;" &amp; SUBSTITUTE(M66," / ","&lt;/s&gt;&lt;s&gt;") &amp; "&lt;/s&gt;&lt;/t&gt;","(//s[contains(.,'DDR')])[1]"),"")</f>
        <v/>
      </c>
      <c r="P66" t="e">
        <f t="shared" si="1"/>
        <v>#N/A</v>
      </c>
      <c r="Q66" t="e">
        <f>INDEX(Input!$D$2:$AC$500,
       MATCH(B66, Input!$J$2:$J$500, 0),
       MATCH("Disk Capacity", Input!$D$1:$AC$1, 0))</f>
        <v>#N/A</v>
      </c>
      <c r="S66" s="13" t="str">
        <f>_xlfn.LET(_xlpm.Result,_xlfn.XLOOKUP(B66,Input!J:J,Input!AA:AA),IF(_xlpm.Result="","",_xlpm.Result))</f>
        <v/>
      </c>
      <c r="T66" s="13" t="str" cm="1">
        <f t="array" ref="T66">IFERROR(_xlfn.IFS(
   --S66&lt;55,"Battery Defect",
  -- S66&lt;=69,"Battery D",
  --S66&lt;=80,"Battery C",
 --S66&gt;80,""
),"")</f>
        <v/>
      </c>
      <c r="U66" s="13" t="str" cm="1">
        <f t="array" ref="U66:AB66">IFERROR(IF(_xlfn.XLOOKUP(B66,Input!J:J,Input!N:U)=0,"",
          _xlfn.XLOOKUP(B66,Input!J:J,Input!N:U)),"")</f>
        <v/>
      </c>
      <c r="V66" s="13" t="str">
        <v/>
      </c>
      <c r="W66" s="13" t="str">
        <v/>
      </c>
      <c r="X66" s="13" t="str">
        <v/>
      </c>
      <c r="Y66" s="13" t="str">
        <v/>
      </c>
      <c r="Z66" s="13" t="str">
        <v/>
      </c>
      <c r="AA66" s="13" t="str">
        <v/>
      </c>
      <c r="AB66" s="13" t="str">
        <v/>
      </c>
      <c r="AC66" t="str">
        <f t="shared" si="2"/>
        <v/>
      </c>
      <c r="AD66" t="str">
        <f>_xlfn.XLOOKUP(B:B,Disk_Pivot!G:G,Disk_Pivot!I:I)</f>
        <v>Yes</v>
      </c>
      <c r="AE66" t="str">
        <f>_xlfn.XLOOKUP(B66,Disk_Pivot!G:G,Disk_Pivot!N:N)</f>
        <v>Fail</v>
      </c>
    </row>
    <row r="67" spans="1:31">
      <c r="A67" t="str">
        <f>_xlfn.TEXTJOIN("",TRUE,_xlfn.XLOOKUP(B67,Input!J:J,Input!G:G,"",0,1),_xlfn.XLOOKUP(B67,Input!J:J,Input!H:H,"",0,1))</f>
        <v/>
      </c>
      <c r="C67" s="13">
        <f>_xlfn.XLOOKUP(B67,Input!J:J,Input!F:F)</f>
        <v>0</v>
      </c>
      <c r="D67">
        <f>_xlfn.XLOOKUP(C67,Models!H:H,Models!G:G,C67)</f>
        <v>0</v>
      </c>
      <c r="F67" t="str">
        <f>_xlfn.XLOOKUP(H67,Models!B:B,Models!F:F,"")</f>
        <v/>
      </c>
      <c r="G67">
        <f>_xlfn.XLOOKUP(B67,Input!J:J,Input!E:E)</f>
        <v>0</v>
      </c>
      <c r="H67">
        <f>IF(G67="LENOVO",_xlfn.XLOOKUP(B67,Input!J:J,Input!K:K),_xlfn.XLOOKUP(B67,Input!J:J,Input!L:L))</f>
        <v>0</v>
      </c>
      <c r="K67">
        <f>_xlfn.XLOOKUP(B67,CPU_Formula!A:A,CPU_Formula!I:I)</f>
        <v>0</v>
      </c>
      <c r="L67" s="13" t="e">
        <f>INDEX(Input!$D$2:$AC$500,
       MATCH(B67, Input!$J$2:$J$500, 0),
       MATCH("Memory Capacity", Input!$D$1:$AC$1, 0))</f>
        <v>#N/A</v>
      </c>
      <c r="M67" s="13" t="e">
        <f>INDEX(Input!$D$2:$AC$500,
       MATCH(B67, Input!$J$2:$J$500, 0),
       MATCH("Memory Type", Input!$D$1:$AC$1, 0))</f>
        <v>#N/A</v>
      </c>
      <c r="N67" s="13" t="e">
        <f t="shared" ref="N67:N130" si="3">IF(ISNUMBER(L67), L67, SUBSTITUTE(SUBSTITUTE(SUBSTITUTE(L67,"GiB","")," ",""),"/","+"))</f>
        <v>#N/A</v>
      </c>
      <c r="O67" s="13" t="str" cm="1">
        <f t="array" ref="O67">IFERROR(_xlfn.FILTERXML("&lt;t&gt;&lt;s&gt;" &amp; SUBSTITUTE(M67," / ","&lt;/s&gt;&lt;s&gt;") &amp; "&lt;/s&gt;&lt;/t&gt;","(//s[contains(.,'DDR')])[1]"),"")</f>
        <v/>
      </c>
      <c r="P67" t="e">
        <f t="shared" ref="P67:P87" si="4">_xlfn.TEXTJOIN(" ",TRUE,N67,"GB",O67)</f>
        <v>#N/A</v>
      </c>
      <c r="Q67" t="e">
        <f>INDEX(Input!$D$2:$AC$500,
       MATCH(B67, Input!$J$2:$J$500, 0),
       MATCH("Disk Capacity", Input!$D$1:$AC$1, 0))</f>
        <v>#N/A</v>
      </c>
      <c r="S67" s="13" t="str">
        <f>_xlfn.LET(_xlpm.Result,_xlfn.XLOOKUP(B67,Input!J:J,Input!AA:AA),IF(_xlpm.Result="","",_xlpm.Result))</f>
        <v/>
      </c>
      <c r="T67" s="13" t="str" cm="1">
        <f t="array" ref="T67">IFERROR(_xlfn.IFS(
   --S67&lt;55,"Battery Defect",
  -- S67&lt;=69,"Battery D",
  --S67&lt;=80,"Battery C",
 --S67&gt;80,""
),"")</f>
        <v/>
      </c>
      <c r="U67" s="13" t="str" cm="1">
        <f t="array" ref="U67:AB67">IFERROR(IF(_xlfn.XLOOKUP(B67,Input!J:J,Input!N:U)=0,"",
          _xlfn.XLOOKUP(B67,Input!J:J,Input!N:U)),"")</f>
        <v/>
      </c>
      <c r="V67" s="13" t="str">
        <v/>
      </c>
      <c r="W67" s="13" t="str">
        <v/>
      </c>
      <c r="X67" s="13" t="str">
        <v/>
      </c>
      <c r="Y67" s="13" t="str">
        <v/>
      </c>
      <c r="Z67" s="13" t="str">
        <v/>
      </c>
      <c r="AA67" s="13" t="str">
        <v/>
      </c>
      <c r="AB67" s="13" t="str">
        <v/>
      </c>
      <c r="AC67" t="str">
        <f t="shared" ref="AC67:AC130" si="5">_xlfn.TEXTJOIN(", ",TRUE,T67,U67,V67,W67,X67,Y67,Z67)</f>
        <v/>
      </c>
      <c r="AD67" t="str">
        <f>_xlfn.XLOOKUP(B:B,Disk_Pivot!G:G,Disk_Pivot!I:I)</f>
        <v>Yes</v>
      </c>
      <c r="AE67" t="str">
        <f>_xlfn.XLOOKUP(B67,Disk_Pivot!G:G,Disk_Pivot!N:N)</f>
        <v>Fail</v>
      </c>
    </row>
    <row r="68" spans="1:31">
      <c r="A68" t="str">
        <f>_xlfn.TEXTJOIN("",TRUE,_xlfn.XLOOKUP(B68,Input!J:J,Input!G:G,"",0,1),_xlfn.XLOOKUP(B68,Input!J:J,Input!H:H,"",0,1))</f>
        <v/>
      </c>
      <c r="C68" s="13">
        <f>_xlfn.XLOOKUP(B68,Input!J:J,Input!F:F)</f>
        <v>0</v>
      </c>
      <c r="D68">
        <f>_xlfn.XLOOKUP(C68,Models!H:H,Models!G:G,C68)</f>
        <v>0</v>
      </c>
      <c r="F68" t="str">
        <f>_xlfn.XLOOKUP(H68,Models!B:B,Models!F:F,"")</f>
        <v/>
      </c>
      <c r="G68">
        <f>_xlfn.XLOOKUP(B68,Input!J:J,Input!E:E)</f>
        <v>0</v>
      </c>
      <c r="H68">
        <f>IF(G68="LENOVO",_xlfn.XLOOKUP(B68,Input!J:J,Input!K:K),_xlfn.XLOOKUP(B68,Input!J:J,Input!L:L))</f>
        <v>0</v>
      </c>
      <c r="K68">
        <f>_xlfn.XLOOKUP(B68,CPU_Formula!A:A,CPU_Formula!I:I)</f>
        <v>0</v>
      </c>
      <c r="L68" s="13" t="e">
        <f>INDEX(Input!$D$2:$AC$500,
       MATCH(B68, Input!$J$2:$J$500, 0),
       MATCH("Memory Capacity", Input!$D$1:$AC$1, 0))</f>
        <v>#N/A</v>
      </c>
      <c r="M68" s="13" t="e">
        <f>INDEX(Input!$D$2:$AC$500,
       MATCH(B68, Input!$J$2:$J$500, 0),
       MATCH("Memory Type", Input!$D$1:$AC$1, 0))</f>
        <v>#N/A</v>
      </c>
      <c r="N68" s="13" t="e">
        <f t="shared" si="3"/>
        <v>#N/A</v>
      </c>
      <c r="O68" s="13" t="str" cm="1">
        <f t="array" ref="O68">IFERROR(_xlfn.FILTERXML("&lt;t&gt;&lt;s&gt;" &amp; SUBSTITUTE(M68," / ","&lt;/s&gt;&lt;s&gt;") &amp; "&lt;/s&gt;&lt;/t&gt;","(//s[contains(.,'DDR')])[1]"),"")</f>
        <v/>
      </c>
      <c r="P68" t="e">
        <f t="shared" si="4"/>
        <v>#N/A</v>
      </c>
      <c r="Q68" t="e">
        <f>INDEX(Input!$D$2:$AC$500,
       MATCH(B68, Input!$J$2:$J$500, 0),
       MATCH("Disk Capacity", Input!$D$1:$AC$1, 0))</f>
        <v>#N/A</v>
      </c>
      <c r="S68" s="13" t="str">
        <f>_xlfn.LET(_xlpm.Result,_xlfn.XLOOKUP(B68,Input!J:J,Input!AA:AA),IF(_xlpm.Result="","",_xlpm.Result))</f>
        <v/>
      </c>
      <c r="T68" s="13" t="str" cm="1">
        <f t="array" ref="T68">IFERROR(_xlfn.IFS(
   --S68&lt;55,"Battery Defect",
  -- S68&lt;=69,"Battery D",
  --S68&lt;=80,"Battery C",
 --S68&gt;80,""
),"")</f>
        <v/>
      </c>
      <c r="U68" s="13" t="str" cm="1">
        <f t="array" ref="U68:AB68">IFERROR(IF(_xlfn.XLOOKUP(B68,Input!J:J,Input!N:U)=0,"",
          _xlfn.XLOOKUP(B68,Input!J:J,Input!N:U)),"")</f>
        <v/>
      </c>
      <c r="V68" s="13" t="str">
        <v/>
      </c>
      <c r="W68" s="13" t="str">
        <v/>
      </c>
      <c r="X68" s="13" t="str">
        <v/>
      </c>
      <c r="Y68" s="13" t="str">
        <v/>
      </c>
      <c r="Z68" s="13" t="str">
        <v/>
      </c>
      <c r="AA68" s="13" t="str">
        <v/>
      </c>
      <c r="AB68" s="13" t="str">
        <v/>
      </c>
      <c r="AC68" t="str">
        <f t="shared" si="5"/>
        <v/>
      </c>
      <c r="AD68" t="str">
        <f>_xlfn.XLOOKUP(B:B,Disk_Pivot!G:G,Disk_Pivot!I:I)</f>
        <v>Yes</v>
      </c>
      <c r="AE68" t="str">
        <f>_xlfn.XLOOKUP(B68,Disk_Pivot!G:G,Disk_Pivot!N:N)</f>
        <v>Fail</v>
      </c>
    </row>
    <row r="69" spans="1:31">
      <c r="A69" t="str">
        <f>_xlfn.TEXTJOIN("",TRUE,_xlfn.XLOOKUP(B69,Input!J:J,Input!G:G,"",0,1),_xlfn.XLOOKUP(B69,Input!J:J,Input!H:H,"",0,1))</f>
        <v/>
      </c>
      <c r="C69" s="13">
        <f>_xlfn.XLOOKUP(B69,Input!J:J,Input!F:F)</f>
        <v>0</v>
      </c>
      <c r="D69">
        <f>_xlfn.XLOOKUP(C69,Models!H:H,Models!G:G,C69)</f>
        <v>0</v>
      </c>
      <c r="F69" t="str">
        <f>_xlfn.XLOOKUP(H69,Models!B:B,Models!F:F,"")</f>
        <v/>
      </c>
      <c r="G69">
        <f>_xlfn.XLOOKUP(B69,Input!J:J,Input!E:E)</f>
        <v>0</v>
      </c>
      <c r="H69">
        <f>IF(G69="LENOVO",_xlfn.XLOOKUP(B69,Input!J:J,Input!K:K),_xlfn.XLOOKUP(B69,Input!J:J,Input!L:L))</f>
        <v>0</v>
      </c>
      <c r="K69">
        <f>_xlfn.XLOOKUP(B69,CPU_Formula!A:A,CPU_Formula!I:I)</f>
        <v>0</v>
      </c>
      <c r="L69" s="13" t="e">
        <f>INDEX(Input!$D$2:$AC$500,
       MATCH(B69, Input!$J$2:$J$500, 0),
       MATCH("Memory Capacity", Input!$D$1:$AC$1, 0))</f>
        <v>#N/A</v>
      </c>
      <c r="M69" s="13" t="e">
        <f>INDEX(Input!$D$2:$AC$500,
       MATCH(B69, Input!$J$2:$J$500, 0),
       MATCH("Memory Type", Input!$D$1:$AC$1, 0))</f>
        <v>#N/A</v>
      </c>
      <c r="N69" s="13" t="e">
        <f t="shared" si="3"/>
        <v>#N/A</v>
      </c>
      <c r="O69" s="13" t="str" cm="1">
        <f t="array" ref="O69">IFERROR(_xlfn.FILTERXML("&lt;t&gt;&lt;s&gt;" &amp; SUBSTITUTE(M69," / ","&lt;/s&gt;&lt;s&gt;") &amp; "&lt;/s&gt;&lt;/t&gt;","(//s[contains(.,'DDR')])[1]"),"")</f>
        <v/>
      </c>
      <c r="P69" t="e">
        <f t="shared" si="4"/>
        <v>#N/A</v>
      </c>
      <c r="Q69" t="e">
        <f>INDEX(Input!$D$2:$AC$500,
       MATCH(B69, Input!$J$2:$J$500, 0),
       MATCH("Disk Capacity", Input!$D$1:$AC$1, 0))</f>
        <v>#N/A</v>
      </c>
      <c r="S69" s="13" t="str">
        <f>_xlfn.LET(_xlpm.Result,_xlfn.XLOOKUP(B69,Input!J:J,Input!AA:AA),IF(_xlpm.Result="","",_xlpm.Result))</f>
        <v/>
      </c>
      <c r="T69" s="13" t="str" cm="1">
        <f t="array" ref="T69">IFERROR(_xlfn.IFS(
   --S69&lt;55,"Battery Defect",
  -- S69&lt;=69,"Battery D",
  --S69&lt;=80,"Battery C",
 --S69&gt;80,""
),"")</f>
        <v/>
      </c>
      <c r="U69" s="13" t="str" cm="1">
        <f t="array" ref="U69:AB69">IFERROR(IF(_xlfn.XLOOKUP(B69,Input!J:J,Input!N:U)=0,"",
          _xlfn.XLOOKUP(B69,Input!J:J,Input!N:U)),"")</f>
        <v/>
      </c>
      <c r="V69" s="13" t="str">
        <v/>
      </c>
      <c r="W69" s="13" t="str">
        <v/>
      </c>
      <c r="X69" s="13" t="str">
        <v/>
      </c>
      <c r="Y69" s="13" t="str">
        <v/>
      </c>
      <c r="Z69" s="13" t="str">
        <v/>
      </c>
      <c r="AA69" s="13" t="str">
        <v/>
      </c>
      <c r="AB69" s="13" t="str">
        <v/>
      </c>
      <c r="AC69" t="str">
        <f t="shared" si="5"/>
        <v/>
      </c>
      <c r="AD69" t="str">
        <f>_xlfn.XLOOKUP(B:B,Disk_Pivot!G:G,Disk_Pivot!I:I)</f>
        <v>Yes</v>
      </c>
      <c r="AE69" t="str">
        <f>_xlfn.XLOOKUP(B69,Disk_Pivot!G:G,Disk_Pivot!N:N)</f>
        <v>Fail</v>
      </c>
    </row>
    <row r="70" spans="1:31">
      <c r="A70" t="str">
        <f>_xlfn.TEXTJOIN("",TRUE,_xlfn.XLOOKUP(B70,Input!J:J,Input!G:G,"",0,1),_xlfn.XLOOKUP(B70,Input!J:J,Input!H:H,"",0,1))</f>
        <v/>
      </c>
      <c r="C70" s="13">
        <f>_xlfn.XLOOKUP(B70,Input!J:J,Input!F:F)</f>
        <v>0</v>
      </c>
      <c r="D70">
        <f>_xlfn.XLOOKUP(C70,Models!H:H,Models!G:G,C70)</f>
        <v>0</v>
      </c>
      <c r="F70" t="str">
        <f>_xlfn.XLOOKUP(H70,Models!B:B,Models!F:F,"")</f>
        <v/>
      </c>
      <c r="G70">
        <f>_xlfn.XLOOKUP(B70,Input!J:J,Input!E:E)</f>
        <v>0</v>
      </c>
      <c r="H70">
        <f>IF(G70="LENOVO",_xlfn.XLOOKUP(B70,Input!J:J,Input!K:K),_xlfn.XLOOKUP(B70,Input!J:J,Input!L:L))</f>
        <v>0</v>
      </c>
      <c r="K70">
        <f>_xlfn.XLOOKUP(B70,CPU_Formula!A:A,CPU_Formula!I:I)</f>
        <v>0</v>
      </c>
      <c r="L70" s="13" t="e">
        <f>INDEX(Input!$D$2:$AC$500,
       MATCH(B70, Input!$J$2:$J$500, 0),
       MATCH("Memory Capacity", Input!$D$1:$AC$1, 0))</f>
        <v>#N/A</v>
      </c>
      <c r="M70" s="13" t="e">
        <f>INDEX(Input!$D$2:$AC$500,
       MATCH(B70, Input!$J$2:$J$500, 0),
       MATCH("Memory Type", Input!$D$1:$AC$1, 0))</f>
        <v>#N/A</v>
      </c>
      <c r="N70" s="13" t="e">
        <f t="shared" si="3"/>
        <v>#N/A</v>
      </c>
      <c r="O70" s="13" t="str" cm="1">
        <f t="array" ref="O70">IFERROR(_xlfn.FILTERXML("&lt;t&gt;&lt;s&gt;" &amp; SUBSTITUTE(M70," / ","&lt;/s&gt;&lt;s&gt;") &amp; "&lt;/s&gt;&lt;/t&gt;","(//s[contains(.,'DDR')])[1]"),"")</f>
        <v/>
      </c>
      <c r="P70" t="e">
        <f t="shared" si="4"/>
        <v>#N/A</v>
      </c>
      <c r="Q70" t="e">
        <f>INDEX(Input!$D$2:$AC$500,
       MATCH(B70, Input!$J$2:$J$500, 0),
       MATCH("Disk Capacity", Input!$D$1:$AC$1, 0))</f>
        <v>#N/A</v>
      </c>
      <c r="S70" s="13" t="str">
        <f>_xlfn.LET(_xlpm.Result,_xlfn.XLOOKUP(B70,Input!J:J,Input!AA:AA),IF(_xlpm.Result="","",_xlpm.Result))</f>
        <v/>
      </c>
      <c r="T70" s="13" t="str" cm="1">
        <f t="array" ref="T70">IFERROR(_xlfn.IFS(
   --S70&lt;55,"Battery Defect",
  -- S70&lt;=69,"Battery D",
  --S70&lt;=80,"Battery C",
 --S70&gt;80,""
),"")</f>
        <v/>
      </c>
      <c r="U70" s="13" t="str" cm="1">
        <f t="array" ref="U70:AB70">IFERROR(IF(_xlfn.XLOOKUP(B70,Input!J:J,Input!N:U)=0,"",
          _xlfn.XLOOKUP(B70,Input!J:J,Input!N:U)),"")</f>
        <v/>
      </c>
      <c r="V70" s="13" t="str">
        <v/>
      </c>
      <c r="W70" s="13" t="str">
        <v/>
      </c>
      <c r="X70" s="13" t="str">
        <v/>
      </c>
      <c r="Y70" s="13" t="str">
        <v/>
      </c>
      <c r="Z70" s="13" t="str">
        <v/>
      </c>
      <c r="AA70" s="13" t="str">
        <v/>
      </c>
      <c r="AB70" s="13" t="str">
        <v/>
      </c>
      <c r="AC70" t="str">
        <f t="shared" si="5"/>
        <v/>
      </c>
      <c r="AD70" t="str">
        <f>_xlfn.XLOOKUP(B:B,Disk_Pivot!G:G,Disk_Pivot!I:I)</f>
        <v>Yes</v>
      </c>
      <c r="AE70" t="str">
        <f>_xlfn.XLOOKUP(B70,Disk_Pivot!G:G,Disk_Pivot!N:N)</f>
        <v>Fail</v>
      </c>
    </row>
    <row r="71" spans="1:31">
      <c r="A71" t="str">
        <f>_xlfn.TEXTJOIN("",TRUE,_xlfn.XLOOKUP(B71,Input!J:J,Input!G:G,"",0,1),_xlfn.XLOOKUP(B71,Input!J:J,Input!H:H,"",0,1))</f>
        <v/>
      </c>
      <c r="C71" s="13">
        <f>_xlfn.XLOOKUP(B71,Input!J:J,Input!F:F)</f>
        <v>0</v>
      </c>
      <c r="D71">
        <f>_xlfn.XLOOKUP(C71,Models!H:H,Models!G:G,C71)</f>
        <v>0</v>
      </c>
      <c r="F71" t="str">
        <f>_xlfn.XLOOKUP(H71,Models!B:B,Models!F:F,"")</f>
        <v/>
      </c>
      <c r="G71">
        <f>_xlfn.XLOOKUP(B71,Input!J:J,Input!E:E)</f>
        <v>0</v>
      </c>
      <c r="H71">
        <f>IF(G71="LENOVO",_xlfn.XLOOKUP(B71,Input!J:J,Input!K:K),_xlfn.XLOOKUP(B71,Input!J:J,Input!L:L))</f>
        <v>0</v>
      </c>
      <c r="K71">
        <f>_xlfn.XLOOKUP(B71,CPU_Formula!A:A,CPU_Formula!I:I)</f>
        <v>0</v>
      </c>
      <c r="L71" s="13" t="e">
        <f>INDEX(Input!$D$2:$AC$500,
       MATCH(B71, Input!$J$2:$J$500, 0),
       MATCH("Memory Capacity", Input!$D$1:$AC$1, 0))</f>
        <v>#N/A</v>
      </c>
      <c r="M71" s="13" t="e">
        <f>INDEX(Input!$D$2:$AC$500,
       MATCH(B71, Input!$J$2:$J$500, 0),
       MATCH("Memory Type", Input!$D$1:$AC$1, 0))</f>
        <v>#N/A</v>
      </c>
      <c r="N71" s="13" t="e">
        <f t="shared" si="3"/>
        <v>#N/A</v>
      </c>
      <c r="O71" s="13" t="str" cm="1">
        <f t="array" ref="O71">IFERROR(_xlfn.FILTERXML("&lt;t&gt;&lt;s&gt;" &amp; SUBSTITUTE(M71," / ","&lt;/s&gt;&lt;s&gt;") &amp; "&lt;/s&gt;&lt;/t&gt;","(//s[contains(.,'DDR')])[1]"),"")</f>
        <v/>
      </c>
      <c r="P71" t="e">
        <f t="shared" si="4"/>
        <v>#N/A</v>
      </c>
      <c r="Q71" t="e">
        <f>INDEX(Input!$D$2:$AC$500,
       MATCH(B71, Input!$J$2:$J$500, 0),
       MATCH("Disk Capacity", Input!$D$1:$AC$1, 0))</f>
        <v>#N/A</v>
      </c>
      <c r="S71" s="13" t="str">
        <f>_xlfn.LET(_xlpm.Result,_xlfn.XLOOKUP(B71,Input!J:J,Input!AA:AA),IF(_xlpm.Result="","",_xlpm.Result))</f>
        <v/>
      </c>
      <c r="T71" s="13" t="str" cm="1">
        <f t="array" ref="T71">IFERROR(_xlfn.IFS(
   --S71&lt;55,"Battery Defect",
  -- S71&lt;=69,"Battery D",
  --S71&lt;=80,"Battery C",
 --S71&gt;80,""
),"")</f>
        <v/>
      </c>
      <c r="U71" s="13" t="str" cm="1">
        <f t="array" ref="U71:AB71">IFERROR(IF(_xlfn.XLOOKUP(B71,Input!J:J,Input!N:U)=0,"",
          _xlfn.XLOOKUP(B71,Input!J:J,Input!N:U)),"")</f>
        <v/>
      </c>
      <c r="V71" s="13" t="str">
        <v/>
      </c>
      <c r="W71" s="13" t="str">
        <v/>
      </c>
      <c r="X71" s="13" t="str">
        <v/>
      </c>
      <c r="Y71" s="13" t="str">
        <v/>
      </c>
      <c r="Z71" s="13" t="str">
        <v/>
      </c>
      <c r="AA71" s="13" t="str">
        <v/>
      </c>
      <c r="AB71" s="13" t="str">
        <v/>
      </c>
      <c r="AC71" t="str">
        <f t="shared" si="5"/>
        <v/>
      </c>
      <c r="AD71" t="str">
        <f>_xlfn.XLOOKUP(B:B,Disk_Pivot!G:G,Disk_Pivot!I:I)</f>
        <v>Yes</v>
      </c>
      <c r="AE71" t="str">
        <f>_xlfn.XLOOKUP(B71,Disk_Pivot!G:G,Disk_Pivot!N:N)</f>
        <v>Fail</v>
      </c>
    </row>
    <row r="72" spans="1:31">
      <c r="A72" t="str">
        <f>_xlfn.TEXTJOIN("",TRUE,_xlfn.XLOOKUP(B72,Input!J:J,Input!G:G,"",0,1),_xlfn.XLOOKUP(B72,Input!J:J,Input!H:H,"",0,1))</f>
        <v/>
      </c>
      <c r="C72" s="13">
        <f>_xlfn.XLOOKUP(B72,Input!J:J,Input!F:F)</f>
        <v>0</v>
      </c>
      <c r="D72">
        <f>_xlfn.XLOOKUP(C72,Models!H:H,Models!G:G,C72)</f>
        <v>0</v>
      </c>
      <c r="F72" t="str">
        <f>_xlfn.XLOOKUP(H72,Models!B:B,Models!F:F,"")</f>
        <v/>
      </c>
      <c r="G72">
        <f>_xlfn.XLOOKUP(B72,Input!J:J,Input!E:E)</f>
        <v>0</v>
      </c>
      <c r="H72">
        <f>IF(G72="LENOVO",_xlfn.XLOOKUP(B72,Input!J:J,Input!K:K),_xlfn.XLOOKUP(B72,Input!J:J,Input!L:L))</f>
        <v>0</v>
      </c>
      <c r="K72">
        <f>_xlfn.XLOOKUP(B72,CPU_Formula!A:A,CPU_Formula!I:I)</f>
        <v>0</v>
      </c>
      <c r="L72" s="13" t="e">
        <f>INDEX(Input!$D$2:$AC$500,
       MATCH(B72, Input!$J$2:$J$500, 0),
       MATCH("Memory Capacity", Input!$D$1:$AC$1, 0))</f>
        <v>#N/A</v>
      </c>
      <c r="M72" s="13" t="e">
        <f>INDEX(Input!$D$2:$AC$500,
       MATCH(B72, Input!$J$2:$J$500, 0),
       MATCH("Memory Type", Input!$D$1:$AC$1, 0))</f>
        <v>#N/A</v>
      </c>
      <c r="N72" s="13" t="e">
        <f t="shared" si="3"/>
        <v>#N/A</v>
      </c>
      <c r="O72" s="13" t="str" cm="1">
        <f t="array" ref="O72">IFERROR(_xlfn.FILTERXML("&lt;t&gt;&lt;s&gt;" &amp; SUBSTITUTE(M72," / ","&lt;/s&gt;&lt;s&gt;") &amp; "&lt;/s&gt;&lt;/t&gt;","(//s[contains(.,'DDR')])[1]"),"")</f>
        <v/>
      </c>
      <c r="P72" t="e">
        <f t="shared" si="4"/>
        <v>#N/A</v>
      </c>
      <c r="Q72" t="e">
        <f>INDEX(Input!$D$2:$AC$500,
       MATCH(B72, Input!$J$2:$J$500, 0),
       MATCH("Disk Capacity", Input!$D$1:$AC$1, 0))</f>
        <v>#N/A</v>
      </c>
      <c r="S72" s="13" t="str">
        <f>_xlfn.LET(_xlpm.Result,_xlfn.XLOOKUP(B72,Input!J:J,Input!AA:AA),IF(_xlpm.Result="","",_xlpm.Result))</f>
        <v/>
      </c>
      <c r="T72" s="13" t="str" cm="1">
        <f t="array" ref="T72">IFERROR(_xlfn.IFS(
   --S72&lt;55,"Battery Defect",
  -- S72&lt;=69,"Battery D",
  --S72&lt;=80,"Battery C",
 --S72&gt;80,""
),"")</f>
        <v/>
      </c>
      <c r="U72" s="13" t="str" cm="1">
        <f t="array" ref="U72:AB72">IFERROR(IF(_xlfn.XLOOKUP(B72,Input!J:J,Input!N:U)=0,"",
          _xlfn.XLOOKUP(B72,Input!J:J,Input!N:U)),"")</f>
        <v/>
      </c>
      <c r="V72" s="13" t="str">
        <v/>
      </c>
      <c r="W72" s="13" t="str">
        <v/>
      </c>
      <c r="X72" s="13" t="str">
        <v/>
      </c>
      <c r="Y72" s="13" t="str">
        <v/>
      </c>
      <c r="Z72" s="13" t="str">
        <v/>
      </c>
      <c r="AA72" s="13" t="str">
        <v/>
      </c>
      <c r="AB72" s="13" t="str">
        <v/>
      </c>
      <c r="AC72" t="str">
        <f t="shared" si="5"/>
        <v/>
      </c>
      <c r="AD72" t="str">
        <f>_xlfn.XLOOKUP(B:B,Disk_Pivot!G:G,Disk_Pivot!I:I)</f>
        <v>Yes</v>
      </c>
      <c r="AE72" t="str">
        <f>_xlfn.XLOOKUP(B72,Disk_Pivot!G:G,Disk_Pivot!N:N)</f>
        <v>Fail</v>
      </c>
    </row>
    <row r="73" spans="1:31">
      <c r="A73" t="str">
        <f>_xlfn.TEXTJOIN("",TRUE,_xlfn.XLOOKUP(B73,Input!J:J,Input!G:G,"",0,1),_xlfn.XLOOKUP(B73,Input!J:J,Input!H:H,"",0,1))</f>
        <v/>
      </c>
      <c r="C73" s="13">
        <f>_xlfn.XLOOKUP(B73,Input!J:J,Input!F:F)</f>
        <v>0</v>
      </c>
      <c r="D73">
        <f>_xlfn.XLOOKUP(C73,Models!H:H,Models!G:G,C73)</f>
        <v>0</v>
      </c>
      <c r="F73" t="str">
        <f>_xlfn.XLOOKUP(H73,Models!B:B,Models!F:F,"")</f>
        <v/>
      </c>
      <c r="G73">
        <f>_xlfn.XLOOKUP(B73,Input!J:J,Input!E:E)</f>
        <v>0</v>
      </c>
      <c r="H73">
        <f>IF(G73="LENOVO",_xlfn.XLOOKUP(B73,Input!J:J,Input!K:K),_xlfn.XLOOKUP(B73,Input!J:J,Input!L:L))</f>
        <v>0</v>
      </c>
      <c r="K73">
        <f>_xlfn.XLOOKUP(B73,CPU_Formula!A:A,CPU_Formula!I:I)</f>
        <v>0</v>
      </c>
      <c r="L73" s="13" t="e">
        <f>INDEX(Input!$D$2:$AC$500,
       MATCH(B73, Input!$J$2:$J$500, 0),
       MATCH("Memory Capacity", Input!$D$1:$AC$1, 0))</f>
        <v>#N/A</v>
      </c>
      <c r="M73" s="13" t="e">
        <f>INDEX(Input!$D$2:$AC$500,
       MATCH(B73, Input!$J$2:$J$500, 0),
       MATCH("Memory Type", Input!$D$1:$AC$1, 0))</f>
        <v>#N/A</v>
      </c>
      <c r="N73" s="13" t="e">
        <f t="shared" si="3"/>
        <v>#N/A</v>
      </c>
      <c r="O73" s="13" t="str" cm="1">
        <f t="array" ref="O73">IFERROR(_xlfn.FILTERXML("&lt;t&gt;&lt;s&gt;" &amp; SUBSTITUTE(M73," / ","&lt;/s&gt;&lt;s&gt;") &amp; "&lt;/s&gt;&lt;/t&gt;","(//s[contains(.,'DDR')])[1]"),"")</f>
        <v/>
      </c>
      <c r="P73" t="e">
        <f t="shared" si="4"/>
        <v>#N/A</v>
      </c>
      <c r="Q73" t="e">
        <f>INDEX(Input!$D$2:$AC$500,
       MATCH(B73, Input!$J$2:$J$500, 0),
       MATCH("Disk Capacity", Input!$D$1:$AC$1, 0))</f>
        <v>#N/A</v>
      </c>
      <c r="S73" s="13" t="str">
        <f>_xlfn.LET(_xlpm.Result,_xlfn.XLOOKUP(B73,Input!J:J,Input!AA:AA),IF(_xlpm.Result="","",_xlpm.Result))</f>
        <v/>
      </c>
      <c r="T73" s="13" t="str" cm="1">
        <f t="array" ref="T73">IFERROR(_xlfn.IFS(
   --S73&lt;55,"Battery Defect",
  -- S73&lt;=69,"Battery D",
  --S73&lt;=80,"Battery C",
 --S73&gt;80,""
),"")</f>
        <v/>
      </c>
      <c r="U73" s="13" t="str" cm="1">
        <f t="array" ref="U73:AB73">IFERROR(IF(_xlfn.XLOOKUP(B73,Input!J:J,Input!N:U)=0,"",
          _xlfn.XLOOKUP(B73,Input!J:J,Input!N:U)),"")</f>
        <v/>
      </c>
      <c r="V73" s="13" t="str">
        <v/>
      </c>
      <c r="W73" s="13" t="str">
        <v/>
      </c>
      <c r="X73" s="13" t="str">
        <v/>
      </c>
      <c r="Y73" s="13" t="str">
        <v/>
      </c>
      <c r="Z73" s="13" t="str">
        <v/>
      </c>
      <c r="AA73" s="13" t="str">
        <v/>
      </c>
      <c r="AB73" s="13" t="str">
        <v/>
      </c>
      <c r="AC73" t="str">
        <f t="shared" si="5"/>
        <v/>
      </c>
      <c r="AD73" t="str">
        <f>_xlfn.XLOOKUP(B:B,Disk_Pivot!G:G,Disk_Pivot!I:I)</f>
        <v>Yes</v>
      </c>
      <c r="AE73" t="str">
        <f>_xlfn.XLOOKUP(B73,Disk_Pivot!G:G,Disk_Pivot!N:N)</f>
        <v>Fail</v>
      </c>
    </row>
    <row r="74" spans="1:31">
      <c r="A74" t="str">
        <f>_xlfn.TEXTJOIN("",TRUE,_xlfn.XLOOKUP(B74,Input!J:J,Input!G:G,"",0,1),_xlfn.XLOOKUP(B74,Input!J:J,Input!H:H,"",0,1))</f>
        <v/>
      </c>
      <c r="C74" s="13">
        <f>_xlfn.XLOOKUP(B74,Input!J:J,Input!F:F)</f>
        <v>0</v>
      </c>
      <c r="D74">
        <f>_xlfn.XLOOKUP(C74,Models!H:H,Models!G:G,C74)</f>
        <v>0</v>
      </c>
      <c r="F74" t="str">
        <f>_xlfn.XLOOKUP(H74,Models!B:B,Models!F:F,"")</f>
        <v/>
      </c>
      <c r="G74">
        <f>_xlfn.XLOOKUP(B74,Input!J:J,Input!E:E)</f>
        <v>0</v>
      </c>
      <c r="H74">
        <f>IF(G74="LENOVO",_xlfn.XLOOKUP(B74,Input!J:J,Input!K:K),_xlfn.XLOOKUP(B74,Input!J:J,Input!L:L))</f>
        <v>0</v>
      </c>
      <c r="K74">
        <f>_xlfn.XLOOKUP(B74,CPU_Formula!A:A,CPU_Formula!I:I)</f>
        <v>0</v>
      </c>
      <c r="L74" s="13" t="e">
        <f>INDEX(Input!$D$2:$AC$500,
       MATCH(B74, Input!$J$2:$J$500, 0),
       MATCH("Memory Capacity", Input!$D$1:$AC$1, 0))</f>
        <v>#N/A</v>
      </c>
      <c r="M74" s="13" t="e">
        <f>INDEX(Input!$D$2:$AC$500,
       MATCH(B74, Input!$J$2:$J$500, 0),
       MATCH("Memory Type", Input!$D$1:$AC$1, 0))</f>
        <v>#N/A</v>
      </c>
      <c r="N74" s="13" t="e">
        <f t="shared" si="3"/>
        <v>#N/A</v>
      </c>
      <c r="O74" s="13" t="str" cm="1">
        <f t="array" ref="O74">IFERROR(_xlfn.FILTERXML("&lt;t&gt;&lt;s&gt;" &amp; SUBSTITUTE(M74," / ","&lt;/s&gt;&lt;s&gt;") &amp; "&lt;/s&gt;&lt;/t&gt;","(//s[contains(.,'DDR')])[1]"),"")</f>
        <v/>
      </c>
      <c r="P74" t="e">
        <f t="shared" si="4"/>
        <v>#N/A</v>
      </c>
      <c r="Q74" t="e">
        <f>INDEX(Input!$D$2:$AC$500,
       MATCH(B74, Input!$J$2:$J$500, 0),
       MATCH("Disk Capacity", Input!$D$1:$AC$1, 0))</f>
        <v>#N/A</v>
      </c>
      <c r="S74" s="13" t="str">
        <f>_xlfn.LET(_xlpm.Result,_xlfn.XLOOKUP(B74,Input!J:J,Input!AA:AA),IF(_xlpm.Result="","",_xlpm.Result))</f>
        <v/>
      </c>
      <c r="T74" s="13" t="str" cm="1">
        <f t="array" ref="T74">IFERROR(_xlfn.IFS(
   --S74&lt;55,"Battery Defect",
  -- S74&lt;=69,"Battery D",
  --S74&lt;=80,"Battery C",
 --S74&gt;80,""
),"")</f>
        <v/>
      </c>
      <c r="U74" s="13" t="str" cm="1">
        <f t="array" ref="U74:AB74">IFERROR(IF(_xlfn.XLOOKUP(B74,Input!J:J,Input!N:U)=0,"",
          _xlfn.XLOOKUP(B74,Input!J:J,Input!N:U)),"")</f>
        <v/>
      </c>
      <c r="V74" s="13" t="str">
        <v/>
      </c>
      <c r="W74" s="13" t="str">
        <v/>
      </c>
      <c r="X74" s="13" t="str">
        <v/>
      </c>
      <c r="Y74" s="13" t="str">
        <v/>
      </c>
      <c r="Z74" s="13" t="str">
        <v/>
      </c>
      <c r="AA74" s="13" t="str">
        <v/>
      </c>
      <c r="AB74" s="13" t="str">
        <v/>
      </c>
      <c r="AC74" t="str">
        <f t="shared" si="5"/>
        <v/>
      </c>
      <c r="AD74" t="str">
        <f>_xlfn.XLOOKUP(B:B,Disk_Pivot!G:G,Disk_Pivot!I:I)</f>
        <v>Yes</v>
      </c>
      <c r="AE74" t="str">
        <f>_xlfn.XLOOKUP(B74,Disk_Pivot!G:G,Disk_Pivot!N:N)</f>
        <v>Fail</v>
      </c>
    </row>
    <row r="75" spans="1:31">
      <c r="A75" t="str">
        <f>_xlfn.TEXTJOIN("",TRUE,_xlfn.XLOOKUP(B75,Input!J:J,Input!G:G,"",0,1),_xlfn.XLOOKUP(B75,Input!J:J,Input!H:H,"",0,1))</f>
        <v/>
      </c>
      <c r="C75" s="13">
        <f>_xlfn.XLOOKUP(B75,Input!J:J,Input!F:F)</f>
        <v>0</v>
      </c>
      <c r="D75">
        <f>_xlfn.XLOOKUP(C75,Models!H:H,Models!G:G,C75)</f>
        <v>0</v>
      </c>
      <c r="F75" t="str">
        <f>_xlfn.XLOOKUP(H75,Models!B:B,Models!F:F,"")</f>
        <v/>
      </c>
      <c r="G75">
        <f>_xlfn.XLOOKUP(B75,Input!J:J,Input!E:E)</f>
        <v>0</v>
      </c>
      <c r="H75">
        <f>IF(G75="LENOVO",_xlfn.XLOOKUP(B75,Input!J:J,Input!K:K),_xlfn.XLOOKUP(B75,Input!J:J,Input!L:L))</f>
        <v>0</v>
      </c>
      <c r="K75">
        <f>_xlfn.XLOOKUP(B75,CPU_Formula!A:A,CPU_Formula!I:I)</f>
        <v>0</v>
      </c>
      <c r="L75" s="13" t="e">
        <f>INDEX(Input!$D$2:$AC$500,
       MATCH(B75, Input!$J$2:$J$500, 0),
       MATCH("Memory Capacity", Input!$D$1:$AC$1, 0))</f>
        <v>#N/A</v>
      </c>
      <c r="M75" s="13" t="e">
        <f>INDEX(Input!$D$2:$AC$500,
       MATCH(B75, Input!$J$2:$J$500, 0),
       MATCH("Memory Type", Input!$D$1:$AC$1, 0))</f>
        <v>#N/A</v>
      </c>
      <c r="N75" s="13" t="e">
        <f t="shared" si="3"/>
        <v>#N/A</v>
      </c>
      <c r="O75" s="13" t="str" cm="1">
        <f t="array" ref="O75">IFERROR(_xlfn.FILTERXML("&lt;t&gt;&lt;s&gt;" &amp; SUBSTITUTE(M75," / ","&lt;/s&gt;&lt;s&gt;") &amp; "&lt;/s&gt;&lt;/t&gt;","(//s[contains(.,'DDR')])[1]"),"")</f>
        <v/>
      </c>
      <c r="P75" t="e">
        <f t="shared" si="4"/>
        <v>#N/A</v>
      </c>
      <c r="Q75" t="e">
        <f>INDEX(Input!$D$2:$AC$500,
       MATCH(B75, Input!$J$2:$J$500, 0),
       MATCH("Disk Capacity", Input!$D$1:$AC$1, 0))</f>
        <v>#N/A</v>
      </c>
      <c r="S75" s="13" t="str">
        <f>_xlfn.LET(_xlpm.Result,_xlfn.XLOOKUP(B75,Input!J:J,Input!AA:AA),IF(_xlpm.Result="","",_xlpm.Result))</f>
        <v/>
      </c>
      <c r="T75" s="13" t="str" cm="1">
        <f t="array" ref="T75">IFERROR(_xlfn.IFS(
   --S75&lt;55,"Battery Defect",
  -- S75&lt;=69,"Battery D",
  --S75&lt;=80,"Battery C",
 --S75&gt;80,""
),"")</f>
        <v/>
      </c>
      <c r="U75" s="13" t="str" cm="1">
        <f t="array" ref="U75:AB75">IFERROR(IF(_xlfn.XLOOKUP(B75,Input!J:J,Input!N:U)=0,"",
          _xlfn.XLOOKUP(B75,Input!J:J,Input!N:U)),"")</f>
        <v/>
      </c>
      <c r="V75" s="13" t="str">
        <v/>
      </c>
      <c r="W75" s="13" t="str">
        <v/>
      </c>
      <c r="X75" s="13" t="str">
        <v/>
      </c>
      <c r="Y75" s="13" t="str">
        <v/>
      </c>
      <c r="Z75" s="13" t="str">
        <v/>
      </c>
      <c r="AA75" s="13" t="str">
        <v/>
      </c>
      <c r="AB75" s="13" t="str">
        <v/>
      </c>
      <c r="AC75" t="str">
        <f t="shared" si="5"/>
        <v/>
      </c>
      <c r="AD75" t="str">
        <f>_xlfn.XLOOKUP(B:B,Disk_Pivot!G:G,Disk_Pivot!I:I)</f>
        <v>Yes</v>
      </c>
      <c r="AE75" t="str">
        <f>_xlfn.XLOOKUP(B75,Disk_Pivot!G:G,Disk_Pivot!N:N)</f>
        <v>Fail</v>
      </c>
    </row>
    <row r="76" spans="1:31">
      <c r="A76" t="str">
        <f>_xlfn.TEXTJOIN("",TRUE,_xlfn.XLOOKUP(B76,Input!J:J,Input!G:G,"",0,1),_xlfn.XLOOKUP(B76,Input!J:J,Input!H:H,"",0,1))</f>
        <v/>
      </c>
      <c r="C76" s="13">
        <f>_xlfn.XLOOKUP(B76,Input!J:J,Input!F:F)</f>
        <v>0</v>
      </c>
      <c r="D76">
        <f>_xlfn.XLOOKUP(C76,Models!H:H,Models!G:G,C76)</f>
        <v>0</v>
      </c>
      <c r="F76" t="str">
        <f>_xlfn.XLOOKUP(H76,Models!B:B,Models!F:F,"")</f>
        <v/>
      </c>
      <c r="G76">
        <f>_xlfn.XLOOKUP(B76,Input!J:J,Input!E:E)</f>
        <v>0</v>
      </c>
      <c r="H76">
        <f>IF(G76="LENOVO",_xlfn.XLOOKUP(B76,Input!J:J,Input!K:K),_xlfn.XLOOKUP(B76,Input!J:J,Input!L:L))</f>
        <v>0</v>
      </c>
      <c r="K76">
        <f>_xlfn.XLOOKUP(B76,CPU_Formula!A:A,CPU_Formula!I:I)</f>
        <v>0</v>
      </c>
      <c r="L76" s="13" t="e">
        <f>INDEX(Input!$D$2:$AC$500,
       MATCH(B76, Input!$J$2:$J$500, 0),
       MATCH("Memory Capacity", Input!$D$1:$AC$1, 0))</f>
        <v>#N/A</v>
      </c>
      <c r="M76" s="13" t="e">
        <f>INDEX(Input!$D$2:$AC$500,
       MATCH(B76, Input!$J$2:$J$500, 0),
       MATCH("Memory Type", Input!$D$1:$AC$1, 0))</f>
        <v>#N/A</v>
      </c>
      <c r="N76" s="13" t="e">
        <f t="shared" si="3"/>
        <v>#N/A</v>
      </c>
      <c r="O76" s="13" t="str" cm="1">
        <f t="array" ref="O76">IFERROR(_xlfn.FILTERXML("&lt;t&gt;&lt;s&gt;" &amp; SUBSTITUTE(M76," / ","&lt;/s&gt;&lt;s&gt;") &amp; "&lt;/s&gt;&lt;/t&gt;","(//s[contains(.,'DDR')])[1]"),"")</f>
        <v/>
      </c>
      <c r="P76" t="e">
        <f t="shared" si="4"/>
        <v>#N/A</v>
      </c>
      <c r="Q76" t="e">
        <f>INDEX(Input!$D$2:$AC$500,
       MATCH(B76, Input!$J$2:$J$500, 0),
       MATCH("Disk Capacity", Input!$D$1:$AC$1, 0))</f>
        <v>#N/A</v>
      </c>
      <c r="S76" s="13" t="str">
        <f>_xlfn.LET(_xlpm.Result,_xlfn.XLOOKUP(B76,Input!J:J,Input!AA:AA),IF(_xlpm.Result="","",_xlpm.Result))</f>
        <v/>
      </c>
      <c r="T76" s="13" t="str" cm="1">
        <f t="array" ref="T76">IFERROR(_xlfn.IFS(
   --S76&lt;55,"Battery Defect",
  -- S76&lt;=69,"Battery D",
  --S76&lt;=80,"Battery C",
 --S76&gt;80,""
),"")</f>
        <v/>
      </c>
      <c r="U76" s="13" t="str" cm="1">
        <f t="array" ref="U76:AB76">IFERROR(IF(_xlfn.XLOOKUP(B76,Input!J:J,Input!N:U)=0,"",
          _xlfn.XLOOKUP(B76,Input!J:J,Input!N:U)),"")</f>
        <v/>
      </c>
      <c r="V76" s="13" t="str">
        <v/>
      </c>
      <c r="W76" s="13" t="str">
        <v/>
      </c>
      <c r="X76" s="13" t="str">
        <v/>
      </c>
      <c r="Y76" s="13" t="str">
        <v/>
      </c>
      <c r="Z76" s="13" t="str">
        <v/>
      </c>
      <c r="AA76" s="13" t="str">
        <v/>
      </c>
      <c r="AB76" s="13" t="str">
        <v/>
      </c>
      <c r="AC76" t="str">
        <f t="shared" si="5"/>
        <v/>
      </c>
      <c r="AD76" t="str">
        <f>_xlfn.XLOOKUP(B:B,Disk_Pivot!G:G,Disk_Pivot!I:I)</f>
        <v>Yes</v>
      </c>
      <c r="AE76" t="str">
        <f>_xlfn.XLOOKUP(B76,Disk_Pivot!G:G,Disk_Pivot!N:N)</f>
        <v>Fail</v>
      </c>
    </row>
    <row r="77" spans="1:31">
      <c r="A77" t="str">
        <f>_xlfn.TEXTJOIN("",TRUE,_xlfn.XLOOKUP(B77,Input!J:J,Input!G:G,"",0,1),_xlfn.XLOOKUP(B77,Input!J:J,Input!H:H,"",0,1))</f>
        <v/>
      </c>
      <c r="C77" s="13">
        <f>_xlfn.XLOOKUP(B77,Input!J:J,Input!F:F)</f>
        <v>0</v>
      </c>
      <c r="D77">
        <f>_xlfn.XLOOKUP(C77,Models!H:H,Models!G:G,C77)</f>
        <v>0</v>
      </c>
      <c r="F77" t="str">
        <f>_xlfn.XLOOKUP(H77,Models!B:B,Models!F:F,"")</f>
        <v/>
      </c>
      <c r="G77">
        <f>_xlfn.XLOOKUP(B77,Input!J:J,Input!E:E)</f>
        <v>0</v>
      </c>
      <c r="H77">
        <f>IF(G77="LENOVO",_xlfn.XLOOKUP(B77,Input!J:J,Input!K:K),_xlfn.XLOOKUP(B77,Input!J:J,Input!L:L))</f>
        <v>0</v>
      </c>
      <c r="K77">
        <f>_xlfn.XLOOKUP(B77,CPU_Formula!A:A,CPU_Formula!I:I)</f>
        <v>0</v>
      </c>
      <c r="L77" s="13" t="e">
        <f>INDEX(Input!$D$2:$AC$500,
       MATCH(B77, Input!$J$2:$J$500, 0),
       MATCH("Memory Capacity", Input!$D$1:$AC$1, 0))</f>
        <v>#N/A</v>
      </c>
      <c r="M77" s="13" t="e">
        <f>INDEX(Input!$D$2:$AC$500,
       MATCH(B77, Input!$J$2:$J$500, 0),
       MATCH("Memory Type", Input!$D$1:$AC$1, 0))</f>
        <v>#N/A</v>
      </c>
      <c r="N77" s="13" t="e">
        <f t="shared" si="3"/>
        <v>#N/A</v>
      </c>
      <c r="O77" s="13" t="str" cm="1">
        <f t="array" ref="O77">IFERROR(_xlfn.FILTERXML("&lt;t&gt;&lt;s&gt;" &amp; SUBSTITUTE(M77," / ","&lt;/s&gt;&lt;s&gt;") &amp; "&lt;/s&gt;&lt;/t&gt;","(//s[contains(.,'DDR')])[1]"),"")</f>
        <v/>
      </c>
      <c r="P77" t="e">
        <f t="shared" si="4"/>
        <v>#N/A</v>
      </c>
      <c r="Q77" t="e">
        <f>INDEX(Input!$D$2:$AC$500,
       MATCH(B77, Input!$J$2:$J$500, 0),
       MATCH("Disk Capacity", Input!$D$1:$AC$1, 0))</f>
        <v>#N/A</v>
      </c>
      <c r="S77" s="13" t="str">
        <f>_xlfn.LET(_xlpm.Result,_xlfn.XLOOKUP(B77,Input!J:J,Input!AA:AA),IF(_xlpm.Result="","",_xlpm.Result))</f>
        <v/>
      </c>
      <c r="T77" s="13" t="str" cm="1">
        <f t="array" ref="T77">IFERROR(_xlfn.IFS(
   --S77&lt;55,"Battery Defect",
  -- S77&lt;=69,"Battery D",
  --S77&lt;=80,"Battery C",
 --S77&gt;80,""
),"")</f>
        <v/>
      </c>
      <c r="U77" s="13" t="str" cm="1">
        <f t="array" ref="U77:AB77">IFERROR(IF(_xlfn.XLOOKUP(B77,Input!J:J,Input!N:U)=0,"",
          _xlfn.XLOOKUP(B77,Input!J:J,Input!N:U)),"")</f>
        <v/>
      </c>
      <c r="V77" s="13" t="str">
        <v/>
      </c>
      <c r="W77" s="13" t="str">
        <v/>
      </c>
      <c r="X77" s="13" t="str">
        <v/>
      </c>
      <c r="Y77" s="13" t="str">
        <v/>
      </c>
      <c r="Z77" s="13" t="str">
        <v/>
      </c>
      <c r="AA77" s="13" t="str">
        <v/>
      </c>
      <c r="AB77" s="13" t="str">
        <v/>
      </c>
      <c r="AC77" t="str">
        <f t="shared" si="5"/>
        <v/>
      </c>
      <c r="AD77" t="str">
        <f>_xlfn.XLOOKUP(B:B,Disk_Pivot!G:G,Disk_Pivot!I:I)</f>
        <v>Yes</v>
      </c>
      <c r="AE77" t="str">
        <f>_xlfn.XLOOKUP(B77,Disk_Pivot!G:G,Disk_Pivot!N:N)</f>
        <v>Fail</v>
      </c>
    </row>
    <row r="78" spans="1:31">
      <c r="A78" t="str">
        <f>_xlfn.TEXTJOIN("",TRUE,_xlfn.XLOOKUP(B78,Input!J:J,Input!G:G,"",0,1),_xlfn.XLOOKUP(B78,Input!J:J,Input!H:H,"",0,1))</f>
        <v/>
      </c>
      <c r="C78" s="13">
        <f>_xlfn.XLOOKUP(B78,Input!J:J,Input!F:F)</f>
        <v>0</v>
      </c>
      <c r="D78">
        <f>_xlfn.XLOOKUP(C78,Models!H:H,Models!G:G,C78)</f>
        <v>0</v>
      </c>
      <c r="F78" t="str">
        <f>_xlfn.XLOOKUP(H78,Models!B:B,Models!F:F,"")</f>
        <v/>
      </c>
      <c r="G78">
        <f>_xlfn.XLOOKUP(B78,Input!J:J,Input!E:E)</f>
        <v>0</v>
      </c>
      <c r="H78">
        <f>IF(G78="LENOVO",_xlfn.XLOOKUP(B78,Input!J:J,Input!K:K),_xlfn.XLOOKUP(B78,Input!J:J,Input!L:L))</f>
        <v>0</v>
      </c>
      <c r="K78">
        <f>_xlfn.XLOOKUP(B78,CPU_Formula!A:A,CPU_Formula!I:I)</f>
        <v>0</v>
      </c>
      <c r="L78" s="13" t="e">
        <f>INDEX(Input!$D$2:$AC$500,
       MATCH(B78, Input!$J$2:$J$500, 0),
       MATCH("Memory Capacity", Input!$D$1:$AC$1, 0))</f>
        <v>#N/A</v>
      </c>
      <c r="M78" s="13" t="e">
        <f>INDEX(Input!$D$2:$AC$500,
       MATCH(B78, Input!$J$2:$J$500, 0),
       MATCH("Memory Type", Input!$D$1:$AC$1, 0))</f>
        <v>#N/A</v>
      </c>
      <c r="N78" s="13" t="e">
        <f t="shared" si="3"/>
        <v>#N/A</v>
      </c>
      <c r="O78" s="13" t="str" cm="1">
        <f t="array" ref="O78">IFERROR(_xlfn.FILTERXML("&lt;t&gt;&lt;s&gt;" &amp; SUBSTITUTE(M78," / ","&lt;/s&gt;&lt;s&gt;") &amp; "&lt;/s&gt;&lt;/t&gt;","(//s[contains(.,'DDR')])[1]"),"")</f>
        <v/>
      </c>
      <c r="P78" t="e">
        <f t="shared" si="4"/>
        <v>#N/A</v>
      </c>
      <c r="Q78" t="e">
        <f>INDEX(Input!$D$2:$AC$500,
       MATCH(B78, Input!$J$2:$J$500, 0),
       MATCH("Disk Capacity", Input!$D$1:$AC$1, 0))</f>
        <v>#N/A</v>
      </c>
      <c r="S78" s="13" t="str">
        <f>_xlfn.LET(_xlpm.Result,_xlfn.XLOOKUP(B78,Input!J:J,Input!AA:AA),IF(_xlpm.Result="","",_xlpm.Result))</f>
        <v/>
      </c>
      <c r="T78" s="13" t="str" cm="1">
        <f t="array" ref="T78">IFERROR(_xlfn.IFS(
   --S78&lt;55,"Battery Defect",
  -- S78&lt;=69,"Battery D",
  --S78&lt;=80,"Battery C",
 --S78&gt;80,""
),"")</f>
        <v/>
      </c>
      <c r="U78" s="13" t="str" cm="1">
        <f t="array" ref="U78:AB78">IFERROR(IF(_xlfn.XLOOKUP(B78,Input!J:J,Input!N:U)=0,"",
          _xlfn.XLOOKUP(B78,Input!J:J,Input!N:U)),"")</f>
        <v/>
      </c>
      <c r="V78" s="13" t="str">
        <v/>
      </c>
      <c r="W78" s="13" t="str">
        <v/>
      </c>
      <c r="X78" s="13" t="str">
        <v/>
      </c>
      <c r="Y78" s="13" t="str">
        <v/>
      </c>
      <c r="Z78" s="13" t="str">
        <v/>
      </c>
      <c r="AA78" s="13" t="str">
        <v/>
      </c>
      <c r="AB78" s="13" t="str">
        <v/>
      </c>
      <c r="AC78" t="str">
        <f t="shared" si="5"/>
        <v/>
      </c>
      <c r="AD78" t="str">
        <f>_xlfn.XLOOKUP(B:B,Disk_Pivot!G:G,Disk_Pivot!I:I)</f>
        <v>Yes</v>
      </c>
      <c r="AE78" t="str">
        <f>_xlfn.XLOOKUP(B78,Disk_Pivot!G:G,Disk_Pivot!N:N)</f>
        <v>Fail</v>
      </c>
    </row>
    <row r="79" spans="1:31">
      <c r="A79" t="str">
        <f>_xlfn.TEXTJOIN("",TRUE,_xlfn.XLOOKUP(B79,Input!J:J,Input!G:G,"",0,1),_xlfn.XLOOKUP(B79,Input!J:J,Input!H:H,"",0,1))</f>
        <v/>
      </c>
      <c r="C79" s="13">
        <f>_xlfn.XLOOKUP(B79,Input!J:J,Input!F:F)</f>
        <v>0</v>
      </c>
      <c r="D79">
        <f>_xlfn.XLOOKUP(C79,Models!H:H,Models!G:G,C79)</f>
        <v>0</v>
      </c>
      <c r="F79" t="str">
        <f>_xlfn.XLOOKUP(H79,Models!B:B,Models!F:F,"")</f>
        <v/>
      </c>
      <c r="G79">
        <f>_xlfn.XLOOKUP(B79,Input!J:J,Input!E:E)</f>
        <v>0</v>
      </c>
      <c r="H79">
        <f>IF(G79="LENOVO",_xlfn.XLOOKUP(B79,Input!J:J,Input!K:K),_xlfn.XLOOKUP(B79,Input!J:J,Input!L:L))</f>
        <v>0</v>
      </c>
      <c r="K79">
        <f>_xlfn.XLOOKUP(B79,CPU_Formula!A:A,CPU_Formula!I:I)</f>
        <v>0</v>
      </c>
      <c r="L79" s="13" t="e">
        <f>INDEX(Input!$D$2:$AC$500,
       MATCH(B79, Input!$J$2:$J$500, 0),
       MATCH("Memory Capacity", Input!$D$1:$AC$1, 0))</f>
        <v>#N/A</v>
      </c>
      <c r="M79" s="13" t="e">
        <f>INDEX(Input!$D$2:$AC$500,
       MATCH(B79, Input!$J$2:$J$500, 0),
       MATCH("Memory Type", Input!$D$1:$AC$1, 0))</f>
        <v>#N/A</v>
      </c>
      <c r="N79" s="13" t="e">
        <f t="shared" si="3"/>
        <v>#N/A</v>
      </c>
      <c r="O79" s="13" t="str" cm="1">
        <f t="array" ref="O79">IFERROR(_xlfn.FILTERXML("&lt;t&gt;&lt;s&gt;" &amp; SUBSTITUTE(M79," / ","&lt;/s&gt;&lt;s&gt;") &amp; "&lt;/s&gt;&lt;/t&gt;","(//s[contains(.,'DDR')])[1]"),"")</f>
        <v/>
      </c>
      <c r="P79" t="e">
        <f t="shared" si="4"/>
        <v>#N/A</v>
      </c>
      <c r="Q79" t="e">
        <f>INDEX(Input!$D$2:$AC$500,
       MATCH(B79, Input!$J$2:$J$500, 0),
       MATCH("Disk Capacity", Input!$D$1:$AC$1, 0))</f>
        <v>#N/A</v>
      </c>
      <c r="S79" s="13" t="str">
        <f>_xlfn.LET(_xlpm.Result,_xlfn.XLOOKUP(B79,Input!J:J,Input!AA:AA),IF(_xlpm.Result="","",_xlpm.Result))</f>
        <v/>
      </c>
      <c r="T79" s="13" t="str" cm="1">
        <f t="array" ref="T79">IFERROR(_xlfn.IFS(
   --S79&lt;55,"Battery Defect",
  -- S79&lt;=69,"Battery D",
  --S79&lt;=80,"Battery C",
 --S79&gt;80,""
),"")</f>
        <v/>
      </c>
      <c r="U79" s="13" t="str" cm="1">
        <f t="array" ref="U79:AB79">IFERROR(IF(_xlfn.XLOOKUP(B79,Input!J:J,Input!N:U)=0,"",
          _xlfn.XLOOKUP(B79,Input!J:J,Input!N:U)),"")</f>
        <v/>
      </c>
      <c r="V79" s="13" t="str">
        <v/>
      </c>
      <c r="W79" s="13" t="str">
        <v/>
      </c>
      <c r="X79" s="13" t="str">
        <v/>
      </c>
      <c r="Y79" s="13" t="str">
        <v/>
      </c>
      <c r="Z79" s="13" t="str">
        <v/>
      </c>
      <c r="AA79" s="13" t="str">
        <v/>
      </c>
      <c r="AB79" s="13" t="str">
        <v/>
      </c>
      <c r="AC79" t="str">
        <f t="shared" si="5"/>
        <v/>
      </c>
      <c r="AD79" t="str">
        <f>_xlfn.XLOOKUP(B:B,Disk_Pivot!G:G,Disk_Pivot!I:I)</f>
        <v>Yes</v>
      </c>
      <c r="AE79" t="str">
        <f>_xlfn.XLOOKUP(B79,Disk_Pivot!G:G,Disk_Pivot!N:N)</f>
        <v>Fail</v>
      </c>
    </row>
    <row r="80" spans="1:31">
      <c r="A80" t="str">
        <f>_xlfn.TEXTJOIN("",TRUE,_xlfn.XLOOKUP(B80,Input!J:J,Input!G:G,"",0,1),_xlfn.XLOOKUP(B80,Input!J:J,Input!H:H,"",0,1))</f>
        <v/>
      </c>
      <c r="C80" s="13">
        <f>_xlfn.XLOOKUP(B80,Input!J:J,Input!F:F)</f>
        <v>0</v>
      </c>
      <c r="D80">
        <f>_xlfn.XLOOKUP(C80,Models!H:H,Models!G:G,C80)</f>
        <v>0</v>
      </c>
      <c r="F80" t="str">
        <f>_xlfn.XLOOKUP(H80,Models!B:B,Models!F:F,"")</f>
        <v/>
      </c>
      <c r="G80">
        <f>_xlfn.XLOOKUP(B80,Input!J:J,Input!E:E)</f>
        <v>0</v>
      </c>
      <c r="H80">
        <f>IF(G80="LENOVO",_xlfn.XLOOKUP(B80,Input!J:J,Input!K:K),_xlfn.XLOOKUP(B80,Input!J:J,Input!L:L))</f>
        <v>0</v>
      </c>
      <c r="K80">
        <f>_xlfn.XLOOKUP(B80,CPU_Formula!A:A,CPU_Formula!I:I)</f>
        <v>0</v>
      </c>
      <c r="L80" s="13" t="e">
        <f>INDEX(Input!$D$2:$AC$500,
       MATCH(B80, Input!$J$2:$J$500, 0),
       MATCH("Memory Capacity", Input!$D$1:$AC$1, 0))</f>
        <v>#N/A</v>
      </c>
      <c r="M80" s="13" t="e">
        <f>INDEX(Input!$D$2:$AC$500,
       MATCH(B80, Input!$J$2:$J$500, 0),
       MATCH("Memory Type", Input!$D$1:$AC$1, 0))</f>
        <v>#N/A</v>
      </c>
      <c r="N80" s="13" t="e">
        <f t="shared" si="3"/>
        <v>#N/A</v>
      </c>
      <c r="O80" s="13" t="str" cm="1">
        <f t="array" ref="O80">IFERROR(_xlfn.FILTERXML("&lt;t&gt;&lt;s&gt;" &amp; SUBSTITUTE(M80," / ","&lt;/s&gt;&lt;s&gt;") &amp; "&lt;/s&gt;&lt;/t&gt;","(//s[contains(.,'DDR')])[1]"),"")</f>
        <v/>
      </c>
      <c r="P80" t="e">
        <f t="shared" si="4"/>
        <v>#N/A</v>
      </c>
      <c r="Q80" t="e">
        <f>INDEX(Input!$D$2:$AC$500,
       MATCH(B80, Input!$J$2:$J$500, 0),
       MATCH("Disk Capacity", Input!$D$1:$AC$1, 0))</f>
        <v>#N/A</v>
      </c>
      <c r="S80" s="13" t="str">
        <f>_xlfn.LET(_xlpm.Result,_xlfn.XLOOKUP(B80,Input!J:J,Input!AA:AA),IF(_xlpm.Result="","",_xlpm.Result))</f>
        <v/>
      </c>
      <c r="T80" s="13" t="str" cm="1">
        <f t="array" ref="T80">IFERROR(_xlfn.IFS(
   --S80&lt;55,"Battery Defect",
  -- S80&lt;=69,"Battery D",
  --S80&lt;=80,"Battery C",
 --S80&gt;80,""
),"")</f>
        <v/>
      </c>
      <c r="U80" s="13" t="str" cm="1">
        <f t="array" ref="U80:AB80">IFERROR(IF(_xlfn.XLOOKUP(B80,Input!J:J,Input!N:U)=0,"",
          _xlfn.XLOOKUP(B80,Input!J:J,Input!N:U)),"")</f>
        <v/>
      </c>
      <c r="V80" s="13" t="str">
        <v/>
      </c>
      <c r="W80" s="13" t="str">
        <v/>
      </c>
      <c r="X80" s="13" t="str">
        <v/>
      </c>
      <c r="Y80" s="13" t="str">
        <v/>
      </c>
      <c r="Z80" s="13" t="str">
        <v/>
      </c>
      <c r="AA80" s="13" t="str">
        <v/>
      </c>
      <c r="AB80" s="13" t="str">
        <v/>
      </c>
      <c r="AC80" t="str">
        <f t="shared" si="5"/>
        <v/>
      </c>
      <c r="AD80" t="str">
        <f>_xlfn.XLOOKUP(B:B,Disk_Pivot!G:G,Disk_Pivot!I:I)</f>
        <v>Yes</v>
      </c>
      <c r="AE80" t="str">
        <f>_xlfn.XLOOKUP(B80,Disk_Pivot!G:G,Disk_Pivot!N:N)</f>
        <v>Fail</v>
      </c>
    </row>
    <row r="81" spans="1:31">
      <c r="A81" t="str">
        <f>_xlfn.TEXTJOIN("",TRUE,_xlfn.XLOOKUP(B81,Input!J:J,Input!G:G,"",0,1),_xlfn.XLOOKUP(B81,Input!J:J,Input!H:H,"",0,1))</f>
        <v/>
      </c>
      <c r="C81" s="13">
        <f>_xlfn.XLOOKUP(B81,Input!J:J,Input!F:F)</f>
        <v>0</v>
      </c>
      <c r="D81">
        <f>_xlfn.XLOOKUP(C81,Models!H:H,Models!G:G,C81)</f>
        <v>0</v>
      </c>
      <c r="F81" t="str">
        <f>_xlfn.XLOOKUP(H81,Models!B:B,Models!F:F,"")</f>
        <v/>
      </c>
      <c r="G81">
        <f>_xlfn.XLOOKUP(B81,Input!J:J,Input!E:E)</f>
        <v>0</v>
      </c>
      <c r="H81">
        <f>IF(G81="LENOVO",_xlfn.XLOOKUP(B81,Input!J:J,Input!K:K),_xlfn.XLOOKUP(B81,Input!J:J,Input!L:L))</f>
        <v>0</v>
      </c>
      <c r="K81">
        <f>_xlfn.XLOOKUP(B81,CPU_Formula!A:A,CPU_Formula!I:I)</f>
        <v>0</v>
      </c>
      <c r="L81" s="13" t="e">
        <f>INDEX(Input!$D$2:$AC$500,
       MATCH(B81, Input!$J$2:$J$500, 0),
       MATCH("Memory Capacity", Input!$D$1:$AC$1, 0))</f>
        <v>#N/A</v>
      </c>
      <c r="M81" s="13" t="e">
        <f>INDEX(Input!$D$2:$AC$500,
       MATCH(B81, Input!$J$2:$J$500, 0),
       MATCH("Memory Type", Input!$D$1:$AC$1, 0))</f>
        <v>#N/A</v>
      </c>
      <c r="N81" s="13" t="e">
        <f t="shared" si="3"/>
        <v>#N/A</v>
      </c>
      <c r="O81" s="13" t="str" cm="1">
        <f t="array" ref="O81">IFERROR(_xlfn.FILTERXML("&lt;t&gt;&lt;s&gt;" &amp; SUBSTITUTE(M81," / ","&lt;/s&gt;&lt;s&gt;") &amp; "&lt;/s&gt;&lt;/t&gt;","(//s[contains(.,'DDR')])[1]"),"")</f>
        <v/>
      </c>
      <c r="P81" t="e">
        <f t="shared" si="4"/>
        <v>#N/A</v>
      </c>
      <c r="Q81" t="e">
        <f>INDEX(Input!$D$2:$AC$500,
       MATCH(B81, Input!$J$2:$J$500, 0),
       MATCH("Disk Capacity", Input!$D$1:$AC$1, 0))</f>
        <v>#N/A</v>
      </c>
      <c r="S81" s="13" t="str">
        <f>_xlfn.LET(_xlpm.Result,_xlfn.XLOOKUP(B81,Input!J:J,Input!AA:AA),IF(_xlpm.Result="","",_xlpm.Result))</f>
        <v/>
      </c>
      <c r="T81" s="13" t="str" cm="1">
        <f t="array" ref="T81">IFERROR(_xlfn.IFS(
   --S81&lt;55,"Battery Defect",
  -- S81&lt;=69,"Battery D",
  --S81&lt;=80,"Battery C",
 --S81&gt;80,""
),"")</f>
        <v/>
      </c>
      <c r="U81" s="13" t="str" cm="1">
        <f t="array" ref="U81:AB81">IFERROR(IF(_xlfn.XLOOKUP(B81,Input!J:J,Input!N:U)=0,"",
          _xlfn.XLOOKUP(B81,Input!J:J,Input!N:U)),"")</f>
        <v/>
      </c>
      <c r="V81" s="13" t="str">
        <v/>
      </c>
      <c r="W81" s="13" t="str">
        <v/>
      </c>
      <c r="X81" s="13" t="str">
        <v/>
      </c>
      <c r="Y81" s="13" t="str">
        <v/>
      </c>
      <c r="Z81" s="13" t="str">
        <v/>
      </c>
      <c r="AA81" s="13" t="str">
        <v/>
      </c>
      <c r="AB81" s="13" t="str">
        <v/>
      </c>
      <c r="AC81" t="str">
        <f t="shared" si="5"/>
        <v/>
      </c>
      <c r="AD81" t="str">
        <f>_xlfn.XLOOKUP(B:B,Disk_Pivot!G:G,Disk_Pivot!I:I)</f>
        <v>Yes</v>
      </c>
      <c r="AE81" t="str">
        <f>_xlfn.XLOOKUP(B81,Disk_Pivot!G:G,Disk_Pivot!N:N)</f>
        <v>Fail</v>
      </c>
    </row>
    <row r="82" spans="1:31">
      <c r="A82" t="str">
        <f>_xlfn.TEXTJOIN("",TRUE,_xlfn.XLOOKUP(B82,Input!J:J,Input!G:G,"",0,1),_xlfn.XLOOKUP(B82,Input!J:J,Input!H:H,"",0,1))</f>
        <v/>
      </c>
      <c r="C82" s="13">
        <f>_xlfn.XLOOKUP(B82,Input!J:J,Input!F:F)</f>
        <v>0</v>
      </c>
      <c r="D82">
        <f>_xlfn.XLOOKUP(C82,Models!H:H,Models!G:G,C82)</f>
        <v>0</v>
      </c>
      <c r="F82" t="str">
        <f>_xlfn.XLOOKUP(H82,Models!B:B,Models!F:F,"")</f>
        <v/>
      </c>
      <c r="G82">
        <f>_xlfn.XLOOKUP(B82,Input!J:J,Input!E:E)</f>
        <v>0</v>
      </c>
      <c r="H82">
        <f>IF(G82="LENOVO",_xlfn.XLOOKUP(B82,Input!J:J,Input!K:K),_xlfn.XLOOKUP(B82,Input!J:J,Input!L:L))</f>
        <v>0</v>
      </c>
      <c r="K82">
        <f>_xlfn.XLOOKUP(B82,CPU_Formula!A:A,CPU_Formula!I:I)</f>
        <v>0</v>
      </c>
      <c r="L82" s="13" t="e">
        <f>INDEX(Input!$D$2:$AC$500,
       MATCH(B82, Input!$J$2:$J$500, 0),
       MATCH("Memory Capacity", Input!$D$1:$AC$1, 0))</f>
        <v>#N/A</v>
      </c>
      <c r="M82" s="13" t="e">
        <f>INDEX(Input!$D$2:$AC$500,
       MATCH(B82, Input!$J$2:$J$500, 0),
       MATCH("Memory Type", Input!$D$1:$AC$1, 0))</f>
        <v>#N/A</v>
      </c>
      <c r="N82" s="13" t="e">
        <f t="shared" si="3"/>
        <v>#N/A</v>
      </c>
      <c r="O82" s="13" t="str" cm="1">
        <f t="array" ref="O82">IFERROR(_xlfn.FILTERXML("&lt;t&gt;&lt;s&gt;" &amp; SUBSTITUTE(M82," / ","&lt;/s&gt;&lt;s&gt;") &amp; "&lt;/s&gt;&lt;/t&gt;","(//s[contains(.,'DDR')])[1]"),"")</f>
        <v/>
      </c>
      <c r="P82" t="e">
        <f t="shared" si="4"/>
        <v>#N/A</v>
      </c>
      <c r="Q82" t="e">
        <f>INDEX(Input!$D$2:$AC$500,
       MATCH(B82, Input!$J$2:$J$500, 0),
       MATCH("Disk Capacity", Input!$D$1:$AC$1, 0))</f>
        <v>#N/A</v>
      </c>
      <c r="S82" s="13" t="str">
        <f>_xlfn.LET(_xlpm.Result,_xlfn.XLOOKUP(B82,Input!J:J,Input!AA:AA),IF(_xlpm.Result="","",_xlpm.Result))</f>
        <v/>
      </c>
      <c r="T82" s="13" t="str" cm="1">
        <f t="array" ref="T82">IFERROR(_xlfn.IFS(
   --S82&lt;55,"Battery Defect",
  -- S82&lt;=69,"Battery D",
  --S82&lt;=80,"Battery C",
 --S82&gt;80,""
),"")</f>
        <v/>
      </c>
      <c r="U82" s="13" t="str" cm="1">
        <f t="array" ref="U82:AB82">IFERROR(IF(_xlfn.XLOOKUP(B82,Input!J:J,Input!N:U)=0,"",
          _xlfn.XLOOKUP(B82,Input!J:J,Input!N:U)),"")</f>
        <v/>
      </c>
      <c r="V82" s="13" t="str">
        <v/>
      </c>
      <c r="W82" s="13" t="str">
        <v/>
      </c>
      <c r="X82" s="13" t="str">
        <v/>
      </c>
      <c r="Y82" s="13" t="str">
        <v/>
      </c>
      <c r="Z82" s="13" t="str">
        <v/>
      </c>
      <c r="AA82" s="13" t="str">
        <v/>
      </c>
      <c r="AB82" s="13" t="str">
        <v/>
      </c>
      <c r="AC82" t="str">
        <f t="shared" si="5"/>
        <v/>
      </c>
      <c r="AD82" t="str">
        <f>_xlfn.XLOOKUP(B:B,Disk_Pivot!G:G,Disk_Pivot!I:I)</f>
        <v>Yes</v>
      </c>
      <c r="AE82" t="str">
        <f>_xlfn.XLOOKUP(B82,Disk_Pivot!G:G,Disk_Pivot!N:N)</f>
        <v>Fail</v>
      </c>
    </row>
    <row r="83" spans="1:31">
      <c r="A83" t="str">
        <f>_xlfn.TEXTJOIN("",TRUE,_xlfn.XLOOKUP(B83,Input!J:J,Input!G:G,"",0,1),_xlfn.XLOOKUP(B83,Input!J:J,Input!H:H,"",0,1))</f>
        <v/>
      </c>
      <c r="C83" s="13">
        <f>_xlfn.XLOOKUP(B83,Input!J:J,Input!F:F)</f>
        <v>0</v>
      </c>
      <c r="D83">
        <f>_xlfn.XLOOKUP(C83,Models!H:H,Models!G:G,C83)</f>
        <v>0</v>
      </c>
      <c r="F83" t="str">
        <f>_xlfn.XLOOKUP(H83,Models!B:B,Models!F:F,"")</f>
        <v/>
      </c>
      <c r="G83">
        <f>_xlfn.XLOOKUP(B83,Input!J:J,Input!E:E)</f>
        <v>0</v>
      </c>
      <c r="H83">
        <f>IF(G83="LENOVO",_xlfn.XLOOKUP(B83,Input!J:J,Input!K:K),_xlfn.XLOOKUP(B83,Input!J:J,Input!L:L))</f>
        <v>0</v>
      </c>
      <c r="K83">
        <f>_xlfn.XLOOKUP(B83,CPU_Formula!A:A,CPU_Formula!I:I)</f>
        <v>0</v>
      </c>
      <c r="L83" s="13" t="e">
        <f>INDEX(Input!$D$2:$AC$500,
       MATCH(B83, Input!$J$2:$J$500, 0),
       MATCH("Memory Capacity", Input!$D$1:$AC$1, 0))</f>
        <v>#N/A</v>
      </c>
      <c r="M83" s="13" t="e">
        <f>INDEX(Input!$D$2:$AC$500,
       MATCH(B83, Input!$J$2:$J$500, 0),
       MATCH("Memory Type", Input!$D$1:$AC$1, 0))</f>
        <v>#N/A</v>
      </c>
      <c r="N83" s="13" t="e">
        <f t="shared" si="3"/>
        <v>#N/A</v>
      </c>
      <c r="O83" s="13" t="str" cm="1">
        <f t="array" ref="O83">IFERROR(_xlfn.FILTERXML("&lt;t&gt;&lt;s&gt;" &amp; SUBSTITUTE(M83," / ","&lt;/s&gt;&lt;s&gt;") &amp; "&lt;/s&gt;&lt;/t&gt;","(//s[contains(.,'DDR')])[1]"),"")</f>
        <v/>
      </c>
      <c r="P83" t="e">
        <f t="shared" si="4"/>
        <v>#N/A</v>
      </c>
      <c r="Q83" t="e">
        <f>INDEX(Input!$D$2:$AC$500,
       MATCH(B83, Input!$J$2:$J$500, 0),
       MATCH("Disk Capacity", Input!$D$1:$AC$1, 0))</f>
        <v>#N/A</v>
      </c>
      <c r="S83" s="13" t="str">
        <f>_xlfn.LET(_xlpm.Result,_xlfn.XLOOKUP(B83,Input!J:J,Input!AA:AA),IF(_xlpm.Result="","",_xlpm.Result))</f>
        <v/>
      </c>
      <c r="T83" s="13" t="str" cm="1">
        <f t="array" ref="T83">IFERROR(_xlfn.IFS(
   --S83&lt;55,"Battery Defect",
  -- S83&lt;=69,"Battery D",
  --S83&lt;=80,"Battery C",
 --S83&gt;80,""
),"")</f>
        <v/>
      </c>
      <c r="U83" s="13" t="str" cm="1">
        <f t="array" ref="U83:AB83">IFERROR(IF(_xlfn.XLOOKUP(B83,Input!J:J,Input!N:U)=0,"",
          _xlfn.XLOOKUP(B83,Input!J:J,Input!N:U)),"")</f>
        <v/>
      </c>
      <c r="V83" s="13" t="str">
        <v/>
      </c>
      <c r="W83" s="13" t="str">
        <v/>
      </c>
      <c r="X83" s="13" t="str">
        <v/>
      </c>
      <c r="Y83" s="13" t="str">
        <v/>
      </c>
      <c r="Z83" s="13" t="str">
        <v/>
      </c>
      <c r="AA83" s="13" t="str">
        <v/>
      </c>
      <c r="AB83" s="13" t="str">
        <v/>
      </c>
      <c r="AC83" t="str">
        <f t="shared" si="5"/>
        <v/>
      </c>
      <c r="AD83" t="str">
        <f>_xlfn.XLOOKUP(B:B,Disk_Pivot!G:G,Disk_Pivot!I:I)</f>
        <v>Yes</v>
      </c>
      <c r="AE83" t="str">
        <f>_xlfn.XLOOKUP(B83,Disk_Pivot!G:G,Disk_Pivot!N:N)</f>
        <v>Fail</v>
      </c>
    </row>
    <row r="84" spans="1:31">
      <c r="A84" t="str">
        <f>_xlfn.TEXTJOIN("",TRUE,_xlfn.XLOOKUP(B84,Input!J:J,Input!G:G,"",0,1),_xlfn.XLOOKUP(B84,Input!J:J,Input!H:H,"",0,1))</f>
        <v/>
      </c>
      <c r="C84" s="13">
        <f>_xlfn.XLOOKUP(B84,Input!J:J,Input!F:F)</f>
        <v>0</v>
      </c>
      <c r="D84">
        <f>_xlfn.XLOOKUP(C84,Models!H:H,Models!G:G,C84)</f>
        <v>0</v>
      </c>
      <c r="F84" t="str">
        <f>_xlfn.XLOOKUP(H84,Models!B:B,Models!F:F,"")</f>
        <v/>
      </c>
      <c r="G84">
        <f>_xlfn.XLOOKUP(B84,Input!J:J,Input!E:E)</f>
        <v>0</v>
      </c>
      <c r="H84">
        <f>IF(G84="LENOVO",_xlfn.XLOOKUP(B84,Input!J:J,Input!K:K),_xlfn.XLOOKUP(B84,Input!J:J,Input!L:L))</f>
        <v>0</v>
      </c>
      <c r="K84">
        <f>_xlfn.XLOOKUP(B84,CPU_Formula!A:A,CPU_Formula!I:I)</f>
        <v>0</v>
      </c>
      <c r="L84" s="13" t="e">
        <f>INDEX(Input!$D$2:$AC$500,
       MATCH(B84, Input!$J$2:$J$500, 0),
       MATCH("Memory Capacity", Input!$D$1:$AC$1, 0))</f>
        <v>#N/A</v>
      </c>
      <c r="M84" s="13" t="e">
        <f>INDEX(Input!$D$2:$AC$500,
       MATCH(B84, Input!$J$2:$J$500, 0),
       MATCH("Memory Type", Input!$D$1:$AC$1, 0))</f>
        <v>#N/A</v>
      </c>
      <c r="N84" s="13" t="e">
        <f t="shared" si="3"/>
        <v>#N/A</v>
      </c>
      <c r="O84" s="13" t="str" cm="1">
        <f t="array" ref="O84">IFERROR(_xlfn.FILTERXML("&lt;t&gt;&lt;s&gt;" &amp; SUBSTITUTE(M84," / ","&lt;/s&gt;&lt;s&gt;") &amp; "&lt;/s&gt;&lt;/t&gt;","(//s[contains(.,'DDR')])[1]"),"")</f>
        <v/>
      </c>
      <c r="P84" t="e">
        <f t="shared" si="4"/>
        <v>#N/A</v>
      </c>
      <c r="Q84" t="e">
        <f>INDEX(Input!$D$2:$AC$500,
       MATCH(B84, Input!$J$2:$J$500, 0),
       MATCH("Disk Capacity", Input!$D$1:$AC$1, 0))</f>
        <v>#N/A</v>
      </c>
      <c r="S84" s="13" t="str">
        <f>_xlfn.LET(_xlpm.Result,_xlfn.XLOOKUP(B84,Input!J:J,Input!AA:AA),IF(_xlpm.Result="","",_xlpm.Result))</f>
        <v/>
      </c>
      <c r="T84" s="13" t="str" cm="1">
        <f t="array" ref="T84">IFERROR(_xlfn.IFS(
   --S84&lt;55,"Battery Defect",
  -- S84&lt;=69,"Battery D",
  --S84&lt;=80,"Battery C",
 --S84&gt;80,""
),"")</f>
        <v/>
      </c>
      <c r="U84" s="13" t="str" cm="1">
        <f t="array" ref="U84:AB84">IFERROR(IF(_xlfn.XLOOKUP(B84,Input!J:J,Input!N:U)=0,"",
          _xlfn.XLOOKUP(B84,Input!J:J,Input!N:U)),"")</f>
        <v/>
      </c>
      <c r="V84" s="13" t="str">
        <v/>
      </c>
      <c r="W84" s="13" t="str">
        <v/>
      </c>
      <c r="X84" s="13" t="str">
        <v/>
      </c>
      <c r="Y84" s="13" t="str">
        <v/>
      </c>
      <c r="Z84" s="13" t="str">
        <v/>
      </c>
      <c r="AA84" s="13" t="str">
        <v/>
      </c>
      <c r="AB84" s="13" t="str">
        <v/>
      </c>
      <c r="AC84" t="str">
        <f t="shared" si="5"/>
        <v/>
      </c>
      <c r="AD84" t="str">
        <f>_xlfn.XLOOKUP(B:B,Disk_Pivot!G:G,Disk_Pivot!I:I)</f>
        <v>Yes</v>
      </c>
      <c r="AE84" t="str">
        <f>_xlfn.XLOOKUP(B84,Disk_Pivot!G:G,Disk_Pivot!N:N)</f>
        <v>Fail</v>
      </c>
    </row>
    <row r="85" spans="1:31">
      <c r="A85" t="str">
        <f>_xlfn.TEXTJOIN("",TRUE,_xlfn.XLOOKUP(B85,Input!J:J,Input!G:G,"",0,1),_xlfn.XLOOKUP(B85,Input!J:J,Input!H:H,"",0,1))</f>
        <v/>
      </c>
      <c r="C85" s="13">
        <f>_xlfn.XLOOKUP(B85,Input!J:J,Input!F:F)</f>
        <v>0</v>
      </c>
      <c r="D85">
        <f>_xlfn.XLOOKUP(C85,Models!H:H,Models!G:G,C85)</f>
        <v>0</v>
      </c>
      <c r="F85" t="str">
        <f>_xlfn.XLOOKUP(H85,Models!B:B,Models!F:F,"")</f>
        <v/>
      </c>
      <c r="G85">
        <f>_xlfn.XLOOKUP(B85,Input!J:J,Input!E:E)</f>
        <v>0</v>
      </c>
      <c r="H85">
        <f>IF(G85="LENOVO",_xlfn.XLOOKUP(B85,Input!J:J,Input!K:K),_xlfn.XLOOKUP(B85,Input!J:J,Input!L:L))</f>
        <v>0</v>
      </c>
      <c r="K85">
        <f>_xlfn.XLOOKUP(B85,CPU_Formula!A:A,CPU_Formula!I:I)</f>
        <v>0</v>
      </c>
      <c r="L85" s="13" t="e">
        <f>INDEX(Input!$D$2:$AC$500,
       MATCH(B85, Input!$J$2:$J$500, 0),
       MATCH("Memory Capacity", Input!$D$1:$AC$1, 0))</f>
        <v>#N/A</v>
      </c>
      <c r="M85" s="13" t="e">
        <f>INDEX(Input!$D$2:$AC$500,
       MATCH(B85, Input!$J$2:$J$500, 0),
       MATCH("Memory Type", Input!$D$1:$AC$1, 0))</f>
        <v>#N/A</v>
      </c>
      <c r="N85" s="13" t="e">
        <f t="shared" si="3"/>
        <v>#N/A</v>
      </c>
      <c r="O85" s="13" t="str" cm="1">
        <f t="array" ref="O85">IFERROR(_xlfn.FILTERXML("&lt;t&gt;&lt;s&gt;" &amp; SUBSTITUTE(M85," / ","&lt;/s&gt;&lt;s&gt;") &amp; "&lt;/s&gt;&lt;/t&gt;","(//s[contains(.,'DDR')])[1]"),"")</f>
        <v/>
      </c>
      <c r="P85" t="e">
        <f t="shared" si="4"/>
        <v>#N/A</v>
      </c>
      <c r="Q85" t="e">
        <f>INDEX(Input!$D$2:$AC$500,
       MATCH(B85, Input!$J$2:$J$500, 0),
       MATCH("Disk Capacity", Input!$D$1:$AC$1, 0))</f>
        <v>#N/A</v>
      </c>
      <c r="S85" s="13" t="str">
        <f>_xlfn.LET(_xlpm.Result,_xlfn.XLOOKUP(B85,Input!J:J,Input!AA:AA),IF(_xlpm.Result="","",_xlpm.Result))</f>
        <v/>
      </c>
      <c r="T85" s="13" t="str" cm="1">
        <f t="array" ref="T85">IFERROR(_xlfn.IFS(
   --S85&lt;55,"Battery Defect",
  -- S85&lt;=69,"Battery D",
  --S85&lt;=80,"Battery C",
 --S85&gt;80,""
),"")</f>
        <v/>
      </c>
      <c r="U85" s="13" t="str" cm="1">
        <f t="array" ref="U85:AB85">IFERROR(IF(_xlfn.XLOOKUP(B85,Input!J:J,Input!N:U)=0,"",
          _xlfn.XLOOKUP(B85,Input!J:J,Input!N:U)),"")</f>
        <v/>
      </c>
      <c r="V85" s="13" t="str">
        <v/>
      </c>
      <c r="W85" s="13" t="str">
        <v/>
      </c>
      <c r="X85" s="13" t="str">
        <v/>
      </c>
      <c r="Y85" s="13" t="str">
        <v/>
      </c>
      <c r="Z85" s="13" t="str">
        <v/>
      </c>
      <c r="AA85" s="13" t="str">
        <v/>
      </c>
      <c r="AB85" s="13" t="str">
        <v/>
      </c>
      <c r="AC85" t="str">
        <f t="shared" si="5"/>
        <v/>
      </c>
      <c r="AD85" t="str">
        <f>_xlfn.XLOOKUP(B:B,Disk_Pivot!G:G,Disk_Pivot!I:I)</f>
        <v>Yes</v>
      </c>
      <c r="AE85" t="str">
        <f>_xlfn.XLOOKUP(B85,Disk_Pivot!G:G,Disk_Pivot!N:N)</f>
        <v>Fail</v>
      </c>
    </row>
    <row r="86" spans="1:31">
      <c r="A86" t="str">
        <f>_xlfn.TEXTJOIN("",TRUE,_xlfn.XLOOKUP(B86,Input!J:J,Input!G:G,"",0,1),_xlfn.XLOOKUP(B86,Input!J:J,Input!H:H,"",0,1))</f>
        <v/>
      </c>
      <c r="C86" s="13">
        <f>_xlfn.XLOOKUP(B86,Input!J:J,Input!F:F)</f>
        <v>0</v>
      </c>
      <c r="D86">
        <f>_xlfn.XLOOKUP(C86,Models!H:H,Models!G:G,C86)</f>
        <v>0</v>
      </c>
      <c r="F86" t="str">
        <f>_xlfn.XLOOKUP(H86,Models!B:B,Models!F:F,"")</f>
        <v/>
      </c>
      <c r="G86">
        <f>_xlfn.XLOOKUP(B86,Input!J:J,Input!E:E)</f>
        <v>0</v>
      </c>
      <c r="H86">
        <f>IF(G86="LENOVO",_xlfn.XLOOKUP(B86,Input!J:J,Input!K:K),_xlfn.XLOOKUP(B86,Input!J:J,Input!L:L))</f>
        <v>0</v>
      </c>
      <c r="K86">
        <f>_xlfn.XLOOKUP(B86,CPU_Formula!A:A,CPU_Formula!I:I)</f>
        <v>0</v>
      </c>
      <c r="L86" s="13" t="e">
        <f>INDEX(Input!$D$2:$AC$500,
       MATCH(B86, Input!$J$2:$J$500, 0),
       MATCH("Memory Capacity", Input!$D$1:$AC$1, 0))</f>
        <v>#N/A</v>
      </c>
      <c r="M86" s="13" t="e">
        <f>INDEX(Input!$D$2:$AC$500,
       MATCH(B86, Input!$J$2:$J$500, 0),
       MATCH("Memory Type", Input!$D$1:$AC$1, 0))</f>
        <v>#N/A</v>
      </c>
      <c r="N86" s="13" t="e">
        <f t="shared" si="3"/>
        <v>#N/A</v>
      </c>
      <c r="O86" s="13" t="str" cm="1">
        <f t="array" ref="O86">IFERROR(_xlfn.FILTERXML("&lt;t&gt;&lt;s&gt;" &amp; SUBSTITUTE(M86," / ","&lt;/s&gt;&lt;s&gt;") &amp; "&lt;/s&gt;&lt;/t&gt;","(//s[contains(.,'DDR')])[1]"),"")</f>
        <v/>
      </c>
      <c r="P86" t="e">
        <f t="shared" si="4"/>
        <v>#N/A</v>
      </c>
      <c r="Q86" t="e">
        <f>INDEX(Input!$D$2:$AC$500,
       MATCH(B86, Input!$J$2:$J$500, 0),
       MATCH("Disk Capacity", Input!$D$1:$AC$1, 0))</f>
        <v>#N/A</v>
      </c>
      <c r="S86" s="13" t="str">
        <f>_xlfn.LET(_xlpm.Result,_xlfn.XLOOKUP(B86,Input!J:J,Input!AA:AA),IF(_xlpm.Result="","",_xlpm.Result))</f>
        <v/>
      </c>
      <c r="T86" s="13" t="str" cm="1">
        <f t="array" ref="T86">IFERROR(_xlfn.IFS(
   --S86&lt;55,"Battery Defect",
  -- S86&lt;=69,"Battery D",
  --S86&lt;=80,"Battery C",
 --S86&gt;80,""
),"")</f>
        <v/>
      </c>
      <c r="U86" s="13" t="str" cm="1">
        <f t="array" ref="U86:AB86">IFERROR(IF(_xlfn.XLOOKUP(B86,Input!J:J,Input!N:U)=0,"",
          _xlfn.XLOOKUP(B86,Input!J:J,Input!N:U)),"")</f>
        <v/>
      </c>
      <c r="V86" s="13" t="str">
        <v/>
      </c>
      <c r="W86" s="13" t="str">
        <v/>
      </c>
      <c r="X86" s="13" t="str">
        <v/>
      </c>
      <c r="Y86" s="13" t="str">
        <v/>
      </c>
      <c r="Z86" s="13" t="str">
        <v/>
      </c>
      <c r="AA86" s="13" t="str">
        <v/>
      </c>
      <c r="AB86" s="13" t="str">
        <v/>
      </c>
      <c r="AC86" t="str">
        <f t="shared" si="5"/>
        <v/>
      </c>
      <c r="AD86" t="str">
        <f>_xlfn.XLOOKUP(B:B,Disk_Pivot!G:G,Disk_Pivot!I:I)</f>
        <v>Yes</v>
      </c>
      <c r="AE86" t="str">
        <f>_xlfn.XLOOKUP(B86,Disk_Pivot!G:G,Disk_Pivot!N:N)</f>
        <v>Fail</v>
      </c>
    </row>
    <row r="87" spans="1:31">
      <c r="A87" t="str">
        <f>_xlfn.TEXTJOIN("",TRUE,_xlfn.XLOOKUP(B87,Input!J:J,Input!G:G,"",0,1),_xlfn.XLOOKUP(B87,Input!J:J,Input!H:H,"",0,1))</f>
        <v/>
      </c>
      <c r="C87" s="13">
        <f>_xlfn.XLOOKUP(B87,Input!J:J,Input!F:F)</f>
        <v>0</v>
      </c>
      <c r="D87">
        <f>_xlfn.XLOOKUP(C87,Models!H:H,Models!G:G,C87)</f>
        <v>0</v>
      </c>
      <c r="F87" t="str">
        <f>_xlfn.XLOOKUP(H87,Models!B:B,Models!F:F,"")</f>
        <v/>
      </c>
      <c r="G87">
        <f>_xlfn.XLOOKUP(B87,Input!J:J,Input!E:E)</f>
        <v>0</v>
      </c>
      <c r="H87">
        <f>IF(G87="LENOVO",_xlfn.XLOOKUP(B87,Input!J:J,Input!K:K),_xlfn.XLOOKUP(B87,Input!J:J,Input!L:L))</f>
        <v>0</v>
      </c>
      <c r="K87">
        <f>_xlfn.XLOOKUP(B87,CPU_Formula!A:A,CPU_Formula!I:I)</f>
        <v>0</v>
      </c>
      <c r="L87" s="13" t="e">
        <f>INDEX(Input!$D$2:$AC$500,
       MATCH(B87, Input!$J$2:$J$500, 0),
       MATCH("Memory Capacity", Input!$D$1:$AC$1, 0))</f>
        <v>#N/A</v>
      </c>
      <c r="M87" s="13" t="e">
        <f>INDEX(Input!$D$2:$AC$500,
       MATCH(B87, Input!$J$2:$J$500, 0),
       MATCH("Memory Type", Input!$D$1:$AC$1, 0))</f>
        <v>#N/A</v>
      </c>
      <c r="N87" s="13" t="e">
        <f t="shared" si="3"/>
        <v>#N/A</v>
      </c>
      <c r="O87" s="13" t="str" cm="1">
        <f t="array" ref="O87">IFERROR(_xlfn.FILTERXML("&lt;t&gt;&lt;s&gt;" &amp; SUBSTITUTE(M87," / ","&lt;/s&gt;&lt;s&gt;") &amp; "&lt;/s&gt;&lt;/t&gt;","(//s[contains(.,'DDR')])[1]"),"")</f>
        <v/>
      </c>
      <c r="P87" t="e">
        <f t="shared" si="4"/>
        <v>#N/A</v>
      </c>
      <c r="Q87" t="e">
        <f>INDEX(Input!$D$2:$AC$500,
       MATCH(B87, Input!$J$2:$J$500, 0),
       MATCH("Disk Capacity", Input!$D$1:$AC$1, 0))</f>
        <v>#N/A</v>
      </c>
      <c r="S87" s="13" t="str">
        <f>_xlfn.LET(_xlpm.Result,_xlfn.XLOOKUP(B87,Input!J:J,Input!AA:AA),IF(_xlpm.Result="","",_xlpm.Result))</f>
        <v/>
      </c>
      <c r="T87" s="13" t="str" cm="1">
        <f t="array" ref="T87">IFERROR(_xlfn.IFS(
   --S87&lt;55,"Battery Defect",
  -- S87&lt;=69,"Battery D",
  --S87&lt;=80,"Battery C",
 --S87&gt;80,""
),"")</f>
        <v/>
      </c>
      <c r="U87" s="13" t="str" cm="1">
        <f t="array" ref="U87:AB87">IFERROR(IF(_xlfn.XLOOKUP(B87,Input!J:J,Input!N:U)=0,"",
          _xlfn.XLOOKUP(B87,Input!J:J,Input!N:U)),"")</f>
        <v/>
      </c>
      <c r="V87" s="13" t="str">
        <v/>
      </c>
      <c r="W87" s="13" t="str">
        <v/>
      </c>
      <c r="X87" s="13" t="str">
        <v/>
      </c>
      <c r="Y87" s="13" t="str">
        <v/>
      </c>
      <c r="Z87" s="13" t="str">
        <v/>
      </c>
      <c r="AA87" s="13" t="str">
        <v/>
      </c>
      <c r="AB87" s="13" t="str">
        <v/>
      </c>
      <c r="AC87" t="str">
        <f t="shared" si="5"/>
        <v/>
      </c>
      <c r="AD87" t="str">
        <f>_xlfn.XLOOKUP(B:B,Disk_Pivot!G:G,Disk_Pivot!I:I)</f>
        <v>Yes</v>
      </c>
      <c r="AE87" t="str">
        <f>_xlfn.XLOOKUP(B87,Disk_Pivot!G:G,Disk_Pivot!N:N)</f>
        <v>Fail</v>
      </c>
    </row>
    <row r="88" spans="1:31">
      <c r="A88" t="str">
        <f>_xlfn.TEXTJOIN("",TRUE,_xlfn.XLOOKUP(B88,Input!J:J,Input!G:G,"",0,1),_xlfn.XLOOKUP(B88,Input!J:J,Input!H:H,"",0,1))</f>
        <v/>
      </c>
      <c r="C88" s="13">
        <f>_xlfn.XLOOKUP(B88,Input!J:J,Input!F:F)</f>
        <v>0</v>
      </c>
      <c r="D88">
        <f>_xlfn.XLOOKUP(C88,Models!H:H,Models!G:G,C88)</f>
        <v>0</v>
      </c>
      <c r="F88" t="str">
        <f>_xlfn.XLOOKUP(H88,Models!B:B,Models!F:F,"")</f>
        <v/>
      </c>
      <c r="G88">
        <f>_xlfn.XLOOKUP(B88,Input!J:J,Input!E:E)</f>
        <v>0</v>
      </c>
      <c r="H88">
        <f>IF(G88="LENOVO",_xlfn.XLOOKUP(B88,Input!J:J,Input!K:K),_xlfn.XLOOKUP(B88,Input!J:J,Input!L:L))</f>
        <v>0</v>
      </c>
      <c r="K88">
        <f>_xlfn.XLOOKUP(B88,CPU_Formula!A:A,CPU_Formula!I:I)</f>
        <v>0</v>
      </c>
      <c r="L88" s="13" t="e">
        <f>INDEX(Input!$D$2:$AC$500,
       MATCH(B88, Input!$J$2:$J$500, 0),
       MATCH("Memory Capacity", Input!$D$1:$AC$1, 0))</f>
        <v>#N/A</v>
      </c>
      <c r="M88" s="13" t="e">
        <f>INDEX(Input!$D$2:$AC$500,
       MATCH(B88, Input!$J$2:$J$500, 0),
       MATCH("Memory Type", Input!$D$1:$AC$1, 0))</f>
        <v>#N/A</v>
      </c>
      <c r="N88" s="13" t="e">
        <f t="shared" si="3"/>
        <v>#N/A</v>
      </c>
      <c r="O88" s="13" t="str" cm="1">
        <f t="array" ref="O88">IFERROR(_xlfn.FILTERXML("&lt;t&gt;&lt;s&gt;" &amp; SUBSTITUTE(M88," / ","&lt;/s&gt;&lt;s&gt;") &amp; "&lt;/s&gt;&lt;/t&gt;","(//s[contains(.,'DDR')])[1]"),"")</f>
        <v/>
      </c>
      <c r="P88" t="e">
        <f t="shared" ref="P88" si="6">_xlfn.TEXTJOIN(" ",TRUE,N88,"GB",O88)</f>
        <v>#N/A</v>
      </c>
      <c r="Q88" t="e">
        <f>INDEX(Input!$D$2:$AC$500,
       MATCH(B88, Input!$J$2:$J$500, 0),
       MATCH("Disk Capacity", Input!$D$1:$AC$1, 0))</f>
        <v>#N/A</v>
      </c>
      <c r="S88" s="13" t="str">
        <f>_xlfn.LET(_xlpm.Result,_xlfn.XLOOKUP(B88,Input!J:J,Input!AA:AA),IF(_xlpm.Result="","",_xlpm.Result))</f>
        <v/>
      </c>
      <c r="T88" s="13" t="str" cm="1">
        <f t="array" ref="T88">IFERROR(_xlfn.IFS(
   --S88&lt;55,"Battery Defect",
  -- S88&lt;=69,"Battery D",
  --S88&lt;=80,"Battery C",
 --S88&gt;80,""
),"")</f>
        <v/>
      </c>
      <c r="U88" s="13" t="str" cm="1">
        <f t="array" ref="U88:AB88">IFERROR(IF(_xlfn.XLOOKUP(B88,Input!J:J,Input!N:U)=0,"",
          _xlfn.XLOOKUP(B88,Input!J:J,Input!N:U)),"")</f>
        <v/>
      </c>
      <c r="V88" s="13" t="str">
        <v/>
      </c>
      <c r="W88" s="13" t="str">
        <v/>
      </c>
      <c r="X88" s="13" t="str">
        <v/>
      </c>
      <c r="Y88" s="13" t="str">
        <v/>
      </c>
      <c r="Z88" s="13" t="str">
        <v/>
      </c>
      <c r="AA88" s="13" t="str">
        <v/>
      </c>
      <c r="AB88" s="13" t="str">
        <v/>
      </c>
      <c r="AC88" t="str">
        <f t="shared" si="5"/>
        <v/>
      </c>
      <c r="AD88" t="str">
        <f>_xlfn.XLOOKUP(B:B,Disk_Pivot!G:G,Disk_Pivot!I:I)</f>
        <v>Yes</v>
      </c>
      <c r="AE88" t="str">
        <f>_xlfn.XLOOKUP(B88,Disk_Pivot!G:G,Disk_Pivot!N:N)</f>
        <v>Fail</v>
      </c>
    </row>
    <row r="89" spans="1:31">
      <c r="A89" t="str">
        <f>_xlfn.TEXTJOIN("",TRUE,_xlfn.XLOOKUP(B89,Input!J:J,Input!G:G,"",0,1),_xlfn.XLOOKUP(B89,Input!J:J,Input!H:H,"",0,1))</f>
        <v/>
      </c>
      <c r="F89">
        <f>_xlfn.XLOOKUP(H89,Models!B:B,Models!F:F,"")</f>
        <v>0</v>
      </c>
      <c r="L89" s="13" t="e">
        <f>INDEX(Input!$D$2:$AC$500,
       MATCH(B89, Input!$J$2:$J$500, 0),
       MATCH("Memory Capacity", Input!$D$1:$AC$1, 0))</f>
        <v>#N/A</v>
      </c>
      <c r="M89" s="13" t="e">
        <f>INDEX(Input!$D$2:$AC$500,
       MATCH(B89, Input!$J$2:$J$500, 0),
       MATCH("Memory Type", Input!$D$1:$AC$1, 0))</f>
        <v>#N/A</v>
      </c>
      <c r="N89" s="13" t="e">
        <f t="shared" si="3"/>
        <v>#N/A</v>
      </c>
      <c r="Q89" t="e">
        <f>INDEX(Input!$D$2:$AC$500,
       MATCH(B89, Input!$J$2:$J$500, 0),
       MATCH("Disk Capacity", Input!$D$1:$AC$1, 0))</f>
        <v>#N/A</v>
      </c>
      <c r="S89" s="13" t="str">
        <f>_xlfn.LET(_xlpm.Result,_xlfn.XLOOKUP(B89,Input!J:J,Input!AA:AA),IF(_xlpm.Result="","",_xlpm.Result))</f>
        <v/>
      </c>
      <c r="T89" s="13" t="str" cm="1">
        <f t="array" ref="T89">IFERROR(_xlfn.IFS(
   --S89&lt;55,"Battery Defect",
  -- S89&lt;=69,"Battery D",
  --S89&lt;=80,"Battery C",
 --S89&gt;80,""
),"")</f>
        <v/>
      </c>
      <c r="U89" s="13" t="str" cm="1">
        <f t="array" ref="U89:AB89">IFERROR(IF(_xlfn.XLOOKUP(B89,Input!J:J,Input!N:U)=0,"",
          _xlfn.XLOOKUP(B89,Input!J:J,Input!N:U)),"")</f>
        <v/>
      </c>
      <c r="V89" s="13" t="str">
        <v/>
      </c>
      <c r="W89" s="13" t="str">
        <v/>
      </c>
      <c r="X89" s="13" t="str">
        <v/>
      </c>
      <c r="Y89" s="13" t="str">
        <v/>
      </c>
      <c r="Z89" s="13" t="str">
        <v/>
      </c>
      <c r="AA89" s="13" t="str">
        <v/>
      </c>
      <c r="AB89" s="13" t="str">
        <v/>
      </c>
      <c r="AC89" t="str">
        <f t="shared" si="5"/>
        <v/>
      </c>
      <c r="AD89" t="str">
        <f>_xlfn.XLOOKUP(B:B,Disk_Pivot!G:G,Disk_Pivot!I:I)</f>
        <v>Yes</v>
      </c>
      <c r="AE89" t="str">
        <f>_xlfn.XLOOKUP(B89,Disk_Pivot!G:G,Disk_Pivot!N:N)</f>
        <v>Fail</v>
      </c>
    </row>
    <row r="90" spans="1:31">
      <c r="F90">
        <f>_xlfn.XLOOKUP(H90,Models!B:B,Models!F:F,"")</f>
        <v>0</v>
      </c>
      <c r="K90">
        <f>_xlfn.XLOOKUP(B90,CPU_Formula!A:A,CPU_Formula!I:I)</f>
        <v>0</v>
      </c>
      <c r="L90" s="13" t="e">
        <f>INDEX(Input!$D$2:$AC$500,
       MATCH(B90, Input!$J$2:$J$500, 0),
       MATCH("Memory Capacity", Input!$D$1:$AC$1, 0))</f>
        <v>#N/A</v>
      </c>
      <c r="M90" s="13" t="e">
        <f>INDEX(Input!$D$2:$AC$500,
       MATCH(B90, Input!$J$2:$J$500, 0),
       MATCH("Memory Type", Input!$D$1:$AC$1, 0))</f>
        <v>#N/A</v>
      </c>
      <c r="N90" s="13" t="e">
        <f t="shared" si="3"/>
        <v>#N/A</v>
      </c>
      <c r="Q90" t="e">
        <f>INDEX(Input!$D$2:$AC$500,
       MATCH(B90, Input!$J$2:$J$500, 0),
       MATCH("Disk Capacity", Input!$D$1:$AC$1, 0))</f>
        <v>#N/A</v>
      </c>
      <c r="S90" s="13" t="str">
        <f>_xlfn.LET(_xlpm.Result,_xlfn.XLOOKUP(B90,Input!J:J,Input!AA:AA),IF(_xlpm.Result="","",_xlpm.Result))</f>
        <v/>
      </c>
      <c r="T90" s="13" t="str" cm="1">
        <f t="array" ref="T90">IFERROR(_xlfn.IFS(
   --S90&lt;55,"Battery Defect",
  -- S90&lt;=69,"Battery D",
  --S90&lt;=80,"Battery C",
 --S90&gt;80,""
),"")</f>
        <v/>
      </c>
      <c r="U90" s="13" t="str" cm="1">
        <f t="array" ref="U90:AB90">IFERROR(IF(_xlfn.XLOOKUP(B90,Input!J:J,Input!N:U)=0,"",
          _xlfn.XLOOKUP(B90,Input!J:J,Input!N:U)),"")</f>
        <v/>
      </c>
      <c r="V90" s="13" t="str">
        <v/>
      </c>
      <c r="W90" s="13" t="str">
        <v/>
      </c>
      <c r="X90" s="13" t="str">
        <v/>
      </c>
      <c r="Y90" s="13" t="str">
        <v/>
      </c>
      <c r="Z90" s="13" t="str">
        <v/>
      </c>
      <c r="AA90" s="13" t="str">
        <v/>
      </c>
      <c r="AB90" s="13" t="str">
        <v/>
      </c>
      <c r="AC90" t="str">
        <f t="shared" si="5"/>
        <v/>
      </c>
      <c r="AD90" t="str">
        <f>_xlfn.XLOOKUP(B:B,Disk_Pivot!G:G,Disk_Pivot!I:I)</f>
        <v>Yes</v>
      </c>
      <c r="AE90" t="str">
        <f>_xlfn.XLOOKUP(B90,Disk_Pivot!G:G,Disk_Pivot!N:N)</f>
        <v>Fail</v>
      </c>
    </row>
    <row r="91" spans="1:31">
      <c r="F91">
        <f>_xlfn.XLOOKUP(H91,Models!B:B,Models!F:F,"")</f>
        <v>0</v>
      </c>
      <c r="K91">
        <f>_xlfn.XLOOKUP(B91,CPU_Formula!A:A,CPU_Formula!I:I)</f>
        <v>0</v>
      </c>
      <c r="L91" s="13" t="e">
        <f>INDEX(Input!$D$2:$AC$500,
       MATCH(B91, Input!$J$2:$J$500, 0),
       MATCH("Memory Capacity", Input!$D$1:$AC$1, 0))</f>
        <v>#N/A</v>
      </c>
      <c r="M91" s="13" t="e">
        <f>INDEX(Input!$D$2:$AC$500,
       MATCH(B91, Input!$J$2:$J$500, 0),
       MATCH("Memory Type", Input!$D$1:$AC$1, 0))</f>
        <v>#N/A</v>
      </c>
      <c r="N91" s="13" t="e">
        <f t="shared" si="3"/>
        <v>#N/A</v>
      </c>
      <c r="Q91" t="e">
        <f>INDEX(Input!$D$2:$AC$500,
       MATCH(B91, Input!$J$2:$J$500, 0),
       MATCH("Disk Capacity", Input!$D$1:$AC$1, 0))</f>
        <v>#N/A</v>
      </c>
      <c r="S91" s="13" t="str">
        <f>_xlfn.LET(_xlpm.Result,_xlfn.XLOOKUP(B91,Input!J:J,Input!AA:AA),IF(_xlpm.Result="","",_xlpm.Result))</f>
        <v/>
      </c>
      <c r="T91" s="13" t="str" cm="1">
        <f t="array" ref="T91">IFERROR(_xlfn.IFS(
   --S91&lt;55,"Battery Defect",
  -- S91&lt;=69,"Battery D",
  --S91&lt;=80,"Battery C",
 --S91&gt;80,""
),"")</f>
        <v/>
      </c>
      <c r="U91" s="13" t="str" cm="1">
        <f t="array" ref="U91:AB91">IFERROR(IF(_xlfn.XLOOKUP(B91,Input!J:J,Input!N:U)=0,"",
          _xlfn.XLOOKUP(B91,Input!J:J,Input!N:U)),"")</f>
        <v/>
      </c>
      <c r="V91" s="13" t="str">
        <v/>
      </c>
      <c r="W91" s="13" t="str">
        <v/>
      </c>
      <c r="X91" s="13" t="str">
        <v/>
      </c>
      <c r="Y91" s="13" t="str">
        <v/>
      </c>
      <c r="Z91" s="13" t="str">
        <v/>
      </c>
      <c r="AA91" s="13" t="str">
        <v/>
      </c>
      <c r="AB91" s="13" t="str">
        <v/>
      </c>
      <c r="AC91" t="str">
        <f t="shared" si="5"/>
        <v/>
      </c>
      <c r="AD91" t="str">
        <f>_xlfn.XLOOKUP(B:B,Disk_Pivot!G:G,Disk_Pivot!I:I)</f>
        <v>Yes</v>
      </c>
      <c r="AE91" t="str">
        <f>_xlfn.XLOOKUP(B91,Disk_Pivot!G:G,Disk_Pivot!N:N)</f>
        <v>Fail</v>
      </c>
    </row>
    <row r="92" spans="1:31">
      <c r="F92">
        <f>_xlfn.XLOOKUP(H92,Models!B:B,Models!F:F,"")</f>
        <v>0</v>
      </c>
      <c r="K92">
        <f>_xlfn.XLOOKUP(B92,CPU_Formula!A:A,CPU_Formula!I:I)</f>
        <v>0</v>
      </c>
      <c r="L92" s="13" t="e">
        <f>INDEX(Input!$D$2:$AC$500,
       MATCH(B92, Input!$J$2:$J$500, 0),
       MATCH("Memory Capacity", Input!$D$1:$AC$1, 0))</f>
        <v>#N/A</v>
      </c>
      <c r="M92" s="13" t="e">
        <f>INDEX(Input!$D$2:$AC$500,
       MATCH(B92, Input!$J$2:$J$500, 0),
       MATCH("Memory Type", Input!$D$1:$AC$1, 0))</f>
        <v>#N/A</v>
      </c>
      <c r="N92" s="13" t="e">
        <f t="shared" si="3"/>
        <v>#N/A</v>
      </c>
      <c r="Q92" t="e">
        <f>INDEX(Input!$D$2:$AC$500,
       MATCH(B92, Input!$J$2:$J$500, 0),
       MATCH("Disk Capacity", Input!$D$1:$AC$1, 0))</f>
        <v>#N/A</v>
      </c>
      <c r="S92" s="13" t="str">
        <f>_xlfn.LET(_xlpm.Result,_xlfn.XLOOKUP(B92,Input!J:J,Input!AA:AA),IF(_xlpm.Result="","",_xlpm.Result))</f>
        <v/>
      </c>
      <c r="T92" s="13" t="str" cm="1">
        <f t="array" ref="T92">IFERROR(_xlfn.IFS(
   --S92&lt;55,"Battery Defect",
  -- S92&lt;=69,"Battery D",
  --S92&lt;=80,"Battery C",
 --S92&gt;80,""
),"")</f>
        <v/>
      </c>
      <c r="U92" s="13" t="str" cm="1">
        <f t="array" ref="U92:AB92">IFERROR(IF(_xlfn.XLOOKUP(B92,Input!J:J,Input!N:U)=0,"",
          _xlfn.XLOOKUP(B92,Input!J:J,Input!N:U)),"")</f>
        <v/>
      </c>
      <c r="V92" s="13" t="str">
        <v/>
      </c>
      <c r="W92" s="13" t="str">
        <v/>
      </c>
      <c r="X92" s="13" t="str">
        <v/>
      </c>
      <c r="Y92" s="13" t="str">
        <v/>
      </c>
      <c r="Z92" s="13" t="str">
        <v/>
      </c>
      <c r="AA92" s="13" t="str">
        <v/>
      </c>
      <c r="AB92" s="13" t="str">
        <v/>
      </c>
      <c r="AC92" t="str">
        <f t="shared" si="5"/>
        <v/>
      </c>
      <c r="AD92" t="str">
        <f>_xlfn.XLOOKUP(B:B,Disk_Pivot!G:G,Disk_Pivot!I:I)</f>
        <v>Yes</v>
      </c>
      <c r="AE92" t="str">
        <f>_xlfn.XLOOKUP(B92,Disk_Pivot!G:G,Disk_Pivot!N:N)</f>
        <v>Fail</v>
      </c>
    </row>
    <row r="93" spans="1:31">
      <c r="F93">
        <f>_xlfn.XLOOKUP(H93,Models!B:B,Models!F:F,"")</f>
        <v>0</v>
      </c>
      <c r="K93">
        <f>_xlfn.XLOOKUP(B93,CPU_Formula!A:A,CPU_Formula!I:I)</f>
        <v>0</v>
      </c>
      <c r="L93" s="13" t="e">
        <f>INDEX(Input!$D$2:$AC$500,
       MATCH(B93, Input!$J$2:$J$500, 0),
       MATCH("Memory Capacity", Input!$D$1:$AC$1, 0))</f>
        <v>#N/A</v>
      </c>
      <c r="M93" s="13" t="e">
        <f>INDEX(Input!$D$2:$AC$500,
       MATCH(B93, Input!$J$2:$J$500, 0),
       MATCH("Memory Type", Input!$D$1:$AC$1, 0))</f>
        <v>#N/A</v>
      </c>
      <c r="N93" s="13" t="e">
        <f t="shared" si="3"/>
        <v>#N/A</v>
      </c>
      <c r="Q93" t="e">
        <f>INDEX(Input!$D$2:$AC$500,
       MATCH(B93, Input!$J$2:$J$500, 0),
       MATCH("Disk Capacity", Input!$D$1:$AC$1, 0))</f>
        <v>#N/A</v>
      </c>
      <c r="S93" s="13" t="str">
        <f>_xlfn.LET(_xlpm.Result,_xlfn.XLOOKUP(B93,Input!J:J,Input!AA:AA),IF(_xlpm.Result="","",_xlpm.Result))</f>
        <v/>
      </c>
      <c r="T93" s="13" t="str" cm="1">
        <f t="array" ref="T93">IFERROR(_xlfn.IFS(
   --S93&lt;55,"Battery Defect",
  -- S93&lt;=69,"Battery D",
  --S93&lt;=80,"Battery C",
 --S93&gt;80,""
),"")</f>
        <v/>
      </c>
      <c r="U93" s="13" t="str" cm="1">
        <f t="array" ref="U93:AB93">IFERROR(IF(_xlfn.XLOOKUP(B93,Input!J:J,Input!N:U)=0,"",
          _xlfn.XLOOKUP(B93,Input!J:J,Input!N:U)),"")</f>
        <v/>
      </c>
      <c r="V93" s="13" t="str">
        <v/>
      </c>
      <c r="W93" s="13" t="str">
        <v/>
      </c>
      <c r="X93" s="13" t="str">
        <v/>
      </c>
      <c r="Y93" s="13" t="str">
        <v/>
      </c>
      <c r="Z93" s="13" t="str">
        <v/>
      </c>
      <c r="AA93" s="13" t="str">
        <v/>
      </c>
      <c r="AB93" s="13" t="str">
        <v/>
      </c>
      <c r="AC93" t="str">
        <f t="shared" si="5"/>
        <v/>
      </c>
      <c r="AD93" t="str">
        <f>_xlfn.XLOOKUP(B:B,Disk_Pivot!G:G,Disk_Pivot!I:I)</f>
        <v>Yes</v>
      </c>
      <c r="AE93" t="str">
        <f>_xlfn.XLOOKUP(B93,Disk_Pivot!G:G,Disk_Pivot!N:N)</f>
        <v>Fail</v>
      </c>
    </row>
    <row r="94" spans="1:31">
      <c r="F94">
        <f>_xlfn.XLOOKUP(H94,Models!B:B,Models!F:F,"")</f>
        <v>0</v>
      </c>
      <c r="K94">
        <f>_xlfn.XLOOKUP(B94,CPU_Formula!A:A,CPU_Formula!I:I)</f>
        <v>0</v>
      </c>
      <c r="L94" s="13" t="e">
        <f>INDEX(Input!$D$2:$AC$500,
       MATCH(B94, Input!$J$2:$J$500, 0),
       MATCH("Memory Capacity", Input!$D$1:$AC$1, 0))</f>
        <v>#N/A</v>
      </c>
      <c r="M94" s="13" t="e">
        <f>INDEX(Input!$D$2:$AC$500,
       MATCH(B94, Input!$J$2:$J$500, 0),
       MATCH("Memory Type", Input!$D$1:$AC$1, 0))</f>
        <v>#N/A</v>
      </c>
      <c r="N94" s="13" t="e">
        <f t="shared" si="3"/>
        <v>#N/A</v>
      </c>
      <c r="Q94" t="e">
        <f>INDEX(Input!$D$2:$AC$500,
       MATCH(B94, Input!$J$2:$J$500, 0),
       MATCH("Disk Capacity", Input!$D$1:$AC$1, 0))</f>
        <v>#N/A</v>
      </c>
      <c r="S94" s="13" t="str">
        <f>_xlfn.LET(_xlpm.Result,_xlfn.XLOOKUP(B94,Input!J:J,Input!AA:AA),IF(_xlpm.Result="","",_xlpm.Result))</f>
        <v/>
      </c>
      <c r="T94" s="13" t="str" cm="1">
        <f t="array" ref="T94">IFERROR(_xlfn.IFS(
   --S94&lt;55,"Battery Defect",
  -- S94&lt;=69,"Battery D",
  --S94&lt;=80,"Battery C",
 --S94&gt;80,""
),"")</f>
        <v/>
      </c>
      <c r="U94" s="13" t="str" cm="1">
        <f t="array" ref="U94:AB94">IFERROR(IF(_xlfn.XLOOKUP(B94,Input!J:J,Input!N:U)=0,"",
          _xlfn.XLOOKUP(B94,Input!J:J,Input!N:U)),"")</f>
        <v/>
      </c>
      <c r="V94" s="13" t="str">
        <v/>
      </c>
      <c r="W94" s="13" t="str">
        <v/>
      </c>
      <c r="X94" s="13" t="str">
        <v/>
      </c>
      <c r="Y94" s="13" t="str">
        <v/>
      </c>
      <c r="Z94" s="13" t="str">
        <v/>
      </c>
      <c r="AA94" s="13" t="str">
        <v/>
      </c>
      <c r="AB94" s="13" t="str">
        <v/>
      </c>
      <c r="AC94" t="str">
        <f t="shared" si="5"/>
        <v/>
      </c>
      <c r="AD94" t="str">
        <f>_xlfn.XLOOKUP(B:B,Disk_Pivot!G:G,Disk_Pivot!I:I)</f>
        <v>Yes</v>
      </c>
      <c r="AE94" t="str">
        <f>_xlfn.XLOOKUP(B94,Disk_Pivot!G:G,Disk_Pivot!N:N)</f>
        <v>Fail</v>
      </c>
    </row>
    <row r="95" spans="1:31">
      <c r="F95">
        <f>_xlfn.XLOOKUP(H95,Models!B:B,Models!F:F,"")</f>
        <v>0</v>
      </c>
      <c r="K95">
        <f>_xlfn.XLOOKUP(B95,CPU_Formula!A:A,CPU_Formula!I:I)</f>
        <v>0</v>
      </c>
      <c r="L95" s="13" t="e">
        <f>INDEX(Input!$D$2:$AC$500,
       MATCH(B95, Input!$J$2:$J$500, 0),
       MATCH("Memory Capacity", Input!$D$1:$AC$1, 0))</f>
        <v>#N/A</v>
      </c>
      <c r="M95" s="13" t="e">
        <f>INDEX(Input!$D$2:$AC$500,
       MATCH(B95, Input!$J$2:$J$500, 0),
       MATCH("Memory Type", Input!$D$1:$AC$1, 0))</f>
        <v>#N/A</v>
      </c>
      <c r="N95" s="13" t="e">
        <f t="shared" si="3"/>
        <v>#N/A</v>
      </c>
      <c r="Q95" t="e">
        <f>INDEX(Input!$D$2:$AC$500,
       MATCH(B95, Input!$J$2:$J$500, 0),
       MATCH("Disk Capacity", Input!$D$1:$AC$1, 0))</f>
        <v>#N/A</v>
      </c>
      <c r="S95" s="13" t="str">
        <f>_xlfn.LET(_xlpm.Result,_xlfn.XLOOKUP(B95,Input!J:J,Input!AA:AA),IF(_xlpm.Result="","",_xlpm.Result))</f>
        <v/>
      </c>
      <c r="T95" s="13" t="str" cm="1">
        <f t="array" ref="T95">IFERROR(_xlfn.IFS(
   --S95&lt;55,"Battery Defect",
  -- S95&lt;=69,"Battery D",
  --S95&lt;=80,"Battery C",
 --S95&gt;80,""
),"")</f>
        <v/>
      </c>
      <c r="U95" s="13" t="str" cm="1">
        <f t="array" ref="U95:AB95">IFERROR(IF(_xlfn.XLOOKUP(B95,Input!J:J,Input!N:U)=0,"",
          _xlfn.XLOOKUP(B95,Input!J:J,Input!N:U)),"")</f>
        <v/>
      </c>
      <c r="V95" s="13" t="str">
        <v/>
      </c>
      <c r="W95" s="13" t="str">
        <v/>
      </c>
      <c r="X95" s="13" t="str">
        <v/>
      </c>
      <c r="Y95" s="13" t="str">
        <v/>
      </c>
      <c r="Z95" s="13" t="str">
        <v/>
      </c>
      <c r="AA95" s="13" t="str">
        <v/>
      </c>
      <c r="AB95" s="13" t="str">
        <v/>
      </c>
      <c r="AC95" t="str">
        <f t="shared" si="5"/>
        <v/>
      </c>
      <c r="AD95" t="str">
        <f>_xlfn.XLOOKUP(B:B,Disk_Pivot!G:G,Disk_Pivot!I:I)</f>
        <v>Yes</v>
      </c>
      <c r="AE95" t="str">
        <f>_xlfn.XLOOKUP(B95,Disk_Pivot!G:G,Disk_Pivot!N:N)</f>
        <v>Fail</v>
      </c>
    </row>
    <row r="96" spans="1:31">
      <c r="F96">
        <f>_xlfn.XLOOKUP(H96,Models!B:B,Models!F:F,"")</f>
        <v>0</v>
      </c>
      <c r="K96">
        <f>_xlfn.XLOOKUP(B96,CPU_Formula!A:A,CPU_Formula!I:I)</f>
        <v>0</v>
      </c>
      <c r="L96" s="13" t="e">
        <f>INDEX(Input!$D$2:$AC$500,
       MATCH(B96, Input!$J$2:$J$500, 0),
       MATCH("Memory Capacity", Input!$D$1:$AC$1, 0))</f>
        <v>#N/A</v>
      </c>
      <c r="M96" s="13" t="e">
        <f>INDEX(Input!$D$2:$AC$500,
       MATCH(B96, Input!$J$2:$J$500, 0),
       MATCH("Memory Type", Input!$D$1:$AC$1, 0))</f>
        <v>#N/A</v>
      </c>
      <c r="N96" s="13" t="e">
        <f t="shared" si="3"/>
        <v>#N/A</v>
      </c>
      <c r="Q96" t="e">
        <f>INDEX(Input!$D$2:$AC$500,
       MATCH(B96, Input!$J$2:$J$500, 0),
       MATCH("Disk Capacity", Input!$D$1:$AC$1, 0))</f>
        <v>#N/A</v>
      </c>
      <c r="S96" s="13" t="str">
        <f>_xlfn.LET(_xlpm.Result,_xlfn.XLOOKUP(B96,Input!J:J,Input!AA:AA),IF(_xlpm.Result="","",_xlpm.Result))</f>
        <v/>
      </c>
      <c r="T96" s="13" t="str" cm="1">
        <f t="array" ref="T96">IFERROR(_xlfn.IFS(
   --S96&lt;55,"Battery Defect",
  -- S96&lt;=69,"Battery D",
  --S96&lt;=80,"Battery C",
 --S96&gt;80,""
),"")</f>
        <v/>
      </c>
      <c r="U96" s="13" t="str" cm="1">
        <f t="array" ref="U96:AB96">IFERROR(IF(_xlfn.XLOOKUP(B96,Input!J:J,Input!N:U)=0,"",
          _xlfn.XLOOKUP(B96,Input!J:J,Input!N:U)),"")</f>
        <v/>
      </c>
      <c r="V96" s="13" t="str">
        <v/>
      </c>
      <c r="W96" s="13" t="str">
        <v/>
      </c>
      <c r="X96" s="13" t="str">
        <v/>
      </c>
      <c r="Y96" s="13" t="str">
        <v/>
      </c>
      <c r="Z96" s="13" t="str">
        <v/>
      </c>
      <c r="AA96" s="13" t="str">
        <v/>
      </c>
      <c r="AB96" s="13" t="str">
        <v/>
      </c>
      <c r="AC96" t="str">
        <f t="shared" si="5"/>
        <v/>
      </c>
      <c r="AD96" t="str">
        <f>_xlfn.XLOOKUP(B:B,Disk_Pivot!G:G,Disk_Pivot!I:I)</f>
        <v>Yes</v>
      </c>
      <c r="AE96" t="str">
        <f>_xlfn.XLOOKUP(B96,Disk_Pivot!G:G,Disk_Pivot!N:N)</f>
        <v>Fail</v>
      </c>
    </row>
    <row r="97" spans="6:31">
      <c r="F97">
        <f>_xlfn.XLOOKUP(H97,Models!B:B,Models!F:F,"")</f>
        <v>0</v>
      </c>
      <c r="K97">
        <f>_xlfn.XLOOKUP(B97,CPU_Formula!A:A,CPU_Formula!I:I)</f>
        <v>0</v>
      </c>
      <c r="L97" s="13" t="e">
        <f>INDEX(Input!$D$2:$AC$500,
       MATCH(B97, Input!$J$2:$J$500, 0),
       MATCH("Memory Capacity", Input!$D$1:$AC$1, 0))</f>
        <v>#N/A</v>
      </c>
      <c r="M97" s="13" t="e">
        <f>INDEX(Input!$D$2:$AC$500,
       MATCH(B97, Input!$J$2:$J$500, 0),
       MATCH("Memory Type", Input!$D$1:$AC$1, 0))</f>
        <v>#N/A</v>
      </c>
      <c r="N97" s="13" t="e">
        <f t="shared" si="3"/>
        <v>#N/A</v>
      </c>
      <c r="Q97" t="e">
        <f>INDEX(Input!$D$2:$AC$500,
       MATCH(B97, Input!$J$2:$J$500, 0),
       MATCH("Disk Capacity", Input!$D$1:$AC$1, 0))</f>
        <v>#N/A</v>
      </c>
      <c r="S97" s="13" t="str">
        <f>_xlfn.LET(_xlpm.Result,_xlfn.XLOOKUP(B97,Input!J:J,Input!AA:AA),IF(_xlpm.Result="","",_xlpm.Result))</f>
        <v/>
      </c>
      <c r="T97" s="13" t="str" cm="1">
        <f t="array" ref="T97">IFERROR(_xlfn.IFS(
   --S97&lt;55,"Battery Defect",
  -- S97&lt;=69,"Battery D",
  --S97&lt;=80,"Battery C",
 --S97&gt;80,""
),"")</f>
        <v/>
      </c>
      <c r="U97" s="13" t="str" cm="1">
        <f t="array" ref="U97:AB97">IFERROR(IF(_xlfn.XLOOKUP(B97,Input!J:J,Input!N:U)=0,"",
          _xlfn.XLOOKUP(B97,Input!J:J,Input!N:U)),"")</f>
        <v/>
      </c>
      <c r="V97" s="13" t="str">
        <v/>
      </c>
      <c r="W97" s="13" t="str">
        <v/>
      </c>
      <c r="X97" s="13" t="str">
        <v/>
      </c>
      <c r="Y97" s="13" t="str">
        <v/>
      </c>
      <c r="Z97" s="13" t="str">
        <v/>
      </c>
      <c r="AA97" s="13" t="str">
        <v/>
      </c>
      <c r="AB97" s="13" t="str">
        <v/>
      </c>
      <c r="AC97" t="str">
        <f t="shared" si="5"/>
        <v/>
      </c>
      <c r="AD97" t="str">
        <f>_xlfn.XLOOKUP(B:B,Disk_Pivot!G:G,Disk_Pivot!I:I)</f>
        <v>Yes</v>
      </c>
      <c r="AE97" t="str">
        <f>_xlfn.XLOOKUP(B97,Disk_Pivot!G:G,Disk_Pivot!N:N)</f>
        <v>Fail</v>
      </c>
    </row>
    <row r="98" spans="6:31">
      <c r="F98">
        <f>_xlfn.XLOOKUP(H98,Models!B:B,Models!F:F,"")</f>
        <v>0</v>
      </c>
      <c r="K98">
        <f>_xlfn.XLOOKUP(B98,CPU_Formula!A:A,CPU_Formula!I:I)</f>
        <v>0</v>
      </c>
      <c r="L98" s="13" t="e">
        <f>INDEX(Input!$D$2:$AC$500,
       MATCH(B98, Input!$J$2:$J$500, 0),
       MATCH("Memory Capacity", Input!$D$1:$AC$1, 0))</f>
        <v>#N/A</v>
      </c>
      <c r="M98" s="13" t="e">
        <f>INDEX(Input!$D$2:$AC$500,
       MATCH(B98, Input!$J$2:$J$500, 0),
       MATCH("Memory Type", Input!$D$1:$AC$1, 0))</f>
        <v>#N/A</v>
      </c>
      <c r="N98" s="13" t="e">
        <f t="shared" si="3"/>
        <v>#N/A</v>
      </c>
      <c r="Q98" t="e">
        <f>INDEX(Input!$D$2:$AC$500,
       MATCH(B98, Input!$J$2:$J$500, 0),
       MATCH("Disk Capacity", Input!$D$1:$AC$1, 0))</f>
        <v>#N/A</v>
      </c>
      <c r="S98" s="13" t="str">
        <f>_xlfn.LET(_xlpm.Result,_xlfn.XLOOKUP(B98,Input!J:J,Input!AA:AA),IF(_xlpm.Result="","",_xlpm.Result))</f>
        <v/>
      </c>
      <c r="T98" s="13" t="str" cm="1">
        <f t="array" ref="T98">IFERROR(_xlfn.IFS(
   --S98&lt;55,"Battery Defect",
  -- S98&lt;=69,"Battery D",
  --S98&lt;=80,"Battery C",
 --S98&gt;80,""
),"")</f>
        <v/>
      </c>
      <c r="U98" s="13" t="str" cm="1">
        <f t="array" ref="U98:AB98">IFERROR(IF(_xlfn.XLOOKUP(B98,Input!J:J,Input!N:U)=0,"",
          _xlfn.XLOOKUP(B98,Input!J:J,Input!N:U)),"")</f>
        <v/>
      </c>
      <c r="V98" s="13" t="str">
        <v/>
      </c>
      <c r="W98" s="13" t="str">
        <v/>
      </c>
      <c r="X98" s="13" t="str">
        <v/>
      </c>
      <c r="Y98" s="13" t="str">
        <v/>
      </c>
      <c r="Z98" s="13" t="str">
        <v/>
      </c>
      <c r="AA98" s="13" t="str">
        <v/>
      </c>
      <c r="AB98" s="13" t="str">
        <v/>
      </c>
      <c r="AC98" t="str">
        <f t="shared" si="5"/>
        <v/>
      </c>
      <c r="AD98" t="str">
        <f>_xlfn.XLOOKUP(B:B,Disk_Pivot!G:G,Disk_Pivot!I:I)</f>
        <v>Yes</v>
      </c>
      <c r="AE98" t="str">
        <f>_xlfn.XLOOKUP(B98,Disk_Pivot!G:G,Disk_Pivot!N:N)</f>
        <v>Fail</v>
      </c>
    </row>
    <row r="99" spans="6:31">
      <c r="F99">
        <f>_xlfn.XLOOKUP(H99,Models!B:B,Models!F:F,"")</f>
        <v>0</v>
      </c>
      <c r="K99">
        <f>_xlfn.XLOOKUP(B99,CPU_Formula!A:A,CPU_Formula!I:I)</f>
        <v>0</v>
      </c>
      <c r="L99" s="13" t="e">
        <f>INDEX(Input!$D$2:$AC$500,
       MATCH(B99, Input!$J$2:$J$500, 0),
       MATCH("Memory Capacity", Input!$D$1:$AC$1, 0))</f>
        <v>#N/A</v>
      </c>
      <c r="M99" s="13" t="e">
        <f>INDEX(Input!$D$2:$AC$500,
       MATCH(B99, Input!$J$2:$J$500, 0),
       MATCH("Memory Type", Input!$D$1:$AC$1, 0))</f>
        <v>#N/A</v>
      </c>
      <c r="N99" s="13" t="e">
        <f t="shared" si="3"/>
        <v>#N/A</v>
      </c>
      <c r="Q99" t="e">
        <f>INDEX(Input!$D$2:$AC$500,
       MATCH(B99, Input!$J$2:$J$500, 0),
       MATCH("Disk Capacity", Input!$D$1:$AC$1, 0))</f>
        <v>#N/A</v>
      </c>
      <c r="S99" s="13" t="str">
        <f>_xlfn.LET(_xlpm.Result,_xlfn.XLOOKUP(B99,Input!J:J,Input!AA:AA),IF(_xlpm.Result="","",_xlpm.Result))</f>
        <v/>
      </c>
      <c r="T99" s="13" t="str" cm="1">
        <f t="array" ref="T99">IFERROR(_xlfn.IFS(
   --S99&lt;55,"Battery Defect",
  -- S99&lt;=69,"Battery D",
  --S99&lt;=80,"Battery C",
 --S99&gt;80,""
),"")</f>
        <v/>
      </c>
      <c r="U99" s="13" t="str" cm="1">
        <f t="array" ref="U99:AB99">IFERROR(IF(_xlfn.XLOOKUP(B99,Input!J:J,Input!N:U)=0,"",
          _xlfn.XLOOKUP(B99,Input!J:J,Input!N:U)),"")</f>
        <v/>
      </c>
      <c r="V99" s="13" t="str">
        <v/>
      </c>
      <c r="W99" s="13" t="str">
        <v/>
      </c>
      <c r="X99" s="13" t="str">
        <v/>
      </c>
      <c r="Y99" s="13" t="str">
        <v/>
      </c>
      <c r="Z99" s="13" t="str">
        <v/>
      </c>
      <c r="AA99" s="13" t="str">
        <v/>
      </c>
      <c r="AB99" s="13" t="str">
        <v/>
      </c>
      <c r="AC99" t="str">
        <f t="shared" si="5"/>
        <v/>
      </c>
      <c r="AD99" t="str">
        <f>_xlfn.XLOOKUP(B:B,Disk_Pivot!G:G,Disk_Pivot!I:I)</f>
        <v>Yes</v>
      </c>
      <c r="AE99" t="str">
        <f>_xlfn.XLOOKUP(B99,Disk_Pivot!G:G,Disk_Pivot!N:N)</f>
        <v>Fail</v>
      </c>
    </row>
    <row r="100" spans="6:31">
      <c r="F100">
        <f>_xlfn.XLOOKUP(H100,Models!B:B,Models!F:F,"")</f>
        <v>0</v>
      </c>
      <c r="K100">
        <f>_xlfn.XLOOKUP(B100,CPU_Formula!A:A,CPU_Formula!I:I)</f>
        <v>0</v>
      </c>
      <c r="L100" s="13" t="e">
        <f>INDEX(Input!$D$2:$AC$500,
       MATCH(B100, Input!$J$2:$J$500, 0),
       MATCH("Memory Capacity", Input!$D$1:$AC$1, 0))</f>
        <v>#N/A</v>
      </c>
      <c r="M100" s="13" t="e">
        <f>INDEX(Input!$D$2:$AC$500,
       MATCH(B100, Input!$J$2:$J$500, 0),
       MATCH("Memory Type", Input!$D$1:$AC$1, 0))</f>
        <v>#N/A</v>
      </c>
      <c r="N100" s="13" t="e">
        <f t="shared" si="3"/>
        <v>#N/A</v>
      </c>
      <c r="Q100" t="e">
        <f>INDEX(Input!$D$2:$AC$500,
       MATCH(B100, Input!$J$2:$J$500, 0),
       MATCH("Disk Capacity", Input!$D$1:$AC$1, 0))</f>
        <v>#N/A</v>
      </c>
      <c r="S100" s="13" t="str">
        <f>_xlfn.LET(_xlpm.Result,_xlfn.XLOOKUP(B100,Input!J:J,Input!AA:AA),IF(_xlpm.Result="","",_xlpm.Result))</f>
        <v/>
      </c>
      <c r="T100" s="13" t="str" cm="1">
        <f t="array" ref="T100">IFERROR(_xlfn.IFS(
   --S100&lt;55,"Battery Defect",
  -- S100&lt;=69,"Battery D",
  --S100&lt;=80,"Battery C",
 --S100&gt;80,""
),"")</f>
        <v/>
      </c>
      <c r="U100" s="13" t="str" cm="1">
        <f t="array" ref="U100:AB100">IFERROR(IF(_xlfn.XLOOKUP(B100,Input!J:J,Input!N:U)=0,"",
          _xlfn.XLOOKUP(B100,Input!J:J,Input!N:U)),"")</f>
        <v/>
      </c>
      <c r="V100" s="13" t="str">
        <v/>
      </c>
      <c r="W100" s="13" t="str">
        <v/>
      </c>
      <c r="X100" s="13" t="str">
        <v/>
      </c>
      <c r="Y100" s="13" t="str">
        <v/>
      </c>
      <c r="Z100" s="13" t="str">
        <v/>
      </c>
      <c r="AA100" s="13" t="str">
        <v/>
      </c>
      <c r="AB100" s="13" t="str">
        <v/>
      </c>
      <c r="AC100" t="str">
        <f t="shared" si="5"/>
        <v/>
      </c>
      <c r="AD100" t="str">
        <f>_xlfn.XLOOKUP(B:B,Disk_Pivot!G:G,Disk_Pivot!I:I)</f>
        <v>Yes</v>
      </c>
      <c r="AE100" t="str">
        <f>_xlfn.XLOOKUP(B100,Disk_Pivot!G:G,Disk_Pivot!N:N)</f>
        <v>Fail</v>
      </c>
    </row>
    <row r="101" spans="6:31">
      <c r="F101">
        <f>_xlfn.XLOOKUP(H101,Models!B:B,Models!F:F,"")</f>
        <v>0</v>
      </c>
      <c r="K101">
        <f>_xlfn.XLOOKUP(B101,CPU_Formula!A:A,CPU_Formula!I:I)</f>
        <v>0</v>
      </c>
      <c r="L101" s="13" t="e">
        <f>INDEX(Input!$D$2:$AC$500,
       MATCH(B101, Input!$J$2:$J$500, 0),
       MATCH("Memory Capacity", Input!$D$1:$AC$1, 0))</f>
        <v>#N/A</v>
      </c>
      <c r="M101" s="13" t="e">
        <f>INDEX(Input!$D$2:$AC$500,
       MATCH(B101, Input!$J$2:$J$500, 0),
       MATCH("Memory Type", Input!$D$1:$AC$1, 0))</f>
        <v>#N/A</v>
      </c>
      <c r="N101" s="13" t="e">
        <f t="shared" si="3"/>
        <v>#N/A</v>
      </c>
      <c r="Q101" t="e">
        <f>INDEX(Input!$D$2:$AC$500,
       MATCH(B101, Input!$J$2:$J$500, 0),
       MATCH("Disk Capacity", Input!$D$1:$AC$1, 0))</f>
        <v>#N/A</v>
      </c>
      <c r="S101" s="13" t="str">
        <f>_xlfn.LET(_xlpm.Result,_xlfn.XLOOKUP(B101,Input!J:J,Input!AA:AA),IF(_xlpm.Result="","",_xlpm.Result))</f>
        <v/>
      </c>
      <c r="T101" s="13" t="str" cm="1">
        <f t="array" ref="T101">IFERROR(_xlfn.IFS(
   --S101&lt;55,"Battery Defect",
  -- S101&lt;=69,"Battery D",
  --S101&lt;=80,"Battery C",
 --S101&gt;80,""
),"")</f>
        <v/>
      </c>
      <c r="U101" s="13" t="str" cm="1">
        <f t="array" ref="U101:AB101">IFERROR(IF(_xlfn.XLOOKUP(B101,Input!J:J,Input!N:U)=0,"",
          _xlfn.XLOOKUP(B101,Input!J:J,Input!N:U)),"")</f>
        <v/>
      </c>
      <c r="V101" s="13" t="str">
        <v/>
      </c>
      <c r="W101" s="13" t="str">
        <v/>
      </c>
      <c r="X101" s="13" t="str">
        <v/>
      </c>
      <c r="Y101" s="13" t="str">
        <v/>
      </c>
      <c r="Z101" s="13" t="str">
        <v/>
      </c>
      <c r="AA101" s="13" t="str">
        <v/>
      </c>
      <c r="AB101" s="13" t="str">
        <v/>
      </c>
      <c r="AC101" t="str">
        <f t="shared" si="5"/>
        <v/>
      </c>
      <c r="AD101" t="str">
        <f>_xlfn.XLOOKUP(B:B,Disk_Pivot!G:G,Disk_Pivot!I:I)</f>
        <v>Yes</v>
      </c>
      <c r="AE101" t="str">
        <f>_xlfn.XLOOKUP(B101,Disk_Pivot!G:G,Disk_Pivot!N:N)</f>
        <v>Fail</v>
      </c>
    </row>
    <row r="102" spans="6:31">
      <c r="F102">
        <f>_xlfn.XLOOKUP(H102,Models!B:B,Models!F:F,"")</f>
        <v>0</v>
      </c>
      <c r="K102">
        <f>_xlfn.XLOOKUP(B102,CPU_Formula!A:A,CPU_Formula!I:I)</f>
        <v>0</v>
      </c>
      <c r="L102" s="13" t="e">
        <f>INDEX(Input!$D$2:$AC$500,
       MATCH(B102, Input!$J$2:$J$500, 0),
       MATCH("Memory Capacity", Input!$D$1:$AC$1, 0))</f>
        <v>#N/A</v>
      </c>
      <c r="M102" s="13" t="e">
        <f>INDEX(Input!$D$2:$AC$500,
       MATCH(B102, Input!$J$2:$J$500, 0),
       MATCH("Memory Type", Input!$D$1:$AC$1, 0))</f>
        <v>#N/A</v>
      </c>
      <c r="N102" s="13" t="e">
        <f t="shared" si="3"/>
        <v>#N/A</v>
      </c>
      <c r="Q102" t="e">
        <f>INDEX(Input!$D$2:$AC$500,
       MATCH(B102, Input!$J$2:$J$500, 0),
       MATCH("Disk Capacity", Input!$D$1:$AC$1, 0))</f>
        <v>#N/A</v>
      </c>
      <c r="S102" s="13" t="str">
        <f>_xlfn.LET(_xlpm.Result,_xlfn.XLOOKUP(B102,Input!J:J,Input!AA:AA),IF(_xlpm.Result="","",_xlpm.Result))</f>
        <v/>
      </c>
      <c r="T102" s="13" t="str" cm="1">
        <f t="array" ref="T102">IFERROR(_xlfn.IFS(
   --S102&lt;55,"Battery Defect",
  -- S102&lt;=69,"Battery D",
  --S102&lt;=80,"Battery C",
 --S102&gt;80,""
),"")</f>
        <v/>
      </c>
      <c r="U102" s="13" t="str" cm="1">
        <f t="array" ref="U102:AB102">IFERROR(IF(_xlfn.XLOOKUP(B102,Input!J:J,Input!N:U)=0,"",
          _xlfn.XLOOKUP(B102,Input!J:J,Input!N:U)),"")</f>
        <v/>
      </c>
      <c r="V102" s="13" t="str">
        <v/>
      </c>
      <c r="W102" s="13" t="str">
        <v/>
      </c>
      <c r="X102" s="13" t="str">
        <v/>
      </c>
      <c r="Y102" s="13" t="str">
        <v/>
      </c>
      <c r="Z102" s="13" t="str">
        <v/>
      </c>
      <c r="AA102" s="13" t="str">
        <v/>
      </c>
      <c r="AB102" s="13" t="str">
        <v/>
      </c>
      <c r="AC102" t="str">
        <f t="shared" si="5"/>
        <v/>
      </c>
      <c r="AD102" t="str">
        <f>_xlfn.XLOOKUP(B:B,Disk_Pivot!G:G,Disk_Pivot!I:I)</f>
        <v>Yes</v>
      </c>
      <c r="AE102" t="str">
        <f>_xlfn.XLOOKUP(B102,Disk_Pivot!G:G,Disk_Pivot!N:N)</f>
        <v>Fail</v>
      </c>
    </row>
    <row r="103" spans="6:31">
      <c r="F103">
        <f>_xlfn.XLOOKUP(H103,Models!B:B,Models!F:F,"")</f>
        <v>0</v>
      </c>
      <c r="K103">
        <f>_xlfn.XLOOKUP(B103,CPU_Formula!A:A,CPU_Formula!I:I)</f>
        <v>0</v>
      </c>
      <c r="L103" s="13" t="e">
        <f>INDEX(Input!$D$2:$AC$500,
       MATCH(B103, Input!$J$2:$J$500, 0),
       MATCH("Memory Capacity", Input!$D$1:$AC$1, 0))</f>
        <v>#N/A</v>
      </c>
      <c r="M103" s="13" t="e">
        <f>INDEX(Input!$D$2:$AC$500,
       MATCH(B103, Input!$J$2:$J$500, 0),
       MATCH("Memory Type", Input!$D$1:$AC$1, 0))</f>
        <v>#N/A</v>
      </c>
      <c r="N103" s="13" t="e">
        <f t="shared" si="3"/>
        <v>#N/A</v>
      </c>
      <c r="Q103" t="e">
        <f>INDEX(Input!$D$2:$AC$500,
       MATCH(B103, Input!$J$2:$J$500, 0),
       MATCH("Disk Capacity", Input!$D$1:$AC$1, 0))</f>
        <v>#N/A</v>
      </c>
      <c r="S103" s="13" t="str">
        <f>_xlfn.LET(_xlpm.Result,_xlfn.XLOOKUP(B103,Input!J:J,Input!AA:AA),IF(_xlpm.Result="","",_xlpm.Result))</f>
        <v/>
      </c>
      <c r="T103" s="13" t="str" cm="1">
        <f t="array" ref="T103">IFERROR(_xlfn.IFS(
   --S103&lt;55,"Battery Defect",
  -- S103&lt;=69,"Battery D",
  --S103&lt;=80,"Battery C",
 --S103&gt;80,""
),"")</f>
        <v/>
      </c>
      <c r="U103" s="13" t="str" cm="1">
        <f t="array" ref="U103:AB103">IFERROR(IF(_xlfn.XLOOKUP(B103,Input!J:J,Input!N:U)=0,"",
          _xlfn.XLOOKUP(B103,Input!J:J,Input!N:U)),"")</f>
        <v/>
      </c>
      <c r="V103" s="13" t="str">
        <v/>
      </c>
      <c r="W103" s="13" t="str">
        <v/>
      </c>
      <c r="X103" s="13" t="str">
        <v/>
      </c>
      <c r="Y103" s="13" t="str">
        <v/>
      </c>
      <c r="Z103" s="13" t="str">
        <v/>
      </c>
      <c r="AA103" s="13" t="str">
        <v/>
      </c>
      <c r="AB103" s="13" t="str">
        <v/>
      </c>
      <c r="AC103" t="str">
        <f t="shared" si="5"/>
        <v/>
      </c>
      <c r="AD103" t="str">
        <f>_xlfn.XLOOKUP(B:B,Disk_Pivot!G:G,Disk_Pivot!I:I)</f>
        <v>Yes</v>
      </c>
      <c r="AE103" t="str">
        <f>_xlfn.XLOOKUP(B103,Disk_Pivot!G:G,Disk_Pivot!N:N)</f>
        <v>Fail</v>
      </c>
    </row>
    <row r="104" spans="6:31">
      <c r="F104">
        <f>_xlfn.XLOOKUP(H104,Models!B:B,Models!F:F,"")</f>
        <v>0</v>
      </c>
      <c r="K104">
        <f>_xlfn.XLOOKUP(B104,CPU_Formula!A:A,CPU_Formula!I:I)</f>
        <v>0</v>
      </c>
      <c r="L104" s="13" t="e">
        <f>INDEX(Input!$D$2:$AC$500,
       MATCH(B104, Input!$J$2:$J$500, 0),
       MATCH("Memory Capacity", Input!$D$1:$AC$1, 0))</f>
        <v>#N/A</v>
      </c>
      <c r="M104" s="13" t="e">
        <f>INDEX(Input!$D$2:$AC$500,
       MATCH(B104, Input!$J$2:$J$500, 0),
       MATCH("Memory Type", Input!$D$1:$AC$1, 0))</f>
        <v>#N/A</v>
      </c>
      <c r="N104" s="13" t="e">
        <f t="shared" si="3"/>
        <v>#N/A</v>
      </c>
      <c r="Q104" t="e">
        <f>INDEX(Input!$D$2:$AC$500,
       MATCH(B104, Input!$J$2:$J$500, 0),
       MATCH("Disk Capacity", Input!$D$1:$AC$1, 0))</f>
        <v>#N/A</v>
      </c>
      <c r="S104" s="13" t="str">
        <f>_xlfn.LET(_xlpm.Result,_xlfn.XLOOKUP(B104,Input!J:J,Input!AA:AA),IF(_xlpm.Result="","",_xlpm.Result))</f>
        <v/>
      </c>
      <c r="T104" s="13" t="str" cm="1">
        <f t="array" ref="T104">IFERROR(_xlfn.IFS(
   --S104&lt;55,"Battery Defect",
  -- S104&lt;=69,"Battery D",
  --S104&lt;=80,"Battery C",
 --S104&gt;80,""
),"")</f>
        <v/>
      </c>
      <c r="U104" s="13" t="str" cm="1">
        <f t="array" ref="U104:AB104">IFERROR(IF(_xlfn.XLOOKUP(B104,Input!J:J,Input!N:U)=0,"",
          _xlfn.XLOOKUP(B104,Input!J:J,Input!N:U)),"")</f>
        <v/>
      </c>
      <c r="V104" s="13" t="str">
        <v/>
      </c>
      <c r="W104" s="13" t="str">
        <v/>
      </c>
      <c r="X104" s="13" t="str">
        <v/>
      </c>
      <c r="Y104" s="13" t="str">
        <v/>
      </c>
      <c r="Z104" s="13" t="str">
        <v/>
      </c>
      <c r="AA104" s="13" t="str">
        <v/>
      </c>
      <c r="AB104" s="13" t="str">
        <v/>
      </c>
      <c r="AC104" t="str">
        <f t="shared" si="5"/>
        <v/>
      </c>
      <c r="AD104" t="str">
        <f>_xlfn.XLOOKUP(B:B,Disk_Pivot!G:G,Disk_Pivot!I:I)</f>
        <v>Yes</v>
      </c>
      <c r="AE104" t="str">
        <f>_xlfn.XLOOKUP(B104,Disk_Pivot!G:G,Disk_Pivot!N:N)</f>
        <v>Fail</v>
      </c>
    </row>
    <row r="105" spans="6:31">
      <c r="F105">
        <f>_xlfn.XLOOKUP(H105,Models!B:B,Models!F:F,"")</f>
        <v>0</v>
      </c>
      <c r="K105">
        <f>_xlfn.XLOOKUP(B105,CPU_Formula!A:A,CPU_Formula!I:I)</f>
        <v>0</v>
      </c>
      <c r="L105" s="13" t="e">
        <f>INDEX(Input!$D$2:$AC$500,
       MATCH(B105, Input!$J$2:$J$500, 0),
       MATCH("Memory Capacity", Input!$D$1:$AC$1, 0))</f>
        <v>#N/A</v>
      </c>
      <c r="M105" s="13" t="e">
        <f>INDEX(Input!$D$2:$AC$500,
       MATCH(B105, Input!$J$2:$J$500, 0),
       MATCH("Memory Type", Input!$D$1:$AC$1, 0))</f>
        <v>#N/A</v>
      </c>
      <c r="N105" s="13" t="e">
        <f t="shared" si="3"/>
        <v>#N/A</v>
      </c>
      <c r="Q105" t="e">
        <f>INDEX(Input!$D$2:$AC$500,
       MATCH(B105, Input!$J$2:$J$500, 0),
       MATCH("Disk Capacity", Input!$D$1:$AC$1, 0))</f>
        <v>#N/A</v>
      </c>
      <c r="S105" s="13" t="str">
        <f>_xlfn.LET(_xlpm.Result,_xlfn.XLOOKUP(B105,Input!J:J,Input!AA:AA),IF(_xlpm.Result="","",_xlpm.Result))</f>
        <v/>
      </c>
      <c r="T105" s="13" t="str" cm="1">
        <f t="array" ref="T105">IFERROR(_xlfn.IFS(
   --S105&lt;55,"Battery Defect",
  -- S105&lt;=69,"Battery D",
  --S105&lt;=80,"Battery C",
 --S105&gt;80,""
),"")</f>
        <v/>
      </c>
      <c r="U105" s="13" t="str" cm="1">
        <f t="array" ref="U105:AB105">IFERROR(IF(_xlfn.XLOOKUP(B105,Input!J:J,Input!N:U)=0,"",
          _xlfn.XLOOKUP(B105,Input!J:J,Input!N:U)),"")</f>
        <v/>
      </c>
      <c r="V105" s="13" t="str">
        <v/>
      </c>
      <c r="W105" s="13" t="str">
        <v/>
      </c>
      <c r="X105" s="13" t="str">
        <v/>
      </c>
      <c r="Y105" s="13" t="str">
        <v/>
      </c>
      <c r="Z105" s="13" t="str">
        <v/>
      </c>
      <c r="AA105" s="13" t="str">
        <v/>
      </c>
      <c r="AB105" s="13" t="str">
        <v/>
      </c>
      <c r="AC105" t="str">
        <f t="shared" si="5"/>
        <v/>
      </c>
      <c r="AD105" t="str">
        <f>_xlfn.XLOOKUP(B:B,Disk_Pivot!G:G,Disk_Pivot!I:I)</f>
        <v>Yes</v>
      </c>
      <c r="AE105" t="str">
        <f>_xlfn.XLOOKUP(B105,Disk_Pivot!G:G,Disk_Pivot!N:N)</f>
        <v>Fail</v>
      </c>
    </row>
    <row r="106" spans="6:31">
      <c r="F106">
        <f>_xlfn.XLOOKUP(H106,Models!B:B,Models!F:F,"")</f>
        <v>0</v>
      </c>
      <c r="K106">
        <f>_xlfn.XLOOKUP(B106,CPU_Formula!A:A,CPU_Formula!I:I)</f>
        <v>0</v>
      </c>
      <c r="L106" s="13" t="e">
        <f>INDEX(Input!$D$2:$AC$500,
       MATCH(B106, Input!$J$2:$J$500, 0),
       MATCH("Memory Capacity", Input!$D$1:$AC$1, 0))</f>
        <v>#N/A</v>
      </c>
      <c r="M106" s="13" t="e">
        <f>INDEX(Input!$D$2:$AC$500,
       MATCH(B106, Input!$J$2:$J$500, 0),
       MATCH("Memory Type", Input!$D$1:$AC$1, 0))</f>
        <v>#N/A</v>
      </c>
      <c r="N106" s="13" t="e">
        <f t="shared" si="3"/>
        <v>#N/A</v>
      </c>
      <c r="Q106" t="e">
        <f>INDEX(Input!$D$2:$AC$500,
       MATCH(B106, Input!$J$2:$J$500, 0),
       MATCH("Disk Capacity", Input!$D$1:$AC$1, 0))</f>
        <v>#N/A</v>
      </c>
      <c r="S106" s="13" t="str">
        <f>_xlfn.LET(_xlpm.Result,_xlfn.XLOOKUP(B106,Input!J:J,Input!AA:AA),IF(_xlpm.Result="","",_xlpm.Result))</f>
        <v/>
      </c>
      <c r="T106" s="13" t="str" cm="1">
        <f t="array" ref="T106">IFERROR(_xlfn.IFS(
   --S106&lt;55,"Battery Defect",
  -- S106&lt;=69,"Battery D",
  --S106&lt;=80,"Battery C",
 --S106&gt;80,""
),"")</f>
        <v/>
      </c>
      <c r="U106" s="13" t="str" cm="1">
        <f t="array" ref="U106:AB106">IFERROR(IF(_xlfn.XLOOKUP(B106,Input!J:J,Input!N:U)=0,"",
          _xlfn.XLOOKUP(B106,Input!J:J,Input!N:U)),"")</f>
        <v/>
      </c>
      <c r="V106" s="13" t="str">
        <v/>
      </c>
      <c r="W106" s="13" t="str">
        <v/>
      </c>
      <c r="X106" s="13" t="str">
        <v/>
      </c>
      <c r="Y106" s="13" t="str">
        <v/>
      </c>
      <c r="Z106" s="13" t="str">
        <v/>
      </c>
      <c r="AA106" s="13" t="str">
        <v/>
      </c>
      <c r="AB106" s="13" t="str">
        <v/>
      </c>
      <c r="AC106" t="str">
        <f t="shared" si="5"/>
        <v/>
      </c>
      <c r="AD106" t="str">
        <f>_xlfn.XLOOKUP(B:B,Disk_Pivot!G:G,Disk_Pivot!I:I)</f>
        <v>Yes</v>
      </c>
      <c r="AE106" t="str">
        <f>_xlfn.XLOOKUP(B106,Disk_Pivot!G:G,Disk_Pivot!N:N)</f>
        <v>Fail</v>
      </c>
    </row>
    <row r="107" spans="6:31">
      <c r="F107">
        <f>_xlfn.XLOOKUP(H107,Models!B:B,Models!F:F,"")</f>
        <v>0</v>
      </c>
      <c r="K107">
        <f>_xlfn.XLOOKUP(B107,CPU_Formula!A:A,CPU_Formula!I:I)</f>
        <v>0</v>
      </c>
      <c r="L107" s="13" t="e">
        <f>INDEX(Input!$D$2:$AC$500,
       MATCH(B107, Input!$J$2:$J$500, 0),
       MATCH("Memory Capacity", Input!$D$1:$AC$1, 0))</f>
        <v>#N/A</v>
      </c>
      <c r="M107" s="13" t="e">
        <f>INDEX(Input!$D$2:$AC$500,
       MATCH(B107, Input!$J$2:$J$500, 0),
       MATCH("Memory Type", Input!$D$1:$AC$1, 0))</f>
        <v>#N/A</v>
      </c>
      <c r="N107" s="13" t="e">
        <f t="shared" si="3"/>
        <v>#N/A</v>
      </c>
      <c r="Q107" t="e">
        <f>INDEX(Input!$D$2:$AC$500,
       MATCH(B107, Input!$J$2:$J$500, 0),
       MATCH("Disk Capacity", Input!$D$1:$AC$1, 0))</f>
        <v>#N/A</v>
      </c>
      <c r="S107" s="13" t="str">
        <f>_xlfn.LET(_xlpm.Result,_xlfn.XLOOKUP(B107,Input!J:J,Input!AA:AA),IF(_xlpm.Result="","",_xlpm.Result))</f>
        <v/>
      </c>
      <c r="T107" s="13" t="str" cm="1">
        <f t="array" ref="T107">IFERROR(_xlfn.IFS(
   --S107&lt;55,"Battery Defect",
  -- S107&lt;=69,"Battery D",
  --S107&lt;=80,"Battery C",
 --S107&gt;80,""
),"")</f>
        <v/>
      </c>
      <c r="U107" s="13" t="str" cm="1">
        <f t="array" ref="U107:AB107">IFERROR(IF(_xlfn.XLOOKUP(B107,Input!J:J,Input!N:U)=0,"",
          _xlfn.XLOOKUP(B107,Input!J:J,Input!N:U)),"")</f>
        <v/>
      </c>
      <c r="V107" s="13" t="str">
        <v/>
      </c>
      <c r="W107" s="13" t="str">
        <v/>
      </c>
      <c r="X107" s="13" t="str">
        <v/>
      </c>
      <c r="Y107" s="13" t="str">
        <v/>
      </c>
      <c r="Z107" s="13" t="str">
        <v/>
      </c>
      <c r="AA107" s="13" t="str">
        <v/>
      </c>
      <c r="AB107" s="13" t="str">
        <v/>
      </c>
      <c r="AC107" t="str">
        <f t="shared" si="5"/>
        <v/>
      </c>
      <c r="AD107" t="str">
        <f>_xlfn.XLOOKUP(B:B,Disk_Pivot!G:G,Disk_Pivot!I:I)</f>
        <v>Yes</v>
      </c>
      <c r="AE107" t="str">
        <f>_xlfn.XLOOKUP(B107,Disk_Pivot!G:G,Disk_Pivot!N:N)</f>
        <v>Fail</v>
      </c>
    </row>
    <row r="108" spans="6:31">
      <c r="F108">
        <f>_xlfn.XLOOKUP(H108,Models!B:B,Models!F:F,"")</f>
        <v>0</v>
      </c>
      <c r="K108">
        <f>_xlfn.XLOOKUP(B108,CPU_Formula!A:A,CPU_Formula!I:I)</f>
        <v>0</v>
      </c>
      <c r="L108" s="13" t="e">
        <f>INDEX(Input!$D$2:$AC$500,
       MATCH(B108, Input!$J$2:$J$500, 0),
       MATCH("Memory Capacity", Input!$D$1:$AC$1, 0))</f>
        <v>#N/A</v>
      </c>
      <c r="M108" s="13" t="e">
        <f>INDEX(Input!$D$2:$AC$500,
       MATCH(B108, Input!$J$2:$J$500, 0),
       MATCH("Memory Type", Input!$D$1:$AC$1, 0))</f>
        <v>#N/A</v>
      </c>
      <c r="N108" s="13" t="e">
        <f t="shared" si="3"/>
        <v>#N/A</v>
      </c>
      <c r="Q108" t="e">
        <f>INDEX(Input!$D$2:$AC$500,
       MATCH(B108, Input!$J$2:$J$500, 0),
       MATCH("Disk Capacity", Input!$D$1:$AC$1, 0))</f>
        <v>#N/A</v>
      </c>
      <c r="S108" s="13" t="str">
        <f>_xlfn.LET(_xlpm.Result,_xlfn.XLOOKUP(B108,Input!J:J,Input!AA:AA),IF(_xlpm.Result="","",_xlpm.Result))</f>
        <v/>
      </c>
      <c r="T108" s="13" t="str" cm="1">
        <f t="array" ref="T108">IFERROR(_xlfn.IFS(
   --S108&lt;55,"Battery Defect",
  -- S108&lt;=69,"Battery D",
  --S108&lt;=80,"Battery C",
 --S108&gt;80,""
),"")</f>
        <v/>
      </c>
      <c r="U108" s="13" t="str" cm="1">
        <f t="array" ref="U108:AB108">IFERROR(IF(_xlfn.XLOOKUP(B108,Input!J:J,Input!N:U)=0,"",
          _xlfn.XLOOKUP(B108,Input!J:J,Input!N:U)),"")</f>
        <v/>
      </c>
      <c r="V108" s="13" t="str">
        <v/>
      </c>
      <c r="W108" s="13" t="str">
        <v/>
      </c>
      <c r="X108" s="13" t="str">
        <v/>
      </c>
      <c r="Y108" s="13" t="str">
        <v/>
      </c>
      <c r="Z108" s="13" t="str">
        <v/>
      </c>
      <c r="AA108" s="13" t="str">
        <v/>
      </c>
      <c r="AB108" s="13" t="str">
        <v/>
      </c>
      <c r="AC108" t="str">
        <f t="shared" si="5"/>
        <v/>
      </c>
      <c r="AD108" t="str">
        <f>_xlfn.XLOOKUP(B:B,Disk_Pivot!G:G,Disk_Pivot!I:I)</f>
        <v>Yes</v>
      </c>
      <c r="AE108" t="str">
        <f>_xlfn.XLOOKUP(B108,Disk_Pivot!G:G,Disk_Pivot!N:N)</f>
        <v>Fail</v>
      </c>
    </row>
    <row r="109" spans="6:31">
      <c r="F109">
        <f>_xlfn.XLOOKUP(H109,Models!B:B,Models!F:F,"")</f>
        <v>0</v>
      </c>
      <c r="K109">
        <f>_xlfn.XLOOKUP(B109,CPU_Formula!A:A,CPU_Formula!I:I)</f>
        <v>0</v>
      </c>
      <c r="L109" s="13" t="e">
        <f>INDEX(Input!$D$2:$AC$500,
       MATCH(B109, Input!$J$2:$J$500, 0),
       MATCH("Memory Capacity", Input!$D$1:$AC$1, 0))</f>
        <v>#N/A</v>
      </c>
      <c r="M109" s="13" t="e">
        <f>INDEX(Input!$D$2:$AC$500,
       MATCH(B109, Input!$J$2:$J$500, 0),
       MATCH("Memory Type", Input!$D$1:$AC$1, 0))</f>
        <v>#N/A</v>
      </c>
      <c r="N109" s="13" t="e">
        <f t="shared" si="3"/>
        <v>#N/A</v>
      </c>
      <c r="Q109" t="e">
        <f>INDEX(Input!$D$2:$AC$500,
       MATCH(B109, Input!$J$2:$J$500, 0),
       MATCH("Disk Capacity", Input!$D$1:$AC$1, 0))</f>
        <v>#N/A</v>
      </c>
      <c r="S109" s="13" t="str">
        <f>_xlfn.LET(_xlpm.Result,_xlfn.XLOOKUP(B109,Input!J:J,Input!AA:AA),IF(_xlpm.Result="","",_xlpm.Result))</f>
        <v/>
      </c>
      <c r="T109" s="13" t="str" cm="1">
        <f t="array" ref="T109">IFERROR(_xlfn.IFS(
   --S109&lt;55,"Battery Defect",
  -- S109&lt;=69,"Battery D",
  --S109&lt;=80,"Battery C",
 --S109&gt;80,""
),"")</f>
        <v/>
      </c>
      <c r="U109" s="13" t="str" cm="1">
        <f t="array" ref="U109:AB109">IFERROR(IF(_xlfn.XLOOKUP(B109,Input!J:J,Input!N:U)=0,"",
          _xlfn.XLOOKUP(B109,Input!J:J,Input!N:U)),"")</f>
        <v/>
      </c>
      <c r="V109" s="13" t="str">
        <v/>
      </c>
      <c r="W109" s="13" t="str">
        <v/>
      </c>
      <c r="X109" s="13" t="str">
        <v/>
      </c>
      <c r="Y109" s="13" t="str">
        <v/>
      </c>
      <c r="Z109" s="13" t="str">
        <v/>
      </c>
      <c r="AA109" s="13" t="str">
        <v/>
      </c>
      <c r="AB109" s="13" t="str">
        <v/>
      </c>
      <c r="AC109" t="str">
        <f t="shared" si="5"/>
        <v/>
      </c>
      <c r="AD109" t="str">
        <f>_xlfn.XLOOKUP(B:B,Disk_Pivot!G:G,Disk_Pivot!I:I)</f>
        <v>Yes</v>
      </c>
      <c r="AE109" t="str">
        <f>_xlfn.XLOOKUP(B109,Disk_Pivot!G:G,Disk_Pivot!N:N)</f>
        <v>Fail</v>
      </c>
    </row>
    <row r="110" spans="6:31">
      <c r="F110">
        <f>_xlfn.XLOOKUP(H110,Models!B:B,Models!F:F,"")</f>
        <v>0</v>
      </c>
      <c r="K110">
        <f>_xlfn.XLOOKUP(B110,CPU_Formula!A:A,CPU_Formula!I:I)</f>
        <v>0</v>
      </c>
      <c r="L110" s="13" t="e">
        <f>INDEX(Input!$D$2:$AC$500,
       MATCH(B110, Input!$J$2:$J$500, 0),
       MATCH("Memory Capacity", Input!$D$1:$AC$1, 0))</f>
        <v>#N/A</v>
      </c>
      <c r="M110" s="13" t="e">
        <f>INDEX(Input!$D$2:$AC$500,
       MATCH(B110, Input!$J$2:$J$500, 0),
       MATCH("Memory Type", Input!$D$1:$AC$1, 0))</f>
        <v>#N/A</v>
      </c>
      <c r="N110" s="13" t="e">
        <f t="shared" si="3"/>
        <v>#N/A</v>
      </c>
      <c r="Q110" t="e">
        <f>INDEX(Input!$D$2:$AC$500,
       MATCH(B110, Input!$J$2:$J$500, 0),
       MATCH("Disk Capacity", Input!$D$1:$AC$1, 0))</f>
        <v>#N/A</v>
      </c>
      <c r="S110" s="13" t="str">
        <f>_xlfn.LET(_xlpm.Result,_xlfn.XLOOKUP(B110,Input!J:J,Input!AA:AA),IF(_xlpm.Result="","",_xlpm.Result))</f>
        <v/>
      </c>
      <c r="T110" s="13" t="str" cm="1">
        <f t="array" ref="T110">IFERROR(_xlfn.IFS(
   --S110&lt;55,"Battery Defect",
  -- S110&lt;=69,"Battery D",
  --S110&lt;=80,"Battery C",
 --S110&gt;80,""
),"")</f>
        <v/>
      </c>
      <c r="U110" s="13" t="str" cm="1">
        <f t="array" ref="U110:AB110">IFERROR(IF(_xlfn.XLOOKUP(B110,Input!J:J,Input!N:U)=0,"",
          _xlfn.XLOOKUP(B110,Input!J:J,Input!N:U)),"")</f>
        <v/>
      </c>
      <c r="V110" s="13" t="str">
        <v/>
      </c>
      <c r="W110" s="13" t="str">
        <v/>
      </c>
      <c r="X110" s="13" t="str">
        <v/>
      </c>
      <c r="Y110" s="13" t="str">
        <v/>
      </c>
      <c r="Z110" s="13" t="str">
        <v/>
      </c>
      <c r="AA110" s="13" t="str">
        <v/>
      </c>
      <c r="AB110" s="13" t="str">
        <v/>
      </c>
      <c r="AC110" t="str">
        <f t="shared" si="5"/>
        <v/>
      </c>
      <c r="AD110" t="str">
        <f>_xlfn.XLOOKUP(B:B,Disk_Pivot!G:G,Disk_Pivot!I:I)</f>
        <v>Yes</v>
      </c>
      <c r="AE110" t="str">
        <f>_xlfn.XLOOKUP(B110,Disk_Pivot!G:G,Disk_Pivot!N:N)</f>
        <v>Fail</v>
      </c>
    </row>
    <row r="111" spans="6:31">
      <c r="F111">
        <f>_xlfn.XLOOKUP(H111,Models!B:B,Models!F:F,"")</f>
        <v>0</v>
      </c>
      <c r="K111">
        <f>_xlfn.XLOOKUP(B111,CPU_Formula!A:A,CPU_Formula!I:I)</f>
        <v>0</v>
      </c>
      <c r="L111" s="13" t="e">
        <f>INDEX(Input!$D$2:$AC$500,
       MATCH(B111, Input!$J$2:$J$500, 0),
       MATCH("Memory Capacity", Input!$D$1:$AC$1, 0))</f>
        <v>#N/A</v>
      </c>
      <c r="M111" s="13" t="e">
        <f>INDEX(Input!$D$2:$AC$500,
       MATCH(B111, Input!$J$2:$J$500, 0),
       MATCH("Memory Type", Input!$D$1:$AC$1, 0))</f>
        <v>#N/A</v>
      </c>
      <c r="N111" s="13" t="e">
        <f t="shared" si="3"/>
        <v>#N/A</v>
      </c>
      <c r="Q111" t="e">
        <f>INDEX(Input!$D$2:$AC$500,
       MATCH(B111, Input!$J$2:$J$500, 0),
       MATCH("Disk Capacity", Input!$D$1:$AC$1, 0))</f>
        <v>#N/A</v>
      </c>
      <c r="S111" s="13" t="str">
        <f>_xlfn.LET(_xlpm.Result,_xlfn.XLOOKUP(B111,Input!J:J,Input!AA:AA),IF(_xlpm.Result="","",_xlpm.Result))</f>
        <v/>
      </c>
      <c r="T111" s="13" t="str" cm="1">
        <f t="array" ref="T111">IFERROR(_xlfn.IFS(
   --S111&lt;55,"Battery Defect",
  -- S111&lt;=69,"Battery D",
  --S111&lt;=80,"Battery C",
 --S111&gt;80,""
),"")</f>
        <v/>
      </c>
      <c r="U111" s="13" t="str" cm="1">
        <f t="array" ref="U111:AB111">IFERROR(IF(_xlfn.XLOOKUP(B111,Input!J:J,Input!N:U)=0,"",
          _xlfn.XLOOKUP(B111,Input!J:J,Input!N:U)),"")</f>
        <v/>
      </c>
      <c r="V111" s="13" t="str">
        <v/>
      </c>
      <c r="W111" s="13" t="str">
        <v/>
      </c>
      <c r="X111" s="13" t="str">
        <v/>
      </c>
      <c r="Y111" s="13" t="str">
        <v/>
      </c>
      <c r="Z111" s="13" t="str">
        <v/>
      </c>
      <c r="AA111" s="13" t="str">
        <v/>
      </c>
      <c r="AB111" s="13" t="str">
        <v/>
      </c>
      <c r="AC111" t="str">
        <f t="shared" si="5"/>
        <v/>
      </c>
      <c r="AD111" t="str">
        <f>_xlfn.XLOOKUP(B:B,Disk_Pivot!G:G,Disk_Pivot!I:I)</f>
        <v>Yes</v>
      </c>
      <c r="AE111" t="str">
        <f>_xlfn.XLOOKUP(B111,Disk_Pivot!G:G,Disk_Pivot!N:N)</f>
        <v>Fail</v>
      </c>
    </row>
    <row r="112" spans="6:31">
      <c r="F112">
        <f>_xlfn.XLOOKUP(H112,Models!B:B,Models!F:F,"")</f>
        <v>0</v>
      </c>
      <c r="K112">
        <f>_xlfn.XLOOKUP(B112,CPU_Formula!A:A,CPU_Formula!I:I)</f>
        <v>0</v>
      </c>
      <c r="L112" s="13" t="e">
        <f>INDEX(Input!$D$2:$AC$500,
       MATCH(B112, Input!$J$2:$J$500, 0),
       MATCH("Memory Capacity", Input!$D$1:$AC$1, 0))</f>
        <v>#N/A</v>
      </c>
      <c r="M112" s="13" t="e">
        <f>INDEX(Input!$D$2:$AC$500,
       MATCH(B112, Input!$J$2:$J$500, 0),
       MATCH("Memory Type", Input!$D$1:$AC$1, 0))</f>
        <v>#N/A</v>
      </c>
      <c r="N112" s="13" t="e">
        <f t="shared" si="3"/>
        <v>#N/A</v>
      </c>
      <c r="Q112" t="e">
        <f>INDEX(Input!$D$2:$AC$500,
       MATCH(B112, Input!$J$2:$J$500, 0),
       MATCH("Disk Capacity", Input!$D$1:$AC$1, 0))</f>
        <v>#N/A</v>
      </c>
      <c r="S112" s="13" t="str">
        <f>_xlfn.LET(_xlpm.Result,_xlfn.XLOOKUP(B112,Input!J:J,Input!AA:AA),IF(_xlpm.Result="","",_xlpm.Result))</f>
        <v/>
      </c>
      <c r="T112" s="13" t="str" cm="1">
        <f t="array" ref="T112">IFERROR(_xlfn.IFS(
   --S112&lt;55,"Battery Defect",
  -- S112&lt;=69,"Battery D",
  --S112&lt;=80,"Battery C",
 --S112&gt;80,""
),"")</f>
        <v/>
      </c>
      <c r="U112" s="13" t="str" cm="1">
        <f t="array" ref="U112:AB112">IFERROR(IF(_xlfn.XLOOKUP(B112,Input!J:J,Input!N:U)=0,"",
          _xlfn.XLOOKUP(B112,Input!J:J,Input!N:U)),"")</f>
        <v/>
      </c>
      <c r="V112" s="13" t="str">
        <v/>
      </c>
      <c r="W112" s="13" t="str">
        <v/>
      </c>
      <c r="X112" s="13" t="str">
        <v/>
      </c>
      <c r="Y112" s="13" t="str">
        <v/>
      </c>
      <c r="Z112" s="13" t="str">
        <v/>
      </c>
      <c r="AA112" s="13" t="str">
        <v/>
      </c>
      <c r="AB112" s="13" t="str">
        <v/>
      </c>
      <c r="AC112" t="str">
        <f t="shared" si="5"/>
        <v/>
      </c>
      <c r="AD112" t="str">
        <f>_xlfn.XLOOKUP(B:B,Disk_Pivot!G:G,Disk_Pivot!I:I)</f>
        <v>Yes</v>
      </c>
      <c r="AE112" t="str">
        <f>_xlfn.XLOOKUP(B112,Disk_Pivot!G:G,Disk_Pivot!N:N)</f>
        <v>Fail</v>
      </c>
    </row>
    <row r="113" spans="6:31">
      <c r="F113">
        <f>_xlfn.XLOOKUP(H113,Models!B:B,Models!F:F,"")</f>
        <v>0</v>
      </c>
      <c r="K113">
        <f>_xlfn.XLOOKUP(B113,CPU_Formula!A:A,CPU_Formula!I:I)</f>
        <v>0</v>
      </c>
      <c r="L113" s="13" t="e">
        <f>INDEX(Input!$D$2:$AC$500,
       MATCH(B113, Input!$J$2:$J$500, 0),
       MATCH("Memory Capacity", Input!$D$1:$AC$1, 0))</f>
        <v>#N/A</v>
      </c>
      <c r="M113" s="13" t="e">
        <f>INDEX(Input!$D$2:$AC$500,
       MATCH(B113, Input!$J$2:$J$500, 0),
       MATCH("Memory Type", Input!$D$1:$AC$1, 0))</f>
        <v>#N/A</v>
      </c>
      <c r="N113" s="13" t="e">
        <f t="shared" si="3"/>
        <v>#N/A</v>
      </c>
      <c r="Q113" t="e">
        <f>INDEX(Input!$D$2:$AC$500,
       MATCH(B113, Input!$J$2:$J$500, 0),
       MATCH("Disk Capacity", Input!$D$1:$AC$1, 0))</f>
        <v>#N/A</v>
      </c>
      <c r="S113" s="13" t="str">
        <f>_xlfn.LET(_xlpm.Result,_xlfn.XLOOKUP(B113,Input!J:J,Input!AA:AA),IF(_xlpm.Result="","",_xlpm.Result))</f>
        <v/>
      </c>
      <c r="T113" s="13" t="str" cm="1">
        <f t="array" ref="T113">IFERROR(_xlfn.IFS(
   --S113&lt;55,"Battery Defect",
  -- S113&lt;=69,"Battery D",
  --S113&lt;=80,"Battery C",
 --S113&gt;80,""
),"")</f>
        <v/>
      </c>
      <c r="U113" s="13" t="str" cm="1">
        <f t="array" ref="U113:AB113">IFERROR(IF(_xlfn.XLOOKUP(B113,Input!J:J,Input!N:U)=0,"",
          _xlfn.XLOOKUP(B113,Input!J:J,Input!N:U)),"")</f>
        <v/>
      </c>
      <c r="V113" s="13" t="str">
        <v/>
      </c>
      <c r="W113" s="13" t="str">
        <v/>
      </c>
      <c r="X113" s="13" t="str">
        <v/>
      </c>
      <c r="Y113" s="13" t="str">
        <v/>
      </c>
      <c r="Z113" s="13" t="str">
        <v/>
      </c>
      <c r="AA113" s="13" t="str">
        <v/>
      </c>
      <c r="AB113" s="13" t="str">
        <v/>
      </c>
      <c r="AC113" t="str">
        <f t="shared" si="5"/>
        <v/>
      </c>
      <c r="AD113" t="str">
        <f>_xlfn.XLOOKUP(B:B,Disk_Pivot!G:G,Disk_Pivot!I:I)</f>
        <v>Yes</v>
      </c>
      <c r="AE113" t="str">
        <f>_xlfn.XLOOKUP(B113,Disk_Pivot!G:G,Disk_Pivot!N:N)</f>
        <v>Fail</v>
      </c>
    </row>
    <row r="114" spans="6:31">
      <c r="F114">
        <f>_xlfn.XLOOKUP(H114,Models!B:B,Models!F:F,"")</f>
        <v>0</v>
      </c>
      <c r="K114">
        <f>_xlfn.XLOOKUP(B114,CPU_Formula!A:A,CPU_Formula!I:I)</f>
        <v>0</v>
      </c>
      <c r="L114" s="13" t="e">
        <f>INDEX(Input!$D$2:$AC$500,
       MATCH(B114, Input!$J$2:$J$500, 0),
       MATCH("Memory Capacity", Input!$D$1:$AC$1, 0))</f>
        <v>#N/A</v>
      </c>
      <c r="M114" s="13" t="e">
        <f>INDEX(Input!$D$2:$AC$500,
       MATCH(B114, Input!$J$2:$J$500, 0),
       MATCH("Memory Type", Input!$D$1:$AC$1, 0))</f>
        <v>#N/A</v>
      </c>
      <c r="N114" s="13" t="e">
        <f t="shared" si="3"/>
        <v>#N/A</v>
      </c>
      <c r="Q114" t="e">
        <f>INDEX(Input!$D$2:$AC$500,
       MATCH(B114, Input!$J$2:$J$500, 0),
       MATCH("Disk Capacity", Input!$D$1:$AC$1, 0))</f>
        <v>#N/A</v>
      </c>
      <c r="S114" s="13" t="str">
        <f>_xlfn.LET(_xlpm.Result,_xlfn.XLOOKUP(B114,Input!J:J,Input!AA:AA),IF(_xlpm.Result="","",_xlpm.Result))</f>
        <v/>
      </c>
      <c r="T114" s="13" t="str" cm="1">
        <f t="array" ref="T114">IFERROR(_xlfn.IFS(
   --S114&lt;55,"Battery Defect",
  -- S114&lt;=69,"Battery D",
  --S114&lt;=80,"Battery C",
 --S114&gt;80,""
),"")</f>
        <v/>
      </c>
      <c r="U114" s="13" t="str" cm="1">
        <f t="array" ref="U114:AB114">IFERROR(IF(_xlfn.XLOOKUP(B114,Input!J:J,Input!N:U)=0,"",
          _xlfn.XLOOKUP(B114,Input!J:J,Input!N:U)),"")</f>
        <v/>
      </c>
      <c r="V114" s="13" t="str">
        <v/>
      </c>
      <c r="W114" s="13" t="str">
        <v/>
      </c>
      <c r="X114" s="13" t="str">
        <v/>
      </c>
      <c r="Y114" s="13" t="str">
        <v/>
      </c>
      <c r="Z114" s="13" t="str">
        <v/>
      </c>
      <c r="AA114" s="13" t="str">
        <v/>
      </c>
      <c r="AB114" s="13" t="str">
        <v/>
      </c>
      <c r="AC114" t="str">
        <f t="shared" si="5"/>
        <v/>
      </c>
      <c r="AD114" t="str">
        <f>_xlfn.XLOOKUP(B:B,Disk_Pivot!G:G,Disk_Pivot!I:I)</f>
        <v>Yes</v>
      </c>
      <c r="AE114" t="str">
        <f>_xlfn.XLOOKUP(B114,Disk_Pivot!G:G,Disk_Pivot!N:N)</f>
        <v>Fail</v>
      </c>
    </row>
    <row r="115" spans="6:31">
      <c r="F115">
        <f>_xlfn.XLOOKUP(H115,Models!B:B,Models!F:F,"")</f>
        <v>0</v>
      </c>
      <c r="K115">
        <f>_xlfn.XLOOKUP(B115,CPU_Formula!A:A,CPU_Formula!I:I)</f>
        <v>0</v>
      </c>
      <c r="L115" s="13" t="e">
        <f>INDEX(Input!$D$2:$AC$500,
       MATCH(B115, Input!$J$2:$J$500, 0),
       MATCH("Memory Capacity", Input!$D$1:$AC$1, 0))</f>
        <v>#N/A</v>
      </c>
      <c r="M115" s="13" t="e">
        <f>INDEX(Input!$D$2:$AC$500,
       MATCH(B115, Input!$J$2:$J$500, 0),
       MATCH("Memory Type", Input!$D$1:$AC$1, 0))</f>
        <v>#N/A</v>
      </c>
      <c r="N115" s="13" t="e">
        <f t="shared" si="3"/>
        <v>#N/A</v>
      </c>
      <c r="Q115" t="e">
        <f>INDEX(Input!$D$2:$AC$500,
       MATCH(B115, Input!$J$2:$J$500, 0),
       MATCH("Disk Capacity", Input!$D$1:$AC$1, 0))</f>
        <v>#N/A</v>
      </c>
      <c r="S115" s="13" t="str">
        <f>_xlfn.LET(_xlpm.Result,_xlfn.XLOOKUP(B115,Input!J:J,Input!AA:AA),IF(_xlpm.Result="","",_xlpm.Result))</f>
        <v/>
      </c>
      <c r="T115" s="13" t="str" cm="1">
        <f t="array" ref="T115">IFERROR(_xlfn.IFS(
   --S115&lt;55,"Battery Defect",
  -- S115&lt;=69,"Battery D",
  --S115&lt;=80,"Battery C",
 --S115&gt;80,""
),"")</f>
        <v/>
      </c>
      <c r="U115" s="13" t="str" cm="1">
        <f t="array" ref="U115:AB115">IFERROR(IF(_xlfn.XLOOKUP(B115,Input!J:J,Input!N:U)=0,"",
          _xlfn.XLOOKUP(B115,Input!J:J,Input!N:U)),"")</f>
        <v/>
      </c>
      <c r="V115" s="13" t="str">
        <v/>
      </c>
      <c r="W115" s="13" t="str">
        <v/>
      </c>
      <c r="X115" s="13" t="str">
        <v/>
      </c>
      <c r="Y115" s="13" t="str">
        <v/>
      </c>
      <c r="Z115" s="13" t="str">
        <v/>
      </c>
      <c r="AA115" s="13" t="str">
        <v/>
      </c>
      <c r="AB115" s="13" t="str">
        <v/>
      </c>
      <c r="AC115" t="str">
        <f t="shared" si="5"/>
        <v/>
      </c>
      <c r="AD115" t="str">
        <f>_xlfn.XLOOKUP(B:B,Disk_Pivot!G:G,Disk_Pivot!I:I)</f>
        <v>Yes</v>
      </c>
      <c r="AE115" t="str">
        <f>_xlfn.XLOOKUP(B115,Disk_Pivot!G:G,Disk_Pivot!N:N)</f>
        <v>Fail</v>
      </c>
    </row>
    <row r="116" spans="6:31">
      <c r="F116">
        <f>_xlfn.XLOOKUP(H116,Models!B:B,Models!F:F,"")</f>
        <v>0</v>
      </c>
      <c r="K116">
        <f>_xlfn.XLOOKUP(B116,CPU_Formula!A:A,CPU_Formula!I:I)</f>
        <v>0</v>
      </c>
      <c r="L116" s="13" t="e">
        <f>INDEX(Input!$D$2:$AC$500,
       MATCH(B116, Input!$J$2:$J$500, 0),
       MATCH("Memory Capacity", Input!$D$1:$AC$1, 0))</f>
        <v>#N/A</v>
      </c>
      <c r="M116" s="13" t="e">
        <f>INDEX(Input!$D$2:$AC$500,
       MATCH(B116, Input!$J$2:$J$500, 0),
       MATCH("Memory Type", Input!$D$1:$AC$1, 0))</f>
        <v>#N/A</v>
      </c>
      <c r="N116" s="13" t="e">
        <f t="shared" si="3"/>
        <v>#N/A</v>
      </c>
      <c r="Q116" t="e">
        <f>INDEX(Input!$D$2:$AC$500,
       MATCH(B116, Input!$J$2:$J$500, 0),
       MATCH("Disk Capacity", Input!$D$1:$AC$1, 0))</f>
        <v>#N/A</v>
      </c>
      <c r="S116" s="13" t="str">
        <f>_xlfn.LET(_xlpm.Result,_xlfn.XLOOKUP(B116,Input!J:J,Input!AA:AA),IF(_xlpm.Result="","",_xlpm.Result))</f>
        <v/>
      </c>
      <c r="T116" s="13" t="str" cm="1">
        <f t="array" ref="T116">IFERROR(_xlfn.IFS(
   --S116&lt;55,"Battery Defect",
  -- S116&lt;=69,"Battery D",
  --S116&lt;=80,"Battery C",
 --S116&gt;80,""
),"")</f>
        <v/>
      </c>
      <c r="U116" s="13" t="str" cm="1">
        <f t="array" ref="U116:AB116">IFERROR(IF(_xlfn.XLOOKUP(B116,Input!J:J,Input!N:U)=0,"",
          _xlfn.XLOOKUP(B116,Input!J:J,Input!N:U)),"")</f>
        <v/>
      </c>
      <c r="V116" s="13" t="str">
        <v/>
      </c>
      <c r="W116" s="13" t="str">
        <v/>
      </c>
      <c r="X116" s="13" t="str">
        <v/>
      </c>
      <c r="Y116" s="13" t="str">
        <v/>
      </c>
      <c r="Z116" s="13" t="str">
        <v/>
      </c>
      <c r="AA116" s="13" t="str">
        <v/>
      </c>
      <c r="AB116" s="13" t="str">
        <v/>
      </c>
      <c r="AC116" t="str">
        <f t="shared" si="5"/>
        <v/>
      </c>
      <c r="AD116" t="str">
        <f>_xlfn.XLOOKUP(B:B,Disk_Pivot!G:G,Disk_Pivot!I:I)</f>
        <v>Yes</v>
      </c>
      <c r="AE116" t="str">
        <f>_xlfn.XLOOKUP(B116,Disk_Pivot!G:G,Disk_Pivot!N:N)</f>
        <v>Fail</v>
      </c>
    </row>
    <row r="117" spans="6:31">
      <c r="F117">
        <f>_xlfn.XLOOKUP(H117,Models!B:B,Models!F:F,"")</f>
        <v>0</v>
      </c>
      <c r="K117">
        <f>_xlfn.XLOOKUP(B117,CPU_Formula!A:A,CPU_Formula!I:I)</f>
        <v>0</v>
      </c>
      <c r="L117" s="13" t="e">
        <f>INDEX(Input!$D$2:$AC$500,
       MATCH(B117, Input!$J$2:$J$500, 0),
       MATCH("Memory Capacity", Input!$D$1:$AC$1, 0))</f>
        <v>#N/A</v>
      </c>
      <c r="M117" s="13" t="e">
        <f>INDEX(Input!$D$2:$AC$500,
       MATCH(B117, Input!$J$2:$J$500, 0),
       MATCH("Memory Type", Input!$D$1:$AC$1, 0))</f>
        <v>#N/A</v>
      </c>
      <c r="N117" s="13" t="e">
        <f t="shared" si="3"/>
        <v>#N/A</v>
      </c>
      <c r="Q117" t="e">
        <f>INDEX(Input!$D$2:$AC$500,
       MATCH(B117, Input!$J$2:$J$500, 0),
       MATCH("Disk Capacity", Input!$D$1:$AC$1, 0))</f>
        <v>#N/A</v>
      </c>
      <c r="S117" s="13" t="str">
        <f>_xlfn.LET(_xlpm.Result,_xlfn.XLOOKUP(B117,Input!J:J,Input!AA:AA),IF(_xlpm.Result="","",_xlpm.Result))</f>
        <v/>
      </c>
      <c r="T117" s="13" t="str" cm="1">
        <f t="array" ref="T117">IFERROR(_xlfn.IFS(
   --S117&lt;55,"Battery Defect",
  -- S117&lt;=69,"Battery D",
  --S117&lt;=80,"Battery C",
 --S117&gt;80,""
),"")</f>
        <v/>
      </c>
      <c r="U117" s="13" t="str" cm="1">
        <f t="array" ref="U117:AB117">IFERROR(IF(_xlfn.XLOOKUP(B117,Input!J:J,Input!N:U)=0,"",
          _xlfn.XLOOKUP(B117,Input!J:J,Input!N:U)),"")</f>
        <v/>
      </c>
      <c r="V117" s="13" t="str">
        <v/>
      </c>
      <c r="W117" s="13" t="str">
        <v/>
      </c>
      <c r="X117" s="13" t="str">
        <v/>
      </c>
      <c r="Y117" s="13" t="str">
        <v/>
      </c>
      <c r="Z117" s="13" t="str">
        <v/>
      </c>
      <c r="AA117" s="13" t="str">
        <v/>
      </c>
      <c r="AB117" s="13" t="str">
        <v/>
      </c>
      <c r="AC117" t="str">
        <f t="shared" si="5"/>
        <v/>
      </c>
      <c r="AD117" t="str">
        <f>_xlfn.XLOOKUP(B:B,Disk_Pivot!G:G,Disk_Pivot!I:I)</f>
        <v>Yes</v>
      </c>
      <c r="AE117" t="str">
        <f>_xlfn.XLOOKUP(B117,Disk_Pivot!G:G,Disk_Pivot!N:N)</f>
        <v>Fail</v>
      </c>
    </row>
    <row r="118" spans="6:31">
      <c r="F118">
        <f>_xlfn.XLOOKUP(H118,Models!B:B,Models!F:F,"")</f>
        <v>0</v>
      </c>
      <c r="K118">
        <f>_xlfn.XLOOKUP(B118,CPU_Formula!A:A,CPU_Formula!I:I)</f>
        <v>0</v>
      </c>
      <c r="L118" s="13" t="e">
        <f>INDEX(Input!$D$2:$AC$500,
       MATCH(B118, Input!$J$2:$J$500, 0),
       MATCH("Memory Capacity", Input!$D$1:$AC$1, 0))</f>
        <v>#N/A</v>
      </c>
      <c r="M118" s="13" t="e">
        <f>INDEX(Input!$D$2:$AC$500,
       MATCH(B118, Input!$J$2:$J$500, 0),
       MATCH("Memory Type", Input!$D$1:$AC$1, 0))</f>
        <v>#N/A</v>
      </c>
      <c r="N118" s="13" t="e">
        <f t="shared" si="3"/>
        <v>#N/A</v>
      </c>
      <c r="Q118" t="e">
        <f>INDEX(Input!$D$2:$AC$500,
       MATCH(B118, Input!$J$2:$J$500, 0),
       MATCH("Disk Capacity", Input!$D$1:$AC$1, 0))</f>
        <v>#N/A</v>
      </c>
      <c r="S118" s="13" t="str">
        <f>_xlfn.LET(_xlpm.Result,_xlfn.XLOOKUP(B118,Input!J:J,Input!AA:AA),IF(_xlpm.Result="","",_xlpm.Result))</f>
        <v/>
      </c>
      <c r="T118" s="13" t="str" cm="1">
        <f t="array" ref="T118">IFERROR(_xlfn.IFS(
   --S118&lt;55,"Battery Defect",
  -- S118&lt;=69,"Battery D",
  --S118&lt;=80,"Battery C",
 --S118&gt;80,""
),"")</f>
        <v/>
      </c>
      <c r="U118" s="13" t="str" cm="1">
        <f t="array" ref="U118:AB118">IFERROR(IF(_xlfn.XLOOKUP(B118,Input!J:J,Input!N:U)=0,"",
          _xlfn.XLOOKUP(B118,Input!J:J,Input!N:U)),"")</f>
        <v/>
      </c>
      <c r="V118" s="13" t="str">
        <v/>
      </c>
      <c r="W118" s="13" t="str">
        <v/>
      </c>
      <c r="X118" s="13" t="str">
        <v/>
      </c>
      <c r="Y118" s="13" t="str">
        <v/>
      </c>
      <c r="Z118" s="13" t="str">
        <v/>
      </c>
      <c r="AA118" s="13" t="str">
        <v/>
      </c>
      <c r="AB118" s="13" t="str">
        <v/>
      </c>
      <c r="AC118" t="str">
        <f t="shared" si="5"/>
        <v/>
      </c>
      <c r="AD118" t="str">
        <f>_xlfn.XLOOKUP(B:B,Disk_Pivot!G:G,Disk_Pivot!I:I)</f>
        <v>Yes</v>
      </c>
      <c r="AE118" t="str">
        <f>_xlfn.XLOOKUP(B118,Disk_Pivot!G:G,Disk_Pivot!N:N)</f>
        <v>Fail</v>
      </c>
    </row>
    <row r="119" spans="6:31">
      <c r="F119">
        <f>_xlfn.XLOOKUP(H119,Models!B:B,Models!F:F,"")</f>
        <v>0</v>
      </c>
      <c r="K119">
        <f>_xlfn.XLOOKUP(B119,CPU_Formula!A:A,CPU_Formula!I:I)</f>
        <v>0</v>
      </c>
      <c r="L119" s="13" t="e">
        <f>INDEX(Input!$D$2:$AC$500,
       MATCH(B119, Input!$J$2:$J$500, 0),
       MATCH("Memory Capacity", Input!$D$1:$AC$1, 0))</f>
        <v>#N/A</v>
      </c>
      <c r="M119" s="13" t="e">
        <f>INDEX(Input!$D$2:$AC$500,
       MATCH(B119, Input!$J$2:$J$500, 0),
       MATCH("Memory Type", Input!$D$1:$AC$1, 0))</f>
        <v>#N/A</v>
      </c>
      <c r="N119" s="13" t="e">
        <f t="shared" si="3"/>
        <v>#N/A</v>
      </c>
      <c r="Q119" t="e">
        <f>INDEX(Input!$D$2:$AC$500,
       MATCH(B119, Input!$J$2:$J$500, 0),
       MATCH("Disk Capacity", Input!$D$1:$AC$1, 0))</f>
        <v>#N/A</v>
      </c>
      <c r="S119" s="13" t="str">
        <f>_xlfn.LET(_xlpm.Result,_xlfn.XLOOKUP(B119,Input!J:J,Input!AA:AA),IF(_xlpm.Result="","",_xlpm.Result))</f>
        <v/>
      </c>
      <c r="T119" s="13" t="str" cm="1">
        <f t="array" ref="T119">IFERROR(_xlfn.IFS(
   --S119&lt;55,"Battery Defect",
  -- S119&lt;=69,"Battery D",
  --S119&lt;=80,"Battery C",
 --S119&gt;80,""
),"")</f>
        <v/>
      </c>
      <c r="U119" s="13" t="str" cm="1">
        <f t="array" ref="U119:AB119">IFERROR(IF(_xlfn.XLOOKUP(B119,Input!J:J,Input!N:U)=0,"",
          _xlfn.XLOOKUP(B119,Input!J:J,Input!N:U)),"")</f>
        <v/>
      </c>
      <c r="V119" s="13" t="str">
        <v/>
      </c>
      <c r="W119" s="13" t="str">
        <v/>
      </c>
      <c r="X119" s="13" t="str">
        <v/>
      </c>
      <c r="Y119" s="13" t="str">
        <v/>
      </c>
      <c r="Z119" s="13" t="str">
        <v/>
      </c>
      <c r="AA119" s="13" t="str">
        <v/>
      </c>
      <c r="AB119" s="13" t="str">
        <v/>
      </c>
      <c r="AC119" t="str">
        <f t="shared" si="5"/>
        <v/>
      </c>
      <c r="AD119" t="str">
        <f>_xlfn.XLOOKUP(B:B,Disk_Pivot!G:G,Disk_Pivot!I:I)</f>
        <v>Yes</v>
      </c>
      <c r="AE119" t="str">
        <f>_xlfn.XLOOKUP(B119,Disk_Pivot!G:G,Disk_Pivot!N:N)</f>
        <v>Fail</v>
      </c>
    </row>
    <row r="120" spans="6:31">
      <c r="F120">
        <f>_xlfn.XLOOKUP(H120,Models!B:B,Models!F:F,"")</f>
        <v>0</v>
      </c>
      <c r="K120">
        <f>_xlfn.XLOOKUP(B120,CPU_Formula!A:A,CPU_Formula!I:I)</f>
        <v>0</v>
      </c>
      <c r="L120" s="13" t="e">
        <f>INDEX(Input!$D$2:$AC$500,
       MATCH(B120, Input!$J$2:$J$500, 0),
       MATCH("Memory Capacity", Input!$D$1:$AC$1, 0))</f>
        <v>#N/A</v>
      </c>
      <c r="M120" s="13" t="e">
        <f>INDEX(Input!$D$2:$AC$500,
       MATCH(B120, Input!$J$2:$J$500, 0),
       MATCH("Memory Type", Input!$D$1:$AC$1, 0))</f>
        <v>#N/A</v>
      </c>
      <c r="N120" s="13" t="e">
        <f t="shared" si="3"/>
        <v>#N/A</v>
      </c>
      <c r="Q120" t="e">
        <f>INDEX(Input!$D$2:$AC$500,
       MATCH(B120, Input!$J$2:$J$500, 0),
       MATCH("Disk Capacity", Input!$D$1:$AC$1, 0))</f>
        <v>#N/A</v>
      </c>
      <c r="S120" s="13" t="str">
        <f>_xlfn.LET(_xlpm.Result,_xlfn.XLOOKUP(B120,Input!J:J,Input!AA:AA),IF(_xlpm.Result="","",_xlpm.Result))</f>
        <v/>
      </c>
      <c r="T120" s="13" t="str" cm="1">
        <f t="array" ref="T120">IFERROR(_xlfn.IFS(
   --S120&lt;55,"Battery Defect",
  -- S120&lt;=69,"Battery D",
  --S120&lt;=80,"Battery C",
 --S120&gt;80,""
),"")</f>
        <v/>
      </c>
      <c r="U120" s="13" t="str" cm="1">
        <f t="array" ref="U120:AB120">IFERROR(IF(_xlfn.XLOOKUP(B120,Input!J:J,Input!N:U)=0,"",
          _xlfn.XLOOKUP(B120,Input!J:J,Input!N:U)),"")</f>
        <v/>
      </c>
      <c r="V120" s="13" t="str">
        <v/>
      </c>
      <c r="W120" s="13" t="str">
        <v/>
      </c>
      <c r="X120" s="13" t="str">
        <v/>
      </c>
      <c r="Y120" s="13" t="str">
        <v/>
      </c>
      <c r="Z120" s="13" t="str">
        <v/>
      </c>
      <c r="AA120" s="13" t="str">
        <v/>
      </c>
      <c r="AB120" s="13" t="str">
        <v/>
      </c>
      <c r="AC120" t="str">
        <f t="shared" si="5"/>
        <v/>
      </c>
      <c r="AD120" t="str">
        <f>_xlfn.XLOOKUP(B:B,Disk_Pivot!G:G,Disk_Pivot!I:I)</f>
        <v>Yes</v>
      </c>
      <c r="AE120" t="str">
        <f>_xlfn.XLOOKUP(B120,Disk_Pivot!G:G,Disk_Pivot!N:N)</f>
        <v>Fail</v>
      </c>
    </row>
    <row r="121" spans="6:31">
      <c r="F121">
        <f>_xlfn.XLOOKUP(H121,Models!B:B,Models!F:F,"")</f>
        <v>0</v>
      </c>
      <c r="K121">
        <f>_xlfn.XLOOKUP(B121,CPU_Formula!A:A,CPU_Formula!I:I)</f>
        <v>0</v>
      </c>
      <c r="L121" s="13" t="e">
        <f>INDEX(Input!$D$2:$AC$500,
       MATCH(B121, Input!$J$2:$J$500, 0),
       MATCH("Memory Capacity", Input!$D$1:$AC$1, 0))</f>
        <v>#N/A</v>
      </c>
      <c r="M121" s="13" t="e">
        <f>INDEX(Input!$D$2:$AC$500,
       MATCH(B121, Input!$J$2:$J$500, 0),
       MATCH("Memory Type", Input!$D$1:$AC$1, 0))</f>
        <v>#N/A</v>
      </c>
      <c r="N121" s="13" t="e">
        <f t="shared" si="3"/>
        <v>#N/A</v>
      </c>
      <c r="Q121" t="e">
        <f>INDEX(Input!$D$2:$AC$500,
       MATCH(B121, Input!$J$2:$J$500, 0),
       MATCH("Disk Capacity", Input!$D$1:$AC$1, 0))</f>
        <v>#N/A</v>
      </c>
      <c r="S121" s="13" t="str">
        <f>_xlfn.LET(_xlpm.Result,_xlfn.XLOOKUP(B121,Input!J:J,Input!AA:AA),IF(_xlpm.Result="","",_xlpm.Result))</f>
        <v/>
      </c>
      <c r="T121" s="13" t="str" cm="1">
        <f t="array" ref="T121">IFERROR(_xlfn.IFS(
   --S121&lt;55,"Battery Defect",
  -- S121&lt;=69,"Battery D",
  --S121&lt;=80,"Battery C",
 --S121&gt;80,""
),"")</f>
        <v/>
      </c>
      <c r="U121" s="13" t="str" cm="1">
        <f t="array" ref="U121:AB121">IFERROR(IF(_xlfn.XLOOKUP(B121,Input!J:J,Input!N:U)=0,"",
          _xlfn.XLOOKUP(B121,Input!J:J,Input!N:U)),"")</f>
        <v/>
      </c>
      <c r="V121" s="13" t="str">
        <v/>
      </c>
      <c r="W121" s="13" t="str">
        <v/>
      </c>
      <c r="X121" s="13" t="str">
        <v/>
      </c>
      <c r="Y121" s="13" t="str">
        <v/>
      </c>
      <c r="Z121" s="13" t="str">
        <v/>
      </c>
      <c r="AA121" s="13" t="str">
        <v/>
      </c>
      <c r="AB121" s="13" t="str">
        <v/>
      </c>
      <c r="AC121" t="str">
        <f t="shared" si="5"/>
        <v/>
      </c>
      <c r="AD121" t="str">
        <f>_xlfn.XLOOKUP(B:B,Disk_Pivot!G:G,Disk_Pivot!I:I)</f>
        <v>Yes</v>
      </c>
      <c r="AE121" t="str">
        <f>_xlfn.XLOOKUP(B121,Disk_Pivot!G:G,Disk_Pivot!N:N)</f>
        <v>Fail</v>
      </c>
    </row>
    <row r="122" spans="6:31">
      <c r="F122">
        <f>_xlfn.XLOOKUP(H122,Models!B:B,Models!F:F,"")</f>
        <v>0</v>
      </c>
      <c r="K122">
        <f>_xlfn.XLOOKUP(B122,CPU_Formula!A:A,CPU_Formula!I:I)</f>
        <v>0</v>
      </c>
      <c r="L122" s="13" t="e">
        <f>INDEX(Input!$D$2:$AC$500,
       MATCH(B122, Input!$J$2:$J$500, 0),
       MATCH("Memory Capacity", Input!$D$1:$AC$1, 0))</f>
        <v>#N/A</v>
      </c>
      <c r="M122" s="13" t="e">
        <f>INDEX(Input!$D$2:$AC$500,
       MATCH(B122, Input!$J$2:$J$500, 0),
       MATCH("Memory Type", Input!$D$1:$AC$1, 0))</f>
        <v>#N/A</v>
      </c>
      <c r="N122" s="13" t="e">
        <f t="shared" si="3"/>
        <v>#N/A</v>
      </c>
      <c r="Q122" t="e">
        <f>INDEX(Input!$D$2:$AC$500,
       MATCH(B122, Input!$J$2:$J$500, 0),
       MATCH("Disk Capacity", Input!$D$1:$AC$1, 0))</f>
        <v>#N/A</v>
      </c>
      <c r="S122" s="13" t="str">
        <f>_xlfn.LET(_xlpm.Result,_xlfn.XLOOKUP(B122,Input!J:J,Input!AA:AA),IF(_xlpm.Result="","",_xlpm.Result))</f>
        <v/>
      </c>
      <c r="T122" s="13" t="str" cm="1">
        <f t="array" ref="T122">IFERROR(_xlfn.IFS(
   --S122&lt;55,"Battery Defect",
  -- S122&lt;=69,"Battery D",
  --S122&lt;=80,"Battery C",
 --S122&gt;80,""
),"")</f>
        <v/>
      </c>
      <c r="U122" s="13" t="str" cm="1">
        <f t="array" ref="U122:AB122">IFERROR(IF(_xlfn.XLOOKUP(B122,Input!J:J,Input!N:U)=0,"",
          _xlfn.XLOOKUP(B122,Input!J:J,Input!N:U)),"")</f>
        <v/>
      </c>
      <c r="V122" s="13" t="str">
        <v/>
      </c>
      <c r="W122" s="13" t="str">
        <v/>
      </c>
      <c r="X122" s="13" t="str">
        <v/>
      </c>
      <c r="Y122" s="13" t="str">
        <v/>
      </c>
      <c r="Z122" s="13" t="str">
        <v/>
      </c>
      <c r="AA122" s="13" t="str">
        <v/>
      </c>
      <c r="AB122" s="13" t="str">
        <v/>
      </c>
      <c r="AC122" t="str">
        <f t="shared" si="5"/>
        <v/>
      </c>
      <c r="AD122" t="str">
        <f>_xlfn.XLOOKUP(B:B,Disk_Pivot!G:G,Disk_Pivot!I:I)</f>
        <v>Yes</v>
      </c>
      <c r="AE122" t="str">
        <f>_xlfn.XLOOKUP(B122,Disk_Pivot!G:G,Disk_Pivot!N:N)</f>
        <v>Fail</v>
      </c>
    </row>
    <row r="123" spans="6:31">
      <c r="F123">
        <f>_xlfn.XLOOKUP(H123,Models!B:B,Models!F:F,"")</f>
        <v>0</v>
      </c>
      <c r="K123">
        <f>_xlfn.XLOOKUP(B123,CPU_Formula!A:A,CPU_Formula!I:I)</f>
        <v>0</v>
      </c>
      <c r="L123" s="13" t="e">
        <f>INDEX(Input!$D$2:$AC$500,
       MATCH(B123, Input!$J$2:$J$500, 0),
       MATCH("Memory Capacity", Input!$D$1:$AC$1, 0))</f>
        <v>#N/A</v>
      </c>
      <c r="M123" s="13" t="e">
        <f>INDEX(Input!$D$2:$AC$500,
       MATCH(B123, Input!$J$2:$J$500, 0),
       MATCH("Memory Type", Input!$D$1:$AC$1, 0))</f>
        <v>#N/A</v>
      </c>
      <c r="N123" s="13" t="e">
        <f t="shared" si="3"/>
        <v>#N/A</v>
      </c>
      <c r="Q123" t="e">
        <f>INDEX(Input!$D$2:$AC$500,
       MATCH(B123, Input!$J$2:$J$500, 0),
       MATCH("Disk Capacity", Input!$D$1:$AC$1, 0))</f>
        <v>#N/A</v>
      </c>
      <c r="S123" s="13" t="str">
        <f>_xlfn.LET(_xlpm.Result,_xlfn.XLOOKUP(B123,Input!J:J,Input!AA:AA),IF(_xlpm.Result="","",_xlpm.Result))</f>
        <v/>
      </c>
      <c r="T123" s="13" t="str" cm="1">
        <f t="array" ref="T123">IFERROR(_xlfn.IFS(
   --S123&lt;55,"Battery Defect",
  -- S123&lt;=69,"Battery D",
  --S123&lt;=80,"Battery C",
 --S123&gt;80,""
),"")</f>
        <v/>
      </c>
      <c r="U123" s="13" t="str" cm="1">
        <f t="array" ref="U123:AB123">IFERROR(IF(_xlfn.XLOOKUP(B123,Input!J:J,Input!N:U)=0,"",
          _xlfn.XLOOKUP(B123,Input!J:J,Input!N:U)),"")</f>
        <v/>
      </c>
      <c r="V123" s="13" t="str">
        <v/>
      </c>
      <c r="W123" s="13" t="str">
        <v/>
      </c>
      <c r="X123" s="13" t="str">
        <v/>
      </c>
      <c r="Y123" s="13" t="str">
        <v/>
      </c>
      <c r="Z123" s="13" t="str">
        <v/>
      </c>
      <c r="AA123" s="13" t="str">
        <v/>
      </c>
      <c r="AB123" s="13" t="str">
        <v/>
      </c>
      <c r="AC123" t="str">
        <f t="shared" si="5"/>
        <v/>
      </c>
      <c r="AD123" t="str">
        <f>_xlfn.XLOOKUP(B:B,Disk_Pivot!G:G,Disk_Pivot!I:I)</f>
        <v>Yes</v>
      </c>
      <c r="AE123" t="str">
        <f>_xlfn.XLOOKUP(B123,Disk_Pivot!G:G,Disk_Pivot!N:N)</f>
        <v>Fail</v>
      </c>
    </row>
    <row r="124" spans="6:31">
      <c r="F124">
        <f>_xlfn.XLOOKUP(H124,Models!B:B,Models!F:F,"")</f>
        <v>0</v>
      </c>
      <c r="K124">
        <f>_xlfn.XLOOKUP(B124,CPU_Formula!A:A,CPU_Formula!I:I)</f>
        <v>0</v>
      </c>
      <c r="L124" s="13" t="e">
        <f>INDEX(Input!$D$2:$AC$500,
       MATCH(B124, Input!$J$2:$J$500, 0),
       MATCH("Memory Capacity", Input!$D$1:$AC$1, 0))</f>
        <v>#N/A</v>
      </c>
      <c r="M124" s="13" t="e">
        <f>INDEX(Input!$D$2:$AC$500,
       MATCH(B124, Input!$J$2:$J$500, 0),
       MATCH("Memory Type", Input!$D$1:$AC$1, 0))</f>
        <v>#N/A</v>
      </c>
      <c r="N124" s="13" t="e">
        <f t="shared" si="3"/>
        <v>#N/A</v>
      </c>
      <c r="Q124" t="e">
        <f>INDEX(Input!$D$2:$AC$500,
       MATCH(B124, Input!$J$2:$J$500, 0),
       MATCH("Disk Capacity", Input!$D$1:$AC$1, 0))</f>
        <v>#N/A</v>
      </c>
      <c r="S124" s="13" t="str">
        <f>_xlfn.LET(_xlpm.Result,_xlfn.XLOOKUP(B124,Input!J:J,Input!AA:AA),IF(_xlpm.Result="","",_xlpm.Result))</f>
        <v/>
      </c>
      <c r="T124" s="13" t="str" cm="1">
        <f t="array" ref="T124">IFERROR(_xlfn.IFS(
   --S124&lt;55,"Battery Defect",
  -- S124&lt;=69,"Battery D",
  --S124&lt;=80,"Battery C",
 --S124&gt;80,""
),"")</f>
        <v/>
      </c>
      <c r="U124" s="13" t="str" cm="1">
        <f t="array" ref="U124:AB124">IFERROR(IF(_xlfn.XLOOKUP(B124,Input!J:J,Input!N:U)=0,"",
          _xlfn.XLOOKUP(B124,Input!J:J,Input!N:U)),"")</f>
        <v/>
      </c>
      <c r="V124" s="13" t="str">
        <v/>
      </c>
      <c r="W124" s="13" t="str">
        <v/>
      </c>
      <c r="X124" s="13" t="str">
        <v/>
      </c>
      <c r="Y124" s="13" t="str">
        <v/>
      </c>
      <c r="Z124" s="13" t="str">
        <v/>
      </c>
      <c r="AA124" s="13" t="str">
        <v/>
      </c>
      <c r="AB124" s="13" t="str">
        <v/>
      </c>
      <c r="AC124" t="str">
        <f t="shared" si="5"/>
        <v/>
      </c>
      <c r="AD124" t="str">
        <f>_xlfn.XLOOKUP(B:B,Disk_Pivot!G:G,Disk_Pivot!I:I)</f>
        <v>Yes</v>
      </c>
      <c r="AE124" t="str">
        <f>_xlfn.XLOOKUP(B124,Disk_Pivot!G:G,Disk_Pivot!N:N)</f>
        <v>Fail</v>
      </c>
    </row>
    <row r="125" spans="6:31">
      <c r="F125">
        <f>_xlfn.XLOOKUP(H125,Models!B:B,Models!F:F,"")</f>
        <v>0</v>
      </c>
      <c r="K125">
        <f>_xlfn.XLOOKUP(B125,CPU_Formula!A:A,CPU_Formula!I:I)</f>
        <v>0</v>
      </c>
      <c r="L125" s="13" t="e">
        <f>INDEX(Input!$D$2:$AC$500,
       MATCH(B125, Input!$J$2:$J$500, 0),
       MATCH("Memory Capacity", Input!$D$1:$AC$1, 0))</f>
        <v>#N/A</v>
      </c>
      <c r="M125" s="13" t="e">
        <f>INDEX(Input!$D$2:$AC$500,
       MATCH(B125, Input!$J$2:$J$500, 0),
       MATCH("Memory Type", Input!$D$1:$AC$1, 0))</f>
        <v>#N/A</v>
      </c>
      <c r="N125" s="13" t="e">
        <f t="shared" si="3"/>
        <v>#N/A</v>
      </c>
      <c r="Q125" t="e">
        <f>INDEX(Input!$D$2:$AC$500,
       MATCH(B125, Input!$J$2:$J$500, 0),
       MATCH("Disk Capacity", Input!$D$1:$AC$1, 0))</f>
        <v>#N/A</v>
      </c>
      <c r="S125" s="13" t="str">
        <f>_xlfn.LET(_xlpm.Result,_xlfn.XLOOKUP(B125,Input!J:J,Input!AA:AA),IF(_xlpm.Result="","",_xlpm.Result))</f>
        <v/>
      </c>
      <c r="T125" s="13" t="str" cm="1">
        <f t="array" ref="T125">IFERROR(_xlfn.IFS(
   --S125&lt;55,"Battery Defect",
  -- S125&lt;=69,"Battery D",
  --S125&lt;=80,"Battery C",
 --S125&gt;80,""
),"")</f>
        <v/>
      </c>
      <c r="U125" s="13" t="str" cm="1">
        <f t="array" ref="U125:AB125">IFERROR(IF(_xlfn.XLOOKUP(B125,Input!J:J,Input!N:U)=0,"",
          _xlfn.XLOOKUP(B125,Input!J:J,Input!N:U)),"")</f>
        <v/>
      </c>
      <c r="V125" s="13" t="str">
        <v/>
      </c>
      <c r="W125" s="13" t="str">
        <v/>
      </c>
      <c r="X125" s="13" t="str">
        <v/>
      </c>
      <c r="Y125" s="13" t="str">
        <v/>
      </c>
      <c r="Z125" s="13" t="str">
        <v/>
      </c>
      <c r="AA125" s="13" t="str">
        <v/>
      </c>
      <c r="AB125" s="13" t="str">
        <v/>
      </c>
      <c r="AC125" t="str">
        <f t="shared" si="5"/>
        <v/>
      </c>
      <c r="AD125" t="str">
        <f>_xlfn.XLOOKUP(B:B,Disk_Pivot!G:G,Disk_Pivot!I:I)</f>
        <v>Yes</v>
      </c>
      <c r="AE125" t="str">
        <f>_xlfn.XLOOKUP(B125,Disk_Pivot!G:G,Disk_Pivot!N:N)</f>
        <v>Fail</v>
      </c>
    </row>
    <row r="126" spans="6:31">
      <c r="F126">
        <f>_xlfn.XLOOKUP(H126,Models!B:B,Models!F:F,"")</f>
        <v>0</v>
      </c>
      <c r="K126">
        <f>_xlfn.XLOOKUP(B126,CPU_Formula!A:A,CPU_Formula!I:I)</f>
        <v>0</v>
      </c>
      <c r="L126" s="13" t="e">
        <f>INDEX(Input!$D$2:$AC$500,
       MATCH(B126, Input!$J$2:$J$500, 0),
       MATCH("Memory Capacity", Input!$D$1:$AC$1, 0))</f>
        <v>#N/A</v>
      </c>
      <c r="M126" s="13" t="e">
        <f>INDEX(Input!$D$2:$AC$500,
       MATCH(B126, Input!$J$2:$J$500, 0),
       MATCH("Memory Type", Input!$D$1:$AC$1, 0))</f>
        <v>#N/A</v>
      </c>
      <c r="N126" s="13" t="e">
        <f t="shared" si="3"/>
        <v>#N/A</v>
      </c>
      <c r="Q126" t="e">
        <f>INDEX(Input!$D$2:$AC$500,
       MATCH(B126, Input!$J$2:$J$500, 0),
       MATCH("Disk Capacity", Input!$D$1:$AC$1, 0))</f>
        <v>#N/A</v>
      </c>
      <c r="S126" s="13" t="str">
        <f>_xlfn.LET(_xlpm.Result,_xlfn.XLOOKUP(B126,Input!J:J,Input!AA:AA),IF(_xlpm.Result="","",_xlpm.Result))</f>
        <v/>
      </c>
      <c r="T126" s="13" t="str" cm="1">
        <f t="array" ref="T126">IFERROR(_xlfn.IFS(
   --S126&lt;55,"Battery Defect",
  -- S126&lt;=69,"Battery D",
  --S126&lt;=80,"Battery C",
 --S126&gt;80,""
),"")</f>
        <v/>
      </c>
      <c r="U126" s="13" t="str" cm="1">
        <f t="array" ref="U126:AB126">IFERROR(IF(_xlfn.XLOOKUP(B126,Input!J:J,Input!N:U)=0,"",
          _xlfn.XLOOKUP(B126,Input!J:J,Input!N:U)),"")</f>
        <v/>
      </c>
      <c r="V126" s="13" t="str">
        <v/>
      </c>
      <c r="W126" s="13" t="str">
        <v/>
      </c>
      <c r="X126" s="13" t="str">
        <v/>
      </c>
      <c r="Y126" s="13" t="str">
        <v/>
      </c>
      <c r="Z126" s="13" t="str">
        <v/>
      </c>
      <c r="AA126" s="13" t="str">
        <v/>
      </c>
      <c r="AB126" s="13" t="str">
        <v/>
      </c>
      <c r="AC126" t="str">
        <f t="shared" si="5"/>
        <v/>
      </c>
      <c r="AD126" t="str">
        <f>_xlfn.XLOOKUP(B:B,Disk_Pivot!G:G,Disk_Pivot!I:I)</f>
        <v>Yes</v>
      </c>
      <c r="AE126" t="str">
        <f>_xlfn.XLOOKUP(B126,Disk_Pivot!G:G,Disk_Pivot!N:N)</f>
        <v>Fail</v>
      </c>
    </row>
    <row r="127" spans="6:31">
      <c r="F127">
        <f>_xlfn.XLOOKUP(H127,Models!B:B,Models!F:F,"")</f>
        <v>0</v>
      </c>
      <c r="K127">
        <f>_xlfn.XLOOKUP(B127,CPU_Formula!A:A,CPU_Formula!I:I)</f>
        <v>0</v>
      </c>
      <c r="L127" s="13" t="e">
        <f>INDEX(Input!$D$2:$AC$500,
       MATCH(B127, Input!$J$2:$J$500, 0),
       MATCH("Memory Capacity", Input!$D$1:$AC$1, 0))</f>
        <v>#N/A</v>
      </c>
      <c r="M127" s="13" t="e">
        <f>INDEX(Input!$D$2:$AC$500,
       MATCH(B127, Input!$J$2:$J$500, 0),
       MATCH("Memory Type", Input!$D$1:$AC$1, 0))</f>
        <v>#N/A</v>
      </c>
      <c r="N127" s="13" t="e">
        <f t="shared" si="3"/>
        <v>#N/A</v>
      </c>
      <c r="Q127" t="e">
        <f>INDEX(Input!$D$2:$AC$500,
       MATCH(B127, Input!$J$2:$J$500, 0),
       MATCH("Disk Capacity", Input!$D$1:$AC$1, 0))</f>
        <v>#N/A</v>
      </c>
      <c r="S127" s="13" t="str">
        <f>_xlfn.LET(_xlpm.Result,_xlfn.XLOOKUP(B127,Input!J:J,Input!AA:AA),IF(_xlpm.Result="","",_xlpm.Result))</f>
        <v/>
      </c>
      <c r="T127" s="13" t="str" cm="1">
        <f t="array" ref="T127">IFERROR(_xlfn.IFS(
   --S127&lt;55,"Battery Defect",
  -- S127&lt;=69,"Battery D",
  --S127&lt;=80,"Battery C",
 --S127&gt;80,""
),"")</f>
        <v/>
      </c>
      <c r="U127" s="13" t="str" cm="1">
        <f t="array" ref="U127:AB127">IFERROR(IF(_xlfn.XLOOKUP(B127,Input!J:J,Input!N:U)=0,"",
          _xlfn.XLOOKUP(B127,Input!J:J,Input!N:U)),"")</f>
        <v/>
      </c>
      <c r="V127" s="13" t="str">
        <v/>
      </c>
      <c r="W127" s="13" t="str">
        <v/>
      </c>
      <c r="X127" s="13" t="str">
        <v/>
      </c>
      <c r="Y127" s="13" t="str">
        <v/>
      </c>
      <c r="Z127" s="13" t="str">
        <v/>
      </c>
      <c r="AA127" s="13" t="str">
        <v/>
      </c>
      <c r="AB127" s="13" t="str">
        <v/>
      </c>
      <c r="AC127" t="str">
        <f t="shared" si="5"/>
        <v/>
      </c>
      <c r="AD127" t="str">
        <f>_xlfn.XLOOKUP(B:B,Disk_Pivot!G:G,Disk_Pivot!I:I)</f>
        <v>Yes</v>
      </c>
      <c r="AE127" t="str">
        <f>_xlfn.XLOOKUP(B127,Disk_Pivot!G:G,Disk_Pivot!N:N)</f>
        <v>Fail</v>
      </c>
    </row>
    <row r="128" spans="6:31">
      <c r="F128">
        <f>_xlfn.XLOOKUP(H128,Models!B:B,Models!F:F,"")</f>
        <v>0</v>
      </c>
      <c r="K128">
        <f>_xlfn.XLOOKUP(B128,CPU_Formula!A:A,CPU_Formula!I:I)</f>
        <v>0</v>
      </c>
      <c r="L128" s="13" t="e">
        <f>INDEX(Input!$D$2:$AC$500,
       MATCH(B128, Input!$J$2:$J$500, 0),
       MATCH("Memory Capacity", Input!$D$1:$AC$1, 0))</f>
        <v>#N/A</v>
      </c>
      <c r="M128" s="13" t="e">
        <f>INDEX(Input!$D$2:$AC$500,
       MATCH(B128, Input!$J$2:$J$500, 0),
       MATCH("Memory Type", Input!$D$1:$AC$1, 0))</f>
        <v>#N/A</v>
      </c>
      <c r="N128" s="13" t="e">
        <f t="shared" si="3"/>
        <v>#N/A</v>
      </c>
      <c r="Q128" t="e">
        <f>INDEX(Input!$D$2:$AC$500,
       MATCH(B128, Input!$J$2:$J$500, 0),
       MATCH("Disk Capacity", Input!$D$1:$AC$1, 0))</f>
        <v>#N/A</v>
      </c>
      <c r="S128" s="13" t="str">
        <f>_xlfn.LET(_xlpm.Result,_xlfn.XLOOKUP(B128,Input!J:J,Input!AA:AA),IF(_xlpm.Result="","",_xlpm.Result))</f>
        <v/>
      </c>
      <c r="T128" s="13" t="str" cm="1">
        <f t="array" ref="T128">IFERROR(_xlfn.IFS(
   --S128&lt;55,"Battery Defect",
  -- S128&lt;=69,"Battery D",
  --S128&lt;=80,"Battery C",
 --S128&gt;80,""
),"")</f>
        <v/>
      </c>
      <c r="U128" s="13" t="str" cm="1">
        <f t="array" ref="U128:AB128">IFERROR(IF(_xlfn.XLOOKUP(B128,Input!J:J,Input!N:U)=0,"",
          _xlfn.XLOOKUP(B128,Input!J:J,Input!N:U)),"")</f>
        <v/>
      </c>
      <c r="V128" s="13" t="str">
        <v/>
      </c>
      <c r="W128" s="13" t="str">
        <v/>
      </c>
      <c r="X128" s="13" t="str">
        <v/>
      </c>
      <c r="Y128" s="13" t="str">
        <v/>
      </c>
      <c r="Z128" s="13" t="str">
        <v/>
      </c>
      <c r="AA128" s="13" t="str">
        <v/>
      </c>
      <c r="AB128" s="13" t="str">
        <v/>
      </c>
      <c r="AC128" t="str">
        <f t="shared" si="5"/>
        <v/>
      </c>
      <c r="AD128" t="str">
        <f>_xlfn.XLOOKUP(B:B,Disk_Pivot!G:G,Disk_Pivot!I:I)</f>
        <v>Yes</v>
      </c>
      <c r="AE128" t="str">
        <f>_xlfn.XLOOKUP(B128,Disk_Pivot!G:G,Disk_Pivot!N:N)</f>
        <v>Fail</v>
      </c>
    </row>
    <row r="129" spans="6:31">
      <c r="F129">
        <f>_xlfn.XLOOKUP(H129,Models!B:B,Models!F:F,"")</f>
        <v>0</v>
      </c>
      <c r="K129">
        <f>_xlfn.XLOOKUP(B129,CPU_Formula!A:A,CPU_Formula!I:I)</f>
        <v>0</v>
      </c>
      <c r="L129" s="13" t="e">
        <f>INDEX(Input!$D$2:$AC$500,
       MATCH(B129, Input!$J$2:$J$500, 0),
       MATCH("Memory Capacity", Input!$D$1:$AC$1, 0))</f>
        <v>#N/A</v>
      </c>
      <c r="M129" s="13" t="e">
        <f>INDEX(Input!$D$2:$AC$500,
       MATCH(B129, Input!$J$2:$J$500, 0),
       MATCH("Memory Type", Input!$D$1:$AC$1, 0))</f>
        <v>#N/A</v>
      </c>
      <c r="N129" s="13" t="e">
        <f t="shared" si="3"/>
        <v>#N/A</v>
      </c>
      <c r="Q129" t="e">
        <f>INDEX(Input!$D$2:$AC$500,
       MATCH(B129, Input!$J$2:$J$500, 0),
       MATCH("Disk Capacity", Input!$D$1:$AC$1, 0))</f>
        <v>#N/A</v>
      </c>
      <c r="S129" s="13" t="str">
        <f>_xlfn.LET(_xlpm.Result,_xlfn.XLOOKUP(B129,Input!J:J,Input!AA:AA),IF(_xlpm.Result="","",_xlpm.Result))</f>
        <v/>
      </c>
      <c r="T129" s="13" t="str" cm="1">
        <f t="array" ref="T129">IFERROR(_xlfn.IFS(
   --S129&lt;55,"Battery Defect",
  -- S129&lt;=69,"Battery D",
  --S129&lt;=80,"Battery C",
 --S129&gt;80,""
),"")</f>
        <v/>
      </c>
      <c r="U129" s="13" t="str" cm="1">
        <f t="array" ref="U129:AB129">IFERROR(IF(_xlfn.XLOOKUP(B129,Input!J:J,Input!N:U)=0,"",
          _xlfn.XLOOKUP(B129,Input!J:J,Input!N:U)),"")</f>
        <v/>
      </c>
      <c r="V129" s="13" t="str">
        <v/>
      </c>
      <c r="W129" s="13" t="str">
        <v/>
      </c>
      <c r="X129" s="13" t="str">
        <v/>
      </c>
      <c r="Y129" s="13" t="str">
        <v/>
      </c>
      <c r="Z129" s="13" t="str">
        <v/>
      </c>
      <c r="AA129" s="13" t="str">
        <v/>
      </c>
      <c r="AB129" s="13" t="str">
        <v/>
      </c>
      <c r="AC129" t="str">
        <f t="shared" si="5"/>
        <v/>
      </c>
      <c r="AD129" t="str">
        <f>_xlfn.XLOOKUP(B:B,Disk_Pivot!G:G,Disk_Pivot!I:I)</f>
        <v>Yes</v>
      </c>
      <c r="AE129" t="str">
        <f>_xlfn.XLOOKUP(B129,Disk_Pivot!G:G,Disk_Pivot!N:N)</f>
        <v>Fail</v>
      </c>
    </row>
    <row r="130" spans="6:31">
      <c r="F130">
        <f>_xlfn.XLOOKUP(H130,Models!B:B,Models!F:F,"")</f>
        <v>0</v>
      </c>
      <c r="K130">
        <f>_xlfn.XLOOKUP(B130,CPU_Formula!A:A,CPU_Formula!I:I)</f>
        <v>0</v>
      </c>
      <c r="L130" s="13" t="e">
        <f>INDEX(Input!$D$2:$AC$500,
       MATCH(B130, Input!$J$2:$J$500, 0),
       MATCH("Memory Capacity", Input!$D$1:$AC$1, 0))</f>
        <v>#N/A</v>
      </c>
      <c r="M130" s="13" t="e">
        <f>INDEX(Input!$D$2:$AC$500,
       MATCH(B130, Input!$J$2:$J$500, 0),
       MATCH("Memory Type", Input!$D$1:$AC$1, 0))</f>
        <v>#N/A</v>
      </c>
      <c r="N130" s="13" t="e">
        <f t="shared" si="3"/>
        <v>#N/A</v>
      </c>
      <c r="Q130" t="e">
        <f>INDEX(Input!$D$2:$AC$500,
       MATCH(B130, Input!$J$2:$J$500, 0),
       MATCH("Disk Capacity", Input!$D$1:$AC$1, 0))</f>
        <v>#N/A</v>
      </c>
      <c r="S130" s="13" t="str">
        <f>_xlfn.LET(_xlpm.Result,_xlfn.XLOOKUP(B130,Input!J:J,Input!AA:AA),IF(_xlpm.Result="","",_xlpm.Result))</f>
        <v/>
      </c>
      <c r="T130" s="13" t="str" cm="1">
        <f t="array" ref="T130">IFERROR(_xlfn.IFS(
   --S130&lt;55,"Battery Defect",
  -- S130&lt;=69,"Battery D",
  --S130&lt;=80,"Battery C",
 --S130&gt;80,""
),"")</f>
        <v/>
      </c>
      <c r="U130" s="13" t="str" cm="1">
        <f t="array" ref="U130:AB130">IFERROR(IF(_xlfn.XLOOKUP(B130,Input!J:J,Input!N:U)=0,"",
          _xlfn.XLOOKUP(B130,Input!J:J,Input!N:U)),"")</f>
        <v/>
      </c>
      <c r="V130" s="13" t="str">
        <v/>
      </c>
      <c r="W130" s="13" t="str">
        <v/>
      </c>
      <c r="X130" s="13" t="str">
        <v/>
      </c>
      <c r="Y130" s="13" t="str">
        <v/>
      </c>
      <c r="Z130" s="13" t="str">
        <v/>
      </c>
      <c r="AA130" s="13" t="str">
        <v/>
      </c>
      <c r="AB130" s="13" t="str">
        <v/>
      </c>
      <c r="AC130" t="str">
        <f t="shared" si="5"/>
        <v/>
      </c>
      <c r="AD130" t="str">
        <f>_xlfn.XLOOKUP(B:B,Disk_Pivot!G:G,Disk_Pivot!I:I)</f>
        <v>Yes</v>
      </c>
      <c r="AE130" t="str">
        <f>_xlfn.XLOOKUP(B130,Disk_Pivot!G:G,Disk_Pivot!N:N)</f>
        <v>Fail</v>
      </c>
    </row>
    <row r="131" spans="6:31">
      <c r="F131">
        <f>_xlfn.XLOOKUP(H131,Models!B:B,Models!F:F,"")</f>
        <v>0</v>
      </c>
      <c r="K131">
        <f>_xlfn.XLOOKUP(B131,CPU_Formula!A:A,CPU_Formula!I:I)</f>
        <v>0</v>
      </c>
      <c r="L131" s="13" t="e">
        <f>INDEX(Input!$D$2:$AC$500,
       MATCH(B131, Input!$J$2:$J$500, 0),
       MATCH("Memory Capacity", Input!$D$1:$AC$1, 0))</f>
        <v>#N/A</v>
      </c>
      <c r="M131" s="13" t="e">
        <f>INDEX(Input!$D$2:$AC$500,
       MATCH(B131, Input!$J$2:$J$500, 0),
       MATCH("Memory Type", Input!$D$1:$AC$1, 0))</f>
        <v>#N/A</v>
      </c>
      <c r="N131" s="13" t="e">
        <f t="shared" ref="N131:N194" si="7">IF(ISNUMBER(L131), L131, SUBSTITUTE(SUBSTITUTE(SUBSTITUTE(L131,"GiB","")," ",""),"/","+"))</f>
        <v>#N/A</v>
      </c>
      <c r="Q131" t="e">
        <f>INDEX(Input!$D$2:$AC$500,
       MATCH(B131, Input!$J$2:$J$500, 0),
       MATCH("Disk Capacity", Input!$D$1:$AC$1, 0))</f>
        <v>#N/A</v>
      </c>
      <c r="S131" s="13" t="str">
        <f>_xlfn.LET(_xlpm.Result,_xlfn.XLOOKUP(B131,Input!J:J,Input!AA:AA),IF(_xlpm.Result="","",_xlpm.Result))</f>
        <v/>
      </c>
      <c r="T131" s="13" t="str" cm="1">
        <f t="array" ref="T131">IFERROR(_xlfn.IFS(
   --S131&lt;55,"Battery Defect",
  -- S131&lt;=69,"Battery D",
  --S131&lt;=80,"Battery C",
 --S131&gt;80,""
),"")</f>
        <v/>
      </c>
      <c r="U131" s="13" t="str" cm="1">
        <f t="array" ref="U131:AB131">IFERROR(IF(_xlfn.XLOOKUP(B131,Input!J:J,Input!N:U)=0,"",
          _xlfn.XLOOKUP(B131,Input!J:J,Input!N:U)),"")</f>
        <v/>
      </c>
      <c r="V131" s="13" t="str">
        <v/>
      </c>
      <c r="W131" s="13" t="str">
        <v/>
      </c>
      <c r="X131" s="13" t="str">
        <v/>
      </c>
      <c r="Y131" s="13" t="str">
        <v/>
      </c>
      <c r="Z131" s="13" t="str">
        <v/>
      </c>
      <c r="AA131" s="13" t="str">
        <v/>
      </c>
      <c r="AB131" s="13" t="str">
        <v/>
      </c>
      <c r="AC131" t="str">
        <f t="shared" ref="AC131:AC194" si="8">_xlfn.TEXTJOIN(", ",TRUE,T131,U131,V131,W131,X131,Y131,Z131)</f>
        <v/>
      </c>
      <c r="AD131" t="str">
        <f>_xlfn.XLOOKUP(B:B,Disk_Pivot!G:G,Disk_Pivot!I:I)</f>
        <v>Yes</v>
      </c>
      <c r="AE131" t="str">
        <f>_xlfn.XLOOKUP(B131,Disk_Pivot!G:G,Disk_Pivot!N:N)</f>
        <v>Fail</v>
      </c>
    </row>
    <row r="132" spans="6:31">
      <c r="F132">
        <f>_xlfn.XLOOKUP(H132,Models!B:B,Models!F:F,"")</f>
        <v>0</v>
      </c>
      <c r="K132">
        <f>_xlfn.XLOOKUP(B132,CPU_Formula!A:A,CPU_Formula!I:I)</f>
        <v>0</v>
      </c>
      <c r="L132" s="13" t="e">
        <f>INDEX(Input!$D$2:$AC$500,
       MATCH(B132, Input!$J$2:$J$500, 0),
       MATCH("Memory Capacity", Input!$D$1:$AC$1, 0))</f>
        <v>#N/A</v>
      </c>
      <c r="M132" s="13" t="e">
        <f>INDEX(Input!$D$2:$AC$500,
       MATCH(B132, Input!$J$2:$J$500, 0),
       MATCH("Memory Type", Input!$D$1:$AC$1, 0))</f>
        <v>#N/A</v>
      </c>
      <c r="N132" s="13" t="e">
        <f t="shared" si="7"/>
        <v>#N/A</v>
      </c>
      <c r="Q132" t="e">
        <f>INDEX(Input!$D$2:$AC$500,
       MATCH(B132, Input!$J$2:$J$500, 0),
       MATCH("Disk Capacity", Input!$D$1:$AC$1, 0))</f>
        <v>#N/A</v>
      </c>
      <c r="S132" s="13" t="str">
        <f>_xlfn.LET(_xlpm.Result,_xlfn.XLOOKUP(B132,Input!J:J,Input!AA:AA),IF(_xlpm.Result="","",_xlpm.Result))</f>
        <v/>
      </c>
      <c r="T132" s="13" t="str" cm="1">
        <f t="array" ref="T132">IFERROR(_xlfn.IFS(
   --S132&lt;55,"Battery Defect",
  -- S132&lt;=69,"Battery D",
  --S132&lt;=80,"Battery C",
 --S132&gt;80,""
),"")</f>
        <v/>
      </c>
      <c r="U132" s="13" t="str" cm="1">
        <f t="array" ref="U132:AB132">IFERROR(IF(_xlfn.XLOOKUP(B132,Input!J:J,Input!N:U)=0,"",
          _xlfn.XLOOKUP(B132,Input!J:J,Input!N:U)),"")</f>
        <v/>
      </c>
      <c r="V132" s="13" t="str">
        <v/>
      </c>
      <c r="W132" s="13" t="str">
        <v/>
      </c>
      <c r="X132" s="13" t="str">
        <v/>
      </c>
      <c r="Y132" s="13" t="str">
        <v/>
      </c>
      <c r="Z132" s="13" t="str">
        <v/>
      </c>
      <c r="AA132" s="13" t="str">
        <v/>
      </c>
      <c r="AB132" s="13" t="str">
        <v/>
      </c>
      <c r="AC132" t="str">
        <f t="shared" si="8"/>
        <v/>
      </c>
      <c r="AD132" t="str">
        <f>_xlfn.XLOOKUP(B:B,Disk_Pivot!G:G,Disk_Pivot!I:I)</f>
        <v>Yes</v>
      </c>
      <c r="AE132" t="str">
        <f>_xlfn.XLOOKUP(B132,Disk_Pivot!G:G,Disk_Pivot!N:N)</f>
        <v>Fail</v>
      </c>
    </row>
    <row r="133" spans="6:31">
      <c r="F133" t="str">
        <f>_xlfn.XLOOKUP(H133,Models!B:B,Models!F:F,"")</f>
        <v/>
      </c>
      <c r="K133">
        <f>_xlfn.XLOOKUP(B133,CPU_Formula!A:A,CPU_Formula!I:I)</f>
        <v>0</v>
      </c>
      <c r="L133" s="13" t="e">
        <f>INDEX(Input!$D$2:$AC$500,
       MATCH(B133, Input!$J$2:$J$500, 0),
       MATCH("Memory Capacity", Input!$D$1:$AC$1, 0))</f>
        <v>#N/A</v>
      </c>
      <c r="M133" s="13" t="e">
        <f>INDEX(Input!$D$2:$AC$500,
       MATCH(B133, Input!$J$2:$J$500, 0),
       MATCH("Memory Type", Input!$D$1:$AC$1, 0))</f>
        <v>#N/A</v>
      </c>
      <c r="N133" s="13" t="e">
        <f t="shared" si="7"/>
        <v>#N/A</v>
      </c>
      <c r="Q133" t="e">
        <f>INDEX(Input!$D$2:$AC$500,
       MATCH(B133, Input!$J$2:$J$500, 0),
       MATCH("Disk Capacity", Input!$D$1:$AC$1, 0))</f>
        <v>#N/A</v>
      </c>
      <c r="S133" s="13" t="str">
        <f>_xlfn.LET(_xlpm.Result,_xlfn.XLOOKUP(B133,Input!J:J,Input!AA:AA),IF(_xlpm.Result="","",_xlpm.Result))</f>
        <v/>
      </c>
      <c r="T133" s="13" t="str" cm="1">
        <f t="array" ref="T133">IFERROR(_xlfn.IFS(
   --S133&lt;55,"Battery Defect",
  -- S133&lt;=69,"Battery D",
  --S133&lt;=80,"Battery C",
 --S133&gt;80,""
),"")</f>
        <v/>
      </c>
      <c r="U133" s="13" t="str" cm="1">
        <f t="array" ref="U133:AB133">IFERROR(IF(_xlfn.XLOOKUP(B133,Input!J:J,Input!N:U)=0,"",
          _xlfn.XLOOKUP(B133,Input!J:J,Input!N:U)),"")</f>
        <v/>
      </c>
      <c r="V133" s="13" t="str">
        <v/>
      </c>
      <c r="W133" s="13" t="str">
        <v/>
      </c>
      <c r="X133" s="13" t="str">
        <v/>
      </c>
      <c r="Y133" s="13" t="str">
        <v/>
      </c>
      <c r="Z133" s="13" t="str">
        <v/>
      </c>
      <c r="AA133" s="13" t="str">
        <v/>
      </c>
      <c r="AB133" s="13" t="str">
        <v/>
      </c>
      <c r="AC133" t="str">
        <f t="shared" si="8"/>
        <v/>
      </c>
      <c r="AD133" t="str">
        <f>_xlfn.XLOOKUP(B:B,Disk_Pivot!G:G,Disk_Pivot!I:I)</f>
        <v>Yes</v>
      </c>
      <c r="AE133" t="str">
        <f>_xlfn.XLOOKUP(B133,Disk_Pivot!G:G,Disk_Pivot!N:N)</f>
        <v>Fail</v>
      </c>
    </row>
    <row r="134" spans="6:31">
      <c r="F134">
        <f>_xlfn.XLOOKUP(H134,Models!B:B,Models!F:F,"")</f>
        <v>0</v>
      </c>
      <c r="K134">
        <f>_xlfn.XLOOKUP(B134,CPU_Formula!A:A,CPU_Formula!I:I)</f>
        <v>0</v>
      </c>
      <c r="L134" s="13" t="e">
        <f>INDEX(Input!$D$2:$AC$500,
       MATCH(B134, Input!$J$2:$J$500, 0),
       MATCH("Memory Capacity", Input!$D$1:$AC$1, 0))</f>
        <v>#N/A</v>
      </c>
      <c r="M134" s="13" t="e">
        <f>INDEX(Input!$D$2:$AC$500,
       MATCH(B134, Input!$J$2:$J$500, 0),
       MATCH("Memory Type", Input!$D$1:$AC$1, 0))</f>
        <v>#N/A</v>
      </c>
      <c r="N134" s="13" t="e">
        <f t="shared" si="7"/>
        <v>#N/A</v>
      </c>
      <c r="Q134" t="e">
        <f>INDEX(Input!$D$2:$AC$500,
       MATCH(B134, Input!$J$2:$J$500, 0),
       MATCH("Disk Capacity", Input!$D$1:$AC$1, 0))</f>
        <v>#N/A</v>
      </c>
      <c r="S134" s="13" t="str">
        <f>_xlfn.LET(_xlpm.Result,_xlfn.XLOOKUP(B134,Input!J:J,Input!AA:AA),IF(_xlpm.Result="","",_xlpm.Result))</f>
        <v/>
      </c>
      <c r="T134" s="13" t="str" cm="1">
        <f t="array" ref="T134">IFERROR(_xlfn.IFS(
   --S134&lt;55,"Battery Defect",
  -- S134&lt;=69,"Battery D",
  --S134&lt;=80,"Battery C",
 --S134&gt;80,""
),"")</f>
        <v/>
      </c>
      <c r="U134" s="13" t="str" cm="1">
        <f t="array" ref="U134:AB134">IFERROR(IF(_xlfn.XLOOKUP(B134,Input!J:J,Input!N:U)=0,"",
          _xlfn.XLOOKUP(B134,Input!J:J,Input!N:U)),"")</f>
        <v/>
      </c>
      <c r="V134" s="13" t="str">
        <v/>
      </c>
      <c r="W134" s="13" t="str">
        <v/>
      </c>
      <c r="X134" s="13" t="str">
        <v/>
      </c>
      <c r="Y134" s="13" t="str">
        <v/>
      </c>
      <c r="Z134" s="13" t="str">
        <v/>
      </c>
      <c r="AA134" s="13" t="str">
        <v/>
      </c>
      <c r="AB134" s="13" t="str">
        <v/>
      </c>
      <c r="AC134" t="str">
        <f t="shared" si="8"/>
        <v/>
      </c>
      <c r="AD134" t="str">
        <f>_xlfn.XLOOKUP(B:B,Disk_Pivot!G:G,Disk_Pivot!I:I)</f>
        <v>Yes</v>
      </c>
      <c r="AE134" t="str">
        <f>_xlfn.XLOOKUP(B134,Disk_Pivot!G:G,Disk_Pivot!N:N)</f>
        <v>Fail</v>
      </c>
    </row>
    <row r="135" spans="6:31">
      <c r="F135" t="str">
        <f>_xlfn.XLOOKUP(H135,Models!B:B,Models!F:F,"")</f>
        <v/>
      </c>
      <c r="K135">
        <f>_xlfn.XLOOKUP(B135,CPU_Formula!A:A,CPU_Formula!I:I)</f>
        <v>0</v>
      </c>
      <c r="L135" s="13" t="e">
        <f>INDEX(Input!$D$2:$AC$500,
       MATCH(B135, Input!$J$2:$J$500, 0),
       MATCH("Memory Capacity", Input!$D$1:$AC$1, 0))</f>
        <v>#N/A</v>
      </c>
      <c r="M135" s="13" t="e">
        <f>INDEX(Input!$D$2:$AC$500,
       MATCH(B135, Input!$J$2:$J$500, 0),
       MATCH("Memory Type", Input!$D$1:$AC$1, 0))</f>
        <v>#N/A</v>
      </c>
      <c r="N135" s="13" t="e">
        <f t="shared" si="7"/>
        <v>#N/A</v>
      </c>
      <c r="Q135" t="e">
        <f>INDEX(Input!$D$2:$AC$500,
       MATCH(B135, Input!$J$2:$J$500, 0),
       MATCH("Disk Capacity", Input!$D$1:$AC$1, 0))</f>
        <v>#N/A</v>
      </c>
      <c r="S135" s="13" t="str">
        <f>_xlfn.LET(_xlpm.Result,_xlfn.XLOOKUP(B135,Input!J:J,Input!AA:AA),IF(_xlpm.Result="","",_xlpm.Result))</f>
        <v/>
      </c>
      <c r="T135" s="13" t="str" cm="1">
        <f t="array" ref="T135">IFERROR(_xlfn.IFS(
   --S135&lt;55,"Battery Defect",
  -- S135&lt;=69,"Battery D",
  --S135&lt;=80,"Battery C",
 --S135&gt;80,""
),"")</f>
        <v/>
      </c>
      <c r="U135" s="13" t="str" cm="1">
        <f t="array" ref="U135:AB135">IFERROR(IF(_xlfn.XLOOKUP(B135,Input!J:J,Input!N:U)=0,"",
          _xlfn.XLOOKUP(B135,Input!J:J,Input!N:U)),"")</f>
        <v/>
      </c>
      <c r="V135" s="13" t="str">
        <v/>
      </c>
      <c r="W135" s="13" t="str">
        <v/>
      </c>
      <c r="X135" s="13" t="str">
        <v/>
      </c>
      <c r="Y135" s="13" t="str">
        <v/>
      </c>
      <c r="Z135" s="13" t="str">
        <v/>
      </c>
      <c r="AA135" s="13" t="str">
        <v/>
      </c>
      <c r="AB135" s="13" t="str">
        <v/>
      </c>
      <c r="AC135" t="str">
        <f t="shared" si="8"/>
        <v/>
      </c>
      <c r="AD135" t="str">
        <f>_xlfn.XLOOKUP(B:B,Disk_Pivot!G:G,Disk_Pivot!I:I)</f>
        <v>Yes</v>
      </c>
      <c r="AE135" t="str">
        <f>_xlfn.XLOOKUP(B135,Disk_Pivot!G:G,Disk_Pivot!N:N)</f>
        <v>Fail</v>
      </c>
    </row>
    <row r="136" spans="6:31">
      <c r="F136" t="str">
        <f>_xlfn.XLOOKUP(H136,Models!B:B,Models!F:F,"")</f>
        <v/>
      </c>
      <c r="K136">
        <f>_xlfn.XLOOKUP(B136,CPU_Formula!A:A,CPU_Formula!I:I)</f>
        <v>0</v>
      </c>
      <c r="L136" s="13" t="e">
        <f>INDEX(Input!$D$2:$AC$500,
       MATCH(B136, Input!$J$2:$J$500, 0),
       MATCH("Memory Capacity", Input!$D$1:$AC$1, 0))</f>
        <v>#N/A</v>
      </c>
      <c r="M136" s="13" t="e">
        <f>INDEX(Input!$D$2:$AC$500,
       MATCH(B136, Input!$J$2:$J$500, 0),
       MATCH("Memory Type", Input!$D$1:$AC$1, 0))</f>
        <v>#N/A</v>
      </c>
      <c r="N136" s="13" t="e">
        <f t="shared" si="7"/>
        <v>#N/A</v>
      </c>
      <c r="Q136" t="e">
        <f>INDEX(Input!$D$2:$AC$500,
       MATCH(B136, Input!$J$2:$J$500, 0),
       MATCH("Disk Capacity", Input!$D$1:$AC$1, 0))</f>
        <v>#N/A</v>
      </c>
      <c r="S136" s="13" t="str">
        <f>_xlfn.LET(_xlpm.Result,_xlfn.XLOOKUP(B136,Input!J:J,Input!AA:AA),IF(_xlpm.Result="","",_xlpm.Result))</f>
        <v/>
      </c>
      <c r="T136" s="13" t="str" cm="1">
        <f t="array" ref="T136">IFERROR(_xlfn.IFS(
   --S136&lt;55,"Battery Defect",
  -- S136&lt;=69,"Battery D",
  --S136&lt;=80,"Battery C",
 --S136&gt;80,""
),"")</f>
        <v/>
      </c>
      <c r="U136" s="13" t="str" cm="1">
        <f t="array" ref="U136:AB136">IFERROR(IF(_xlfn.XLOOKUP(B136,Input!J:J,Input!N:U)=0,"",
          _xlfn.XLOOKUP(B136,Input!J:J,Input!N:U)),"")</f>
        <v/>
      </c>
      <c r="V136" s="13" t="str">
        <v/>
      </c>
      <c r="W136" s="13" t="str">
        <v/>
      </c>
      <c r="X136" s="13" t="str">
        <v/>
      </c>
      <c r="Y136" s="13" t="str">
        <v/>
      </c>
      <c r="Z136" s="13" t="str">
        <v/>
      </c>
      <c r="AA136" s="13" t="str">
        <v/>
      </c>
      <c r="AB136" s="13" t="str">
        <v/>
      </c>
      <c r="AC136" t="str">
        <f t="shared" si="8"/>
        <v/>
      </c>
      <c r="AD136" t="str">
        <f>_xlfn.XLOOKUP(B:B,Disk_Pivot!G:G,Disk_Pivot!I:I)</f>
        <v>Yes</v>
      </c>
      <c r="AE136" t="str">
        <f>_xlfn.XLOOKUP(B136,Disk_Pivot!G:G,Disk_Pivot!N:N)</f>
        <v>Fail</v>
      </c>
    </row>
    <row r="137" spans="6:31">
      <c r="F137">
        <f>_xlfn.XLOOKUP(H137,Models!B:B,Models!F:F,"")</f>
        <v>0</v>
      </c>
      <c r="K137">
        <f>_xlfn.XLOOKUP(B137,CPU_Formula!A:A,CPU_Formula!I:I)</f>
        <v>0</v>
      </c>
      <c r="L137" s="13" t="e">
        <f>INDEX(Input!$D$2:$AC$500,
       MATCH(B137, Input!$J$2:$J$500, 0),
       MATCH("Memory Capacity", Input!$D$1:$AC$1, 0))</f>
        <v>#N/A</v>
      </c>
      <c r="M137" s="13" t="e">
        <f>INDEX(Input!$D$2:$AC$500,
       MATCH(B137, Input!$J$2:$J$500, 0),
       MATCH("Memory Type", Input!$D$1:$AC$1, 0))</f>
        <v>#N/A</v>
      </c>
      <c r="N137" s="13" t="e">
        <f t="shared" si="7"/>
        <v>#N/A</v>
      </c>
      <c r="Q137" t="e">
        <f>INDEX(Input!$D$2:$AC$500,
       MATCH(B137, Input!$J$2:$J$500, 0),
       MATCH("Disk Capacity", Input!$D$1:$AC$1, 0))</f>
        <v>#N/A</v>
      </c>
      <c r="S137" s="13" t="str">
        <f>_xlfn.LET(_xlpm.Result,_xlfn.XLOOKUP(B137,Input!J:J,Input!AA:AA),IF(_xlpm.Result="","",_xlpm.Result))</f>
        <v/>
      </c>
      <c r="T137" s="13" t="str" cm="1">
        <f t="array" ref="T137">IFERROR(_xlfn.IFS(
   --S137&lt;55,"Battery Defect",
  -- S137&lt;=69,"Battery D",
  --S137&lt;=80,"Battery C",
 --S137&gt;80,""
),"")</f>
        <v/>
      </c>
      <c r="U137" s="13" t="str" cm="1">
        <f t="array" ref="U137:AB137">IFERROR(IF(_xlfn.XLOOKUP(B137,Input!J:J,Input!N:U)=0,"",
          _xlfn.XLOOKUP(B137,Input!J:J,Input!N:U)),"")</f>
        <v/>
      </c>
      <c r="V137" s="13" t="str">
        <v/>
      </c>
      <c r="W137" s="13" t="str">
        <v/>
      </c>
      <c r="X137" s="13" t="str">
        <v/>
      </c>
      <c r="Y137" s="13" t="str">
        <v/>
      </c>
      <c r="Z137" s="13" t="str">
        <v/>
      </c>
      <c r="AA137" s="13" t="str">
        <v/>
      </c>
      <c r="AB137" s="13" t="str">
        <v/>
      </c>
      <c r="AC137" t="str">
        <f t="shared" si="8"/>
        <v/>
      </c>
      <c r="AD137" t="str">
        <f>_xlfn.XLOOKUP(B:B,Disk_Pivot!G:G,Disk_Pivot!I:I)</f>
        <v>Yes</v>
      </c>
      <c r="AE137" t="str">
        <f>_xlfn.XLOOKUP(B137,Disk_Pivot!G:G,Disk_Pivot!N:N)</f>
        <v>Fail</v>
      </c>
    </row>
    <row r="138" spans="6:31">
      <c r="F138" t="str">
        <f>_xlfn.XLOOKUP(H138,Models!B:B,Models!F:F,"")</f>
        <v/>
      </c>
      <c r="K138">
        <f>_xlfn.XLOOKUP(B138,CPU_Formula!A:A,CPU_Formula!I:I)</f>
        <v>0</v>
      </c>
      <c r="L138" s="13" t="e">
        <f>INDEX(Input!$D$2:$AC$500,
       MATCH(B138, Input!$J$2:$J$500, 0),
       MATCH("Memory Capacity", Input!$D$1:$AC$1, 0))</f>
        <v>#N/A</v>
      </c>
      <c r="M138" s="13" t="e">
        <f>INDEX(Input!$D$2:$AC$500,
       MATCH(B138, Input!$J$2:$J$500, 0),
       MATCH("Memory Type", Input!$D$1:$AC$1, 0))</f>
        <v>#N/A</v>
      </c>
      <c r="N138" s="13" t="e">
        <f t="shared" si="7"/>
        <v>#N/A</v>
      </c>
      <c r="Q138" t="e">
        <f>INDEX(Input!$D$2:$AC$500,
       MATCH(B138, Input!$J$2:$J$500, 0),
       MATCH("Disk Capacity", Input!$D$1:$AC$1, 0))</f>
        <v>#N/A</v>
      </c>
      <c r="S138" s="13" t="str">
        <f>_xlfn.LET(_xlpm.Result,_xlfn.XLOOKUP(B138,Input!J:J,Input!AA:AA),IF(_xlpm.Result="","",_xlpm.Result))</f>
        <v/>
      </c>
      <c r="T138" s="13" t="str" cm="1">
        <f t="array" ref="T138">IFERROR(_xlfn.IFS(
   --S138&lt;55,"Battery Defect",
  -- S138&lt;=69,"Battery D",
  --S138&lt;=80,"Battery C",
 --S138&gt;80,""
),"")</f>
        <v/>
      </c>
      <c r="U138" s="13" t="str" cm="1">
        <f t="array" ref="U138:AB138">IFERROR(IF(_xlfn.XLOOKUP(B138,Input!J:J,Input!N:U)=0,"",
          _xlfn.XLOOKUP(B138,Input!J:J,Input!N:U)),"")</f>
        <v/>
      </c>
      <c r="V138" s="13" t="str">
        <v/>
      </c>
      <c r="W138" s="13" t="str">
        <v/>
      </c>
      <c r="X138" s="13" t="str">
        <v/>
      </c>
      <c r="Y138" s="13" t="str">
        <v/>
      </c>
      <c r="Z138" s="13" t="str">
        <v/>
      </c>
      <c r="AA138" s="13" t="str">
        <v/>
      </c>
      <c r="AB138" s="13" t="str">
        <v/>
      </c>
      <c r="AC138" t="str">
        <f t="shared" si="8"/>
        <v/>
      </c>
      <c r="AD138" t="str">
        <f>_xlfn.XLOOKUP(B:B,Disk_Pivot!G:G,Disk_Pivot!I:I)</f>
        <v>Yes</v>
      </c>
      <c r="AE138" t="str">
        <f>_xlfn.XLOOKUP(B138,Disk_Pivot!G:G,Disk_Pivot!N:N)</f>
        <v>Fail</v>
      </c>
    </row>
    <row r="139" spans="6:31">
      <c r="F139" t="str">
        <f>_xlfn.XLOOKUP(H139,Models!B:B,Models!F:F,"")</f>
        <v/>
      </c>
      <c r="K139">
        <f>_xlfn.XLOOKUP(B139,CPU_Formula!A:A,CPU_Formula!I:I)</f>
        <v>0</v>
      </c>
      <c r="L139" s="13" t="e">
        <f>INDEX(Input!$D$2:$AC$500,
       MATCH(B139, Input!$J$2:$J$500, 0),
       MATCH("Memory Capacity", Input!$D$1:$AC$1, 0))</f>
        <v>#N/A</v>
      </c>
      <c r="M139" s="13" t="e">
        <f>INDEX(Input!$D$2:$AC$500,
       MATCH(B139, Input!$J$2:$J$500, 0),
       MATCH("Memory Type", Input!$D$1:$AC$1, 0))</f>
        <v>#N/A</v>
      </c>
      <c r="N139" s="13" t="e">
        <f t="shared" si="7"/>
        <v>#N/A</v>
      </c>
      <c r="Q139" t="e">
        <f>INDEX(Input!$D$2:$AC$500,
       MATCH(B139, Input!$J$2:$J$500, 0),
       MATCH("Disk Capacity", Input!$D$1:$AC$1, 0))</f>
        <v>#N/A</v>
      </c>
      <c r="S139" s="13" t="str">
        <f>_xlfn.LET(_xlpm.Result,_xlfn.XLOOKUP(B139,Input!J:J,Input!AA:AA),IF(_xlpm.Result="","",_xlpm.Result))</f>
        <v/>
      </c>
      <c r="T139" s="13" t="str" cm="1">
        <f t="array" ref="T139">IFERROR(_xlfn.IFS(
   --S139&lt;55,"Battery Defect",
  -- S139&lt;=69,"Battery D",
  --S139&lt;=80,"Battery C",
 --S139&gt;80,""
),"")</f>
        <v/>
      </c>
      <c r="U139" s="13" t="str" cm="1">
        <f t="array" ref="U139:AB139">IFERROR(IF(_xlfn.XLOOKUP(B139,Input!J:J,Input!N:U)=0,"",
          _xlfn.XLOOKUP(B139,Input!J:J,Input!N:U)),"")</f>
        <v/>
      </c>
      <c r="V139" s="13" t="str">
        <v/>
      </c>
      <c r="W139" s="13" t="str">
        <v/>
      </c>
      <c r="X139" s="13" t="str">
        <v/>
      </c>
      <c r="Y139" s="13" t="str">
        <v/>
      </c>
      <c r="Z139" s="13" t="str">
        <v/>
      </c>
      <c r="AA139" s="13" t="str">
        <v/>
      </c>
      <c r="AB139" s="13" t="str">
        <v/>
      </c>
      <c r="AC139" t="str">
        <f t="shared" si="8"/>
        <v/>
      </c>
      <c r="AD139" t="str">
        <f>_xlfn.XLOOKUP(B:B,Disk_Pivot!G:G,Disk_Pivot!I:I)</f>
        <v>Yes</v>
      </c>
      <c r="AE139" t="str">
        <f>_xlfn.XLOOKUP(B139,Disk_Pivot!G:G,Disk_Pivot!N:N)</f>
        <v>Fail</v>
      </c>
    </row>
    <row r="140" spans="6:31">
      <c r="F140">
        <f>_xlfn.XLOOKUP(H140,Models!B:B,Models!F:F,"")</f>
        <v>0</v>
      </c>
      <c r="K140">
        <f>_xlfn.XLOOKUP(B140,CPU_Formula!A:A,CPU_Formula!I:I)</f>
        <v>0</v>
      </c>
      <c r="L140" s="13" t="e">
        <f>INDEX(Input!$D$2:$AC$500,
       MATCH(B140, Input!$J$2:$J$500, 0),
       MATCH("Memory Capacity", Input!$D$1:$AC$1, 0))</f>
        <v>#N/A</v>
      </c>
      <c r="M140" s="13" t="e">
        <f>INDEX(Input!$D$2:$AC$500,
       MATCH(B140, Input!$J$2:$J$500, 0),
       MATCH("Memory Type", Input!$D$1:$AC$1, 0))</f>
        <v>#N/A</v>
      </c>
      <c r="N140" s="13" t="e">
        <f t="shared" si="7"/>
        <v>#N/A</v>
      </c>
      <c r="Q140" t="e">
        <f>INDEX(Input!$D$2:$AC$500,
       MATCH(B140, Input!$J$2:$J$500, 0),
       MATCH("Disk Capacity", Input!$D$1:$AC$1, 0))</f>
        <v>#N/A</v>
      </c>
      <c r="S140" s="13" t="str">
        <f>_xlfn.LET(_xlpm.Result,_xlfn.XLOOKUP(B140,Input!J:J,Input!AA:AA),IF(_xlpm.Result="","",_xlpm.Result))</f>
        <v/>
      </c>
      <c r="T140" s="13" t="str" cm="1">
        <f t="array" ref="T140">IFERROR(_xlfn.IFS(
   --S140&lt;55,"Battery Defect",
  -- S140&lt;=69,"Battery D",
  --S140&lt;=80,"Battery C",
 --S140&gt;80,""
),"")</f>
        <v/>
      </c>
      <c r="U140" s="13" t="str" cm="1">
        <f t="array" ref="U140:AB140">IFERROR(IF(_xlfn.XLOOKUP(B140,Input!J:J,Input!N:U)=0,"",
          _xlfn.XLOOKUP(B140,Input!J:J,Input!N:U)),"")</f>
        <v/>
      </c>
      <c r="V140" s="13" t="str">
        <v/>
      </c>
      <c r="W140" s="13" t="str">
        <v/>
      </c>
      <c r="X140" s="13" t="str">
        <v/>
      </c>
      <c r="Y140" s="13" t="str">
        <v/>
      </c>
      <c r="Z140" s="13" t="str">
        <v/>
      </c>
      <c r="AA140" s="13" t="str">
        <v/>
      </c>
      <c r="AB140" s="13" t="str">
        <v/>
      </c>
      <c r="AC140" t="str">
        <f t="shared" si="8"/>
        <v/>
      </c>
      <c r="AD140" t="str">
        <f>_xlfn.XLOOKUP(B:B,Disk_Pivot!G:G,Disk_Pivot!I:I)</f>
        <v>Yes</v>
      </c>
      <c r="AE140" t="str">
        <f>_xlfn.XLOOKUP(B140,Disk_Pivot!G:G,Disk_Pivot!N:N)</f>
        <v>Fail</v>
      </c>
    </row>
    <row r="141" spans="6:31">
      <c r="F141" t="str">
        <f>_xlfn.XLOOKUP(H141,Models!B:B,Models!F:F,"")</f>
        <v/>
      </c>
      <c r="K141">
        <f>_xlfn.XLOOKUP(B141,CPU_Formula!A:A,CPU_Formula!I:I)</f>
        <v>0</v>
      </c>
      <c r="L141" s="13" t="e">
        <f>INDEX(Input!$D$2:$AC$500,
       MATCH(B141, Input!$J$2:$J$500, 0),
       MATCH("Memory Capacity", Input!$D$1:$AC$1, 0))</f>
        <v>#N/A</v>
      </c>
      <c r="M141" s="13" t="e">
        <f>INDEX(Input!$D$2:$AC$500,
       MATCH(B141, Input!$J$2:$J$500, 0),
       MATCH("Memory Type", Input!$D$1:$AC$1, 0))</f>
        <v>#N/A</v>
      </c>
      <c r="N141" s="13" t="e">
        <f t="shared" si="7"/>
        <v>#N/A</v>
      </c>
      <c r="Q141" t="e">
        <f>INDEX(Input!$D$2:$AC$500,
       MATCH(B141, Input!$J$2:$J$500, 0),
       MATCH("Disk Capacity", Input!$D$1:$AC$1, 0))</f>
        <v>#N/A</v>
      </c>
      <c r="S141" s="13" t="str">
        <f>_xlfn.LET(_xlpm.Result,_xlfn.XLOOKUP(B141,Input!J:J,Input!AA:AA),IF(_xlpm.Result="","",_xlpm.Result))</f>
        <v/>
      </c>
      <c r="T141" s="13" t="str" cm="1">
        <f t="array" ref="T141">IFERROR(_xlfn.IFS(
   --S141&lt;55,"Battery Defect",
  -- S141&lt;=69,"Battery D",
  --S141&lt;=80,"Battery C",
 --S141&gt;80,""
),"")</f>
        <v/>
      </c>
      <c r="U141" s="13" t="str" cm="1">
        <f t="array" ref="U141:AB141">IFERROR(IF(_xlfn.XLOOKUP(B141,Input!J:J,Input!N:U)=0,"",
          _xlfn.XLOOKUP(B141,Input!J:J,Input!N:U)),"")</f>
        <v/>
      </c>
      <c r="V141" s="13" t="str">
        <v/>
      </c>
      <c r="W141" s="13" t="str">
        <v/>
      </c>
      <c r="X141" s="13" t="str">
        <v/>
      </c>
      <c r="Y141" s="13" t="str">
        <v/>
      </c>
      <c r="Z141" s="13" t="str">
        <v/>
      </c>
      <c r="AA141" s="13" t="str">
        <v/>
      </c>
      <c r="AB141" s="13" t="str">
        <v/>
      </c>
      <c r="AC141" t="str">
        <f t="shared" si="8"/>
        <v/>
      </c>
      <c r="AD141" t="str">
        <f>_xlfn.XLOOKUP(B:B,Disk_Pivot!G:G,Disk_Pivot!I:I)</f>
        <v>Yes</v>
      </c>
      <c r="AE141" t="str">
        <f>_xlfn.XLOOKUP(B141,Disk_Pivot!G:G,Disk_Pivot!N:N)</f>
        <v>Fail</v>
      </c>
    </row>
    <row r="142" spans="6:31">
      <c r="F142" t="str">
        <f>_xlfn.XLOOKUP(H142,Models!B:B,Models!F:F,"")</f>
        <v/>
      </c>
      <c r="K142">
        <f>_xlfn.XLOOKUP(B142,CPU_Formula!A:A,CPU_Formula!I:I)</f>
        <v>0</v>
      </c>
      <c r="L142" s="13" t="e">
        <f>INDEX(Input!$D$2:$AC$500,
       MATCH(B142, Input!$J$2:$J$500, 0),
       MATCH("Memory Capacity", Input!$D$1:$AC$1, 0))</f>
        <v>#N/A</v>
      </c>
      <c r="M142" s="13" t="e">
        <f>INDEX(Input!$D$2:$AC$500,
       MATCH(B142, Input!$J$2:$J$500, 0),
       MATCH("Memory Type", Input!$D$1:$AC$1, 0))</f>
        <v>#N/A</v>
      </c>
      <c r="N142" s="13" t="e">
        <f t="shared" si="7"/>
        <v>#N/A</v>
      </c>
      <c r="Q142" t="e">
        <f>INDEX(Input!$D$2:$AC$500,
       MATCH(B142, Input!$J$2:$J$500, 0),
       MATCH("Disk Capacity", Input!$D$1:$AC$1, 0))</f>
        <v>#N/A</v>
      </c>
      <c r="S142" s="13" t="str">
        <f>_xlfn.LET(_xlpm.Result,_xlfn.XLOOKUP(B142,Input!J:J,Input!AA:AA),IF(_xlpm.Result="","",_xlpm.Result))</f>
        <v/>
      </c>
      <c r="T142" s="13" t="str" cm="1">
        <f t="array" ref="T142">IFERROR(_xlfn.IFS(
   --S142&lt;55,"Battery Defect",
  -- S142&lt;=69,"Battery D",
  --S142&lt;=80,"Battery C",
 --S142&gt;80,""
),"")</f>
        <v/>
      </c>
      <c r="U142" s="13" t="str" cm="1">
        <f t="array" ref="U142:AB142">IFERROR(IF(_xlfn.XLOOKUP(B142,Input!J:J,Input!N:U)=0,"",
          _xlfn.XLOOKUP(B142,Input!J:J,Input!N:U)),"")</f>
        <v/>
      </c>
      <c r="V142" s="13" t="str">
        <v/>
      </c>
      <c r="W142" s="13" t="str">
        <v/>
      </c>
      <c r="X142" s="13" t="str">
        <v/>
      </c>
      <c r="Y142" s="13" t="str">
        <v/>
      </c>
      <c r="Z142" s="13" t="str">
        <v/>
      </c>
      <c r="AA142" s="13" t="str">
        <v/>
      </c>
      <c r="AB142" s="13" t="str">
        <v/>
      </c>
      <c r="AC142" t="str">
        <f t="shared" si="8"/>
        <v/>
      </c>
      <c r="AD142" t="str">
        <f>_xlfn.XLOOKUP(B:B,Disk_Pivot!G:G,Disk_Pivot!I:I)</f>
        <v>Yes</v>
      </c>
      <c r="AE142" t="str">
        <f>_xlfn.XLOOKUP(B142,Disk_Pivot!G:G,Disk_Pivot!N:N)</f>
        <v>Fail</v>
      </c>
    </row>
    <row r="143" spans="6:31">
      <c r="F143">
        <f>_xlfn.XLOOKUP(H143,Models!B:B,Models!F:F,"")</f>
        <v>0</v>
      </c>
      <c r="K143">
        <f>_xlfn.XLOOKUP(B143,CPU_Formula!A:A,CPU_Formula!I:I)</f>
        <v>0</v>
      </c>
      <c r="L143" s="13" t="e">
        <f>INDEX(Input!$D$2:$AC$500,
       MATCH(B143, Input!$J$2:$J$500, 0),
       MATCH("Memory Capacity", Input!$D$1:$AC$1, 0))</f>
        <v>#N/A</v>
      </c>
      <c r="M143" s="13" t="e">
        <f>INDEX(Input!$D$2:$AC$500,
       MATCH(B143, Input!$J$2:$J$500, 0),
       MATCH("Memory Type", Input!$D$1:$AC$1, 0))</f>
        <v>#N/A</v>
      </c>
      <c r="N143" s="13" t="e">
        <f t="shared" si="7"/>
        <v>#N/A</v>
      </c>
      <c r="Q143" t="e">
        <f>INDEX(Input!$D$2:$AC$500,
       MATCH(B143, Input!$J$2:$J$500, 0),
       MATCH("Disk Capacity", Input!$D$1:$AC$1, 0))</f>
        <v>#N/A</v>
      </c>
      <c r="S143" s="13" t="str">
        <f>_xlfn.LET(_xlpm.Result,_xlfn.XLOOKUP(B143,Input!J:J,Input!AA:AA),IF(_xlpm.Result="","",_xlpm.Result))</f>
        <v/>
      </c>
      <c r="T143" s="13" t="str" cm="1">
        <f t="array" ref="T143">IFERROR(_xlfn.IFS(
   --S143&lt;55,"Battery Defect",
  -- S143&lt;=69,"Battery D",
  --S143&lt;=80,"Battery C",
 --S143&gt;80,""
),"")</f>
        <v/>
      </c>
      <c r="U143" s="13" t="str" cm="1">
        <f t="array" ref="U143:AB143">IFERROR(IF(_xlfn.XLOOKUP(B143,Input!J:J,Input!N:U)=0,"",
          _xlfn.XLOOKUP(B143,Input!J:J,Input!N:U)),"")</f>
        <v/>
      </c>
      <c r="V143" s="13" t="str">
        <v/>
      </c>
      <c r="W143" s="13" t="str">
        <v/>
      </c>
      <c r="X143" s="13" t="str">
        <v/>
      </c>
      <c r="Y143" s="13" t="str">
        <v/>
      </c>
      <c r="Z143" s="13" t="str">
        <v/>
      </c>
      <c r="AA143" s="13" t="str">
        <v/>
      </c>
      <c r="AB143" s="13" t="str">
        <v/>
      </c>
      <c r="AC143" t="str">
        <f t="shared" si="8"/>
        <v/>
      </c>
      <c r="AD143" t="str">
        <f>_xlfn.XLOOKUP(B:B,Disk_Pivot!G:G,Disk_Pivot!I:I)</f>
        <v>Yes</v>
      </c>
      <c r="AE143" t="str">
        <f>_xlfn.XLOOKUP(B143,Disk_Pivot!G:G,Disk_Pivot!N:N)</f>
        <v>Fail</v>
      </c>
    </row>
    <row r="144" spans="6:31">
      <c r="F144" t="str">
        <f>_xlfn.XLOOKUP(H144,Models!B:B,Models!F:F,"")</f>
        <v/>
      </c>
      <c r="K144">
        <f>_xlfn.XLOOKUP(B144,CPU_Formula!A:A,CPU_Formula!I:I)</f>
        <v>0</v>
      </c>
      <c r="L144" s="13" t="e">
        <f>INDEX(Input!$D$2:$AC$500,
       MATCH(B144, Input!$J$2:$J$500, 0),
       MATCH("Memory Capacity", Input!$D$1:$AC$1, 0))</f>
        <v>#N/A</v>
      </c>
      <c r="M144" s="13" t="e">
        <f>INDEX(Input!$D$2:$AC$500,
       MATCH(B144, Input!$J$2:$J$500, 0),
       MATCH("Memory Type", Input!$D$1:$AC$1, 0))</f>
        <v>#N/A</v>
      </c>
      <c r="N144" s="13" t="e">
        <f t="shared" si="7"/>
        <v>#N/A</v>
      </c>
      <c r="Q144" t="e">
        <f>INDEX(Input!$D$2:$AC$500,
       MATCH(B144, Input!$J$2:$J$500, 0),
       MATCH("Disk Capacity", Input!$D$1:$AC$1, 0))</f>
        <v>#N/A</v>
      </c>
      <c r="S144" s="13" t="str">
        <f>_xlfn.LET(_xlpm.Result,_xlfn.XLOOKUP(B144,Input!J:J,Input!AA:AA),IF(_xlpm.Result="","",_xlpm.Result))</f>
        <v/>
      </c>
      <c r="T144" s="13" t="str" cm="1">
        <f t="array" ref="T144">IFERROR(_xlfn.IFS(
   --S144&lt;55,"Battery Defect",
  -- S144&lt;=69,"Battery D",
  --S144&lt;=80,"Battery C",
 --S144&gt;80,""
),"")</f>
        <v/>
      </c>
      <c r="U144" s="13" t="str" cm="1">
        <f t="array" ref="U144:AB144">IFERROR(IF(_xlfn.XLOOKUP(B144,Input!J:J,Input!N:U)=0,"",
          _xlfn.XLOOKUP(B144,Input!J:J,Input!N:U)),"")</f>
        <v/>
      </c>
      <c r="V144" s="13" t="str">
        <v/>
      </c>
      <c r="W144" s="13" t="str">
        <v/>
      </c>
      <c r="X144" s="13" t="str">
        <v/>
      </c>
      <c r="Y144" s="13" t="str">
        <v/>
      </c>
      <c r="Z144" s="13" t="str">
        <v/>
      </c>
      <c r="AA144" s="13" t="str">
        <v/>
      </c>
      <c r="AB144" s="13" t="str">
        <v/>
      </c>
      <c r="AC144" t="str">
        <f t="shared" si="8"/>
        <v/>
      </c>
      <c r="AD144" t="str">
        <f>_xlfn.XLOOKUP(B:B,Disk_Pivot!G:G,Disk_Pivot!I:I)</f>
        <v>Yes</v>
      </c>
      <c r="AE144" t="str">
        <f>_xlfn.XLOOKUP(B144,Disk_Pivot!G:G,Disk_Pivot!N:N)</f>
        <v>Fail</v>
      </c>
    </row>
    <row r="145" spans="6:31">
      <c r="F145" t="str">
        <f>_xlfn.XLOOKUP(H145,Models!B:B,Models!F:F,"")</f>
        <v/>
      </c>
      <c r="K145">
        <f>_xlfn.XLOOKUP(B145,CPU_Formula!A:A,CPU_Formula!I:I)</f>
        <v>0</v>
      </c>
      <c r="L145" s="13" t="e">
        <f>INDEX(Input!$D$2:$AC$500,
       MATCH(B145, Input!$J$2:$J$500, 0),
       MATCH("Memory Capacity", Input!$D$1:$AC$1, 0))</f>
        <v>#N/A</v>
      </c>
      <c r="M145" s="13" t="e">
        <f>INDEX(Input!$D$2:$AC$500,
       MATCH(B145, Input!$J$2:$J$500, 0),
       MATCH("Memory Type", Input!$D$1:$AC$1, 0))</f>
        <v>#N/A</v>
      </c>
      <c r="N145" s="13" t="e">
        <f t="shared" si="7"/>
        <v>#N/A</v>
      </c>
      <c r="Q145" t="e">
        <f>INDEX(Input!$D$2:$AC$500,
       MATCH(B145, Input!$J$2:$J$500, 0),
       MATCH("Disk Capacity", Input!$D$1:$AC$1, 0))</f>
        <v>#N/A</v>
      </c>
      <c r="S145" s="13" t="str">
        <f>_xlfn.LET(_xlpm.Result,_xlfn.XLOOKUP(B145,Input!J:J,Input!AA:AA),IF(_xlpm.Result="","",_xlpm.Result))</f>
        <v/>
      </c>
      <c r="T145" s="13" t="str" cm="1">
        <f t="array" ref="T145">IFERROR(_xlfn.IFS(
   --S145&lt;55,"Battery Defect",
  -- S145&lt;=69,"Battery D",
  --S145&lt;=80,"Battery C",
 --S145&gt;80,""
),"")</f>
        <v/>
      </c>
      <c r="U145" s="13" t="str" cm="1">
        <f t="array" ref="U145:AB145">IFERROR(IF(_xlfn.XLOOKUP(B145,Input!J:J,Input!N:U)=0,"",
          _xlfn.XLOOKUP(B145,Input!J:J,Input!N:U)),"")</f>
        <v/>
      </c>
      <c r="V145" s="13" t="str">
        <v/>
      </c>
      <c r="W145" s="13" t="str">
        <v/>
      </c>
      <c r="X145" s="13" t="str">
        <v/>
      </c>
      <c r="Y145" s="13" t="str">
        <v/>
      </c>
      <c r="Z145" s="13" t="str">
        <v/>
      </c>
      <c r="AA145" s="13" t="str">
        <v/>
      </c>
      <c r="AB145" s="13" t="str">
        <v/>
      </c>
      <c r="AC145" t="str">
        <f t="shared" si="8"/>
        <v/>
      </c>
      <c r="AD145" t="str">
        <f>_xlfn.XLOOKUP(B:B,Disk_Pivot!G:G,Disk_Pivot!I:I)</f>
        <v>Yes</v>
      </c>
      <c r="AE145" t="str">
        <f>_xlfn.XLOOKUP(B145,Disk_Pivot!G:G,Disk_Pivot!N:N)</f>
        <v>Fail</v>
      </c>
    </row>
    <row r="146" spans="6:31">
      <c r="F146">
        <f>_xlfn.XLOOKUP(H146,Models!B:B,Models!F:F,"")</f>
        <v>0</v>
      </c>
      <c r="K146">
        <f>_xlfn.XLOOKUP(B146,CPU_Formula!A:A,CPU_Formula!I:I)</f>
        <v>0</v>
      </c>
      <c r="L146" s="13" t="e">
        <f>INDEX(Input!$D$2:$AC$500,
       MATCH(B146, Input!$J$2:$J$500, 0),
       MATCH("Memory Capacity", Input!$D$1:$AC$1, 0))</f>
        <v>#N/A</v>
      </c>
      <c r="M146" s="13" t="e">
        <f>INDEX(Input!$D$2:$AC$500,
       MATCH(B146, Input!$J$2:$J$500, 0),
       MATCH("Memory Type", Input!$D$1:$AC$1, 0))</f>
        <v>#N/A</v>
      </c>
      <c r="N146" s="13" t="e">
        <f t="shared" si="7"/>
        <v>#N/A</v>
      </c>
      <c r="Q146" t="e">
        <f>INDEX(Input!$D$2:$AC$500,
       MATCH(B146, Input!$J$2:$J$500, 0),
       MATCH("Disk Capacity", Input!$D$1:$AC$1, 0))</f>
        <v>#N/A</v>
      </c>
      <c r="S146" s="13" t="str">
        <f>_xlfn.LET(_xlpm.Result,_xlfn.XLOOKUP(B146,Input!J:J,Input!AA:AA),IF(_xlpm.Result="","",_xlpm.Result))</f>
        <v/>
      </c>
      <c r="T146" s="13" t="str" cm="1">
        <f t="array" ref="T146">IFERROR(_xlfn.IFS(
   --S146&lt;55,"Battery Defect",
  -- S146&lt;=69,"Battery D",
  --S146&lt;=80,"Battery C",
 --S146&gt;80,""
),"")</f>
        <v/>
      </c>
      <c r="U146" s="13" t="str" cm="1">
        <f t="array" ref="U146:AB146">IFERROR(IF(_xlfn.XLOOKUP(B146,Input!J:J,Input!N:U)=0,"",
          _xlfn.XLOOKUP(B146,Input!J:J,Input!N:U)),"")</f>
        <v/>
      </c>
      <c r="V146" s="13" t="str">
        <v/>
      </c>
      <c r="W146" s="13" t="str">
        <v/>
      </c>
      <c r="X146" s="13" t="str">
        <v/>
      </c>
      <c r="Y146" s="13" t="str">
        <v/>
      </c>
      <c r="Z146" s="13" t="str">
        <v/>
      </c>
      <c r="AA146" s="13" t="str">
        <v/>
      </c>
      <c r="AB146" s="13" t="str">
        <v/>
      </c>
      <c r="AC146" t="str">
        <f t="shared" si="8"/>
        <v/>
      </c>
      <c r="AD146" t="str">
        <f>_xlfn.XLOOKUP(B:B,Disk_Pivot!G:G,Disk_Pivot!I:I)</f>
        <v>Yes</v>
      </c>
      <c r="AE146" t="str">
        <f>_xlfn.XLOOKUP(B146,Disk_Pivot!G:G,Disk_Pivot!N:N)</f>
        <v>Fail</v>
      </c>
    </row>
    <row r="147" spans="6:31">
      <c r="F147" t="str">
        <f>_xlfn.XLOOKUP(H147,Models!B:B,Models!F:F,"")</f>
        <v/>
      </c>
      <c r="K147">
        <f>_xlfn.XLOOKUP(B147,CPU_Formula!A:A,CPU_Formula!I:I)</f>
        <v>0</v>
      </c>
      <c r="L147" s="13" t="e">
        <f>INDEX(Input!$D$2:$AC$500,
       MATCH(B147, Input!$J$2:$J$500, 0),
       MATCH("Memory Capacity", Input!$D$1:$AC$1, 0))</f>
        <v>#N/A</v>
      </c>
      <c r="M147" s="13" t="e">
        <f>INDEX(Input!$D$2:$AC$500,
       MATCH(B147, Input!$J$2:$J$500, 0),
       MATCH("Memory Type", Input!$D$1:$AC$1, 0))</f>
        <v>#N/A</v>
      </c>
      <c r="N147" s="13" t="e">
        <f t="shared" si="7"/>
        <v>#N/A</v>
      </c>
      <c r="Q147" t="e">
        <f>INDEX(Input!$D$2:$AC$500,
       MATCH(B147, Input!$J$2:$J$500, 0),
       MATCH("Disk Capacity", Input!$D$1:$AC$1, 0))</f>
        <v>#N/A</v>
      </c>
      <c r="S147" s="13" t="str">
        <f>_xlfn.LET(_xlpm.Result,_xlfn.XLOOKUP(B147,Input!J:J,Input!AA:AA),IF(_xlpm.Result="","",_xlpm.Result))</f>
        <v/>
      </c>
      <c r="T147" s="13" t="str" cm="1">
        <f t="array" ref="T147">IFERROR(_xlfn.IFS(
   --S147&lt;55,"Battery Defect",
  -- S147&lt;=69,"Battery D",
  --S147&lt;=80,"Battery C",
 --S147&gt;80,""
),"")</f>
        <v/>
      </c>
      <c r="U147" s="13" t="str" cm="1">
        <f t="array" ref="U147:AB147">IFERROR(IF(_xlfn.XLOOKUP(B147,Input!J:J,Input!N:U)=0,"",
          _xlfn.XLOOKUP(B147,Input!J:J,Input!N:U)),"")</f>
        <v/>
      </c>
      <c r="V147" s="13" t="str">
        <v/>
      </c>
      <c r="W147" s="13" t="str">
        <v/>
      </c>
      <c r="X147" s="13" t="str">
        <v/>
      </c>
      <c r="Y147" s="13" t="str">
        <v/>
      </c>
      <c r="Z147" s="13" t="str">
        <v/>
      </c>
      <c r="AA147" s="13" t="str">
        <v/>
      </c>
      <c r="AB147" s="13" t="str">
        <v/>
      </c>
      <c r="AC147" t="str">
        <f t="shared" si="8"/>
        <v/>
      </c>
      <c r="AD147" t="str">
        <f>_xlfn.XLOOKUP(B:B,Disk_Pivot!G:G,Disk_Pivot!I:I)</f>
        <v>Yes</v>
      </c>
      <c r="AE147" t="str">
        <f>_xlfn.XLOOKUP(B147,Disk_Pivot!G:G,Disk_Pivot!N:N)</f>
        <v>Fail</v>
      </c>
    </row>
    <row r="148" spans="6:31">
      <c r="F148" t="str">
        <f>_xlfn.XLOOKUP(H148,Models!B:B,Models!F:F,"")</f>
        <v/>
      </c>
      <c r="K148">
        <f>_xlfn.XLOOKUP(B148,CPU_Formula!A:A,CPU_Formula!I:I)</f>
        <v>0</v>
      </c>
      <c r="L148" s="13" t="e">
        <f>INDEX(Input!$D$2:$AC$500,
       MATCH(B148, Input!$J$2:$J$500, 0),
       MATCH("Memory Capacity", Input!$D$1:$AC$1, 0))</f>
        <v>#N/A</v>
      </c>
      <c r="M148" s="13" t="e">
        <f>INDEX(Input!$D$2:$AC$500,
       MATCH(B148, Input!$J$2:$J$500, 0),
       MATCH("Memory Type", Input!$D$1:$AC$1, 0))</f>
        <v>#N/A</v>
      </c>
      <c r="N148" s="13" t="e">
        <f t="shared" si="7"/>
        <v>#N/A</v>
      </c>
      <c r="Q148" t="e">
        <f>INDEX(Input!$D$2:$AC$500,
       MATCH(B148, Input!$J$2:$J$500, 0),
       MATCH("Disk Capacity", Input!$D$1:$AC$1, 0))</f>
        <v>#N/A</v>
      </c>
      <c r="S148" s="13" t="str">
        <f>_xlfn.LET(_xlpm.Result,_xlfn.XLOOKUP(B148,Input!J:J,Input!AA:AA),IF(_xlpm.Result="","",_xlpm.Result))</f>
        <v/>
      </c>
      <c r="T148" s="13" t="str" cm="1">
        <f t="array" ref="T148">IFERROR(_xlfn.IFS(
   --S148&lt;55,"Battery Defect",
  -- S148&lt;=69,"Battery D",
  --S148&lt;=80,"Battery C",
 --S148&gt;80,""
),"")</f>
        <v/>
      </c>
      <c r="U148" s="13" t="str" cm="1">
        <f t="array" ref="U148:AB148">IFERROR(IF(_xlfn.XLOOKUP(B148,Input!J:J,Input!N:U)=0,"",
          _xlfn.XLOOKUP(B148,Input!J:J,Input!N:U)),"")</f>
        <v/>
      </c>
      <c r="V148" s="13" t="str">
        <v/>
      </c>
      <c r="W148" s="13" t="str">
        <v/>
      </c>
      <c r="X148" s="13" t="str">
        <v/>
      </c>
      <c r="Y148" s="13" t="str">
        <v/>
      </c>
      <c r="Z148" s="13" t="str">
        <v/>
      </c>
      <c r="AA148" s="13" t="str">
        <v/>
      </c>
      <c r="AB148" s="13" t="str">
        <v/>
      </c>
      <c r="AC148" t="str">
        <f t="shared" si="8"/>
        <v/>
      </c>
      <c r="AD148" t="str">
        <f>_xlfn.XLOOKUP(B:B,Disk_Pivot!G:G,Disk_Pivot!I:I)</f>
        <v>Yes</v>
      </c>
      <c r="AE148" t="str">
        <f>_xlfn.XLOOKUP(B148,Disk_Pivot!G:G,Disk_Pivot!N:N)</f>
        <v>Fail</v>
      </c>
    </row>
    <row r="149" spans="6:31">
      <c r="F149">
        <f>_xlfn.XLOOKUP(H149,Models!B:B,Models!F:F,"")</f>
        <v>0</v>
      </c>
      <c r="K149">
        <f>_xlfn.XLOOKUP(B149,CPU_Formula!A:A,CPU_Formula!I:I)</f>
        <v>0</v>
      </c>
      <c r="L149" s="13" t="e">
        <f>INDEX(Input!$D$2:$AC$500,
       MATCH(B149, Input!$J$2:$J$500, 0),
       MATCH("Memory Capacity", Input!$D$1:$AC$1, 0))</f>
        <v>#N/A</v>
      </c>
      <c r="M149" s="13" t="e">
        <f>INDEX(Input!$D$2:$AC$500,
       MATCH(B149, Input!$J$2:$J$500, 0),
       MATCH("Memory Type", Input!$D$1:$AC$1, 0))</f>
        <v>#N/A</v>
      </c>
      <c r="N149" s="13" t="e">
        <f t="shared" si="7"/>
        <v>#N/A</v>
      </c>
      <c r="Q149" t="e">
        <f>INDEX(Input!$D$2:$AC$500,
       MATCH(B149, Input!$J$2:$J$500, 0),
       MATCH("Disk Capacity", Input!$D$1:$AC$1, 0))</f>
        <v>#N/A</v>
      </c>
      <c r="S149" s="13" t="str">
        <f>_xlfn.LET(_xlpm.Result,_xlfn.XLOOKUP(B149,Input!J:J,Input!AA:AA),IF(_xlpm.Result="","",_xlpm.Result))</f>
        <v/>
      </c>
      <c r="T149" s="13" t="str" cm="1">
        <f t="array" ref="T149">IFERROR(_xlfn.IFS(
   --S149&lt;55,"Battery Defect",
  -- S149&lt;=69,"Battery D",
  --S149&lt;=80,"Battery C",
 --S149&gt;80,""
),"")</f>
        <v/>
      </c>
      <c r="U149" s="13" t="str" cm="1">
        <f t="array" ref="U149:AB149">IFERROR(IF(_xlfn.XLOOKUP(B149,Input!J:J,Input!N:U)=0,"",
          _xlfn.XLOOKUP(B149,Input!J:J,Input!N:U)),"")</f>
        <v/>
      </c>
      <c r="V149" s="13" t="str">
        <v/>
      </c>
      <c r="W149" s="13" t="str">
        <v/>
      </c>
      <c r="X149" s="13" t="str">
        <v/>
      </c>
      <c r="Y149" s="13" t="str">
        <v/>
      </c>
      <c r="Z149" s="13" t="str">
        <v/>
      </c>
      <c r="AA149" s="13" t="str">
        <v/>
      </c>
      <c r="AB149" s="13" t="str">
        <v/>
      </c>
      <c r="AC149" t="str">
        <f t="shared" si="8"/>
        <v/>
      </c>
      <c r="AD149" t="str">
        <f>_xlfn.XLOOKUP(B:B,Disk_Pivot!G:G,Disk_Pivot!I:I)</f>
        <v>Yes</v>
      </c>
      <c r="AE149" t="str">
        <f>_xlfn.XLOOKUP(B149,Disk_Pivot!G:G,Disk_Pivot!N:N)</f>
        <v>Fail</v>
      </c>
    </row>
    <row r="150" spans="6:31">
      <c r="F150" t="str">
        <f>_xlfn.XLOOKUP(H150,Models!B:B,Models!F:F,"")</f>
        <v/>
      </c>
      <c r="K150">
        <f>_xlfn.XLOOKUP(B150,CPU_Formula!A:A,CPU_Formula!I:I)</f>
        <v>0</v>
      </c>
      <c r="L150" s="13" t="e">
        <f>INDEX(Input!$D$2:$AC$500,
       MATCH(B150, Input!$J$2:$J$500, 0),
       MATCH("Memory Capacity", Input!$D$1:$AC$1, 0))</f>
        <v>#N/A</v>
      </c>
      <c r="M150" s="13" t="e">
        <f>INDEX(Input!$D$2:$AC$500,
       MATCH(B150, Input!$J$2:$J$500, 0),
       MATCH("Memory Type", Input!$D$1:$AC$1, 0))</f>
        <v>#N/A</v>
      </c>
      <c r="N150" s="13" t="e">
        <f t="shared" si="7"/>
        <v>#N/A</v>
      </c>
      <c r="Q150" t="e">
        <f>INDEX(Input!$D$2:$AC$500,
       MATCH(B150, Input!$J$2:$J$500, 0),
       MATCH("Disk Capacity", Input!$D$1:$AC$1, 0))</f>
        <v>#N/A</v>
      </c>
      <c r="S150" s="13" t="str">
        <f>_xlfn.LET(_xlpm.Result,_xlfn.XLOOKUP(B150,Input!J:J,Input!AA:AA),IF(_xlpm.Result="","",_xlpm.Result))</f>
        <v/>
      </c>
      <c r="T150" s="13" t="str" cm="1">
        <f t="array" ref="T150">IFERROR(_xlfn.IFS(
   --S150&lt;55,"Battery Defect",
  -- S150&lt;=69,"Battery D",
  --S150&lt;=80,"Battery C",
 --S150&gt;80,""
),"")</f>
        <v/>
      </c>
      <c r="U150" s="13" t="str" cm="1">
        <f t="array" ref="U150:AB150">IFERROR(IF(_xlfn.XLOOKUP(B150,Input!J:J,Input!N:U)=0,"",
          _xlfn.XLOOKUP(B150,Input!J:J,Input!N:U)),"")</f>
        <v/>
      </c>
      <c r="V150" s="13" t="str">
        <v/>
      </c>
      <c r="W150" s="13" t="str">
        <v/>
      </c>
      <c r="X150" s="13" t="str">
        <v/>
      </c>
      <c r="Y150" s="13" t="str">
        <v/>
      </c>
      <c r="Z150" s="13" t="str">
        <v/>
      </c>
      <c r="AA150" s="13" t="str">
        <v/>
      </c>
      <c r="AB150" s="13" t="str">
        <v/>
      </c>
      <c r="AC150" t="str">
        <f t="shared" si="8"/>
        <v/>
      </c>
      <c r="AD150" t="str">
        <f>_xlfn.XLOOKUP(B:B,Disk_Pivot!G:G,Disk_Pivot!I:I)</f>
        <v>Yes</v>
      </c>
      <c r="AE150" t="str">
        <f>_xlfn.XLOOKUP(B150,Disk_Pivot!G:G,Disk_Pivot!N:N)</f>
        <v>Fail</v>
      </c>
    </row>
    <row r="151" spans="6:31">
      <c r="F151" t="str">
        <f>_xlfn.XLOOKUP(H151,Models!B:B,Models!F:F,"")</f>
        <v/>
      </c>
      <c r="K151">
        <f>_xlfn.XLOOKUP(B151,CPU_Formula!A:A,CPU_Formula!I:I)</f>
        <v>0</v>
      </c>
      <c r="L151" s="13" t="e">
        <f>INDEX(Input!$D$2:$AC$500,
       MATCH(B151, Input!$J$2:$J$500, 0),
       MATCH("Memory Capacity", Input!$D$1:$AC$1, 0))</f>
        <v>#N/A</v>
      </c>
      <c r="M151" s="13" t="e">
        <f>INDEX(Input!$D$2:$AC$500,
       MATCH(B151, Input!$J$2:$J$500, 0),
       MATCH("Memory Type", Input!$D$1:$AC$1, 0))</f>
        <v>#N/A</v>
      </c>
      <c r="N151" s="13" t="e">
        <f t="shared" si="7"/>
        <v>#N/A</v>
      </c>
      <c r="Q151" t="e">
        <f>INDEX(Input!$D$2:$AC$500,
       MATCH(B151, Input!$J$2:$J$500, 0),
       MATCH("Disk Capacity", Input!$D$1:$AC$1, 0))</f>
        <v>#N/A</v>
      </c>
      <c r="S151" s="13" t="str">
        <f>_xlfn.LET(_xlpm.Result,_xlfn.XLOOKUP(B151,Input!J:J,Input!AA:AA),IF(_xlpm.Result="","",_xlpm.Result))</f>
        <v/>
      </c>
      <c r="T151" s="13" t="str" cm="1">
        <f t="array" ref="T151">IFERROR(_xlfn.IFS(
   --S151&lt;55,"Battery Defect",
  -- S151&lt;=69,"Battery D",
  --S151&lt;=80,"Battery C",
 --S151&gt;80,""
),"")</f>
        <v/>
      </c>
      <c r="U151" s="13" t="str" cm="1">
        <f t="array" ref="U151:AB151">IFERROR(IF(_xlfn.XLOOKUP(B151,Input!J:J,Input!N:U)=0,"",
          _xlfn.XLOOKUP(B151,Input!J:J,Input!N:U)),"")</f>
        <v/>
      </c>
      <c r="V151" s="13" t="str">
        <v/>
      </c>
      <c r="W151" s="13" t="str">
        <v/>
      </c>
      <c r="X151" s="13" t="str">
        <v/>
      </c>
      <c r="Y151" s="13" t="str">
        <v/>
      </c>
      <c r="Z151" s="13" t="str">
        <v/>
      </c>
      <c r="AA151" s="13" t="str">
        <v/>
      </c>
      <c r="AB151" s="13" t="str">
        <v/>
      </c>
      <c r="AC151" t="str">
        <f t="shared" si="8"/>
        <v/>
      </c>
      <c r="AD151" t="str">
        <f>_xlfn.XLOOKUP(B:B,Disk_Pivot!G:G,Disk_Pivot!I:I)</f>
        <v>Yes</v>
      </c>
      <c r="AE151" t="str">
        <f>_xlfn.XLOOKUP(B151,Disk_Pivot!G:G,Disk_Pivot!N:N)</f>
        <v>Fail</v>
      </c>
    </row>
    <row r="152" spans="6:31">
      <c r="F152">
        <f>_xlfn.XLOOKUP(H152,Models!B:B,Models!F:F,"")</f>
        <v>0</v>
      </c>
      <c r="K152">
        <f>_xlfn.XLOOKUP(B152,CPU_Formula!A:A,CPU_Formula!I:I)</f>
        <v>0</v>
      </c>
      <c r="L152" s="13" t="e">
        <f>INDEX(Input!$D$2:$AC$500,
       MATCH(B152, Input!$J$2:$J$500, 0),
       MATCH("Memory Capacity", Input!$D$1:$AC$1, 0))</f>
        <v>#N/A</v>
      </c>
      <c r="M152" s="13" t="e">
        <f>INDEX(Input!$D$2:$AC$500,
       MATCH(B152, Input!$J$2:$J$500, 0),
       MATCH("Memory Type", Input!$D$1:$AC$1, 0))</f>
        <v>#N/A</v>
      </c>
      <c r="N152" s="13" t="e">
        <f t="shared" si="7"/>
        <v>#N/A</v>
      </c>
      <c r="Q152" t="e">
        <f>INDEX(Input!$D$2:$AC$500,
       MATCH(B152, Input!$J$2:$J$500, 0),
       MATCH("Disk Capacity", Input!$D$1:$AC$1, 0))</f>
        <v>#N/A</v>
      </c>
      <c r="S152" s="13" t="str">
        <f>_xlfn.LET(_xlpm.Result,_xlfn.XLOOKUP(B152,Input!J:J,Input!AA:AA),IF(_xlpm.Result="","",_xlpm.Result))</f>
        <v/>
      </c>
      <c r="T152" s="13" t="str" cm="1">
        <f t="array" ref="T152">IFERROR(_xlfn.IFS(
   --S152&lt;55,"Battery Defect",
  -- S152&lt;=69,"Battery D",
  --S152&lt;=80,"Battery C",
 --S152&gt;80,""
),"")</f>
        <v/>
      </c>
      <c r="U152" s="13" t="str" cm="1">
        <f t="array" ref="U152:AB152">IFERROR(IF(_xlfn.XLOOKUP(B152,Input!J:J,Input!N:U)=0,"",
          _xlfn.XLOOKUP(B152,Input!J:J,Input!N:U)),"")</f>
        <v/>
      </c>
      <c r="V152" s="13" t="str">
        <v/>
      </c>
      <c r="W152" s="13" t="str">
        <v/>
      </c>
      <c r="X152" s="13" t="str">
        <v/>
      </c>
      <c r="Y152" s="13" t="str">
        <v/>
      </c>
      <c r="Z152" s="13" t="str">
        <v/>
      </c>
      <c r="AA152" s="13" t="str">
        <v/>
      </c>
      <c r="AB152" s="13" t="str">
        <v/>
      </c>
      <c r="AC152" t="str">
        <f t="shared" si="8"/>
        <v/>
      </c>
      <c r="AD152" t="str">
        <f>_xlfn.XLOOKUP(B:B,Disk_Pivot!G:G,Disk_Pivot!I:I)</f>
        <v>Yes</v>
      </c>
      <c r="AE152" t="str">
        <f>_xlfn.XLOOKUP(B152,Disk_Pivot!G:G,Disk_Pivot!N:N)</f>
        <v>Fail</v>
      </c>
    </row>
    <row r="153" spans="6:31">
      <c r="F153" t="str">
        <f>_xlfn.XLOOKUP(H153,Models!B:B,Models!F:F,"")</f>
        <v/>
      </c>
      <c r="K153">
        <f>_xlfn.XLOOKUP(B153,CPU_Formula!A:A,CPU_Formula!I:I)</f>
        <v>0</v>
      </c>
      <c r="L153" s="13" t="e">
        <f>INDEX(Input!$D$2:$AC$500,
       MATCH(B153, Input!$J$2:$J$500, 0),
       MATCH("Memory Capacity", Input!$D$1:$AC$1, 0))</f>
        <v>#N/A</v>
      </c>
      <c r="M153" s="13" t="e">
        <f>INDEX(Input!$D$2:$AC$500,
       MATCH(B153, Input!$J$2:$J$500, 0),
       MATCH("Memory Type", Input!$D$1:$AC$1, 0))</f>
        <v>#N/A</v>
      </c>
      <c r="N153" s="13" t="e">
        <f t="shared" si="7"/>
        <v>#N/A</v>
      </c>
      <c r="Q153" t="e">
        <f>INDEX(Input!$D$2:$AC$500,
       MATCH(B153, Input!$J$2:$J$500, 0),
       MATCH("Disk Capacity", Input!$D$1:$AC$1, 0))</f>
        <v>#N/A</v>
      </c>
      <c r="S153" s="13" t="str">
        <f>_xlfn.LET(_xlpm.Result,_xlfn.XLOOKUP(B153,Input!J:J,Input!AA:AA),IF(_xlpm.Result="","",_xlpm.Result))</f>
        <v/>
      </c>
      <c r="T153" s="13" t="str" cm="1">
        <f t="array" ref="T153">IFERROR(_xlfn.IFS(
   --S153&lt;55,"Battery Defect",
  -- S153&lt;=69,"Battery D",
  --S153&lt;=80,"Battery C",
 --S153&gt;80,""
),"")</f>
        <v/>
      </c>
      <c r="U153" s="13" t="str" cm="1">
        <f t="array" ref="U153:AB153">IFERROR(IF(_xlfn.XLOOKUP(B153,Input!J:J,Input!N:U)=0,"",
          _xlfn.XLOOKUP(B153,Input!J:J,Input!N:U)),"")</f>
        <v/>
      </c>
      <c r="V153" s="13" t="str">
        <v/>
      </c>
      <c r="W153" s="13" t="str">
        <v/>
      </c>
      <c r="X153" s="13" t="str">
        <v/>
      </c>
      <c r="Y153" s="13" t="str">
        <v/>
      </c>
      <c r="Z153" s="13" t="str">
        <v/>
      </c>
      <c r="AA153" s="13" t="str">
        <v/>
      </c>
      <c r="AB153" s="13" t="str">
        <v/>
      </c>
      <c r="AC153" t="str">
        <f t="shared" si="8"/>
        <v/>
      </c>
      <c r="AD153" t="str">
        <f>_xlfn.XLOOKUP(B:B,Disk_Pivot!G:G,Disk_Pivot!I:I)</f>
        <v>Yes</v>
      </c>
      <c r="AE153" t="str">
        <f>_xlfn.XLOOKUP(B153,Disk_Pivot!G:G,Disk_Pivot!N:N)</f>
        <v>Fail</v>
      </c>
    </row>
    <row r="154" spans="6:31">
      <c r="F154" t="str">
        <f>_xlfn.XLOOKUP(H154,Models!B:B,Models!F:F,"")</f>
        <v/>
      </c>
      <c r="K154">
        <f>_xlfn.XLOOKUP(B154,CPU_Formula!A:A,CPU_Formula!I:I)</f>
        <v>0</v>
      </c>
      <c r="L154" s="13" t="e">
        <f>INDEX(Input!$D$2:$AC$500,
       MATCH(B154, Input!$J$2:$J$500, 0),
       MATCH("Memory Capacity", Input!$D$1:$AC$1, 0))</f>
        <v>#N/A</v>
      </c>
      <c r="M154" s="13" t="e">
        <f>INDEX(Input!$D$2:$AC$500,
       MATCH(B154, Input!$J$2:$J$500, 0),
       MATCH("Memory Type", Input!$D$1:$AC$1, 0))</f>
        <v>#N/A</v>
      </c>
      <c r="N154" s="13" t="e">
        <f t="shared" si="7"/>
        <v>#N/A</v>
      </c>
      <c r="Q154" t="e">
        <f>INDEX(Input!$D$2:$AC$500,
       MATCH(B154, Input!$J$2:$J$500, 0),
       MATCH("Disk Capacity", Input!$D$1:$AC$1, 0))</f>
        <v>#N/A</v>
      </c>
      <c r="S154" s="13" t="str">
        <f>_xlfn.LET(_xlpm.Result,_xlfn.XLOOKUP(B154,Input!J:J,Input!AA:AA),IF(_xlpm.Result="","",_xlpm.Result))</f>
        <v/>
      </c>
      <c r="T154" s="13" t="str" cm="1">
        <f t="array" ref="T154">IFERROR(_xlfn.IFS(
   --S154&lt;55,"Battery Defect",
  -- S154&lt;=69,"Battery D",
  --S154&lt;=80,"Battery C",
 --S154&gt;80,""
),"")</f>
        <v/>
      </c>
      <c r="U154" s="13" t="str" cm="1">
        <f t="array" ref="U154:AB154">IFERROR(IF(_xlfn.XLOOKUP(B154,Input!J:J,Input!N:U)=0,"",
          _xlfn.XLOOKUP(B154,Input!J:J,Input!N:U)),"")</f>
        <v/>
      </c>
      <c r="V154" s="13" t="str">
        <v/>
      </c>
      <c r="W154" s="13" t="str">
        <v/>
      </c>
      <c r="X154" s="13" t="str">
        <v/>
      </c>
      <c r="Y154" s="13" t="str">
        <v/>
      </c>
      <c r="Z154" s="13" t="str">
        <v/>
      </c>
      <c r="AA154" s="13" t="str">
        <v/>
      </c>
      <c r="AB154" s="13" t="str">
        <v/>
      </c>
      <c r="AC154" t="str">
        <f t="shared" si="8"/>
        <v/>
      </c>
      <c r="AD154" t="str">
        <f>_xlfn.XLOOKUP(B:B,Disk_Pivot!G:G,Disk_Pivot!I:I)</f>
        <v>Yes</v>
      </c>
      <c r="AE154" t="str">
        <f>_xlfn.XLOOKUP(B154,Disk_Pivot!G:G,Disk_Pivot!N:N)</f>
        <v>Fail</v>
      </c>
    </row>
    <row r="155" spans="6:31">
      <c r="F155">
        <f>_xlfn.XLOOKUP(H155,Models!B:B,Models!F:F,"")</f>
        <v>0</v>
      </c>
      <c r="K155">
        <f>_xlfn.XLOOKUP(B155,CPU_Formula!A:A,CPU_Formula!I:I)</f>
        <v>0</v>
      </c>
      <c r="L155" s="13" t="e">
        <f>INDEX(Input!$D$2:$AC$500,
       MATCH(B155, Input!$J$2:$J$500, 0),
       MATCH("Memory Capacity", Input!$D$1:$AC$1, 0))</f>
        <v>#N/A</v>
      </c>
      <c r="M155" s="13" t="e">
        <f>INDEX(Input!$D$2:$AC$500,
       MATCH(B155, Input!$J$2:$J$500, 0),
       MATCH("Memory Type", Input!$D$1:$AC$1, 0))</f>
        <v>#N/A</v>
      </c>
      <c r="N155" s="13" t="e">
        <f t="shared" si="7"/>
        <v>#N/A</v>
      </c>
      <c r="Q155" t="e">
        <f>INDEX(Input!$D$2:$AC$500,
       MATCH(B155, Input!$J$2:$J$500, 0),
       MATCH("Disk Capacity", Input!$D$1:$AC$1, 0))</f>
        <v>#N/A</v>
      </c>
      <c r="S155" s="13" t="str">
        <f>_xlfn.LET(_xlpm.Result,_xlfn.XLOOKUP(B155,Input!J:J,Input!AA:AA),IF(_xlpm.Result="","",_xlpm.Result))</f>
        <v/>
      </c>
      <c r="T155" s="13" t="str" cm="1">
        <f t="array" ref="T155">IFERROR(_xlfn.IFS(
   --S155&lt;55,"Battery Defect",
  -- S155&lt;=69,"Battery D",
  --S155&lt;=80,"Battery C",
 --S155&gt;80,""
),"")</f>
        <v/>
      </c>
      <c r="U155" s="13" t="str" cm="1">
        <f t="array" ref="U155:AB155">IFERROR(IF(_xlfn.XLOOKUP(B155,Input!J:J,Input!N:U)=0,"",
          _xlfn.XLOOKUP(B155,Input!J:J,Input!N:U)),"")</f>
        <v/>
      </c>
      <c r="V155" s="13" t="str">
        <v/>
      </c>
      <c r="W155" s="13" t="str">
        <v/>
      </c>
      <c r="X155" s="13" t="str">
        <v/>
      </c>
      <c r="Y155" s="13" t="str">
        <v/>
      </c>
      <c r="Z155" s="13" t="str">
        <v/>
      </c>
      <c r="AA155" s="13" t="str">
        <v/>
      </c>
      <c r="AB155" s="13" t="str">
        <v/>
      </c>
      <c r="AC155" t="str">
        <f t="shared" si="8"/>
        <v/>
      </c>
      <c r="AD155" t="str">
        <f>_xlfn.XLOOKUP(B:B,Disk_Pivot!G:G,Disk_Pivot!I:I)</f>
        <v>Yes</v>
      </c>
      <c r="AE155" t="str">
        <f>_xlfn.XLOOKUP(B155,Disk_Pivot!G:G,Disk_Pivot!N:N)</f>
        <v>Fail</v>
      </c>
    </row>
    <row r="156" spans="6:31">
      <c r="F156" t="str">
        <f>_xlfn.XLOOKUP(H156,Models!B:B,Models!F:F,"")</f>
        <v/>
      </c>
      <c r="K156">
        <f>_xlfn.XLOOKUP(B156,CPU_Formula!A:A,CPU_Formula!I:I)</f>
        <v>0</v>
      </c>
      <c r="L156" s="13" t="e">
        <f>INDEX(Input!$D$2:$AC$500,
       MATCH(B156, Input!$J$2:$J$500, 0),
       MATCH("Memory Capacity", Input!$D$1:$AC$1, 0))</f>
        <v>#N/A</v>
      </c>
      <c r="M156" s="13" t="e">
        <f>INDEX(Input!$D$2:$AC$500,
       MATCH(B156, Input!$J$2:$J$500, 0),
       MATCH("Memory Type", Input!$D$1:$AC$1, 0))</f>
        <v>#N/A</v>
      </c>
      <c r="N156" s="13" t="e">
        <f t="shared" si="7"/>
        <v>#N/A</v>
      </c>
      <c r="Q156" t="e">
        <f>INDEX(Input!$D$2:$AC$500,
       MATCH(B156, Input!$J$2:$J$500, 0),
       MATCH("Disk Capacity", Input!$D$1:$AC$1, 0))</f>
        <v>#N/A</v>
      </c>
      <c r="S156" s="13" t="str">
        <f>_xlfn.LET(_xlpm.Result,_xlfn.XLOOKUP(B156,Input!J:J,Input!AA:AA),IF(_xlpm.Result="","",_xlpm.Result))</f>
        <v/>
      </c>
      <c r="T156" s="13" t="str" cm="1">
        <f t="array" ref="T156">IFERROR(_xlfn.IFS(
   --S156&lt;55,"Battery Defect",
  -- S156&lt;=69,"Battery D",
  --S156&lt;=80,"Battery C",
 --S156&gt;80,""
),"")</f>
        <v/>
      </c>
      <c r="U156" s="13" t="str" cm="1">
        <f t="array" ref="U156:AB156">IFERROR(IF(_xlfn.XLOOKUP(B156,Input!J:J,Input!N:U)=0,"",
          _xlfn.XLOOKUP(B156,Input!J:J,Input!N:U)),"")</f>
        <v/>
      </c>
      <c r="V156" s="13" t="str">
        <v/>
      </c>
      <c r="W156" s="13" t="str">
        <v/>
      </c>
      <c r="X156" s="13" t="str">
        <v/>
      </c>
      <c r="Y156" s="13" t="str">
        <v/>
      </c>
      <c r="Z156" s="13" t="str">
        <v/>
      </c>
      <c r="AA156" s="13" t="str">
        <v/>
      </c>
      <c r="AB156" s="13" t="str">
        <v/>
      </c>
      <c r="AC156" t="str">
        <f t="shared" si="8"/>
        <v/>
      </c>
      <c r="AD156" t="str">
        <f>_xlfn.XLOOKUP(B:B,Disk_Pivot!G:G,Disk_Pivot!I:I)</f>
        <v>Yes</v>
      </c>
      <c r="AE156" t="str">
        <f>_xlfn.XLOOKUP(B156,Disk_Pivot!G:G,Disk_Pivot!N:N)</f>
        <v>Fail</v>
      </c>
    </row>
    <row r="157" spans="6:31">
      <c r="F157" t="str">
        <f>_xlfn.XLOOKUP(H157,Models!B:B,Models!F:F,"")</f>
        <v/>
      </c>
      <c r="K157">
        <f>_xlfn.XLOOKUP(B157,CPU_Formula!A:A,CPU_Formula!I:I)</f>
        <v>0</v>
      </c>
      <c r="L157" s="13" t="e">
        <f>INDEX(Input!$D$2:$AC$500,
       MATCH(B157, Input!$J$2:$J$500, 0),
       MATCH("Memory Capacity", Input!$D$1:$AC$1, 0))</f>
        <v>#N/A</v>
      </c>
      <c r="M157" s="13" t="e">
        <f>INDEX(Input!$D$2:$AC$500,
       MATCH(B157, Input!$J$2:$J$500, 0),
       MATCH("Memory Type", Input!$D$1:$AC$1, 0))</f>
        <v>#N/A</v>
      </c>
      <c r="N157" s="13" t="e">
        <f t="shared" si="7"/>
        <v>#N/A</v>
      </c>
      <c r="Q157" t="e">
        <f>INDEX(Input!$D$2:$AC$500,
       MATCH(B157, Input!$J$2:$J$500, 0),
       MATCH("Disk Capacity", Input!$D$1:$AC$1, 0))</f>
        <v>#N/A</v>
      </c>
      <c r="S157" s="13" t="str">
        <f>_xlfn.LET(_xlpm.Result,_xlfn.XLOOKUP(B157,Input!J:J,Input!AA:AA),IF(_xlpm.Result="","",_xlpm.Result))</f>
        <v/>
      </c>
      <c r="T157" s="13" t="str" cm="1">
        <f t="array" ref="T157">IFERROR(_xlfn.IFS(
   --S157&lt;55,"Battery Defect",
  -- S157&lt;=69,"Battery D",
  --S157&lt;=80,"Battery C",
 --S157&gt;80,""
),"")</f>
        <v/>
      </c>
      <c r="U157" s="13" t="str" cm="1">
        <f t="array" ref="U157:AB157">IFERROR(IF(_xlfn.XLOOKUP(B157,Input!J:J,Input!N:U)=0,"",
          _xlfn.XLOOKUP(B157,Input!J:J,Input!N:U)),"")</f>
        <v/>
      </c>
      <c r="V157" s="13" t="str">
        <v/>
      </c>
      <c r="W157" s="13" t="str">
        <v/>
      </c>
      <c r="X157" s="13" t="str">
        <v/>
      </c>
      <c r="Y157" s="13" t="str">
        <v/>
      </c>
      <c r="Z157" s="13" t="str">
        <v/>
      </c>
      <c r="AA157" s="13" t="str">
        <v/>
      </c>
      <c r="AB157" s="13" t="str">
        <v/>
      </c>
      <c r="AC157" t="str">
        <f t="shared" si="8"/>
        <v/>
      </c>
      <c r="AD157" t="str">
        <f>_xlfn.XLOOKUP(B:B,Disk_Pivot!G:G,Disk_Pivot!I:I)</f>
        <v>Yes</v>
      </c>
      <c r="AE157" t="str">
        <f>_xlfn.XLOOKUP(B157,Disk_Pivot!G:G,Disk_Pivot!N:N)</f>
        <v>Fail</v>
      </c>
    </row>
    <row r="158" spans="6:31">
      <c r="F158">
        <f>_xlfn.XLOOKUP(H158,Models!B:B,Models!F:F,"")</f>
        <v>0</v>
      </c>
      <c r="K158">
        <f>_xlfn.XLOOKUP(B158,CPU_Formula!A:A,CPU_Formula!I:I)</f>
        <v>0</v>
      </c>
      <c r="L158" s="13" t="e">
        <f>INDEX(Input!$D$2:$AC$500,
       MATCH(B158, Input!$J$2:$J$500, 0),
       MATCH("Memory Capacity", Input!$D$1:$AC$1, 0))</f>
        <v>#N/A</v>
      </c>
      <c r="M158" s="13" t="e">
        <f>INDEX(Input!$D$2:$AC$500,
       MATCH(B158, Input!$J$2:$J$500, 0),
       MATCH("Memory Type", Input!$D$1:$AC$1, 0))</f>
        <v>#N/A</v>
      </c>
      <c r="N158" s="13" t="e">
        <f t="shared" si="7"/>
        <v>#N/A</v>
      </c>
      <c r="Q158" t="e">
        <f>INDEX(Input!$D$2:$AC$500,
       MATCH(B158, Input!$J$2:$J$500, 0),
       MATCH("Disk Capacity", Input!$D$1:$AC$1, 0))</f>
        <v>#N/A</v>
      </c>
      <c r="S158" s="13" t="str">
        <f>_xlfn.LET(_xlpm.Result,_xlfn.XLOOKUP(B158,Input!J:J,Input!AA:AA),IF(_xlpm.Result="","",_xlpm.Result))</f>
        <v/>
      </c>
      <c r="T158" s="13" t="str" cm="1">
        <f t="array" ref="T158">IFERROR(_xlfn.IFS(
   --S158&lt;55,"Battery Defect",
  -- S158&lt;=69,"Battery D",
  --S158&lt;=80,"Battery C",
 --S158&gt;80,""
),"")</f>
        <v/>
      </c>
      <c r="U158" s="13" t="str" cm="1">
        <f t="array" ref="U158:AB158">IFERROR(IF(_xlfn.XLOOKUP(B158,Input!J:J,Input!N:U)=0,"",
          _xlfn.XLOOKUP(B158,Input!J:J,Input!N:U)),"")</f>
        <v/>
      </c>
      <c r="V158" s="13" t="str">
        <v/>
      </c>
      <c r="W158" s="13" t="str">
        <v/>
      </c>
      <c r="X158" s="13" t="str">
        <v/>
      </c>
      <c r="Y158" s="13" t="str">
        <v/>
      </c>
      <c r="Z158" s="13" t="str">
        <v/>
      </c>
      <c r="AA158" s="13" t="str">
        <v/>
      </c>
      <c r="AB158" s="13" t="str">
        <v/>
      </c>
      <c r="AC158" t="str">
        <f t="shared" si="8"/>
        <v/>
      </c>
      <c r="AD158" t="str">
        <f>_xlfn.XLOOKUP(B:B,Disk_Pivot!G:G,Disk_Pivot!I:I)</f>
        <v>Yes</v>
      </c>
      <c r="AE158" t="str">
        <f>_xlfn.XLOOKUP(B158,Disk_Pivot!G:G,Disk_Pivot!N:N)</f>
        <v>Fail</v>
      </c>
    </row>
    <row r="159" spans="6:31">
      <c r="F159" t="str">
        <f>_xlfn.XLOOKUP(H159,Models!B:B,Models!F:F,"")</f>
        <v/>
      </c>
      <c r="K159">
        <f>_xlfn.XLOOKUP(B159,CPU_Formula!A:A,CPU_Formula!I:I)</f>
        <v>0</v>
      </c>
      <c r="L159" s="13" t="e">
        <f>INDEX(Input!$D$2:$AC$500,
       MATCH(B159, Input!$J$2:$J$500, 0),
       MATCH("Memory Capacity", Input!$D$1:$AC$1, 0))</f>
        <v>#N/A</v>
      </c>
      <c r="M159" s="13" t="e">
        <f>INDEX(Input!$D$2:$AC$500,
       MATCH(B159, Input!$J$2:$J$500, 0),
       MATCH("Memory Type", Input!$D$1:$AC$1, 0))</f>
        <v>#N/A</v>
      </c>
      <c r="N159" s="13" t="e">
        <f t="shared" si="7"/>
        <v>#N/A</v>
      </c>
      <c r="Q159" t="e">
        <f>INDEX(Input!$D$2:$AC$500,
       MATCH(B159, Input!$J$2:$J$500, 0),
       MATCH("Disk Capacity", Input!$D$1:$AC$1, 0))</f>
        <v>#N/A</v>
      </c>
      <c r="S159" s="13" t="str">
        <f>_xlfn.LET(_xlpm.Result,_xlfn.XLOOKUP(B159,Input!J:J,Input!AA:AA),IF(_xlpm.Result="","",_xlpm.Result))</f>
        <v/>
      </c>
      <c r="T159" s="13" t="str" cm="1">
        <f t="array" ref="T159">IFERROR(_xlfn.IFS(
   --S159&lt;55,"Battery Defect",
  -- S159&lt;=69,"Battery D",
  --S159&lt;=80,"Battery C",
 --S159&gt;80,""
),"")</f>
        <v/>
      </c>
      <c r="U159" s="13" t="str" cm="1">
        <f t="array" ref="U159:AB159">IFERROR(IF(_xlfn.XLOOKUP(B159,Input!J:J,Input!N:U)=0,"",
          _xlfn.XLOOKUP(B159,Input!J:J,Input!N:U)),"")</f>
        <v/>
      </c>
      <c r="V159" s="13" t="str">
        <v/>
      </c>
      <c r="W159" s="13" t="str">
        <v/>
      </c>
      <c r="X159" s="13" t="str">
        <v/>
      </c>
      <c r="Y159" s="13" t="str">
        <v/>
      </c>
      <c r="Z159" s="13" t="str">
        <v/>
      </c>
      <c r="AA159" s="13" t="str">
        <v/>
      </c>
      <c r="AB159" s="13" t="str">
        <v/>
      </c>
      <c r="AC159" t="str">
        <f t="shared" si="8"/>
        <v/>
      </c>
      <c r="AD159" t="str">
        <f>_xlfn.XLOOKUP(B:B,Disk_Pivot!G:G,Disk_Pivot!I:I)</f>
        <v>Yes</v>
      </c>
      <c r="AE159" t="str">
        <f>_xlfn.XLOOKUP(B159,Disk_Pivot!G:G,Disk_Pivot!N:N)</f>
        <v>Fail</v>
      </c>
    </row>
    <row r="160" spans="6:31">
      <c r="F160" t="str">
        <f>_xlfn.XLOOKUP(H160,Models!B:B,Models!F:F,"")</f>
        <v/>
      </c>
      <c r="K160">
        <f>_xlfn.XLOOKUP(B160,CPU_Formula!A:A,CPU_Formula!I:I)</f>
        <v>0</v>
      </c>
      <c r="L160" s="13" t="e">
        <f>INDEX(Input!$D$2:$AC$500,
       MATCH(B160, Input!$J$2:$J$500, 0),
       MATCH("Memory Capacity", Input!$D$1:$AC$1, 0))</f>
        <v>#N/A</v>
      </c>
      <c r="M160" s="13" t="e">
        <f>INDEX(Input!$D$2:$AC$500,
       MATCH(B160, Input!$J$2:$J$500, 0),
       MATCH("Memory Type", Input!$D$1:$AC$1, 0))</f>
        <v>#N/A</v>
      </c>
      <c r="N160" s="13" t="e">
        <f t="shared" si="7"/>
        <v>#N/A</v>
      </c>
      <c r="Q160" t="e">
        <f>INDEX(Input!$D$2:$AC$500,
       MATCH(B160, Input!$J$2:$J$500, 0),
       MATCH("Disk Capacity", Input!$D$1:$AC$1, 0))</f>
        <v>#N/A</v>
      </c>
      <c r="S160" s="13" t="str">
        <f>_xlfn.LET(_xlpm.Result,_xlfn.XLOOKUP(B160,Input!J:J,Input!AA:AA),IF(_xlpm.Result="","",_xlpm.Result))</f>
        <v/>
      </c>
      <c r="T160" s="13" t="str" cm="1">
        <f t="array" ref="T160">IFERROR(_xlfn.IFS(
   --S160&lt;55,"Battery Defect",
  -- S160&lt;=69,"Battery D",
  --S160&lt;=80,"Battery C",
 --S160&gt;80,""
),"")</f>
        <v/>
      </c>
      <c r="U160" s="13" t="str" cm="1">
        <f t="array" ref="U160:AB160">IFERROR(IF(_xlfn.XLOOKUP(B160,Input!J:J,Input!N:U)=0,"",
          _xlfn.XLOOKUP(B160,Input!J:J,Input!N:U)),"")</f>
        <v/>
      </c>
      <c r="V160" s="13" t="str">
        <v/>
      </c>
      <c r="W160" s="13" t="str">
        <v/>
      </c>
      <c r="X160" s="13" t="str">
        <v/>
      </c>
      <c r="Y160" s="13" t="str">
        <v/>
      </c>
      <c r="Z160" s="13" t="str">
        <v/>
      </c>
      <c r="AA160" s="13" t="str">
        <v/>
      </c>
      <c r="AB160" s="13" t="str">
        <v/>
      </c>
      <c r="AC160" t="str">
        <f t="shared" si="8"/>
        <v/>
      </c>
      <c r="AD160" t="str">
        <f>_xlfn.XLOOKUP(B:B,Disk_Pivot!G:G,Disk_Pivot!I:I)</f>
        <v>Yes</v>
      </c>
      <c r="AE160" t="str">
        <f>_xlfn.XLOOKUP(B160,Disk_Pivot!G:G,Disk_Pivot!N:N)</f>
        <v>Fail</v>
      </c>
    </row>
    <row r="161" spans="6:31">
      <c r="F161">
        <f>_xlfn.XLOOKUP(H161,Models!B:B,Models!F:F,"")</f>
        <v>0</v>
      </c>
      <c r="K161">
        <f>_xlfn.XLOOKUP(B161,CPU_Formula!A:A,CPU_Formula!I:I)</f>
        <v>0</v>
      </c>
      <c r="L161" s="13" t="e">
        <f>INDEX(Input!$D$2:$AC$500,
       MATCH(B161, Input!$J$2:$J$500, 0),
       MATCH("Memory Capacity", Input!$D$1:$AC$1, 0))</f>
        <v>#N/A</v>
      </c>
      <c r="M161" s="13" t="e">
        <f>INDEX(Input!$D$2:$AC$500,
       MATCH(B161, Input!$J$2:$J$500, 0),
       MATCH("Memory Type", Input!$D$1:$AC$1, 0))</f>
        <v>#N/A</v>
      </c>
      <c r="N161" s="13" t="e">
        <f t="shared" si="7"/>
        <v>#N/A</v>
      </c>
      <c r="Q161" t="e">
        <f>INDEX(Input!$D$2:$AC$500,
       MATCH(B161, Input!$J$2:$J$500, 0),
       MATCH("Disk Capacity", Input!$D$1:$AC$1, 0))</f>
        <v>#N/A</v>
      </c>
      <c r="S161" s="13" t="str">
        <f>_xlfn.LET(_xlpm.Result,_xlfn.XLOOKUP(B161,Input!J:J,Input!AA:AA),IF(_xlpm.Result="","",_xlpm.Result))</f>
        <v/>
      </c>
      <c r="T161" s="13" t="str" cm="1">
        <f t="array" ref="T161">IFERROR(_xlfn.IFS(
   --S161&lt;55,"Battery Defect",
  -- S161&lt;=69,"Battery D",
  --S161&lt;=80,"Battery C",
 --S161&gt;80,""
),"")</f>
        <v/>
      </c>
      <c r="U161" s="13" t="str" cm="1">
        <f t="array" ref="U161:AB161">IFERROR(IF(_xlfn.XLOOKUP(B161,Input!J:J,Input!N:U)=0,"",
          _xlfn.XLOOKUP(B161,Input!J:J,Input!N:U)),"")</f>
        <v/>
      </c>
      <c r="V161" s="13" t="str">
        <v/>
      </c>
      <c r="W161" s="13" t="str">
        <v/>
      </c>
      <c r="X161" s="13" t="str">
        <v/>
      </c>
      <c r="Y161" s="13" t="str">
        <v/>
      </c>
      <c r="Z161" s="13" t="str">
        <v/>
      </c>
      <c r="AA161" s="13" t="str">
        <v/>
      </c>
      <c r="AB161" s="13" t="str">
        <v/>
      </c>
      <c r="AC161" t="str">
        <f t="shared" si="8"/>
        <v/>
      </c>
      <c r="AD161" t="str">
        <f>_xlfn.XLOOKUP(B:B,Disk_Pivot!G:G,Disk_Pivot!I:I)</f>
        <v>Yes</v>
      </c>
      <c r="AE161" t="str">
        <f>_xlfn.XLOOKUP(B161,Disk_Pivot!G:G,Disk_Pivot!N:N)</f>
        <v>Fail</v>
      </c>
    </row>
    <row r="162" spans="6:31">
      <c r="F162" t="str">
        <f>_xlfn.XLOOKUP(H162,Models!B:B,Models!F:F,"")</f>
        <v/>
      </c>
      <c r="K162">
        <f>_xlfn.XLOOKUP(B162,CPU_Formula!A:A,CPU_Formula!I:I)</f>
        <v>0</v>
      </c>
      <c r="L162" s="13" t="e">
        <f>INDEX(Input!$D$2:$AC$500,
       MATCH(B162, Input!$J$2:$J$500, 0),
       MATCH("Memory Capacity", Input!$D$1:$AC$1, 0))</f>
        <v>#N/A</v>
      </c>
      <c r="M162" s="13" t="e">
        <f>INDEX(Input!$D$2:$AC$500,
       MATCH(B162, Input!$J$2:$J$500, 0),
       MATCH("Memory Type", Input!$D$1:$AC$1, 0))</f>
        <v>#N/A</v>
      </c>
      <c r="N162" s="13" t="e">
        <f t="shared" si="7"/>
        <v>#N/A</v>
      </c>
      <c r="Q162" t="e">
        <f>INDEX(Input!$D$2:$AC$500,
       MATCH(B162, Input!$J$2:$J$500, 0),
       MATCH("Disk Capacity", Input!$D$1:$AC$1, 0))</f>
        <v>#N/A</v>
      </c>
      <c r="S162" s="13" t="str">
        <f>_xlfn.LET(_xlpm.Result,_xlfn.XLOOKUP(B162,Input!J:J,Input!AA:AA),IF(_xlpm.Result="","",_xlpm.Result))</f>
        <v/>
      </c>
      <c r="T162" s="13" t="str" cm="1">
        <f t="array" ref="T162">IFERROR(_xlfn.IFS(
   --S162&lt;55,"Battery Defect",
  -- S162&lt;=69,"Battery D",
  --S162&lt;=80,"Battery C",
 --S162&gt;80,""
),"")</f>
        <v/>
      </c>
      <c r="U162" s="13" t="str" cm="1">
        <f t="array" ref="U162:AB162">IFERROR(IF(_xlfn.XLOOKUP(B162,Input!J:J,Input!N:U)=0,"",
          _xlfn.XLOOKUP(B162,Input!J:J,Input!N:U)),"")</f>
        <v/>
      </c>
      <c r="V162" s="13" t="str">
        <v/>
      </c>
      <c r="W162" s="13" t="str">
        <v/>
      </c>
      <c r="X162" s="13" t="str">
        <v/>
      </c>
      <c r="Y162" s="13" t="str">
        <v/>
      </c>
      <c r="Z162" s="13" t="str">
        <v/>
      </c>
      <c r="AA162" s="13" t="str">
        <v/>
      </c>
      <c r="AB162" s="13" t="str">
        <v/>
      </c>
      <c r="AC162" t="str">
        <f t="shared" si="8"/>
        <v/>
      </c>
      <c r="AD162" t="str">
        <f>_xlfn.XLOOKUP(B:B,Disk_Pivot!G:G,Disk_Pivot!I:I)</f>
        <v>Yes</v>
      </c>
      <c r="AE162" t="str">
        <f>_xlfn.XLOOKUP(B162,Disk_Pivot!G:G,Disk_Pivot!N:N)</f>
        <v>Fail</v>
      </c>
    </row>
    <row r="163" spans="6:31">
      <c r="F163" t="str">
        <f>_xlfn.XLOOKUP(H163,Models!B:B,Models!F:F,"")</f>
        <v/>
      </c>
      <c r="K163">
        <f>_xlfn.XLOOKUP(B163,CPU_Formula!A:A,CPU_Formula!I:I)</f>
        <v>0</v>
      </c>
      <c r="L163" s="13" t="e">
        <f>INDEX(Input!$D$2:$AC$500,
       MATCH(B163, Input!$J$2:$J$500, 0),
       MATCH("Memory Capacity", Input!$D$1:$AC$1, 0))</f>
        <v>#N/A</v>
      </c>
      <c r="M163" s="13" t="e">
        <f>INDEX(Input!$D$2:$AC$500,
       MATCH(B163, Input!$J$2:$J$500, 0),
       MATCH("Memory Type", Input!$D$1:$AC$1, 0))</f>
        <v>#N/A</v>
      </c>
      <c r="N163" s="13" t="e">
        <f t="shared" si="7"/>
        <v>#N/A</v>
      </c>
      <c r="S163" s="13" t="str">
        <f>_xlfn.LET(_xlpm.Result,_xlfn.XLOOKUP(B163,Input!J:J,Input!AA:AA),IF(_xlpm.Result="","",_xlpm.Result))</f>
        <v/>
      </c>
      <c r="T163" s="13" t="str" cm="1">
        <f t="array" ref="T163">IFERROR(_xlfn.IFS(
   --S163&lt;55,"Battery Defect",
  -- S163&lt;=69,"Battery D",
  --S163&lt;=80,"Battery C",
 --S163&gt;80,""
),"")</f>
        <v/>
      </c>
      <c r="U163" s="13" t="str" cm="1">
        <f t="array" ref="U163:AB163">IFERROR(IF(_xlfn.XLOOKUP(B163,Input!J:J,Input!N:U)=0,"",
          _xlfn.XLOOKUP(B163,Input!J:J,Input!N:U)),"")</f>
        <v/>
      </c>
      <c r="V163" s="13" t="str">
        <v/>
      </c>
      <c r="W163" s="13" t="str">
        <v/>
      </c>
      <c r="X163" s="13" t="str">
        <v/>
      </c>
      <c r="Y163" s="13" t="str">
        <v/>
      </c>
      <c r="Z163" s="13" t="str">
        <v/>
      </c>
      <c r="AA163" s="13" t="str">
        <v/>
      </c>
      <c r="AB163" s="13" t="str">
        <v/>
      </c>
      <c r="AC163" t="str">
        <f t="shared" si="8"/>
        <v/>
      </c>
      <c r="AD163" t="str">
        <f>_xlfn.XLOOKUP(B:B,Disk_Pivot!G:G,Disk_Pivot!I:I)</f>
        <v>Yes</v>
      </c>
      <c r="AE163" t="str">
        <f>_xlfn.XLOOKUP(B163,Disk_Pivot!G:G,Disk_Pivot!N:N)</f>
        <v>Fail</v>
      </c>
    </row>
    <row r="164" spans="6:31">
      <c r="F164">
        <f>_xlfn.XLOOKUP(H164,Models!B:B,Models!F:F,"")</f>
        <v>0</v>
      </c>
      <c r="K164">
        <f>_xlfn.XLOOKUP(B164,CPU_Formula!A:A,CPU_Formula!I:I)</f>
        <v>0</v>
      </c>
      <c r="L164" s="13" t="e">
        <f>INDEX(Input!$D$2:$AC$500,
       MATCH(B164, Input!$J$2:$J$500, 0),
       MATCH("Memory Capacity", Input!$D$1:$AC$1, 0))</f>
        <v>#N/A</v>
      </c>
      <c r="M164" s="13" t="e">
        <f>INDEX(Input!$D$2:$AC$500,
       MATCH(B164, Input!$J$2:$J$500, 0),
       MATCH("Memory Type", Input!$D$1:$AC$1, 0))</f>
        <v>#N/A</v>
      </c>
      <c r="N164" s="13" t="e">
        <f t="shared" si="7"/>
        <v>#N/A</v>
      </c>
      <c r="S164" s="13" t="str">
        <f>_xlfn.LET(_xlpm.Result,_xlfn.XLOOKUP(B164,Input!J:J,Input!AA:AA),IF(_xlpm.Result="","",_xlpm.Result))</f>
        <v/>
      </c>
      <c r="T164" s="13" t="str" cm="1">
        <f t="array" ref="T164">IFERROR(_xlfn.IFS(
   --S164&lt;55,"Battery Defect",
  -- S164&lt;=69,"Battery D",
  --S164&lt;=80,"Battery C",
 --S164&gt;80,""
),"")</f>
        <v/>
      </c>
      <c r="U164" s="13" t="str" cm="1">
        <f t="array" ref="U164:AB164">IFERROR(IF(_xlfn.XLOOKUP(B164,Input!J:J,Input!N:U)=0,"",
          _xlfn.XLOOKUP(B164,Input!J:J,Input!N:U)),"")</f>
        <v/>
      </c>
      <c r="V164" s="13" t="str">
        <v/>
      </c>
      <c r="W164" s="13" t="str">
        <v/>
      </c>
      <c r="X164" s="13" t="str">
        <v/>
      </c>
      <c r="Y164" s="13" t="str">
        <v/>
      </c>
      <c r="Z164" s="13" t="str">
        <v/>
      </c>
      <c r="AA164" s="13" t="str">
        <v/>
      </c>
      <c r="AB164" s="13" t="str">
        <v/>
      </c>
      <c r="AC164" t="str">
        <f t="shared" si="8"/>
        <v/>
      </c>
      <c r="AD164" t="str">
        <f>_xlfn.XLOOKUP(B:B,Disk_Pivot!G:G,Disk_Pivot!I:I)</f>
        <v>Yes</v>
      </c>
      <c r="AE164" t="str">
        <f>_xlfn.XLOOKUP(B164,Disk_Pivot!G:G,Disk_Pivot!N:N)</f>
        <v>Fail</v>
      </c>
    </row>
    <row r="165" spans="6:31">
      <c r="F165" t="str">
        <f>_xlfn.XLOOKUP(H165,Models!B:B,Models!F:F,"")</f>
        <v/>
      </c>
      <c r="K165">
        <f>_xlfn.XLOOKUP(B165,CPU_Formula!A:A,CPU_Formula!I:I)</f>
        <v>0</v>
      </c>
      <c r="L165" s="13" t="e">
        <f>INDEX(Input!$D$2:$AC$500,
       MATCH(B165, Input!$J$2:$J$500, 0),
       MATCH("Memory Capacity", Input!$D$1:$AC$1, 0))</f>
        <v>#N/A</v>
      </c>
      <c r="M165" s="13" t="e">
        <f>INDEX(Input!$D$2:$AC$500,
       MATCH(B165, Input!$J$2:$J$500, 0),
       MATCH("Memory Type", Input!$D$1:$AC$1, 0))</f>
        <v>#N/A</v>
      </c>
      <c r="N165" s="13" t="e">
        <f t="shared" si="7"/>
        <v>#N/A</v>
      </c>
      <c r="S165" s="13" t="str">
        <f>_xlfn.LET(_xlpm.Result,_xlfn.XLOOKUP(B165,Input!J:J,Input!AA:AA),IF(_xlpm.Result="","",_xlpm.Result))</f>
        <v/>
      </c>
      <c r="T165" s="13" t="str" cm="1">
        <f t="array" ref="T165">IFERROR(_xlfn.IFS(
   --S165&lt;55,"Battery Defect",
  -- S165&lt;=69,"Battery D",
  --S165&lt;=80,"Battery C",
 --S165&gt;80,""
),"")</f>
        <v/>
      </c>
      <c r="U165" s="13" t="str" cm="1">
        <f t="array" ref="U165:AB165">IFERROR(IF(_xlfn.XLOOKUP(B165,Input!J:J,Input!N:U)=0,"",
          _xlfn.XLOOKUP(B165,Input!J:J,Input!N:U)),"")</f>
        <v/>
      </c>
      <c r="V165" s="13" t="str">
        <v/>
      </c>
      <c r="W165" s="13" t="str">
        <v/>
      </c>
      <c r="X165" s="13" t="str">
        <v/>
      </c>
      <c r="Y165" s="13" t="str">
        <v/>
      </c>
      <c r="Z165" s="13" t="str">
        <v/>
      </c>
      <c r="AA165" s="13" t="str">
        <v/>
      </c>
      <c r="AB165" s="13" t="str">
        <v/>
      </c>
      <c r="AC165" t="str">
        <f t="shared" si="8"/>
        <v/>
      </c>
      <c r="AD165" t="str">
        <f>_xlfn.XLOOKUP(B:B,Disk_Pivot!G:G,Disk_Pivot!I:I)</f>
        <v>Yes</v>
      </c>
      <c r="AE165" t="str">
        <f>_xlfn.XLOOKUP(B165,Disk_Pivot!G:G,Disk_Pivot!N:N)</f>
        <v>Fail</v>
      </c>
    </row>
    <row r="166" spans="6:31">
      <c r="F166" t="str">
        <f>_xlfn.XLOOKUP(H166,Models!B:B,Models!F:F,"")</f>
        <v/>
      </c>
      <c r="K166">
        <f>_xlfn.XLOOKUP(B166,CPU_Formula!A:A,CPU_Formula!I:I)</f>
        <v>0</v>
      </c>
      <c r="L166" s="13" t="e">
        <f>INDEX(Input!$D$2:$AC$500,
       MATCH(B166, Input!$J$2:$J$500, 0),
       MATCH("Memory Capacity", Input!$D$1:$AC$1, 0))</f>
        <v>#N/A</v>
      </c>
      <c r="M166" s="13" t="e">
        <f>INDEX(Input!$D$2:$AC$500,
       MATCH(B166, Input!$J$2:$J$500, 0),
       MATCH("Memory Type", Input!$D$1:$AC$1, 0))</f>
        <v>#N/A</v>
      </c>
      <c r="N166" s="13" t="e">
        <f t="shared" si="7"/>
        <v>#N/A</v>
      </c>
      <c r="S166" s="13" t="str">
        <f>_xlfn.LET(_xlpm.Result,_xlfn.XLOOKUP(B166,Input!J:J,Input!AA:AA),IF(_xlpm.Result="","",_xlpm.Result))</f>
        <v/>
      </c>
      <c r="T166" s="13" t="str" cm="1">
        <f t="array" ref="T166">IFERROR(_xlfn.IFS(
   --S166&lt;55,"Battery Defect",
  -- S166&lt;=69,"Battery D",
  --S166&lt;=80,"Battery C",
 --S166&gt;80,""
),"")</f>
        <v/>
      </c>
      <c r="U166" s="13" t="str" cm="1">
        <f t="array" ref="U166:AB166">IFERROR(IF(_xlfn.XLOOKUP(B166,Input!J:J,Input!N:U)=0,"",
          _xlfn.XLOOKUP(B166,Input!J:J,Input!N:U)),"")</f>
        <v/>
      </c>
      <c r="V166" s="13" t="str">
        <v/>
      </c>
      <c r="W166" s="13" t="str">
        <v/>
      </c>
      <c r="X166" s="13" t="str">
        <v/>
      </c>
      <c r="Y166" s="13" t="str">
        <v/>
      </c>
      <c r="Z166" s="13" t="str">
        <v/>
      </c>
      <c r="AA166" s="13" t="str">
        <v/>
      </c>
      <c r="AB166" s="13" t="str">
        <v/>
      </c>
      <c r="AC166" t="str">
        <f t="shared" si="8"/>
        <v/>
      </c>
      <c r="AD166" t="str">
        <f>_xlfn.XLOOKUP(B:B,Disk_Pivot!G:G,Disk_Pivot!I:I)</f>
        <v>Yes</v>
      </c>
      <c r="AE166" t="str">
        <f>_xlfn.XLOOKUP(B166,Disk_Pivot!G:G,Disk_Pivot!N:N)</f>
        <v>Fail</v>
      </c>
    </row>
    <row r="167" spans="6:31">
      <c r="F167">
        <f>_xlfn.XLOOKUP(H167,Models!B:B,Models!F:F,"")</f>
        <v>0</v>
      </c>
      <c r="K167">
        <f>_xlfn.XLOOKUP(B167,CPU_Formula!A:A,CPU_Formula!I:I)</f>
        <v>0</v>
      </c>
      <c r="L167" s="13" t="e">
        <f>INDEX(Input!$D$2:$AC$500,
       MATCH(B167, Input!$J$2:$J$500, 0),
       MATCH("Memory Capacity", Input!$D$1:$AC$1, 0))</f>
        <v>#N/A</v>
      </c>
      <c r="M167" s="13" t="e">
        <f>INDEX(Input!$D$2:$AC$500,
       MATCH(B167, Input!$J$2:$J$500, 0),
       MATCH("Memory Type", Input!$D$1:$AC$1, 0))</f>
        <v>#N/A</v>
      </c>
      <c r="N167" s="13" t="e">
        <f t="shared" si="7"/>
        <v>#N/A</v>
      </c>
      <c r="S167" s="13" t="str">
        <f>_xlfn.LET(_xlpm.Result,_xlfn.XLOOKUP(B167,Input!J:J,Input!AA:AA),IF(_xlpm.Result="","",_xlpm.Result))</f>
        <v/>
      </c>
      <c r="T167" s="13" t="str" cm="1">
        <f t="array" ref="T167">IFERROR(_xlfn.IFS(
   --S167&lt;55,"Battery Defect",
  -- S167&lt;=69,"Battery D",
  --S167&lt;=80,"Battery C",
 --S167&gt;80,""
),"")</f>
        <v/>
      </c>
      <c r="U167" s="13" t="str" cm="1">
        <f t="array" ref="U167:AB167">IFERROR(IF(_xlfn.XLOOKUP(B167,Input!J:J,Input!N:U)=0,"",
          _xlfn.XLOOKUP(B167,Input!J:J,Input!N:U)),"")</f>
        <v/>
      </c>
      <c r="V167" s="13" t="str">
        <v/>
      </c>
      <c r="W167" s="13" t="str">
        <v/>
      </c>
      <c r="X167" s="13" t="str">
        <v/>
      </c>
      <c r="Y167" s="13" t="str">
        <v/>
      </c>
      <c r="Z167" s="13" t="str">
        <v/>
      </c>
      <c r="AA167" s="13" t="str">
        <v/>
      </c>
      <c r="AB167" s="13" t="str">
        <v/>
      </c>
      <c r="AC167" t="str">
        <f t="shared" si="8"/>
        <v/>
      </c>
      <c r="AD167" t="str">
        <f>_xlfn.XLOOKUP(B:B,Disk_Pivot!G:G,Disk_Pivot!I:I)</f>
        <v>Yes</v>
      </c>
      <c r="AE167" t="str">
        <f>_xlfn.XLOOKUP(B167,Disk_Pivot!G:G,Disk_Pivot!N:N)</f>
        <v>Fail</v>
      </c>
    </row>
    <row r="168" spans="6:31">
      <c r="F168" t="str">
        <f>_xlfn.XLOOKUP(H168,Models!B:B,Models!F:F,"")</f>
        <v/>
      </c>
      <c r="K168">
        <f>_xlfn.XLOOKUP(B168,CPU_Formula!A:A,CPU_Formula!I:I)</f>
        <v>0</v>
      </c>
      <c r="L168" s="13" t="e">
        <f>INDEX(Input!$D$2:$AC$500,
       MATCH(B168, Input!$J$2:$J$500, 0),
       MATCH("Memory Capacity", Input!$D$1:$AC$1, 0))</f>
        <v>#N/A</v>
      </c>
      <c r="M168" s="13" t="e">
        <f>INDEX(Input!$D$2:$AC$500,
       MATCH(B168, Input!$J$2:$J$500, 0),
       MATCH("Memory Type", Input!$D$1:$AC$1, 0))</f>
        <v>#N/A</v>
      </c>
      <c r="N168" s="13" t="e">
        <f t="shared" si="7"/>
        <v>#N/A</v>
      </c>
      <c r="S168" s="13" t="str">
        <f>_xlfn.LET(_xlpm.Result,_xlfn.XLOOKUP(B168,Input!J:J,Input!AA:AA),IF(_xlpm.Result="","",_xlpm.Result))</f>
        <v/>
      </c>
      <c r="T168" s="13" t="str" cm="1">
        <f t="array" ref="T168">IFERROR(_xlfn.IFS(
   --S168&lt;55,"Battery Defect",
  -- S168&lt;=69,"Battery D",
  --S168&lt;=80,"Battery C",
 --S168&gt;80,""
),"")</f>
        <v/>
      </c>
      <c r="U168" s="13" t="str" cm="1">
        <f t="array" ref="U168:AB168">IFERROR(IF(_xlfn.XLOOKUP(B168,Input!J:J,Input!N:U)=0,"",
          _xlfn.XLOOKUP(B168,Input!J:J,Input!N:U)),"")</f>
        <v/>
      </c>
      <c r="V168" s="13" t="str">
        <v/>
      </c>
      <c r="W168" s="13" t="str">
        <v/>
      </c>
      <c r="X168" s="13" t="str">
        <v/>
      </c>
      <c r="Y168" s="13" t="str">
        <v/>
      </c>
      <c r="Z168" s="13" t="str">
        <v/>
      </c>
      <c r="AA168" s="13" t="str">
        <v/>
      </c>
      <c r="AB168" s="13" t="str">
        <v/>
      </c>
      <c r="AC168" t="str">
        <f t="shared" si="8"/>
        <v/>
      </c>
      <c r="AD168" t="str">
        <f>_xlfn.XLOOKUP(B:B,Disk_Pivot!G:G,Disk_Pivot!I:I)</f>
        <v>Yes</v>
      </c>
      <c r="AE168" t="str">
        <f>_xlfn.XLOOKUP(B168,Disk_Pivot!G:G,Disk_Pivot!N:N)</f>
        <v>Fail</v>
      </c>
    </row>
    <row r="169" spans="6:31">
      <c r="F169" t="str">
        <f>_xlfn.XLOOKUP(H169,Models!B:B,Models!F:F,"")</f>
        <v/>
      </c>
      <c r="K169">
        <f>_xlfn.XLOOKUP(B169,CPU_Formula!A:A,CPU_Formula!I:I)</f>
        <v>0</v>
      </c>
      <c r="L169" s="13" t="e">
        <f>INDEX(Input!$D$2:$AC$500,
       MATCH(B169, Input!$J$2:$J$500, 0),
       MATCH("Memory Capacity", Input!$D$1:$AC$1, 0))</f>
        <v>#N/A</v>
      </c>
      <c r="M169" s="13" t="e">
        <f>INDEX(Input!$D$2:$AC$500,
       MATCH(B169, Input!$J$2:$J$500, 0),
       MATCH("Memory Type", Input!$D$1:$AC$1, 0))</f>
        <v>#N/A</v>
      </c>
      <c r="N169" s="13" t="e">
        <f t="shared" si="7"/>
        <v>#N/A</v>
      </c>
      <c r="S169" s="13" t="str">
        <f>_xlfn.LET(_xlpm.Result,_xlfn.XLOOKUP(B169,Input!J:J,Input!AA:AA),IF(_xlpm.Result="","",_xlpm.Result))</f>
        <v/>
      </c>
      <c r="T169" s="13" t="str" cm="1">
        <f t="array" ref="T169">IFERROR(_xlfn.IFS(
   --S169&lt;55,"Battery Defect",
  -- S169&lt;=69,"Battery D",
  --S169&lt;=80,"Battery C",
 --S169&gt;80,""
),"")</f>
        <v/>
      </c>
      <c r="U169" s="13" t="str" cm="1">
        <f t="array" ref="U169:AB169">IFERROR(IF(_xlfn.XLOOKUP(B169,Input!J:J,Input!N:U)=0,"",
          _xlfn.XLOOKUP(B169,Input!J:J,Input!N:U)),"")</f>
        <v/>
      </c>
      <c r="V169" s="13" t="str">
        <v/>
      </c>
      <c r="W169" s="13" t="str">
        <v/>
      </c>
      <c r="X169" s="13" t="str">
        <v/>
      </c>
      <c r="Y169" s="13" t="str">
        <v/>
      </c>
      <c r="Z169" s="13" t="str">
        <v/>
      </c>
      <c r="AA169" s="13" t="str">
        <v/>
      </c>
      <c r="AB169" s="13" t="str">
        <v/>
      </c>
      <c r="AC169" t="str">
        <f t="shared" si="8"/>
        <v/>
      </c>
      <c r="AD169" t="str">
        <f>_xlfn.XLOOKUP(B:B,Disk_Pivot!G:G,Disk_Pivot!I:I)</f>
        <v>Yes</v>
      </c>
      <c r="AE169" t="str">
        <f>_xlfn.XLOOKUP(B169,Disk_Pivot!G:G,Disk_Pivot!N:N)</f>
        <v>Fail</v>
      </c>
    </row>
    <row r="170" spans="6:31">
      <c r="F170">
        <f>_xlfn.XLOOKUP(H170,Models!B:B,Models!F:F,"")</f>
        <v>0</v>
      </c>
      <c r="K170">
        <f>_xlfn.XLOOKUP(B170,CPU_Formula!A:A,CPU_Formula!I:I)</f>
        <v>0</v>
      </c>
      <c r="L170" s="13" t="e">
        <f>INDEX(Input!$D$2:$AC$500,
       MATCH(B170, Input!$J$2:$J$500, 0),
       MATCH("Memory Capacity", Input!$D$1:$AC$1, 0))</f>
        <v>#N/A</v>
      </c>
      <c r="M170" s="13" t="e">
        <f>INDEX(Input!$D$2:$AC$500,
       MATCH(B170, Input!$J$2:$J$500, 0),
       MATCH("Memory Type", Input!$D$1:$AC$1, 0))</f>
        <v>#N/A</v>
      </c>
      <c r="N170" s="13" t="e">
        <f t="shared" si="7"/>
        <v>#N/A</v>
      </c>
      <c r="S170" s="13" t="str">
        <f>_xlfn.LET(_xlpm.Result,_xlfn.XLOOKUP(B170,Input!J:J,Input!AA:AA),IF(_xlpm.Result="","",_xlpm.Result))</f>
        <v/>
      </c>
      <c r="T170" s="13" t="str" cm="1">
        <f t="array" ref="T170">IFERROR(_xlfn.IFS(
   --S170&lt;55,"Battery Defect",
  -- S170&lt;=69,"Battery D",
  --S170&lt;=80,"Battery C",
 --S170&gt;80,""
),"")</f>
        <v/>
      </c>
      <c r="U170" s="13" t="str" cm="1">
        <f t="array" ref="U170:AB170">IFERROR(IF(_xlfn.XLOOKUP(B170,Input!J:J,Input!N:U)=0,"",
          _xlfn.XLOOKUP(B170,Input!J:J,Input!N:U)),"")</f>
        <v/>
      </c>
      <c r="V170" s="13" t="str">
        <v/>
      </c>
      <c r="W170" s="13" t="str">
        <v/>
      </c>
      <c r="X170" s="13" t="str">
        <v/>
      </c>
      <c r="Y170" s="13" t="str">
        <v/>
      </c>
      <c r="Z170" s="13" t="str">
        <v/>
      </c>
      <c r="AA170" s="13" t="str">
        <v/>
      </c>
      <c r="AB170" s="13" t="str">
        <v/>
      </c>
      <c r="AC170" t="str">
        <f t="shared" si="8"/>
        <v/>
      </c>
      <c r="AD170" t="str">
        <f>_xlfn.XLOOKUP(B:B,Disk_Pivot!G:G,Disk_Pivot!I:I)</f>
        <v>Yes</v>
      </c>
      <c r="AE170" t="str">
        <f>_xlfn.XLOOKUP(B170,Disk_Pivot!G:G,Disk_Pivot!N:N)</f>
        <v>Fail</v>
      </c>
    </row>
    <row r="171" spans="6:31">
      <c r="F171" t="str">
        <f>_xlfn.XLOOKUP(H171,Models!B:B,Models!F:F,"")</f>
        <v/>
      </c>
      <c r="K171">
        <f>_xlfn.XLOOKUP(B171,CPU_Formula!A:A,CPU_Formula!I:I)</f>
        <v>0</v>
      </c>
      <c r="L171" s="13" t="e">
        <f>INDEX(Input!$D$2:$AC$500,
       MATCH(B171, Input!$J$2:$J$500, 0),
       MATCH("Memory Capacity", Input!$D$1:$AC$1, 0))</f>
        <v>#N/A</v>
      </c>
      <c r="M171" s="13" t="e">
        <f>INDEX(Input!$D$2:$AC$500,
       MATCH(B171, Input!$J$2:$J$500, 0),
       MATCH("Memory Type", Input!$D$1:$AC$1, 0))</f>
        <v>#N/A</v>
      </c>
      <c r="N171" s="13" t="e">
        <f t="shared" si="7"/>
        <v>#N/A</v>
      </c>
      <c r="S171" s="13" t="str">
        <f>_xlfn.LET(_xlpm.Result,_xlfn.XLOOKUP(B171,Input!J:J,Input!AA:AA),IF(_xlpm.Result="","",_xlpm.Result))</f>
        <v/>
      </c>
      <c r="T171" s="13" t="str" cm="1">
        <f t="array" ref="T171">IFERROR(_xlfn.IFS(
   --S171&lt;55,"Battery Defect",
  -- S171&lt;=69,"Battery D",
  --S171&lt;=80,"Battery C",
 --S171&gt;80,""
),"")</f>
        <v/>
      </c>
      <c r="U171" s="13" t="str" cm="1">
        <f t="array" ref="U171:AB171">IFERROR(IF(_xlfn.XLOOKUP(B171,Input!J:J,Input!N:U)=0,"",
          _xlfn.XLOOKUP(B171,Input!J:J,Input!N:U)),"")</f>
        <v/>
      </c>
      <c r="V171" s="13" t="str">
        <v/>
      </c>
      <c r="W171" s="13" t="str">
        <v/>
      </c>
      <c r="X171" s="13" t="str">
        <v/>
      </c>
      <c r="Y171" s="13" t="str">
        <v/>
      </c>
      <c r="Z171" s="13" t="str">
        <v/>
      </c>
      <c r="AA171" s="13" t="str">
        <v/>
      </c>
      <c r="AB171" s="13" t="str">
        <v/>
      </c>
      <c r="AC171" t="str">
        <f t="shared" si="8"/>
        <v/>
      </c>
      <c r="AD171" t="str">
        <f>_xlfn.XLOOKUP(B:B,Disk_Pivot!G:G,Disk_Pivot!I:I)</f>
        <v>Yes</v>
      </c>
      <c r="AE171" t="str">
        <f>_xlfn.XLOOKUP(B171,Disk_Pivot!G:G,Disk_Pivot!N:N)</f>
        <v>Fail</v>
      </c>
    </row>
    <row r="172" spans="6:31">
      <c r="F172" t="str">
        <f>_xlfn.XLOOKUP(H172,Models!B:B,Models!F:F,"")</f>
        <v/>
      </c>
      <c r="K172">
        <f>_xlfn.XLOOKUP(B172,CPU_Formula!A:A,CPU_Formula!I:I)</f>
        <v>0</v>
      </c>
      <c r="L172" s="13" t="e">
        <f>INDEX(Input!$D$2:$AC$500,
       MATCH(B172, Input!$J$2:$J$500, 0),
       MATCH("Memory Capacity", Input!$D$1:$AC$1, 0))</f>
        <v>#N/A</v>
      </c>
      <c r="M172" s="13" t="e">
        <f>INDEX(Input!$D$2:$AC$500,
       MATCH(B172, Input!$J$2:$J$500, 0),
       MATCH("Memory Type", Input!$D$1:$AC$1, 0))</f>
        <v>#N/A</v>
      </c>
      <c r="N172" s="13" t="e">
        <f t="shared" si="7"/>
        <v>#N/A</v>
      </c>
      <c r="S172" s="13" t="str">
        <f>_xlfn.LET(_xlpm.Result,_xlfn.XLOOKUP(B172,Input!J:J,Input!AA:AA),IF(_xlpm.Result="","",_xlpm.Result))</f>
        <v/>
      </c>
      <c r="T172" s="13" t="str" cm="1">
        <f t="array" ref="T172">IFERROR(_xlfn.IFS(
   --S172&lt;55,"Battery Defect",
  -- S172&lt;=69,"Battery D",
  --S172&lt;=80,"Battery C",
 --S172&gt;80,""
),"")</f>
        <v/>
      </c>
      <c r="U172" s="13" t="str" cm="1">
        <f t="array" ref="U172:AB172">IFERROR(IF(_xlfn.XLOOKUP(B172,Input!J:J,Input!N:U)=0,"",
          _xlfn.XLOOKUP(B172,Input!J:J,Input!N:U)),"")</f>
        <v/>
      </c>
      <c r="V172" s="13" t="str">
        <v/>
      </c>
      <c r="W172" s="13" t="str">
        <v/>
      </c>
      <c r="X172" s="13" t="str">
        <v/>
      </c>
      <c r="Y172" s="13" t="str">
        <v/>
      </c>
      <c r="Z172" s="13" t="str">
        <v/>
      </c>
      <c r="AA172" s="13" t="str">
        <v/>
      </c>
      <c r="AB172" s="13" t="str">
        <v/>
      </c>
      <c r="AC172" t="str">
        <f t="shared" si="8"/>
        <v/>
      </c>
      <c r="AD172" t="str">
        <f>_xlfn.XLOOKUP(B:B,Disk_Pivot!G:G,Disk_Pivot!I:I)</f>
        <v>Yes</v>
      </c>
      <c r="AE172" t="str">
        <f>_xlfn.XLOOKUP(B172,Disk_Pivot!G:G,Disk_Pivot!N:N)</f>
        <v>Fail</v>
      </c>
    </row>
    <row r="173" spans="6:31">
      <c r="F173">
        <f>_xlfn.XLOOKUP(H173,Models!B:B,Models!F:F,"")</f>
        <v>0</v>
      </c>
      <c r="K173">
        <f>_xlfn.XLOOKUP(B173,CPU_Formula!A:A,CPU_Formula!I:I)</f>
        <v>0</v>
      </c>
      <c r="L173" s="13" t="e">
        <f>INDEX(Input!$D$2:$AC$500,
       MATCH(B173, Input!$J$2:$J$500, 0),
       MATCH("Memory Capacity", Input!$D$1:$AC$1, 0))</f>
        <v>#N/A</v>
      </c>
      <c r="M173" s="13" t="e">
        <f>INDEX(Input!$D$2:$AC$500,
       MATCH(B173, Input!$J$2:$J$500, 0),
       MATCH("Memory Type", Input!$D$1:$AC$1, 0))</f>
        <v>#N/A</v>
      </c>
      <c r="N173" s="13" t="e">
        <f t="shared" si="7"/>
        <v>#N/A</v>
      </c>
      <c r="S173" s="13" t="str">
        <f>_xlfn.LET(_xlpm.Result,_xlfn.XLOOKUP(B173,Input!J:J,Input!AA:AA),IF(_xlpm.Result="","",_xlpm.Result))</f>
        <v/>
      </c>
      <c r="T173" s="13" t="str" cm="1">
        <f t="array" ref="T173">IFERROR(_xlfn.IFS(
   --S173&lt;55,"Battery Defect",
  -- S173&lt;=69,"Battery D",
  --S173&lt;=80,"Battery C",
 --S173&gt;80,""
),"")</f>
        <v/>
      </c>
      <c r="U173" s="13" t="str" cm="1">
        <f t="array" ref="U173:AB173">IFERROR(IF(_xlfn.XLOOKUP(B173,Input!J:J,Input!N:U)=0,"",
          _xlfn.XLOOKUP(B173,Input!J:J,Input!N:U)),"")</f>
        <v/>
      </c>
      <c r="V173" s="13" t="str">
        <v/>
      </c>
      <c r="W173" s="13" t="str">
        <v/>
      </c>
      <c r="X173" s="13" t="str">
        <v/>
      </c>
      <c r="Y173" s="13" t="str">
        <v/>
      </c>
      <c r="Z173" s="13" t="str">
        <v/>
      </c>
      <c r="AA173" s="13" t="str">
        <v/>
      </c>
      <c r="AB173" s="13" t="str">
        <v/>
      </c>
      <c r="AC173" t="str">
        <f t="shared" si="8"/>
        <v/>
      </c>
      <c r="AD173" t="str">
        <f>_xlfn.XLOOKUP(B:B,Disk_Pivot!G:G,Disk_Pivot!I:I)</f>
        <v>Yes</v>
      </c>
      <c r="AE173" t="str">
        <f>_xlfn.XLOOKUP(B173,Disk_Pivot!G:G,Disk_Pivot!N:N)</f>
        <v>Fail</v>
      </c>
    </row>
    <row r="174" spans="6:31">
      <c r="F174" t="str">
        <f>_xlfn.XLOOKUP(H174,Models!B:B,Models!F:F,"")</f>
        <v/>
      </c>
      <c r="K174">
        <f>_xlfn.XLOOKUP(B174,CPU_Formula!A:A,CPU_Formula!I:I)</f>
        <v>0</v>
      </c>
      <c r="L174" s="13" t="e">
        <f>INDEX(Input!$D$2:$AC$500,
       MATCH(B174, Input!$J$2:$J$500, 0),
       MATCH("Memory Capacity", Input!$D$1:$AC$1, 0))</f>
        <v>#N/A</v>
      </c>
      <c r="M174" s="13" t="e">
        <f>INDEX(Input!$D$2:$AC$500,
       MATCH(B174, Input!$J$2:$J$500, 0),
       MATCH("Memory Type", Input!$D$1:$AC$1, 0))</f>
        <v>#N/A</v>
      </c>
      <c r="N174" s="13" t="e">
        <f t="shared" si="7"/>
        <v>#N/A</v>
      </c>
      <c r="S174" s="13" t="str">
        <f>_xlfn.LET(_xlpm.Result,_xlfn.XLOOKUP(B174,Input!J:J,Input!AA:AA),IF(_xlpm.Result="","",_xlpm.Result))</f>
        <v/>
      </c>
      <c r="T174" s="13" t="str" cm="1">
        <f t="array" ref="T174">IFERROR(_xlfn.IFS(
   --S174&lt;55,"Battery Defect",
  -- S174&lt;=69,"Battery D",
  --S174&lt;=80,"Battery C",
 --S174&gt;80,""
),"")</f>
        <v/>
      </c>
      <c r="U174" s="13" t="str" cm="1">
        <f t="array" ref="U174:AB174">IFERROR(IF(_xlfn.XLOOKUP(B174,Input!J:J,Input!N:U)=0,"",
          _xlfn.XLOOKUP(B174,Input!J:J,Input!N:U)),"")</f>
        <v/>
      </c>
      <c r="V174" s="13" t="str">
        <v/>
      </c>
      <c r="W174" s="13" t="str">
        <v/>
      </c>
      <c r="X174" s="13" t="str">
        <v/>
      </c>
      <c r="Y174" s="13" t="str">
        <v/>
      </c>
      <c r="Z174" s="13" t="str">
        <v/>
      </c>
      <c r="AA174" s="13" t="str">
        <v/>
      </c>
      <c r="AB174" s="13" t="str">
        <v/>
      </c>
      <c r="AC174" t="str">
        <f t="shared" si="8"/>
        <v/>
      </c>
      <c r="AD174" t="str">
        <f>_xlfn.XLOOKUP(B:B,Disk_Pivot!G:G,Disk_Pivot!I:I)</f>
        <v>Yes</v>
      </c>
      <c r="AE174" t="str">
        <f>_xlfn.XLOOKUP(B174,Disk_Pivot!G:G,Disk_Pivot!N:N)</f>
        <v>Fail</v>
      </c>
    </row>
    <row r="175" spans="6:31">
      <c r="F175" t="str">
        <f>_xlfn.XLOOKUP(H175,Models!B:B,Models!F:F,"")</f>
        <v/>
      </c>
      <c r="K175">
        <f>_xlfn.XLOOKUP(B175,CPU_Formula!A:A,CPU_Formula!I:I)</f>
        <v>0</v>
      </c>
      <c r="L175" s="13" t="e">
        <f>INDEX(Input!$D$2:$AC$500,
       MATCH(B175, Input!$J$2:$J$500, 0),
       MATCH("Memory Capacity", Input!$D$1:$AC$1, 0))</f>
        <v>#N/A</v>
      </c>
      <c r="M175" s="13" t="e">
        <f>INDEX(Input!$D$2:$AC$500,
       MATCH(B175, Input!$J$2:$J$500, 0),
       MATCH("Memory Type", Input!$D$1:$AC$1, 0))</f>
        <v>#N/A</v>
      </c>
      <c r="N175" s="13" t="e">
        <f t="shared" si="7"/>
        <v>#N/A</v>
      </c>
      <c r="S175" s="13" t="str">
        <f>_xlfn.LET(_xlpm.Result,_xlfn.XLOOKUP(B175,Input!J:J,Input!AA:AA),IF(_xlpm.Result="","",_xlpm.Result))</f>
        <v/>
      </c>
      <c r="T175" s="13" t="str" cm="1">
        <f t="array" ref="T175">IFERROR(_xlfn.IFS(
   --S175&lt;55,"Battery Defect",
  -- S175&lt;=69,"Battery D",
  --S175&lt;=80,"Battery C",
 --S175&gt;80,""
),"")</f>
        <v/>
      </c>
      <c r="U175" s="13" t="str" cm="1">
        <f t="array" ref="U175:AB175">IFERROR(IF(_xlfn.XLOOKUP(B175,Input!J:J,Input!N:U)=0,"",
          _xlfn.XLOOKUP(B175,Input!J:J,Input!N:U)),"")</f>
        <v/>
      </c>
      <c r="V175" s="13" t="str">
        <v/>
      </c>
      <c r="W175" s="13" t="str">
        <v/>
      </c>
      <c r="X175" s="13" t="str">
        <v/>
      </c>
      <c r="Y175" s="13" t="str">
        <v/>
      </c>
      <c r="Z175" s="13" t="str">
        <v/>
      </c>
      <c r="AA175" s="13" t="str">
        <v/>
      </c>
      <c r="AB175" s="13" t="str">
        <v/>
      </c>
      <c r="AC175" t="str">
        <f t="shared" si="8"/>
        <v/>
      </c>
      <c r="AD175" t="str">
        <f>_xlfn.XLOOKUP(B:B,Disk_Pivot!G:G,Disk_Pivot!I:I)</f>
        <v>Yes</v>
      </c>
      <c r="AE175" t="str">
        <f>_xlfn.XLOOKUP(B175,Disk_Pivot!G:G,Disk_Pivot!N:N)</f>
        <v>Fail</v>
      </c>
    </row>
    <row r="176" spans="6:31">
      <c r="F176">
        <f>_xlfn.XLOOKUP(H176,Models!B:B,Models!F:F,"")</f>
        <v>0</v>
      </c>
      <c r="K176">
        <f>_xlfn.XLOOKUP(B176,CPU_Formula!A:A,CPU_Formula!I:I)</f>
        <v>0</v>
      </c>
      <c r="L176" s="13" t="e">
        <f>INDEX(Input!$D$2:$AC$500,
       MATCH(B176, Input!$J$2:$J$500, 0),
       MATCH("Memory Capacity", Input!$D$1:$AC$1, 0))</f>
        <v>#N/A</v>
      </c>
      <c r="M176" s="13" t="e">
        <f>INDEX(Input!$D$2:$AC$500,
       MATCH(B176, Input!$J$2:$J$500, 0),
       MATCH("Memory Type", Input!$D$1:$AC$1, 0))</f>
        <v>#N/A</v>
      </c>
      <c r="N176" s="13" t="e">
        <f t="shared" si="7"/>
        <v>#N/A</v>
      </c>
      <c r="S176" s="13" t="str">
        <f>_xlfn.LET(_xlpm.Result,_xlfn.XLOOKUP(B176,Input!J:J,Input!AA:AA),IF(_xlpm.Result="","",_xlpm.Result))</f>
        <v/>
      </c>
      <c r="T176" s="13" t="str" cm="1">
        <f t="array" ref="T176">IFERROR(_xlfn.IFS(
   --S176&lt;55,"Battery Defect",
  -- S176&lt;=69,"Battery D",
  --S176&lt;=80,"Battery C",
 --S176&gt;80,""
),"")</f>
        <v/>
      </c>
      <c r="U176" s="13" t="str" cm="1">
        <f t="array" ref="U176:AB176">IFERROR(IF(_xlfn.XLOOKUP(B176,Input!J:J,Input!N:U)=0,"",
          _xlfn.XLOOKUP(B176,Input!J:J,Input!N:U)),"")</f>
        <v/>
      </c>
      <c r="V176" s="13" t="str">
        <v/>
      </c>
      <c r="W176" s="13" t="str">
        <v/>
      </c>
      <c r="X176" s="13" t="str">
        <v/>
      </c>
      <c r="Y176" s="13" t="str">
        <v/>
      </c>
      <c r="Z176" s="13" t="str">
        <v/>
      </c>
      <c r="AA176" s="13" t="str">
        <v/>
      </c>
      <c r="AB176" s="13" t="str">
        <v/>
      </c>
      <c r="AC176" t="str">
        <f t="shared" si="8"/>
        <v/>
      </c>
      <c r="AD176" t="str">
        <f>_xlfn.XLOOKUP(B:B,Disk_Pivot!G:G,Disk_Pivot!I:I)</f>
        <v>Yes</v>
      </c>
      <c r="AE176" t="str">
        <f>_xlfn.XLOOKUP(B176,Disk_Pivot!G:G,Disk_Pivot!N:N)</f>
        <v>Fail</v>
      </c>
    </row>
    <row r="177" spans="6:31">
      <c r="F177" t="str">
        <f>_xlfn.XLOOKUP(H177,Models!B:B,Models!F:F,"")</f>
        <v/>
      </c>
      <c r="K177">
        <f>_xlfn.XLOOKUP(B177,CPU_Formula!A:A,CPU_Formula!I:I)</f>
        <v>0</v>
      </c>
      <c r="L177" s="13" t="e">
        <f>INDEX(Input!$D$2:$AC$500,
       MATCH(B177, Input!$J$2:$J$500, 0),
       MATCH("Memory Capacity", Input!$D$1:$AC$1, 0))</f>
        <v>#N/A</v>
      </c>
      <c r="M177" s="13" t="e">
        <f>INDEX(Input!$D$2:$AC$500,
       MATCH(B177, Input!$J$2:$J$500, 0),
       MATCH("Memory Type", Input!$D$1:$AC$1, 0))</f>
        <v>#N/A</v>
      </c>
      <c r="N177" s="13" t="e">
        <f t="shared" si="7"/>
        <v>#N/A</v>
      </c>
      <c r="S177" s="13" t="str">
        <f>_xlfn.LET(_xlpm.Result,_xlfn.XLOOKUP(B177,Input!J:J,Input!AA:AA),IF(_xlpm.Result="","",_xlpm.Result))</f>
        <v/>
      </c>
      <c r="T177" s="13" t="str" cm="1">
        <f t="array" ref="T177">IFERROR(_xlfn.IFS(
   --S177&lt;55,"Battery Defect",
  -- S177&lt;=69,"Battery D",
  --S177&lt;=80,"Battery C",
 --S177&gt;80,""
),"")</f>
        <v/>
      </c>
      <c r="U177" s="13" t="str" cm="1">
        <f t="array" ref="U177:AB177">IFERROR(IF(_xlfn.XLOOKUP(B177,Input!J:J,Input!N:U)=0,"",
          _xlfn.XLOOKUP(B177,Input!J:J,Input!N:U)),"")</f>
        <v/>
      </c>
      <c r="V177" s="13" t="str">
        <v/>
      </c>
      <c r="W177" s="13" t="str">
        <v/>
      </c>
      <c r="X177" s="13" t="str">
        <v/>
      </c>
      <c r="Y177" s="13" t="str">
        <v/>
      </c>
      <c r="Z177" s="13" t="str">
        <v/>
      </c>
      <c r="AA177" s="13" t="str">
        <v/>
      </c>
      <c r="AB177" s="13" t="str">
        <v/>
      </c>
      <c r="AC177" t="str">
        <f t="shared" si="8"/>
        <v/>
      </c>
      <c r="AD177" t="str">
        <f>_xlfn.XLOOKUP(B:B,Disk_Pivot!G:G,Disk_Pivot!I:I)</f>
        <v>Yes</v>
      </c>
      <c r="AE177" t="str">
        <f>_xlfn.XLOOKUP(B177,Disk_Pivot!G:G,Disk_Pivot!N:N)</f>
        <v>Fail</v>
      </c>
    </row>
    <row r="178" spans="6:31">
      <c r="F178" t="str">
        <f>_xlfn.XLOOKUP(H178,Models!B:B,Models!F:F,"")</f>
        <v/>
      </c>
      <c r="K178">
        <f>_xlfn.XLOOKUP(B178,CPU_Formula!A:A,CPU_Formula!I:I)</f>
        <v>0</v>
      </c>
      <c r="L178" s="13" t="e">
        <f>INDEX(Input!$D$2:$AC$500,
       MATCH(B178, Input!$J$2:$J$500, 0),
       MATCH("Memory Capacity", Input!$D$1:$AC$1, 0))</f>
        <v>#N/A</v>
      </c>
      <c r="M178" s="13" t="e">
        <f>INDEX(Input!$D$2:$AC$500,
       MATCH(B178, Input!$J$2:$J$500, 0),
       MATCH("Memory Type", Input!$D$1:$AC$1, 0))</f>
        <v>#N/A</v>
      </c>
      <c r="N178" s="13" t="e">
        <f t="shared" si="7"/>
        <v>#N/A</v>
      </c>
      <c r="S178" s="13" t="str">
        <f>_xlfn.LET(_xlpm.Result,_xlfn.XLOOKUP(B178,Input!J:J,Input!AA:AA),IF(_xlpm.Result="","",_xlpm.Result))</f>
        <v/>
      </c>
      <c r="T178" s="13" t="str" cm="1">
        <f t="array" ref="T178">IFERROR(_xlfn.IFS(
   --S178&lt;55,"Battery Defect",
  -- S178&lt;=69,"Battery D",
  --S178&lt;=80,"Battery C",
 --S178&gt;80,""
),"")</f>
        <v/>
      </c>
      <c r="U178" s="13" t="str" cm="1">
        <f t="array" ref="U178:AB178">IFERROR(IF(_xlfn.XLOOKUP(B178,Input!J:J,Input!N:U)=0,"",
          _xlfn.XLOOKUP(B178,Input!J:J,Input!N:U)),"")</f>
        <v/>
      </c>
      <c r="V178" s="13" t="str">
        <v/>
      </c>
      <c r="W178" s="13" t="str">
        <v/>
      </c>
      <c r="X178" s="13" t="str">
        <v/>
      </c>
      <c r="Y178" s="13" t="str">
        <v/>
      </c>
      <c r="Z178" s="13" t="str">
        <v/>
      </c>
      <c r="AA178" s="13" t="str">
        <v/>
      </c>
      <c r="AB178" s="13" t="str">
        <v/>
      </c>
      <c r="AC178" t="str">
        <f t="shared" si="8"/>
        <v/>
      </c>
      <c r="AD178" t="str">
        <f>_xlfn.XLOOKUP(B:B,Disk_Pivot!G:G,Disk_Pivot!I:I)</f>
        <v>Yes</v>
      </c>
      <c r="AE178" t="str">
        <f>_xlfn.XLOOKUP(B178,Disk_Pivot!G:G,Disk_Pivot!N:N)</f>
        <v>Fail</v>
      </c>
    </row>
    <row r="179" spans="6:31">
      <c r="F179">
        <f>_xlfn.XLOOKUP(H179,Models!B:B,Models!F:F,"")</f>
        <v>0</v>
      </c>
      <c r="K179">
        <f>_xlfn.XLOOKUP(B179,CPU_Formula!A:A,CPU_Formula!I:I)</f>
        <v>0</v>
      </c>
      <c r="L179" s="13" t="e">
        <f>INDEX(Input!$D$2:$AC$500,
       MATCH(B179, Input!$J$2:$J$500, 0),
       MATCH("Memory Capacity", Input!$D$1:$AC$1, 0))</f>
        <v>#N/A</v>
      </c>
      <c r="M179" s="13" t="e">
        <f>INDEX(Input!$D$2:$AC$500,
       MATCH(B179, Input!$J$2:$J$500, 0),
       MATCH("Memory Type", Input!$D$1:$AC$1, 0))</f>
        <v>#N/A</v>
      </c>
      <c r="N179" s="13" t="e">
        <f t="shared" si="7"/>
        <v>#N/A</v>
      </c>
      <c r="S179" s="13" t="str">
        <f>_xlfn.LET(_xlpm.Result,_xlfn.XLOOKUP(B179,Input!J:J,Input!AA:AA),IF(_xlpm.Result="","",_xlpm.Result))</f>
        <v/>
      </c>
      <c r="T179" s="13" t="str" cm="1">
        <f t="array" ref="T179">IFERROR(_xlfn.IFS(
   --S179&lt;55,"Battery Defect",
  -- S179&lt;=69,"Battery D",
  --S179&lt;=80,"Battery C",
 --S179&gt;80,""
),"")</f>
        <v/>
      </c>
      <c r="U179" s="13" t="str" cm="1">
        <f t="array" ref="U179:AB179">IFERROR(IF(_xlfn.XLOOKUP(B179,Input!J:J,Input!N:U)=0,"",
          _xlfn.XLOOKUP(B179,Input!J:J,Input!N:U)),"")</f>
        <v/>
      </c>
      <c r="V179" s="13" t="str">
        <v/>
      </c>
      <c r="W179" s="13" t="str">
        <v/>
      </c>
      <c r="X179" s="13" t="str">
        <v/>
      </c>
      <c r="Y179" s="13" t="str">
        <v/>
      </c>
      <c r="Z179" s="13" t="str">
        <v/>
      </c>
      <c r="AA179" s="13" t="str">
        <v/>
      </c>
      <c r="AB179" s="13" t="str">
        <v/>
      </c>
      <c r="AC179" t="str">
        <f t="shared" si="8"/>
        <v/>
      </c>
      <c r="AD179" t="str">
        <f>_xlfn.XLOOKUP(B:B,Disk_Pivot!G:G,Disk_Pivot!I:I)</f>
        <v>Yes</v>
      </c>
      <c r="AE179" t="str">
        <f>_xlfn.XLOOKUP(B179,Disk_Pivot!G:G,Disk_Pivot!N:N)</f>
        <v>Fail</v>
      </c>
    </row>
    <row r="180" spans="6:31">
      <c r="F180" t="str">
        <f>_xlfn.XLOOKUP(H180,Models!B:B,Models!F:F,"")</f>
        <v/>
      </c>
      <c r="K180">
        <f>_xlfn.XLOOKUP(B180,CPU_Formula!A:A,CPU_Formula!I:I)</f>
        <v>0</v>
      </c>
      <c r="L180" s="13" t="e">
        <f>INDEX(Input!$D$2:$AC$500,
       MATCH(B180, Input!$J$2:$J$500, 0),
       MATCH("Memory Capacity", Input!$D$1:$AC$1, 0))</f>
        <v>#N/A</v>
      </c>
      <c r="M180" s="13" t="e">
        <f>INDEX(Input!$D$2:$AC$500,
       MATCH(B180, Input!$J$2:$J$500, 0),
       MATCH("Memory Type", Input!$D$1:$AC$1, 0))</f>
        <v>#N/A</v>
      </c>
      <c r="N180" s="13" t="e">
        <f t="shared" si="7"/>
        <v>#N/A</v>
      </c>
      <c r="S180" s="13" t="str">
        <f>_xlfn.LET(_xlpm.Result,_xlfn.XLOOKUP(B180,Input!J:J,Input!AA:AA),IF(_xlpm.Result="","",_xlpm.Result))</f>
        <v/>
      </c>
      <c r="T180" s="13" t="str" cm="1">
        <f t="array" ref="T180">IFERROR(_xlfn.IFS(
   --S180&lt;55,"Battery Defect",
  -- S180&lt;=69,"Battery D",
  --S180&lt;=80,"Battery C",
 --S180&gt;80,""
),"")</f>
        <v/>
      </c>
      <c r="U180" s="13" t="str" cm="1">
        <f t="array" ref="U180:AB180">IFERROR(IF(_xlfn.XLOOKUP(B180,Input!J:J,Input!N:U)=0,"",
          _xlfn.XLOOKUP(B180,Input!J:J,Input!N:U)),"")</f>
        <v/>
      </c>
      <c r="V180" s="13" t="str">
        <v/>
      </c>
      <c r="W180" s="13" t="str">
        <v/>
      </c>
      <c r="X180" s="13" t="str">
        <v/>
      </c>
      <c r="Y180" s="13" t="str">
        <v/>
      </c>
      <c r="Z180" s="13" t="str">
        <v/>
      </c>
      <c r="AA180" s="13" t="str">
        <v/>
      </c>
      <c r="AB180" s="13" t="str">
        <v/>
      </c>
      <c r="AC180" t="str">
        <f t="shared" si="8"/>
        <v/>
      </c>
      <c r="AD180" t="str">
        <f>_xlfn.XLOOKUP(B:B,Disk_Pivot!G:G,Disk_Pivot!I:I)</f>
        <v>Yes</v>
      </c>
      <c r="AE180" t="str">
        <f>_xlfn.XLOOKUP(B180,Disk_Pivot!G:G,Disk_Pivot!N:N)</f>
        <v>Fail</v>
      </c>
    </row>
    <row r="181" spans="6:31">
      <c r="F181" t="str">
        <f>_xlfn.XLOOKUP(H181,Models!B:B,Models!F:F,"")</f>
        <v/>
      </c>
      <c r="K181">
        <f>_xlfn.XLOOKUP(B181,CPU_Formula!A:A,CPU_Formula!I:I)</f>
        <v>0</v>
      </c>
      <c r="L181" s="13" t="e">
        <f>INDEX(Input!$D$2:$AC$500,
       MATCH(B181, Input!$J$2:$J$500, 0),
       MATCH("Memory Capacity", Input!$D$1:$AC$1, 0))</f>
        <v>#N/A</v>
      </c>
      <c r="M181" s="13" t="e">
        <f>INDEX(Input!$D$2:$AC$500,
       MATCH(B181, Input!$J$2:$J$500, 0),
       MATCH("Memory Type", Input!$D$1:$AC$1, 0))</f>
        <v>#N/A</v>
      </c>
      <c r="N181" s="13" t="e">
        <f t="shared" si="7"/>
        <v>#N/A</v>
      </c>
      <c r="S181" s="13" t="str">
        <f>_xlfn.LET(_xlpm.Result,_xlfn.XLOOKUP(B181,Input!J:J,Input!AA:AA),IF(_xlpm.Result="","",_xlpm.Result))</f>
        <v/>
      </c>
      <c r="T181" s="13" t="str" cm="1">
        <f t="array" ref="T181">IFERROR(_xlfn.IFS(
   --S181&lt;55,"Battery Defect",
  -- S181&lt;=69,"Battery D",
  --S181&lt;=80,"Battery C",
 --S181&gt;80,""
),"")</f>
        <v/>
      </c>
      <c r="U181" s="13" t="str" cm="1">
        <f t="array" ref="U181:AB181">IFERROR(IF(_xlfn.XLOOKUP(B181,Input!J:J,Input!N:U)=0,"",
          _xlfn.XLOOKUP(B181,Input!J:J,Input!N:U)),"")</f>
        <v/>
      </c>
      <c r="V181" s="13" t="str">
        <v/>
      </c>
      <c r="W181" s="13" t="str">
        <v/>
      </c>
      <c r="X181" s="13" t="str">
        <v/>
      </c>
      <c r="Y181" s="13" t="str">
        <v/>
      </c>
      <c r="Z181" s="13" t="str">
        <v/>
      </c>
      <c r="AA181" s="13" t="str">
        <v/>
      </c>
      <c r="AB181" s="13" t="str">
        <v/>
      </c>
      <c r="AC181" t="str">
        <f t="shared" si="8"/>
        <v/>
      </c>
      <c r="AD181" t="str">
        <f>_xlfn.XLOOKUP(B:B,Disk_Pivot!G:G,Disk_Pivot!I:I)</f>
        <v>Yes</v>
      </c>
      <c r="AE181" t="str">
        <f>_xlfn.XLOOKUP(B181,Disk_Pivot!G:G,Disk_Pivot!N:N)</f>
        <v>Fail</v>
      </c>
    </row>
    <row r="182" spans="6:31">
      <c r="F182">
        <f>_xlfn.XLOOKUP(H182,Models!B:B,Models!F:F,"")</f>
        <v>0</v>
      </c>
      <c r="K182">
        <f>_xlfn.XLOOKUP(B182,CPU_Formula!A:A,CPU_Formula!I:I)</f>
        <v>0</v>
      </c>
      <c r="L182" s="13" t="e">
        <f>INDEX(Input!$D$2:$AC$500,
       MATCH(B182, Input!$J$2:$J$500, 0),
       MATCH("Memory Capacity", Input!$D$1:$AC$1, 0))</f>
        <v>#N/A</v>
      </c>
      <c r="M182" s="13" t="e">
        <f>INDEX(Input!$D$2:$AC$500,
       MATCH(B182, Input!$J$2:$J$500, 0),
       MATCH("Memory Type", Input!$D$1:$AC$1, 0))</f>
        <v>#N/A</v>
      </c>
      <c r="N182" s="13" t="e">
        <f t="shared" si="7"/>
        <v>#N/A</v>
      </c>
      <c r="S182" s="13" t="str">
        <f>_xlfn.LET(_xlpm.Result,_xlfn.XLOOKUP(B182,Input!J:J,Input!AA:AA),IF(_xlpm.Result="","",_xlpm.Result))</f>
        <v/>
      </c>
      <c r="T182" s="13" t="str" cm="1">
        <f t="array" ref="T182">IFERROR(_xlfn.IFS(
   --S182&lt;55,"Battery Defect",
  -- S182&lt;=69,"Battery D",
  --S182&lt;=80,"Battery C",
 --S182&gt;80,""
),"")</f>
        <v/>
      </c>
      <c r="U182" s="13" t="str" cm="1">
        <f t="array" ref="U182:AB182">IFERROR(IF(_xlfn.XLOOKUP(B182,Input!J:J,Input!N:U)=0,"",
          _xlfn.XLOOKUP(B182,Input!J:J,Input!N:U)),"")</f>
        <v/>
      </c>
      <c r="V182" s="13" t="str">
        <v/>
      </c>
      <c r="W182" s="13" t="str">
        <v/>
      </c>
      <c r="X182" s="13" t="str">
        <v/>
      </c>
      <c r="Y182" s="13" t="str">
        <v/>
      </c>
      <c r="Z182" s="13" t="str">
        <v/>
      </c>
      <c r="AA182" s="13" t="str">
        <v/>
      </c>
      <c r="AB182" s="13" t="str">
        <v/>
      </c>
      <c r="AC182" t="str">
        <f t="shared" si="8"/>
        <v/>
      </c>
      <c r="AD182" t="str">
        <f>_xlfn.XLOOKUP(B:B,Disk_Pivot!G:G,Disk_Pivot!I:I)</f>
        <v>Yes</v>
      </c>
      <c r="AE182" t="str">
        <f>_xlfn.XLOOKUP(B182,Disk_Pivot!G:G,Disk_Pivot!N:N)</f>
        <v>Fail</v>
      </c>
    </row>
    <row r="183" spans="6:31">
      <c r="F183" t="str">
        <f>_xlfn.XLOOKUP(H183,Models!B:B,Models!F:F,"")</f>
        <v/>
      </c>
      <c r="K183">
        <f>_xlfn.XLOOKUP(B183,CPU_Formula!A:A,CPU_Formula!I:I)</f>
        <v>0</v>
      </c>
      <c r="L183" s="13" t="e">
        <f>INDEX(Input!$D$2:$AC$500,
       MATCH(B183, Input!$J$2:$J$500, 0),
       MATCH("Memory Capacity", Input!$D$1:$AC$1, 0))</f>
        <v>#N/A</v>
      </c>
      <c r="M183" s="13" t="e">
        <f>INDEX(Input!$D$2:$AC$500,
       MATCH(B183, Input!$J$2:$J$500, 0),
       MATCH("Memory Type", Input!$D$1:$AC$1, 0))</f>
        <v>#N/A</v>
      </c>
      <c r="N183" s="13" t="e">
        <f t="shared" si="7"/>
        <v>#N/A</v>
      </c>
      <c r="S183" s="13" t="str">
        <f>_xlfn.LET(_xlpm.Result,_xlfn.XLOOKUP(B183,Input!J:J,Input!AA:AA),IF(_xlpm.Result="","",_xlpm.Result))</f>
        <v/>
      </c>
      <c r="T183" s="13" t="str" cm="1">
        <f t="array" ref="T183">IFERROR(_xlfn.IFS(
   --S183&lt;55,"Battery Defect",
  -- S183&lt;=69,"Battery D",
  --S183&lt;=80,"Battery C",
 --S183&gt;80,""
),"")</f>
        <v/>
      </c>
      <c r="U183" s="13" t="str" cm="1">
        <f t="array" ref="U183:AB183">IFERROR(IF(_xlfn.XLOOKUP(B183,Input!J:J,Input!N:U)=0,"",
          _xlfn.XLOOKUP(B183,Input!J:J,Input!N:U)),"")</f>
        <v/>
      </c>
      <c r="V183" s="13" t="str">
        <v/>
      </c>
      <c r="W183" s="13" t="str">
        <v/>
      </c>
      <c r="X183" s="13" t="str">
        <v/>
      </c>
      <c r="Y183" s="13" t="str">
        <v/>
      </c>
      <c r="Z183" s="13" t="str">
        <v/>
      </c>
      <c r="AA183" s="13" t="str">
        <v/>
      </c>
      <c r="AB183" s="13" t="str">
        <v/>
      </c>
      <c r="AC183" t="str">
        <f t="shared" si="8"/>
        <v/>
      </c>
      <c r="AD183" t="str">
        <f>_xlfn.XLOOKUP(B:B,Disk_Pivot!G:G,Disk_Pivot!I:I)</f>
        <v>Yes</v>
      </c>
      <c r="AE183" t="str">
        <f>_xlfn.XLOOKUP(B183,Disk_Pivot!G:G,Disk_Pivot!N:N)</f>
        <v>Fail</v>
      </c>
    </row>
    <row r="184" spans="6:31">
      <c r="F184" t="str">
        <f>_xlfn.XLOOKUP(H184,Models!B:B,Models!F:F,"")</f>
        <v/>
      </c>
      <c r="K184">
        <f>_xlfn.XLOOKUP(B184,CPU_Formula!A:A,CPU_Formula!I:I)</f>
        <v>0</v>
      </c>
      <c r="L184" s="13" t="e">
        <f>INDEX(Input!$D$2:$AC$500,
       MATCH(B184, Input!$J$2:$J$500, 0),
       MATCH("Memory Capacity", Input!$D$1:$AC$1, 0))</f>
        <v>#N/A</v>
      </c>
      <c r="M184" s="13" t="e">
        <f>INDEX(Input!$D$2:$AC$500,
       MATCH(B184, Input!$J$2:$J$500, 0),
       MATCH("Memory Type", Input!$D$1:$AC$1, 0))</f>
        <v>#N/A</v>
      </c>
      <c r="N184" s="13" t="e">
        <f t="shared" si="7"/>
        <v>#N/A</v>
      </c>
      <c r="S184" s="13" t="str">
        <f>_xlfn.LET(_xlpm.Result,_xlfn.XLOOKUP(B184,Input!J:J,Input!AA:AA),IF(_xlpm.Result="","",_xlpm.Result))</f>
        <v/>
      </c>
      <c r="T184" s="13" t="str" cm="1">
        <f t="array" ref="T184">IFERROR(_xlfn.IFS(
   --S184&lt;55,"Battery Defect",
  -- S184&lt;=69,"Battery D",
  --S184&lt;=80,"Battery C",
 --S184&gt;80,""
),"")</f>
        <v/>
      </c>
      <c r="U184" s="13" t="str" cm="1">
        <f t="array" ref="U184:AB184">IFERROR(IF(_xlfn.XLOOKUP(B184,Input!J:J,Input!N:U)=0,"",
          _xlfn.XLOOKUP(B184,Input!J:J,Input!N:U)),"")</f>
        <v/>
      </c>
      <c r="V184" s="13" t="str">
        <v/>
      </c>
      <c r="W184" s="13" t="str">
        <v/>
      </c>
      <c r="X184" s="13" t="str">
        <v/>
      </c>
      <c r="Y184" s="13" t="str">
        <v/>
      </c>
      <c r="Z184" s="13" t="str">
        <v/>
      </c>
      <c r="AA184" s="13" t="str">
        <v/>
      </c>
      <c r="AB184" s="13" t="str">
        <v/>
      </c>
      <c r="AC184" t="str">
        <f t="shared" si="8"/>
        <v/>
      </c>
      <c r="AD184" t="str">
        <f>_xlfn.XLOOKUP(B:B,Disk_Pivot!G:G,Disk_Pivot!I:I)</f>
        <v>Yes</v>
      </c>
      <c r="AE184" t="str">
        <f>_xlfn.XLOOKUP(B184,Disk_Pivot!G:G,Disk_Pivot!N:N)</f>
        <v>Fail</v>
      </c>
    </row>
    <row r="185" spans="6:31">
      <c r="F185">
        <f>_xlfn.XLOOKUP(H185,Models!B:B,Models!F:F,"")</f>
        <v>0</v>
      </c>
      <c r="K185">
        <f>_xlfn.XLOOKUP(B185,CPU_Formula!A:A,CPU_Formula!I:I)</f>
        <v>0</v>
      </c>
      <c r="L185" s="13" t="e">
        <f>INDEX(Input!$D$2:$AC$500,
       MATCH(B185, Input!$J$2:$J$500, 0),
       MATCH("Memory Capacity", Input!$D$1:$AC$1, 0))</f>
        <v>#N/A</v>
      </c>
      <c r="M185" s="13" t="e">
        <f>INDEX(Input!$D$2:$AC$500,
       MATCH(B185, Input!$J$2:$J$500, 0),
       MATCH("Memory Type", Input!$D$1:$AC$1, 0))</f>
        <v>#N/A</v>
      </c>
      <c r="N185" s="13" t="e">
        <f t="shared" si="7"/>
        <v>#N/A</v>
      </c>
      <c r="S185" s="13" t="str">
        <f>_xlfn.LET(_xlpm.Result,_xlfn.XLOOKUP(B185,Input!J:J,Input!AA:AA),IF(_xlpm.Result="","",_xlpm.Result))</f>
        <v/>
      </c>
      <c r="T185" s="13" t="str" cm="1">
        <f t="array" ref="T185">IFERROR(_xlfn.IFS(
   --S185&lt;55,"Battery Defect",
  -- S185&lt;=69,"Battery D",
  --S185&lt;=80,"Battery C",
 --S185&gt;80,""
),"")</f>
        <v/>
      </c>
      <c r="U185" s="13" t="str" cm="1">
        <f t="array" ref="U185:AB185">IFERROR(IF(_xlfn.XLOOKUP(B185,Input!J:J,Input!N:U)=0,"",
          _xlfn.XLOOKUP(B185,Input!J:J,Input!N:U)),"")</f>
        <v/>
      </c>
      <c r="V185" s="13" t="str">
        <v/>
      </c>
      <c r="W185" s="13" t="str">
        <v/>
      </c>
      <c r="X185" s="13" t="str">
        <v/>
      </c>
      <c r="Y185" s="13" t="str">
        <v/>
      </c>
      <c r="Z185" s="13" t="str">
        <v/>
      </c>
      <c r="AA185" s="13" t="str">
        <v/>
      </c>
      <c r="AB185" s="13" t="str">
        <v/>
      </c>
      <c r="AC185" t="str">
        <f t="shared" si="8"/>
        <v/>
      </c>
      <c r="AD185" t="str">
        <f>_xlfn.XLOOKUP(B:B,Disk_Pivot!G:G,Disk_Pivot!I:I)</f>
        <v>Yes</v>
      </c>
      <c r="AE185" t="str">
        <f>_xlfn.XLOOKUP(B185,Disk_Pivot!G:G,Disk_Pivot!N:N)</f>
        <v>Fail</v>
      </c>
    </row>
    <row r="186" spans="6:31">
      <c r="F186" t="str">
        <f>_xlfn.XLOOKUP(H186,Models!B:B,Models!F:F,"")</f>
        <v/>
      </c>
      <c r="K186">
        <f>_xlfn.XLOOKUP(B186,CPU_Formula!A:A,CPU_Formula!I:I)</f>
        <v>0</v>
      </c>
      <c r="L186" s="13" t="e">
        <f>INDEX(Input!$D$2:$AC$500,
       MATCH(B186, Input!$J$2:$J$500, 0),
       MATCH("Memory Capacity", Input!$D$1:$AC$1, 0))</f>
        <v>#N/A</v>
      </c>
      <c r="M186" s="13" t="e">
        <f>INDEX(Input!$D$2:$AC$500,
       MATCH(B186, Input!$J$2:$J$500, 0),
       MATCH("Memory Type", Input!$D$1:$AC$1, 0))</f>
        <v>#N/A</v>
      </c>
      <c r="N186" s="13" t="e">
        <f t="shared" si="7"/>
        <v>#N/A</v>
      </c>
      <c r="S186" s="13" t="str">
        <f>_xlfn.LET(_xlpm.Result,_xlfn.XLOOKUP(B186,Input!J:J,Input!AA:AA),IF(_xlpm.Result="","",_xlpm.Result))</f>
        <v/>
      </c>
      <c r="T186" s="13" t="str" cm="1">
        <f t="array" ref="T186">IFERROR(_xlfn.IFS(
   --S186&lt;55,"Battery Defect",
  -- S186&lt;=69,"Battery D",
  --S186&lt;=80,"Battery C",
 --S186&gt;80,""
),"")</f>
        <v/>
      </c>
      <c r="U186" s="13" t="str" cm="1">
        <f t="array" ref="U186:AB186">IFERROR(IF(_xlfn.XLOOKUP(B186,Input!J:J,Input!N:U)=0,"",
          _xlfn.XLOOKUP(B186,Input!J:J,Input!N:U)),"")</f>
        <v/>
      </c>
      <c r="V186" s="13" t="str">
        <v/>
      </c>
      <c r="W186" s="13" t="str">
        <v/>
      </c>
      <c r="X186" s="13" t="str">
        <v/>
      </c>
      <c r="Y186" s="13" t="str">
        <v/>
      </c>
      <c r="Z186" s="13" t="str">
        <v/>
      </c>
      <c r="AA186" s="13" t="str">
        <v/>
      </c>
      <c r="AB186" s="13" t="str">
        <v/>
      </c>
      <c r="AC186" t="str">
        <f t="shared" si="8"/>
        <v/>
      </c>
      <c r="AD186" t="str">
        <f>_xlfn.XLOOKUP(B:B,Disk_Pivot!G:G,Disk_Pivot!I:I)</f>
        <v>Yes</v>
      </c>
      <c r="AE186" t="str">
        <f>_xlfn.XLOOKUP(B186,Disk_Pivot!G:G,Disk_Pivot!N:N)</f>
        <v>Fail</v>
      </c>
    </row>
    <row r="187" spans="6:31">
      <c r="F187" t="str">
        <f>_xlfn.XLOOKUP(H187,Models!B:B,Models!F:F,"")</f>
        <v/>
      </c>
      <c r="K187">
        <f>_xlfn.XLOOKUP(B187,CPU_Formula!A:A,CPU_Formula!I:I)</f>
        <v>0</v>
      </c>
      <c r="L187" s="13" t="e">
        <f>INDEX(Input!$D$2:$AC$500,
       MATCH(B187, Input!$J$2:$J$500, 0),
       MATCH("Memory Capacity", Input!$D$1:$AC$1, 0))</f>
        <v>#N/A</v>
      </c>
      <c r="M187" s="13" t="e">
        <f>INDEX(Input!$D$2:$AC$500,
       MATCH(B187, Input!$J$2:$J$500, 0),
       MATCH("Memory Type", Input!$D$1:$AC$1, 0))</f>
        <v>#N/A</v>
      </c>
      <c r="N187" s="13" t="e">
        <f t="shared" si="7"/>
        <v>#N/A</v>
      </c>
      <c r="S187" s="13" t="str">
        <f>_xlfn.LET(_xlpm.Result,_xlfn.XLOOKUP(B187,Input!J:J,Input!AA:AA),IF(_xlpm.Result="","",_xlpm.Result))</f>
        <v/>
      </c>
      <c r="T187" s="13" t="str" cm="1">
        <f t="array" ref="T187">IFERROR(_xlfn.IFS(
   --S187&lt;55,"Battery Defect",
  -- S187&lt;=69,"Battery D",
  --S187&lt;=80,"Battery C",
 --S187&gt;80,""
),"")</f>
        <v/>
      </c>
      <c r="U187" s="13" t="str" cm="1">
        <f t="array" ref="U187:AB187">IFERROR(IF(_xlfn.XLOOKUP(B187,Input!J:J,Input!N:U)=0,"",
          _xlfn.XLOOKUP(B187,Input!J:J,Input!N:U)),"")</f>
        <v/>
      </c>
      <c r="V187" s="13" t="str">
        <v/>
      </c>
      <c r="W187" s="13" t="str">
        <v/>
      </c>
      <c r="X187" s="13" t="str">
        <v/>
      </c>
      <c r="Y187" s="13" t="str">
        <v/>
      </c>
      <c r="Z187" s="13" t="str">
        <v/>
      </c>
      <c r="AA187" s="13" t="str">
        <v/>
      </c>
      <c r="AB187" s="13" t="str">
        <v/>
      </c>
      <c r="AC187" t="str">
        <f t="shared" si="8"/>
        <v/>
      </c>
      <c r="AD187" t="str">
        <f>_xlfn.XLOOKUP(B:B,Disk_Pivot!G:G,Disk_Pivot!I:I)</f>
        <v>Yes</v>
      </c>
      <c r="AE187" t="str">
        <f>_xlfn.XLOOKUP(B187,Disk_Pivot!G:G,Disk_Pivot!N:N)</f>
        <v>Fail</v>
      </c>
    </row>
    <row r="188" spans="6:31">
      <c r="F188">
        <f>_xlfn.XLOOKUP(H188,Models!B:B,Models!F:F,"")</f>
        <v>0</v>
      </c>
      <c r="K188">
        <f>_xlfn.XLOOKUP(B188,CPU_Formula!A:A,CPU_Formula!I:I)</f>
        <v>0</v>
      </c>
      <c r="L188" s="13" t="e">
        <f>INDEX(Input!$D$2:$AC$500,
       MATCH(B188, Input!$J$2:$J$500, 0),
       MATCH("Memory Capacity", Input!$D$1:$AC$1, 0))</f>
        <v>#N/A</v>
      </c>
      <c r="M188" s="13" t="e">
        <f>INDEX(Input!$D$2:$AC$500,
       MATCH(B188, Input!$J$2:$J$500, 0),
       MATCH("Memory Type", Input!$D$1:$AC$1, 0))</f>
        <v>#N/A</v>
      </c>
      <c r="N188" s="13" t="e">
        <f t="shared" si="7"/>
        <v>#N/A</v>
      </c>
      <c r="S188" s="13" t="str">
        <f>_xlfn.LET(_xlpm.Result,_xlfn.XLOOKUP(B188,Input!J:J,Input!AA:AA),IF(_xlpm.Result="","",_xlpm.Result))</f>
        <v/>
      </c>
      <c r="T188" s="13" t="str" cm="1">
        <f t="array" ref="T188">IFERROR(_xlfn.IFS(
   --S188&lt;55,"Battery Defect",
  -- S188&lt;=69,"Battery D",
  --S188&lt;=80,"Battery C",
 --S188&gt;80,""
),"")</f>
        <v/>
      </c>
      <c r="U188" s="13" t="str" cm="1">
        <f t="array" ref="U188:AB188">IFERROR(IF(_xlfn.XLOOKUP(B188,Input!J:J,Input!N:U)=0,"",
          _xlfn.XLOOKUP(B188,Input!J:J,Input!N:U)),"")</f>
        <v/>
      </c>
      <c r="V188" s="13" t="str">
        <v/>
      </c>
      <c r="W188" s="13" t="str">
        <v/>
      </c>
      <c r="X188" s="13" t="str">
        <v/>
      </c>
      <c r="Y188" s="13" t="str">
        <v/>
      </c>
      <c r="Z188" s="13" t="str">
        <v/>
      </c>
      <c r="AA188" s="13" t="str">
        <v/>
      </c>
      <c r="AB188" s="13" t="str">
        <v/>
      </c>
      <c r="AC188" t="str">
        <f t="shared" si="8"/>
        <v/>
      </c>
      <c r="AD188" t="str">
        <f>_xlfn.XLOOKUP(B:B,Disk_Pivot!G:G,Disk_Pivot!I:I)</f>
        <v>Yes</v>
      </c>
      <c r="AE188" t="str">
        <f>_xlfn.XLOOKUP(B188,Disk_Pivot!G:G,Disk_Pivot!N:N)</f>
        <v>Fail</v>
      </c>
    </row>
    <row r="189" spans="6:31">
      <c r="F189" t="str">
        <f>_xlfn.XLOOKUP(H189,Models!B:B,Models!F:F,"")</f>
        <v/>
      </c>
      <c r="K189">
        <f>_xlfn.XLOOKUP(B189,CPU_Formula!A:A,CPU_Formula!I:I)</f>
        <v>0</v>
      </c>
      <c r="L189" s="13" t="e">
        <f>INDEX(Input!$D$2:$AC$500,
       MATCH(B189, Input!$J$2:$J$500, 0),
       MATCH("Memory Capacity", Input!$D$1:$AC$1, 0))</f>
        <v>#N/A</v>
      </c>
      <c r="M189" s="13" t="e">
        <f>INDEX(Input!$D$2:$AC$500,
       MATCH(B189, Input!$J$2:$J$500, 0),
       MATCH("Memory Type", Input!$D$1:$AC$1, 0))</f>
        <v>#N/A</v>
      </c>
      <c r="N189" s="13" t="e">
        <f t="shared" si="7"/>
        <v>#N/A</v>
      </c>
      <c r="S189" s="13" t="str">
        <f>_xlfn.LET(_xlpm.Result,_xlfn.XLOOKUP(B189,Input!J:J,Input!AA:AA),IF(_xlpm.Result="","",_xlpm.Result))</f>
        <v/>
      </c>
      <c r="T189" s="13" t="str" cm="1">
        <f t="array" ref="T189">IFERROR(_xlfn.IFS(
   --S189&lt;55,"Battery Defect",
  -- S189&lt;=69,"Battery D",
  --S189&lt;=80,"Battery C",
 --S189&gt;80,""
),"")</f>
        <v/>
      </c>
      <c r="U189" s="13" t="str" cm="1">
        <f t="array" ref="U189:AB189">IFERROR(IF(_xlfn.XLOOKUP(B189,Input!J:J,Input!N:U)=0,"",
          _xlfn.XLOOKUP(B189,Input!J:J,Input!N:U)),"")</f>
        <v/>
      </c>
      <c r="V189" s="13" t="str">
        <v/>
      </c>
      <c r="W189" s="13" t="str">
        <v/>
      </c>
      <c r="X189" s="13" t="str">
        <v/>
      </c>
      <c r="Y189" s="13" t="str">
        <v/>
      </c>
      <c r="Z189" s="13" t="str">
        <v/>
      </c>
      <c r="AA189" s="13" t="str">
        <v/>
      </c>
      <c r="AB189" s="13" t="str">
        <v/>
      </c>
      <c r="AC189" t="str">
        <f t="shared" si="8"/>
        <v/>
      </c>
      <c r="AD189" t="str">
        <f>_xlfn.XLOOKUP(B:B,Disk_Pivot!G:G,Disk_Pivot!I:I)</f>
        <v>Yes</v>
      </c>
      <c r="AE189" t="str">
        <f>_xlfn.XLOOKUP(B189,Disk_Pivot!G:G,Disk_Pivot!N:N)</f>
        <v>Fail</v>
      </c>
    </row>
    <row r="190" spans="6:31">
      <c r="F190" t="str">
        <f>_xlfn.XLOOKUP(H190,Models!B:B,Models!F:F,"")</f>
        <v/>
      </c>
      <c r="K190">
        <f>_xlfn.XLOOKUP(B190,CPU_Formula!A:A,CPU_Formula!I:I)</f>
        <v>0</v>
      </c>
      <c r="L190" s="13" t="e">
        <f>INDEX(Input!$D$2:$AC$500,
       MATCH(B190, Input!$J$2:$J$500, 0),
       MATCH("Memory Capacity", Input!$D$1:$AC$1, 0))</f>
        <v>#N/A</v>
      </c>
      <c r="M190" s="13" t="e">
        <f>INDEX(Input!$D$2:$AC$500,
       MATCH(B190, Input!$J$2:$J$500, 0),
       MATCH("Memory Type", Input!$D$1:$AC$1, 0))</f>
        <v>#N/A</v>
      </c>
      <c r="N190" s="13" t="e">
        <f t="shared" si="7"/>
        <v>#N/A</v>
      </c>
      <c r="S190" s="13" t="str">
        <f>_xlfn.LET(_xlpm.Result,_xlfn.XLOOKUP(B190,Input!J:J,Input!AA:AA),IF(_xlpm.Result="","",_xlpm.Result))</f>
        <v/>
      </c>
      <c r="T190" s="13" t="str" cm="1">
        <f t="array" ref="T190">IFERROR(_xlfn.IFS(
   --S190&lt;55,"Battery Defect",
  -- S190&lt;=69,"Battery D",
  --S190&lt;=80,"Battery C",
 --S190&gt;80,""
),"")</f>
        <v/>
      </c>
      <c r="U190" s="13" t="str" cm="1">
        <f t="array" ref="U190:AB190">IFERROR(IF(_xlfn.XLOOKUP(B190,Input!J:J,Input!N:U)=0,"",
          _xlfn.XLOOKUP(B190,Input!J:J,Input!N:U)),"")</f>
        <v/>
      </c>
      <c r="V190" s="13" t="str">
        <v/>
      </c>
      <c r="W190" s="13" t="str">
        <v/>
      </c>
      <c r="X190" s="13" t="str">
        <v/>
      </c>
      <c r="Y190" s="13" t="str">
        <v/>
      </c>
      <c r="Z190" s="13" t="str">
        <v/>
      </c>
      <c r="AA190" s="13" t="str">
        <v/>
      </c>
      <c r="AB190" s="13" t="str">
        <v/>
      </c>
      <c r="AC190" t="str">
        <f t="shared" si="8"/>
        <v/>
      </c>
      <c r="AD190" t="str">
        <f>_xlfn.XLOOKUP(B:B,Disk_Pivot!G:G,Disk_Pivot!I:I)</f>
        <v>Yes</v>
      </c>
      <c r="AE190" t="str">
        <f>_xlfn.XLOOKUP(B190,Disk_Pivot!G:G,Disk_Pivot!N:N)</f>
        <v>Fail</v>
      </c>
    </row>
    <row r="191" spans="6:31">
      <c r="F191">
        <f>_xlfn.XLOOKUP(H191,Models!B:B,Models!F:F,"")</f>
        <v>0</v>
      </c>
      <c r="K191">
        <f>_xlfn.XLOOKUP(B191,CPU_Formula!A:A,CPU_Formula!I:I)</f>
        <v>0</v>
      </c>
      <c r="L191" s="13" t="e">
        <f>INDEX(Input!$D$2:$AC$500,
       MATCH(B191, Input!$J$2:$J$500, 0),
       MATCH("Memory Capacity", Input!$D$1:$AC$1, 0))</f>
        <v>#N/A</v>
      </c>
      <c r="M191" s="13" t="e">
        <f>INDEX(Input!$D$2:$AC$500,
       MATCH(B191, Input!$J$2:$J$500, 0),
       MATCH("Memory Type", Input!$D$1:$AC$1, 0))</f>
        <v>#N/A</v>
      </c>
      <c r="N191" s="13" t="e">
        <f t="shared" si="7"/>
        <v>#N/A</v>
      </c>
      <c r="S191" s="13" t="str">
        <f>_xlfn.LET(_xlpm.Result,_xlfn.XLOOKUP(B191,Input!J:J,Input!AA:AA),IF(_xlpm.Result="","",_xlpm.Result))</f>
        <v/>
      </c>
      <c r="T191" s="13" t="str" cm="1">
        <f t="array" ref="T191">IFERROR(_xlfn.IFS(
   --S191&lt;55,"Battery Defect",
  -- S191&lt;=69,"Battery D",
  --S191&lt;=80,"Battery C",
 --S191&gt;80,""
),"")</f>
        <v/>
      </c>
      <c r="U191" s="13" t="str" cm="1">
        <f t="array" ref="U191:AB191">IFERROR(IF(_xlfn.XLOOKUP(B191,Input!J:J,Input!N:U)=0,"",
          _xlfn.XLOOKUP(B191,Input!J:J,Input!N:U)),"")</f>
        <v/>
      </c>
      <c r="V191" s="13" t="str">
        <v/>
      </c>
      <c r="W191" s="13" t="str">
        <v/>
      </c>
      <c r="X191" s="13" t="str">
        <v/>
      </c>
      <c r="Y191" s="13" t="str">
        <v/>
      </c>
      <c r="Z191" s="13" t="str">
        <v/>
      </c>
      <c r="AA191" s="13" t="str">
        <v/>
      </c>
      <c r="AB191" s="13" t="str">
        <v/>
      </c>
      <c r="AC191" t="str">
        <f t="shared" si="8"/>
        <v/>
      </c>
      <c r="AD191" t="str">
        <f>_xlfn.XLOOKUP(B:B,Disk_Pivot!G:G,Disk_Pivot!I:I)</f>
        <v>Yes</v>
      </c>
      <c r="AE191" t="str">
        <f>_xlfn.XLOOKUP(B191,Disk_Pivot!G:G,Disk_Pivot!N:N)</f>
        <v>Fail</v>
      </c>
    </row>
    <row r="192" spans="6:31">
      <c r="F192" t="str">
        <f>_xlfn.XLOOKUP(H192,Models!B:B,Models!F:F,"")</f>
        <v/>
      </c>
      <c r="K192">
        <f>_xlfn.XLOOKUP(B192,CPU_Formula!A:A,CPU_Formula!I:I)</f>
        <v>0</v>
      </c>
      <c r="L192" s="13" t="e">
        <f>INDEX(Input!$D$2:$AC$500,
       MATCH(B192, Input!$J$2:$J$500, 0),
       MATCH("Memory Capacity", Input!$D$1:$AC$1, 0))</f>
        <v>#N/A</v>
      </c>
      <c r="M192" s="13" t="e">
        <f>INDEX(Input!$D$2:$AC$500,
       MATCH(B192, Input!$J$2:$J$500, 0),
       MATCH("Memory Type", Input!$D$1:$AC$1, 0))</f>
        <v>#N/A</v>
      </c>
      <c r="N192" s="13" t="e">
        <f t="shared" si="7"/>
        <v>#N/A</v>
      </c>
      <c r="S192" s="13" t="str">
        <f>_xlfn.LET(_xlpm.Result,_xlfn.XLOOKUP(B192,Input!J:J,Input!AA:AA),IF(_xlpm.Result="","",_xlpm.Result))</f>
        <v/>
      </c>
      <c r="T192" s="13" t="str" cm="1">
        <f t="array" ref="T192">IFERROR(_xlfn.IFS(
   --S192&lt;55,"Battery Defect",
  -- S192&lt;=69,"Battery D",
  --S192&lt;=80,"Battery C",
 --S192&gt;80,""
),"")</f>
        <v/>
      </c>
      <c r="U192" s="13" t="str" cm="1">
        <f t="array" ref="U192:AB192">IFERROR(IF(_xlfn.XLOOKUP(B192,Input!J:J,Input!N:U)=0,"",
          _xlfn.XLOOKUP(B192,Input!J:J,Input!N:U)),"")</f>
        <v/>
      </c>
      <c r="V192" s="13" t="str">
        <v/>
      </c>
      <c r="W192" s="13" t="str">
        <v/>
      </c>
      <c r="X192" s="13" t="str">
        <v/>
      </c>
      <c r="Y192" s="13" t="str">
        <v/>
      </c>
      <c r="Z192" s="13" t="str">
        <v/>
      </c>
      <c r="AA192" s="13" t="str">
        <v/>
      </c>
      <c r="AB192" s="13" t="str">
        <v/>
      </c>
      <c r="AC192" t="str">
        <f t="shared" si="8"/>
        <v/>
      </c>
      <c r="AD192" t="str">
        <f>_xlfn.XLOOKUP(B:B,Disk_Pivot!G:G,Disk_Pivot!I:I)</f>
        <v>Yes</v>
      </c>
      <c r="AE192" t="str">
        <f>_xlfn.XLOOKUP(B192,Disk_Pivot!G:G,Disk_Pivot!N:N)</f>
        <v>Fail</v>
      </c>
    </row>
    <row r="193" spans="6:31">
      <c r="F193" t="str">
        <f>_xlfn.XLOOKUP(H193,Models!B:B,Models!F:F,"")</f>
        <v/>
      </c>
      <c r="K193">
        <f>_xlfn.XLOOKUP(B193,CPU_Formula!A:A,CPU_Formula!I:I)</f>
        <v>0</v>
      </c>
      <c r="L193" s="13" t="e">
        <f>INDEX(Input!$D$2:$AC$500,
       MATCH(B193, Input!$J$2:$J$500, 0),
       MATCH("Memory Capacity", Input!$D$1:$AC$1, 0))</f>
        <v>#N/A</v>
      </c>
      <c r="M193" s="13" t="e">
        <f>INDEX(Input!$D$2:$AC$500,
       MATCH(B193, Input!$J$2:$J$500, 0),
       MATCH("Memory Type", Input!$D$1:$AC$1, 0))</f>
        <v>#N/A</v>
      </c>
      <c r="N193" s="13" t="e">
        <f t="shared" si="7"/>
        <v>#N/A</v>
      </c>
      <c r="S193" s="13" t="str">
        <f>_xlfn.LET(_xlpm.Result,_xlfn.XLOOKUP(B193,Input!J:J,Input!AA:AA),IF(_xlpm.Result="","",_xlpm.Result))</f>
        <v/>
      </c>
      <c r="T193" s="13" t="str" cm="1">
        <f t="array" ref="T193">IFERROR(_xlfn.IFS(
   --S193&lt;55,"Battery Defect",
  -- S193&lt;=69,"Battery D",
  --S193&lt;=80,"Battery C",
 --S193&gt;80,""
),"")</f>
        <v/>
      </c>
      <c r="U193" s="13" t="str" cm="1">
        <f t="array" ref="U193:AB193">IFERROR(IF(_xlfn.XLOOKUP(B193,Input!J:J,Input!N:U)=0,"",
          _xlfn.XLOOKUP(B193,Input!J:J,Input!N:U)),"")</f>
        <v/>
      </c>
      <c r="V193" s="13" t="str">
        <v/>
      </c>
      <c r="W193" s="13" t="str">
        <v/>
      </c>
      <c r="X193" s="13" t="str">
        <v/>
      </c>
      <c r="Y193" s="13" t="str">
        <v/>
      </c>
      <c r="Z193" s="13" t="str">
        <v/>
      </c>
      <c r="AA193" s="13" t="str">
        <v/>
      </c>
      <c r="AB193" s="13" t="str">
        <v/>
      </c>
      <c r="AC193" t="str">
        <f t="shared" si="8"/>
        <v/>
      </c>
      <c r="AD193" t="str">
        <f>_xlfn.XLOOKUP(B:B,Disk_Pivot!G:G,Disk_Pivot!I:I)</f>
        <v>Yes</v>
      </c>
      <c r="AE193" t="str">
        <f>_xlfn.XLOOKUP(B193,Disk_Pivot!G:G,Disk_Pivot!N:N)</f>
        <v>Fail</v>
      </c>
    </row>
    <row r="194" spans="6:31">
      <c r="F194">
        <f>_xlfn.XLOOKUP(H194,Models!B:B,Models!F:F,"")</f>
        <v>0</v>
      </c>
      <c r="K194">
        <f>_xlfn.XLOOKUP(B194,CPU_Formula!A:A,CPU_Formula!I:I)</f>
        <v>0</v>
      </c>
      <c r="L194" s="13" t="e">
        <f>INDEX(Input!$D$2:$AC$500,
       MATCH(B194, Input!$J$2:$J$500, 0),
       MATCH("Memory Capacity", Input!$D$1:$AC$1, 0))</f>
        <v>#N/A</v>
      </c>
      <c r="M194" s="13" t="e">
        <f>INDEX(Input!$D$2:$AC$500,
       MATCH(B194, Input!$J$2:$J$500, 0),
       MATCH("Memory Type", Input!$D$1:$AC$1, 0))</f>
        <v>#N/A</v>
      </c>
      <c r="N194" s="13" t="e">
        <f t="shared" si="7"/>
        <v>#N/A</v>
      </c>
      <c r="S194" s="13" t="str">
        <f>_xlfn.LET(_xlpm.Result,_xlfn.XLOOKUP(B194,Input!J:J,Input!AA:AA),IF(_xlpm.Result="","",_xlpm.Result))</f>
        <v/>
      </c>
      <c r="T194" s="13" t="str" cm="1">
        <f t="array" ref="T194">IFERROR(_xlfn.IFS(
   --S194&lt;55,"Battery Defect",
  -- S194&lt;=69,"Battery D",
  --S194&lt;=80,"Battery C",
 --S194&gt;80,""
),"")</f>
        <v/>
      </c>
      <c r="U194" s="13" t="str" cm="1">
        <f t="array" ref="U194:AB194">IFERROR(IF(_xlfn.XLOOKUP(B194,Input!J:J,Input!N:U)=0,"",
          _xlfn.XLOOKUP(B194,Input!J:J,Input!N:U)),"")</f>
        <v/>
      </c>
      <c r="V194" s="13" t="str">
        <v/>
      </c>
      <c r="W194" s="13" t="str">
        <v/>
      </c>
      <c r="X194" s="13" t="str">
        <v/>
      </c>
      <c r="Y194" s="13" t="str">
        <v/>
      </c>
      <c r="Z194" s="13" t="str">
        <v/>
      </c>
      <c r="AA194" s="13" t="str">
        <v/>
      </c>
      <c r="AB194" s="13" t="str">
        <v/>
      </c>
      <c r="AC194" t="str">
        <f t="shared" si="8"/>
        <v/>
      </c>
      <c r="AD194" t="str">
        <f>_xlfn.XLOOKUP(B:B,Disk_Pivot!G:G,Disk_Pivot!I:I)</f>
        <v>Yes</v>
      </c>
      <c r="AE194" t="str">
        <f>_xlfn.XLOOKUP(B194,Disk_Pivot!G:G,Disk_Pivot!N:N)</f>
        <v>Fail</v>
      </c>
    </row>
    <row r="195" spans="6:31">
      <c r="F195" t="str">
        <f>_xlfn.XLOOKUP(H195,Models!B:B,Models!F:F,"")</f>
        <v/>
      </c>
      <c r="K195">
        <f>_xlfn.XLOOKUP(B195,CPU_Formula!A:A,CPU_Formula!I:I)</f>
        <v>0</v>
      </c>
      <c r="L195" s="13" t="e">
        <f>INDEX(Input!$D$2:$AC$500,
       MATCH(B195, Input!$J$2:$J$500, 0),
       MATCH("Memory Capacity", Input!$D$1:$AC$1, 0))</f>
        <v>#N/A</v>
      </c>
      <c r="M195" s="13" t="e">
        <f>INDEX(Input!$D$2:$AC$500,
       MATCH(B195, Input!$J$2:$J$500, 0),
       MATCH("Memory Type", Input!$D$1:$AC$1, 0))</f>
        <v>#N/A</v>
      </c>
      <c r="N195" s="13" t="e">
        <f t="shared" ref="N195:N254" si="9">IF(ISNUMBER(L195), L195, SUBSTITUTE(SUBSTITUTE(SUBSTITUTE(L195,"GiB","")," ",""),"/","+"))</f>
        <v>#N/A</v>
      </c>
      <c r="S195" s="13" t="str">
        <f>_xlfn.LET(_xlpm.Result,_xlfn.XLOOKUP(B195,Input!J:J,Input!AA:AA),IF(_xlpm.Result="","",_xlpm.Result))</f>
        <v/>
      </c>
      <c r="T195" s="13" t="str" cm="1">
        <f t="array" ref="T195">IFERROR(_xlfn.IFS(
   --S195&lt;55,"Battery Defect",
  -- S195&lt;=69,"Battery D",
  --S195&lt;=80,"Battery C",
 --S195&gt;80,""
),"")</f>
        <v/>
      </c>
      <c r="U195" s="13" t="str" cm="1">
        <f t="array" ref="U195:AB195">IFERROR(IF(_xlfn.XLOOKUP(B195,Input!J:J,Input!N:U)=0,"",
          _xlfn.XLOOKUP(B195,Input!J:J,Input!N:U)),"")</f>
        <v/>
      </c>
      <c r="V195" s="13" t="str">
        <v/>
      </c>
      <c r="W195" s="13" t="str">
        <v/>
      </c>
      <c r="X195" s="13" t="str">
        <v/>
      </c>
      <c r="Y195" s="13" t="str">
        <v/>
      </c>
      <c r="Z195" s="13" t="str">
        <v/>
      </c>
      <c r="AA195" s="13" t="str">
        <v/>
      </c>
      <c r="AB195" s="13" t="str">
        <v/>
      </c>
      <c r="AC195" t="str">
        <f t="shared" ref="AC195:AC256" si="10">_xlfn.TEXTJOIN(", ",TRUE,T195,U195,V195,W195,X195,Y195,Z195)</f>
        <v/>
      </c>
      <c r="AD195" t="str">
        <f>_xlfn.XLOOKUP(B:B,Disk_Pivot!G:G,Disk_Pivot!I:I)</f>
        <v>Yes</v>
      </c>
      <c r="AE195" t="str">
        <f>_xlfn.XLOOKUP(B195,Disk_Pivot!G:G,Disk_Pivot!N:N)</f>
        <v>Fail</v>
      </c>
    </row>
    <row r="196" spans="6:31">
      <c r="F196" t="str">
        <f>_xlfn.XLOOKUP(H196,Models!B:B,Models!F:F,"")</f>
        <v/>
      </c>
      <c r="K196">
        <f>_xlfn.XLOOKUP(B196,CPU_Formula!A:A,CPU_Formula!I:I)</f>
        <v>0</v>
      </c>
      <c r="L196" s="13" t="e">
        <f>INDEX(Input!$D$2:$AC$500,
       MATCH(B196, Input!$J$2:$J$500, 0),
       MATCH("Memory Capacity", Input!$D$1:$AC$1, 0))</f>
        <v>#N/A</v>
      </c>
      <c r="M196" s="13" t="e">
        <f>INDEX(Input!$D$2:$AC$500,
       MATCH(B196, Input!$J$2:$J$500, 0),
       MATCH("Memory Type", Input!$D$1:$AC$1, 0))</f>
        <v>#N/A</v>
      </c>
      <c r="N196" s="13" t="e">
        <f t="shared" si="9"/>
        <v>#N/A</v>
      </c>
      <c r="S196" s="13" t="str">
        <f>_xlfn.LET(_xlpm.Result,_xlfn.XLOOKUP(B196,Input!J:J,Input!AA:AA),IF(_xlpm.Result="","",_xlpm.Result))</f>
        <v/>
      </c>
      <c r="T196" s="13" t="str" cm="1">
        <f t="array" ref="T196">IFERROR(_xlfn.IFS(
   --S196&lt;55,"Battery Defect",
  -- S196&lt;=69,"Battery D",
  --S196&lt;=80,"Battery C",
 --S196&gt;80,""
),"")</f>
        <v/>
      </c>
      <c r="U196" s="13" t="str" cm="1">
        <f t="array" ref="U196:AB196">IFERROR(IF(_xlfn.XLOOKUP(B196,Input!J:J,Input!N:U)=0,"",
          _xlfn.XLOOKUP(B196,Input!J:J,Input!N:U)),"")</f>
        <v/>
      </c>
      <c r="V196" s="13" t="str">
        <v/>
      </c>
      <c r="W196" s="13" t="str">
        <v/>
      </c>
      <c r="X196" s="13" t="str">
        <v/>
      </c>
      <c r="Y196" s="13" t="str">
        <v/>
      </c>
      <c r="Z196" s="13" t="str">
        <v/>
      </c>
      <c r="AA196" s="13" t="str">
        <v/>
      </c>
      <c r="AB196" s="13" t="str">
        <v/>
      </c>
      <c r="AC196" t="str">
        <f t="shared" si="10"/>
        <v/>
      </c>
      <c r="AD196" t="str">
        <f>_xlfn.XLOOKUP(B:B,Disk_Pivot!G:G,Disk_Pivot!I:I)</f>
        <v>Yes</v>
      </c>
      <c r="AE196" t="str">
        <f>_xlfn.XLOOKUP(B196,Disk_Pivot!G:G,Disk_Pivot!N:N)</f>
        <v>Fail</v>
      </c>
    </row>
    <row r="197" spans="6:31">
      <c r="F197">
        <f>_xlfn.XLOOKUP(H197,Models!B:B,Models!F:F,"")</f>
        <v>0</v>
      </c>
      <c r="K197">
        <f>_xlfn.XLOOKUP(B197,CPU_Formula!A:A,CPU_Formula!I:I)</f>
        <v>0</v>
      </c>
      <c r="L197" s="13" t="e">
        <f>INDEX(Input!$D$2:$AC$500,
       MATCH(B197, Input!$J$2:$J$500, 0),
       MATCH("Memory Capacity", Input!$D$1:$AC$1, 0))</f>
        <v>#N/A</v>
      </c>
      <c r="M197" s="13" t="e">
        <f>INDEX(Input!$D$2:$AC$500,
       MATCH(B197, Input!$J$2:$J$500, 0),
       MATCH("Memory Type", Input!$D$1:$AC$1, 0))</f>
        <v>#N/A</v>
      </c>
      <c r="N197" s="13" t="e">
        <f t="shared" si="9"/>
        <v>#N/A</v>
      </c>
      <c r="S197" s="13" t="str">
        <f>_xlfn.LET(_xlpm.Result,_xlfn.XLOOKUP(B197,Input!J:J,Input!AA:AA),IF(_xlpm.Result="","",_xlpm.Result))</f>
        <v/>
      </c>
      <c r="T197" s="13" t="str" cm="1">
        <f t="array" ref="T197">IFERROR(_xlfn.IFS(
   --S197&lt;55,"Battery Defect",
  -- S197&lt;=69,"Battery D",
  --S197&lt;=80,"Battery C",
 --S197&gt;80,""
),"")</f>
        <v/>
      </c>
      <c r="U197" s="13" t="str" cm="1">
        <f t="array" ref="U197:AB197">IFERROR(IF(_xlfn.XLOOKUP(B197,Input!J:J,Input!N:U)=0,"",
          _xlfn.XLOOKUP(B197,Input!J:J,Input!N:U)),"")</f>
        <v/>
      </c>
      <c r="V197" s="13" t="str">
        <v/>
      </c>
      <c r="W197" s="13" t="str">
        <v/>
      </c>
      <c r="X197" s="13" t="str">
        <v/>
      </c>
      <c r="Y197" s="13" t="str">
        <v/>
      </c>
      <c r="Z197" s="13" t="str">
        <v/>
      </c>
      <c r="AA197" s="13" t="str">
        <v/>
      </c>
      <c r="AB197" s="13" t="str">
        <v/>
      </c>
      <c r="AC197" t="str">
        <f t="shared" si="10"/>
        <v/>
      </c>
      <c r="AD197" t="str">
        <f>_xlfn.XLOOKUP(B:B,Disk_Pivot!G:G,Disk_Pivot!I:I)</f>
        <v>Yes</v>
      </c>
      <c r="AE197" t="str">
        <f>_xlfn.XLOOKUP(B197,Disk_Pivot!G:G,Disk_Pivot!N:N)</f>
        <v>Fail</v>
      </c>
    </row>
    <row r="198" spans="6:31">
      <c r="F198" t="str">
        <f>_xlfn.XLOOKUP(H198,Models!B:B,Models!F:F,"")</f>
        <v/>
      </c>
      <c r="K198">
        <f>_xlfn.XLOOKUP(B198,CPU_Formula!A:A,CPU_Formula!I:I)</f>
        <v>0</v>
      </c>
      <c r="L198" s="13" t="e">
        <f>INDEX(Input!$D$2:$AC$500,
       MATCH(B198, Input!$J$2:$J$500, 0),
       MATCH("Memory Capacity", Input!$D$1:$AC$1, 0))</f>
        <v>#N/A</v>
      </c>
      <c r="M198" s="13" t="e">
        <f>INDEX(Input!$D$2:$AC$500,
       MATCH(B198, Input!$J$2:$J$500, 0),
       MATCH("Memory Type", Input!$D$1:$AC$1, 0))</f>
        <v>#N/A</v>
      </c>
      <c r="N198" s="13" t="e">
        <f t="shared" si="9"/>
        <v>#N/A</v>
      </c>
      <c r="S198" s="13" t="str">
        <f>_xlfn.LET(_xlpm.Result,_xlfn.XLOOKUP(B198,Input!J:J,Input!AA:AA),IF(_xlpm.Result="","",_xlpm.Result))</f>
        <v/>
      </c>
      <c r="T198" s="13" t="str" cm="1">
        <f t="array" ref="T198">IFERROR(_xlfn.IFS(
   --S198&lt;55,"Battery Defect",
  -- S198&lt;=69,"Battery D",
  --S198&lt;=80,"Battery C",
 --S198&gt;80,""
),"")</f>
        <v/>
      </c>
      <c r="U198" s="13" t="str" cm="1">
        <f t="array" ref="U198:AB198">IFERROR(IF(_xlfn.XLOOKUP(B198,Input!J:J,Input!N:U)=0,"",
          _xlfn.XLOOKUP(B198,Input!J:J,Input!N:U)),"")</f>
        <v/>
      </c>
      <c r="V198" s="13" t="str">
        <v/>
      </c>
      <c r="W198" s="13" t="str">
        <v/>
      </c>
      <c r="X198" s="13" t="str">
        <v/>
      </c>
      <c r="Y198" s="13" t="str">
        <v/>
      </c>
      <c r="Z198" s="13" t="str">
        <v/>
      </c>
      <c r="AA198" s="13" t="str">
        <v/>
      </c>
      <c r="AB198" s="13" t="str">
        <v/>
      </c>
      <c r="AC198" t="str">
        <f t="shared" si="10"/>
        <v/>
      </c>
      <c r="AD198" t="str">
        <f>_xlfn.XLOOKUP(B:B,Disk_Pivot!G:G,Disk_Pivot!I:I)</f>
        <v>Yes</v>
      </c>
      <c r="AE198" t="str">
        <f>_xlfn.XLOOKUP(B198,Disk_Pivot!G:G,Disk_Pivot!N:N)</f>
        <v>Fail</v>
      </c>
    </row>
    <row r="199" spans="6:31">
      <c r="F199" t="str">
        <f>_xlfn.XLOOKUP(H199,Models!B:B,Models!F:F,"")</f>
        <v/>
      </c>
      <c r="K199">
        <f>_xlfn.XLOOKUP(B199,CPU_Formula!A:A,CPU_Formula!I:I)</f>
        <v>0</v>
      </c>
      <c r="L199" s="13" t="e">
        <f>INDEX(Input!$D$2:$AC$500,
       MATCH(B199, Input!$J$2:$J$500, 0),
       MATCH("Memory Capacity", Input!$D$1:$AC$1, 0))</f>
        <v>#N/A</v>
      </c>
      <c r="M199" s="13" t="e">
        <f>INDEX(Input!$D$2:$AC$500,
       MATCH(B199, Input!$J$2:$J$500, 0),
       MATCH("Memory Type", Input!$D$1:$AC$1, 0))</f>
        <v>#N/A</v>
      </c>
      <c r="N199" s="13" t="e">
        <f t="shared" si="9"/>
        <v>#N/A</v>
      </c>
      <c r="S199" s="13" t="str">
        <f>_xlfn.LET(_xlpm.Result,_xlfn.XLOOKUP(B199,Input!J:J,Input!AA:AA),IF(_xlpm.Result="","",_xlpm.Result))</f>
        <v/>
      </c>
      <c r="T199" s="13" t="str" cm="1">
        <f t="array" ref="T199">IFERROR(_xlfn.IFS(
   --S199&lt;55,"Battery Defect",
  -- S199&lt;=69,"Battery D",
  --S199&lt;=80,"Battery C",
 --S199&gt;80,""
),"")</f>
        <v/>
      </c>
      <c r="U199" s="13" t="str" cm="1">
        <f t="array" ref="U199:AB199">IFERROR(IF(_xlfn.XLOOKUP(B199,Input!J:J,Input!N:U)=0,"",
          _xlfn.XLOOKUP(B199,Input!J:J,Input!N:U)),"")</f>
        <v/>
      </c>
      <c r="V199" s="13" t="str">
        <v/>
      </c>
      <c r="W199" s="13" t="str">
        <v/>
      </c>
      <c r="X199" s="13" t="str">
        <v/>
      </c>
      <c r="Y199" s="13" t="str">
        <v/>
      </c>
      <c r="Z199" s="13" t="str">
        <v/>
      </c>
      <c r="AA199" s="13" t="str">
        <v/>
      </c>
      <c r="AB199" s="13" t="str">
        <v/>
      </c>
      <c r="AC199" t="str">
        <f t="shared" si="10"/>
        <v/>
      </c>
      <c r="AD199" t="str">
        <f>_xlfn.XLOOKUP(B:B,Disk_Pivot!G:G,Disk_Pivot!I:I)</f>
        <v>Yes</v>
      </c>
      <c r="AE199" t="str">
        <f>_xlfn.XLOOKUP(B199,Disk_Pivot!G:G,Disk_Pivot!N:N)</f>
        <v>Fail</v>
      </c>
    </row>
    <row r="200" spans="6:31">
      <c r="F200">
        <f>_xlfn.XLOOKUP(H200,Models!B:B,Models!F:F,"")</f>
        <v>0</v>
      </c>
      <c r="K200">
        <f>_xlfn.XLOOKUP(B200,CPU_Formula!A:A,CPU_Formula!I:I)</f>
        <v>0</v>
      </c>
      <c r="L200" s="13" t="e">
        <f>INDEX(Input!$D$2:$AC$500,
       MATCH(B200, Input!$J$2:$J$500, 0),
       MATCH("Memory Capacity", Input!$D$1:$AC$1, 0))</f>
        <v>#N/A</v>
      </c>
      <c r="M200" s="13" t="e">
        <f>INDEX(Input!$D$2:$AC$500,
       MATCH(B200, Input!$J$2:$J$500, 0),
       MATCH("Memory Type", Input!$D$1:$AC$1, 0))</f>
        <v>#N/A</v>
      </c>
      <c r="N200" s="13" t="e">
        <f t="shared" si="9"/>
        <v>#N/A</v>
      </c>
      <c r="S200" s="13" t="str">
        <f>_xlfn.LET(_xlpm.Result,_xlfn.XLOOKUP(B200,Input!J:J,Input!AA:AA),IF(_xlpm.Result="","",_xlpm.Result))</f>
        <v/>
      </c>
      <c r="T200" s="13" t="str" cm="1">
        <f t="array" ref="T200">IFERROR(_xlfn.IFS(
   --S200&lt;55,"Battery Defect",
  -- S200&lt;=69,"Battery D",
  --S200&lt;=80,"Battery C",
 --S200&gt;80,""
),"")</f>
        <v/>
      </c>
      <c r="U200" s="13" t="str" cm="1">
        <f t="array" ref="U200:AB200">IFERROR(IF(_xlfn.XLOOKUP(B200,Input!J:J,Input!N:U)=0,"",
          _xlfn.XLOOKUP(B200,Input!J:J,Input!N:U)),"")</f>
        <v/>
      </c>
      <c r="V200" s="13" t="str">
        <v/>
      </c>
      <c r="W200" s="13" t="str">
        <v/>
      </c>
      <c r="X200" s="13" t="str">
        <v/>
      </c>
      <c r="Y200" s="13" t="str">
        <v/>
      </c>
      <c r="Z200" s="13" t="str">
        <v/>
      </c>
      <c r="AA200" s="13" t="str">
        <v/>
      </c>
      <c r="AB200" s="13" t="str">
        <v/>
      </c>
      <c r="AC200" t="str">
        <f t="shared" si="10"/>
        <v/>
      </c>
      <c r="AD200" t="str">
        <f>_xlfn.XLOOKUP(B:B,Disk_Pivot!G:G,Disk_Pivot!I:I)</f>
        <v>Yes</v>
      </c>
      <c r="AE200" t="str">
        <f>_xlfn.XLOOKUP(B200,Disk_Pivot!G:G,Disk_Pivot!N:N)</f>
        <v>Fail</v>
      </c>
    </row>
    <row r="201" spans="6:31">
      <c r="F201" t="str">
        <f>_xlfn.XLOOKUP(H201,Models!B:B,Models!F:F,"")</f>
        <v/>
      </c>
      <c r="K201">
        <f>_xlfn.XLOOKUP(B201,CPU_Formula!A:A,CPU_Formula!I:I)</f>
        <v>0</v>
      </c>
      <c r="L201" s="13" t="e">
        <f>INDEX(Input!$D$2:$AC$500,
       MATCH(B201, Input!$J$2:$J$500, 0),
       MATCH("Memory Capacity", Input!$D$1:$AC$1, 0))</f>
        <v>#N/A</v>
      </c>
      <c r="M201" s="13" t="e">
        <f>INDEX(Input!$D$2:$AC$500,
       MATCH(B201, Input!$J$2:$J$500, 0),
       MATCH("Memory Type", Input!$D$1:$AC$1, 0))</f>
        <v>#N/A</v>
      </c>
      <c r="N201" s="13" t="e">
        <f t="shared" si="9"/>
        <v>#N/A</v>
      </c>
      <c r="S201" s="13" t="str">
        <f>_xlfn.LET(_xlpm.Result,_xlfn.XLOOKUP(B201,Input!J:J,Input!AA:AA),IF(_xlpm.Result="","",_xlpm.Result))</f>
        <v/>
      </c>
      <c r="T201" s="13" t="str" cm="1">
        <f t="array" ref="T201">IFERROR(_xlfn.IFS(
   --S201&lt;55,"Battery Defect",
  -- S201&lt;=69,"Battery D",
  --S201&lt;=80,"Battery C",
 --S201&gt;80,""
),"")</f>
        <v/>
      </c>
      <c r="U201" s="13" t="str" cm="1">
        <f t="array" ref="U201:AB201">IFERROR(IF(_xlfn.XLOOKUP(B201,Input!J:J,Input!N:U)=0,"",
          _xlfn.XLOOKUP(B201,Input!J:J,Input!N:U)),"")</f>
        <v/>
      </c>
      <c r="V201" s="13" t="str">
        <v/>
      </c>
      <c r="W201" s="13" t="str">
        <v/>
      </c>
      <c r="X201" s="13" t="str">
        <v/>
      </c>
      <c r="Y201" s="13" t="str">
        <v/>
      </c>
      <c r="Z201" s="13" t="str">
        <v/>
      </c>
      <c r="AA201" s="13" t="str">
        <v/>
      </c>
      <c r="AB201" s="13" t="str">
        <v/>
      </c>
      <c r="AC201" t="str">
        <f t="shared" si="10"/>
        <v/>
      </c>
      <c r="AD201" t="str">
        <f>_xlfn.XLOOKUP(B:B,Disk_Pivot!G:G,Disk_Pivot!I:I)</f>
        <v>Yes</v>
      </c>
      <c r="AE201" t="str">
        <f>_xlfn.XLOOKUP(B201,Disk_Pivot!G:G,Disk_Pivot!N:N)</f>
        <v>Fail</v>
      </c>
    </row>
    <row r="202" spans="6:31">
      <c r="F202" t="str">
        <f>_xlfn.XLOOKUP(H202,Models!B:B,Models!F:F,"")</f>
        <v/>
      </c>
      <c r="K202">
        <f>_xlfn.XLOOKUP(B202,CPU_Formula!A:A,CPU_Formula!I:I)</f>
        <v>0</v>
      </c>
      <c r="L202" s="13" t="e">
        <f>INDEX(Input!$D$2:$AC$500,
       MATCH(B202, Input!$J$2:$J$500, 0),
       MATCH("Memory Capacity", Input!$D$1:$AC$1, 0))</f>
        <v>#N/A</v>
      </c>
      <c r="M202" s="13" t="e">
        <f>INDEX(Input!$D$2:$AC$500,
       MATCH(B202, Input!$J$2:$J$500, 0),
       MATCH("Memory Type", Input!$D$1:$AC$1, 0))</f>
        <v>#N/A</v>
      </c>
      <c r="N202" s="13" t="e">
        <f t="shared" si="9"/>
        <v>#N/A</v>
      </c>
      <c r="S202" s="13" t="str">
        <f>_xlfn.LET(_xlpm.Result,_xlfn.XLOOKUP(B202,Input!J:J,Input!AA:AA),IF(_xlpm.Result="","",_xlpm.Result))</f>
        <v/>
      </c>
      <c r="T202" s="13" t="str" cm="1">
        <f t="array" ref="T202">IFERROR(_xlfn.IFS(
   --S202&lt;55,"Battery Defect",
  -- S202&lt;=69,"Battery D",
  --S202&lt;=80,"Battery C",
 --S202&gt;80,""
),"")</f>
        <v/>
      </c>
      <c r="U202" s="13" t="str" cm="1">
        <f t="array" ref="U202:AB202">IFERROR(IF(_xlfn.XLOOKUP(B202,Input!J:J,Input!N:U)=0,"",
          _xlfn.XLOOKUP(B202,Input!J:J,Input!N:U)),"")</f>
        <v/>
      </c>
      <c r="V202" s="13" t="str">
        <v/>
      </c>
      <c r="W202" s="13" t="str">
        <v/>
      </c>
      <c r="X202" s="13" t="str">
        <v/>
      </c>
      <c r="Y202" s="13" t="str">
        <v/>
      </c>
      <c r="Z202" s="13" t="str">
        <v/>
      </c>
      <c r="AA202" s="13" t="str">
        <v/>
      </c>
      <c r="AB202" s="13" t="str">
        <v/>
      </c>
      <c r="AC202" t="str">
        <f t="shared" si="10"/>
        <v/>
      </c>
      <c r="AD202" t="str">
        <f>_xlfn.XLOOKUP(B:B,Disk_Pivot!G:G,Disk_Pivot!I:I)</f>
        <v>Yes</v>
      </c>
      <c r="AE202" t="str">
        <f>_xlfn.XLOOKUP(B202,Disk_Pivot!G:G,Disk_Pivot!N:N)</f>
        <v>Fail</v>
      </c>
    </row>
    <row r="203" spans="6:31">
      <c r="F203">
        <f>_xlfn.XLOOKUP(H203,Models!B:B,Models!F:F,"")</f>
        <v>0</v>
      </c>
      <c r="K203">
        <f>_xlfn.XLOOKUP(B203,CPU_Formula!A:A,CPU_Formula!I:I)</f>
        <v>0</v>
      </c>
      <c r="L203" s="13" t="e">
        <f>INDEX(Input!$D$2:$AC$500,
       MATCH(B203, Input!$J$2:$J$500, 0),
       MATCH("Memory Capacity", Input!$D$1:$AC$1, 0))</f>
        <v>#N/A</v>
      </c>
      <c r="M203" s="13" t="e">
        <f>INDEX(Input!$D$2:$AC$500,
       MATCH(B203, Input!$J$2:$J$500, 0),
       MATCH("Memory Type", Input!$D$1:$AC$1, 0))</f>
        <v>#N/A</v>
      </c>
      <c r="N203" s="13" t="e">
        <f t="shared" si="9"/>
        <v>#N/A</v>
      </c>
      <c r="S203" s="13" t="str">
        <f>_xlfn.LET(_xlpm.Result,_xlfn.XLOOKUP(B203,Input!J:J,Input!AA:AA),IF(_xlpm.Result="","",_xlpm.Result))</f>
        <v/>
      </c>
      <c r="T203" s="13" t="str" cm="1">
        <f t="array" ref="T203">IFERROR(_xlfn.IFS(
   --S203&lt;55,"Battery Defect",
  -- S203&lt;=69,"Battery D",
  --S203&lt;=80,"Battery C",
 --S203&gt;80,""
),"")</f>
        <v/>
      </c>
      <c r="U203" s="13" t="str" cm="1">
        <f t="array" ref="U203:AB203">IFERROR(IF(_xlfn.XLOOKUP(B203,Input!J:J,Input!N:U)=0,"",
          _xlfn.XLOOKUP(B203,Input!J:J,Input!N:U)),"")</f>
        <v/>
      </c>
      <c r="V203" s="13" t="str">
        <v/>
      </c>
      <c r="W203" s="13" t="str">
        <v/>
      </c>
      <c r="X203" s="13" t="str">
        <v/>
      </c>
      <c r="Y203" s="13" t="str">
        <v/>
      </c>
      <c r="Z203" s="13" t="str">
        <v/>
      </c>
      <c r="AA203" s="13" t="str">
        <v/>
      </c>
      <c r="AB203" s="13" t="str">
        <v/>
      </c>
      <c r="AC203" t="str">
        <f t="shared" si="10"/>
        <v/>
      </c>
      <c r="AD203" t="str">
        <f>_xlfn.XLOOKUP(B:B,Disk_Pivot!G:G,Disk_Pivot!I:I)</f>
        <v>Yes</v>
      </c>
      <c r="AE203" t="str">
        <f>_xlfn.XLOOKUP(B203,Disk_Pivot!G:G,Disk_Pivot!N:N)</f>
        <v>Fail</v>
      </c>
    </row>
    <row r="204" spans="6:31">
      <c r="F204" t="str">
        <f>_xlfn.XLOOKUP(H204,Models!B:B,Models!F:F,"")</f>
        <v/>
      </c>
      <c r="K204">
        <f>_xlfn.XLOOKUP(B204,CPU_Formula!A:A,CPU_Formula!I:I)</f>
        <v>0</v>
      </c>
      <c r="L204" s="13" t="e">
        <f>INDEX(Input!$D$2:$AC$500,
       MATCH(B204, Input!$J$2:$J$500, 0),
       MATCH("Memory Capacity", Input!$D$1:$AC$1, 0))</f>
        <v>#N/A</v>
      </c>
      <c r="M204" s="13" t="e">
        <f>INDEX(Input!$D$2:$AC$500,
       MATCH(B204, Input!$J$2:$J$500, 0),
       MATCH("Memory Type", Input!$D$1:$AC$1, 0))</f>
        <v>#N/A</v>
      </c>
      <c r="N204" s="13" t="e">
        <f t="shared" si="9"/>
        <v>#N/A</v>
      </c>
      <c r="S204" s="13" t="str">
        <f>_xlfn.LET(_xlpm.Result,_xlfn.XLOOKUP(B204,Input!J:J,Input!AA:AA),IF(_xlpm.Result="","",_xlpm.Result))</f>
        <v/>
      </c>
      <c r="T204" s="13" t="str" cm="1">
        <f t="array" ref="T204">IFERROR(_xlfn.IFS(
   --S204&lt;55,"Battery Defect",
  -- S204&lt;=69,"Battery D",
  --S204&lt;=80,"Battery C",
 --S204&gt;80,""
),"")</f>
        <v/>
      </c>
      <c r="U204" s="13" t="str" cm="1">
        <f t="array" ref="U204:AB204">IFERROR(IF(_xlfn.XLOOKUP(B204,Input!J:J,Input!N:U)=0,"",
          _xlfn.XLOOKUP(B204,Input!J:J,Input!N:U)),"")</f>
        <v/>
      </c>
      <c r="V204" s="13" t="str">
        <v/>
      </c>
      <c r="W204" s="13" t="str">
        <v/>
      </c>
      <c r="X204" s="13" t="str">
        <v/>
      </c>
      <c r="Y204" s="13" t="str">
        <v/>
      </c>
      <c r="Z204" s="13" t="str">
        <v/>
      </c>
      <c r="AA204" s="13" t="str">
        <v/>
      </c>
      <c r="AB204" s="13" t="str">
        <v/>
      </c>
      <c r="AC204" t="str">
        <f t="shared" si="10"/>
        <v/>
      </c>
      <c r="AD204" t="str">
        <f>_xlfn.XLOOKUP(B:B,Disk_Pivot!G:G,Disk_Pivot!I:I)</f>
        <v>Yes</v>
      </c>
      <c r="AE204" t="str">
        <f>_xlfn.XLOOKUP(B204,Disk_Pivot!G:G,Disk_Pivot!N:N)</f>
        <v>Fail</v>
      </c>
    </row>
    <row r="205" spans="6:31">
      <c r="F205" t="str">
        <f>_xlfn.XLOOKUP(H205,Models!B:B,Models!F:F,"")</f>
        <v/>
      </c>
      <c r="K205">
        <f>_xlfn.XLOOKUP(B205,CPU_Formula!A:A,CPU_Formula!I:I)</f>
        <v>0</v>
      </c>
      <c r="L205" s="13" t="e">
        <f>INDEX(Input!$D$2:$AC$500,
       MATCH(B205, Input!$J$2:$J$500, 0),
       MATCH("Memory Capacity", Input!$D$1:$AC$1, 0))</f>
        <v>#N/A</v>
      </c>
      <c r="M205" s="13" t="e">
        <f>INDEX(Input!$D$2:$AC$500,
       MATCH(B205, Input!$J$2:$J$500, 0),
       MATCH("Memory Type", Input!$D$1:$AC$1, 0))</f>
        <v>#N/A</v>
      </c>
      <c r="N205" s="13" t="e">
        <f t="shared" si="9"/>
        <v>#N/A</v>
      </c>
      <c r="S205" s="13" t="str">
        <f>_xlfn.LET(_xlpm.Result,_xlfn.XLOOKUP(B205,Input!J:J,Input!AA:AA),IF(_xlpm.Result="","",_xlpm.Result))</f>
        <v/>
      </c>
      <c r="T205" s="13" t="str" cm="1">
        <f t="array" ref="T205">IFERROR(_xlfn.IFS(
   --S205&lt;55,"Battery Defect",
  -- S205&lt;=69,"Battery D",
  --S205&lt;=80,"Battery C",
 --S205&gt;80,""
),"")</f>
        <v/>
      </c>
      <c r="U205" s="13" t="str" cm="1">
        <f t="array" ref="U205:AB205">IFERROR(IF(_xlfn.XLOOKUP(B205,Input!J:J,Input!N:U)=0,"",
          _xlfn.XLOOKUP(B205,Input!J:J,Input!N:U)),"")</f>
        <v/>
      </c>
      <c r="V205" s="13" t="str">
        <v/>
      </c>
      <c r="W205" s="13" t="str">
        <v/>
      </c>
      <c r="X205" s="13" t="str">
        <v/>
      </c>
      <c r="Y205" s="13" t="str">
        <v/>
      </c>
      <c r="Z205" s="13" t="str">
        <v/>
      </c>
      <c r="AA205" s="13" t="str">
        <v/>
      </c>
      <c r="AB205" s="13" t="str">
        <v/>
      </c>
      <c r="AC205" t="str">
        <f t="shared" si="10"/>
        <v/>
      </c>
      <c r="AD205" t="str">
        <f>_xlfn.XLOOKUP(B:B,Disk_Pivot!G:G,Disk_Pivot!I:I)</f>
        <v>Yes</v>
      </c>
      <c r="AE205" t="str">
        <f>_xlfn.XLOOKUP(B205,Disk_Pivot!G:G,Disk_Pivot!N:N)</f>
        <v>Fail</v>
      </c>
    </row>
    <row r="206" spans="6:31">
      <c r="F206">
        <f>_xlfn.XLOOKUP(H206,Models!B:B,Models!F:F,"")</f>
        <v>0</v>
      </c>
      <c r="K206">
        <f>_xlfn.XLOOKUP(B206,CPU_Formula!A:A,CPU_Formula!I:I)</f>
        <v>0</v>
      </c>
      <c r="L206" s="13" t="e">
        <f>INDEX(Input!$D$2:$AC$500,
       MATCH(B206, Input!$J$2:$J$500, 0),
       MATCH("Memory Capacity", Input!$D$1:$AC$1, 0))</f>
        <v>#N/A</v>
      </c>
      <c r="M206" s="13" t="e">
        <f>INDEX(Input!$D$2:$AC$500,
       MATCH(B206, Input!$J$2:$J$500, 0),
       MATCH("Memory Type", Input!$D$1:$AC$1, 0))</f>
        <v>#N/A</v>
      </c>
      <c r="N206" s="13" t="e">
        <f t="shared" si="9"/>
        <v>#N/A</v>
      </c>
      <c r="S206" s="13" t="str">
        <f>_xlfn.LET(_xlpm.Result,_xlfn.XLOOKUP(B206,Input!J:J,Input!AA:AA),IF(_xlpm.Result="","",_xlpm.Result))</f>
        <v/>
      </c>
      <c r="T206" s="13" t="str" cm="1">
        <f t="array" ref="T206">IFERROR(_xlfn.IFS(
   --S206&lt;55,"Battery Defect",
  -- S206&lt;=69,"Battery D",
  --S206&lt;=80,"Battery C",
 --S206&gt;80,""
),"")</f>
        <v/>
      </c>
      <c r="U206" s="13" t="str" cm="1">
        <f t="array" ref="U206:AB206">IFERROR(IF(_xlfn.XLOOKUP(B206,Input!J:J,Input!N:U)=0,"",
          _xlfn.XLOOKUP(B206,Input!J:J,Input!N:U)),"")</f>
        <v/>
      </c>
      <c r="V206" s="13" t="str">
        <v/>
      </c>
      <c r="W206" s="13" t="str">
        <v/>
      </c>
      <c r="X206" s="13" t="str">
        <v/>
      </c>
      <c r="Y206" s="13" t="str">
        <v/>
      </c>
      <c r="Z206" s="13" t="str">
        <v/>
      </c>
      <c r="AA206" s="13" t="str">
        <v/>
      </c>
      <c r="AB206" s="13" t="str">
        <v/>
      </c>
      <c r="AC206" t="str">
        <f t="shared" si="10"/>
        <v/>
      </c>
      <c r="AD206" t="str">
        <f>_xlfn.XLOOKUP(B:B,Disk_Pivot!G:G,Disk_Pivot!I:I)</f>
        <v>Yes</v>
      </c>
      <c r="AE206" t="str">
        <f>_xlfn.XLOOKUP(B206,Disk_Pivot!G:G,Disk_Pivot!N:N)</f>
        <v>Fail</v>
      </c>
    </row>
    <row r="207" spans="6:31">
      <c r="F207" t="str">
        <f>_xlfn.XLOOKUP(H207,Models!B:B,Models!F:F,"")</f>
        <v/>
      </c>
      <c r="K207">
        <f>_xlfn.XLOOKUP(B207,CPU_Formula!A:A,CPU_Formula!I:I)</f>
        <v>0</v>
      </c>
      <c r="L207" s="13" t="e">
        <f>INDEX(Input!$D$2:$AC$500,
       MATCH(B207, Input!$J$2:$J$500, 0),
       MATCH("Memory Capacity", Input!$D$1:$AC$1, 0))</f>
        <v>#N/A</v>
      </c>
      <c r="M207" s="13" t="e">
        <f>INDEX(Input!$D$2:$AC$500,
       MATCH(B207, Input!$J$2:$J$500, 0),
       MATCH("Memory Type", Input!$D$1:$AC$1, 0))</f>
        <v>#N/A</v>
      </c>
      <c r="N207" s="13" t="e">
        <f t="shared" si="9"/>
        <v>#N/A</v>
      </c>
      <c r="S207" s="13" t="str">
        <f>_xlfn.LET(_xlpm.Result,_xlfn.XLOOKUP(B207,Input!J:J,Input!AA:AA),IF(_xlpm.Result="","",_xlpm.Result))</f>
        <v/>
      </c>
      <c r="T207" s="13" t="str" cm="1">
        <f t="array" ref="T207">IFERROR(_xlfn.IFS(
   --S207&lt;55,"Battery Defect",
  -- S207&lt;=69,"Battery D",
  --S207&lt;=80,"Battery C",
 --S207&gt;80,""
),"")</f>
        <v/>
      </c>
      <c r="U207" s="13" t="str" cm="1">
        <f t="array" ref="U207:AB207">IFERROR(IF(_xlfn.XLOOKUP(B207,Input!J:J,Input!N:U)=0,"",
          _xlfn.XLOOKUP(B207,Input!J:J,Input!N:U)),"")</f>
        <v/>
      </c>
      <c r="V207" s="13" t="str">
        <v/>
      </c>
      <c r="W207" s="13" t="str">
        <v/>
      </c>
      <c r="X207" s="13" t="str">
        <v/>
      </c>
      <c r="Y207" s="13" t="str">
        <v/>
      </c>
      <c r="Z207" s="13" t="str">
        <v/>
      </c>
      <c r="AA207" s="13" t="str">
        <v/>
      </c>
      <c r="AB207" s="13" t="str">
        <v/>
      </c>
      <c r="AC207" t="str">
        <f t="shared" si="10"/>
        <v/>
      </c>
      <c r="AD207" t="str">
        <f>_xlfn.XLOOKUP(B:B,Disk_Pivot!G:G,Disk_Pivot!I:I)</f>
        <v>Yes</v>
      </c>
      <c r="AE207" t="str">
        <f>_xlfn.XLOOKUP(B207,Disk_Pivot!G:G,Disk_Pivot!N:N)</f>
        <v>Fail</v>
      </c>
    </row>
    <row r="208" spans="6:31">
      <c r="F208" t="str">
        <f>_xlfn.XLOOKUP(H208,Models!B:B,Models!F:F,"")</f>
        <v/>
      </c>
      <c r="K208">
        <f>_xlfn.XLOOKUP(B208,CPU_Formula!A:A,CPU_Formula!I:I)</f>
        <v>0</v>
      </c>
      <c r="L208" s="13" t="e">
        <f>INDEX(Input!$D$2:$AC$500,
       MATCH(B208, Input!$J$2:$J$500, 0),
       MATCH("Memory Capacity", Input!$D$1:$AC$1, 0))</f>
        <v>#N/A</v>
      </c>
      <c r="M208" s="13" t="e">
        <f>INDEX(Input!$D$2:$AC$500,
       MATCH(B208, Input!$J$2:$J$500, 0),
       MATCH("Memory Type", Input!$D$1:$AC$1, 0))</f>
        <v>#N/A</v>
      </c>
      <c r="N208" s="13" t="e">
        <f t="shared" si="9"/>
        <v>#N/A</v>
      </c>
      <c r="S208" s="13" t="str">
        <f>_xlfn.LET(_xlpm.Result,_xlfn.XLOOKUP(B208,Input!J:J,Input!AA:AA),IF(_xlpm.Result="","",_xlpm.Result))</f>
        <v/>
      </c>
      <c r="T208" s="13" t="str" cm="1">
        <f t="array" ref="T208">IFERROR(_xlfn.IFS(
   --S208&lt;55,"Battery Defect",
  -- S208&lt;=69,"Battery D",
  --S208&lt;=80,"Battery C",
 --S208&gt;80,""
),"")</f>
        <v/>
      </c>
      <c r="U208" s="13" t="str" cm="1">
        <f t="array" ref="U208:AB208">IFERROR(IF(_xlfn.XLOOKUP(B208,Input!J:J,Input!N:U)=0,"",
          _xlfn.XLOOKUP(B208,Input!J:J,Input!N:U)),"")</f>
        <v/>
      </c>
      <c r="V208" s="13" t="str">
        <v/>
      </c>
      <c r="W208" s="13" t="str">
        <v/>
      </c>
      <c r="X208" s="13" t="str">
        <v/>
      </c>
      <c r="Y208" s="13" t="str">
        <v/>
      </c>
      <c r="Z208" s="13" t="str">
        <v/>
      </c>
      <c r="AA208" s="13" t="str">
        <v/>
      </c>
      <c r="AB208" s="13" t="str">
        <v/>
      </c>
      <c r="AC208" t="str">
        <f t="shared" si="10"/>
        <v/>
      </c>
      <c r="AD208" t="str">
        <f>_xlfn.XLOOKUP(B:B,Disk_Pivot!G:G,Disk_Pivot!I:I)</f>
        <v>Yes</v>
      </c>
      <c r="AE208" t="str">
        <f>_xlfn.XLOOKUP(B208,Disk_Pivot!G:G,Disk_Pivot!N:N)</f>
        <v>Fail</v>
      </c>
    </row>
    <row r="209" spans="6:31">
      <c r="F209">
        <f>_xlfn.XLOOKUP(H209,Models!B:B,Models!F:F,"")</f>
        <v>0</v>
      </c>
      <c r="K209">
        <f>_xlfn.XLOOKUP(B209,CPU_Formula!A:A,CPU_Formula!I:I)</f>
        <v>0</v>
      </c>
      <c r="L209" s="13" t="e">
        <f>INDEX(Input!$D$2:$AC$500,
       MATCH(B209, Input!$J$2:$J$500, 0),
       MATCH("Memory Capacity", Input!$D$1:$AC$1, 0))</f>
        <v>#N/A</v>
      </c>
      <c r="M209" s="13" t="e">
        <f>INDEX(Input!$D$2:$AC$500,
       MATCH(B209, Input!$J$2:$J$500, 0),
       MATCH("Memory Type", Input!$D$1:$AC$1, 0))</f>
        <v>#N/A</v>
      </c>
      <c r="N209" s="13" t="e">
        <f t="shared" si="9"/>
        <v>#N/A</v>
      </c>
      <c r="S209" s="13" t="str">
        <f>_xlfn.LET(_xlpm.Result,_xlfn.XLOOKUP(B209,Input!J:J,Input!AA:AA),IF(_xlpm.Result="","",_xlpm.Result))</f>
        <v/>
      </c>
      <c r="T209" s="13" t="str" cm="1">
        <f t="array" ref="T209">IFERROR(_xlfn.IFS(
   --S209&lt;55,"Battery Defect",
  -- S209&lt;=69,"Battery D",
  --S209&lt;=80,"Battery C",
 --S209&gt;80,""
),"")</f>
        <v/>
      </c>
      <c r="U209" s="13" t="str" cm="1">
        <f t="array" ref="U209:AB209">IFERROR(IF(_xlfn.XLOOKUP(B209,Input!J:J,Input!N:U)=0,"",
          _xlfn.XLOOKUP(B209,Input!J:J,Input!N:U)),"")</f>
        <v/>
      </c>
      <c r="V209" s="13" t="str">
        <v/>
      </c>
      <c r="W209" s="13" t="str">
        <v/>
      </c>
      <c r="X209" s="13" t="str">
        <v/>
      </c>
      <c r="Y209" s="13" t="str">
        <v/>
      </c>
      <c r="Z209" s="13" t="str">
        <v/>
      </c>
      <c r="AA209" s="13" t="str">
        <v/>
      </c>
      <c r="AB209" s="13" t="str">
        <v/>
      </c>
      <c r="AC209" t="str">
        <f t="shared" si="10"/>
        <v/>
      </c>
      <c r="AD209" t="str">
        <f>_xlfn.XLOOKUP(B:B,Disk_Pivot!G:G,Disk_Pivot!I:I)</f>
        <v>Yes</v>
      </c>
      <c r="AE209" t="str">
        <f>_xlfn.XLOOKUP(B209,Disk_Pivot!G:G,Disk_Pivot!N:N)</f>
        <v>Fail</v>
      </c>
    </row>
    <row r="210" spans="6:31">
      <c r="F210" t="str">
        <f>_xlfn.XLOOKUP(H210,Models!B:B,Models!F:F,"")</f>
        <v/>
      </c>
      <c r="K210">
        <f>_xlfn.XLOOKUP(B210,CPU_Formula!A:A,CPU_Formula!I:I)</f>
        <v>0</v>
      </c>
      <c r="L210" s="13" t="e">
        <f>INDEX(Input!$D$2:$AC$500,
       MATCH(B210, Input!$J$2:$J$500, 0),
       MATCH("Memory Capacity", Input!$D$1:$AC$1, 0))</f>
        <v>#N/A</v>
      </c>
      <c r="M210" s="13" t="e">
        <f>INDEX(Input!$D$2:$AC$500,
       MATCH(B210, Input!$J$2:$J$500, 0),
       MATCH("Memory Type", Input!$D$1:$AC$1, 0))</f>
        <v>#N/A</v>
      </c>
      <c r="N210" s="13" t="e">
        <f t="shared" si="9"/>
        <v>#N/A</v>
      </c>
      <c r="S210" s="13" t="str">
        <f>_xlfn.LET(_xlpm.Result,_xlfn.XLOOKUP(B210,Input!J:J,Input!AA:AA),IF(_xlpm.Result="","",_xlpm.Result))</f>
        <v/>
      </c>
      <c r="T210" s="13" t="str" cm="1">
        <f t="array" ref="T210">IFERROR(_xlfn.IFS(
   --S210&lt;55,"Battery Defect",
  -- S210&lt;=69,"Battery D",
  --S210&lt;=80,"Battery C",
 --S210&gt;80,""
),"")</f>
        <v/>
      </c>
      <c r="U210" s="13" t="str" cm="1">
        <f t="array" ref="U210:AB210">IFERROR(IF(_xlfn.XLOOKUP(B210,Input!J:J,Input!N:U)=0,"",
          _xlfn.XLOOKUP(B210,Input!J:J,Input!N:U)),"")</f>
        <v/>
      </c>
      <c r="V210" s="13" t="str">
        <v/>
      </c>
      <c r="W210" s="13" t="str">
        <v/>
      </c>
      <c r="X210" s="13" t="str">
        <v/>
      </c>
      <c r="Y210" s="13" t="str">
        <v/>
      </c>
      <c r="Z210" s="13" t="str">
        <v/>
      </c>
      <c r="AA210" s="13" t="str">
        <v/>
      </c>
      <c r="AB210" s="13" t="str">
        <v/>
      </c>
      <c r="AC210" t="str">
        <f t="shared" si="10"/>
        <v/>
      </c>
      <c r="AD210" t="str">
        <f>_xlfn.XLOOKUP(B:B,Disk_Pivot!G:G,Disk_Pivot!I:I)</f>
        <v>Yes</v>
      </c>
      <c r="AE210" t="str">
        <f>_xlfn.XLOOKUP(B210,Disk_Pivot!G:G,Disk_Pivot!N:N)</f>
        <v>Fail</v>
      </c>
    </row>
    <row r="211" spans="6:31">
      <c r="F211" t="str">
        <f>_xlfn.XLOOKUP(H211,Models!B:B,Models!F:F,"")</f>
        <v/>
      </c>
      <c r="K211">
        <f>_xlfn.XLOOKUP(B211,CPU_Formula!A:A,CPU_Formula!I:I)</f>
        <v>0</v>
      </c>
      <c r="L211" s="13" t="e">
        <f>INDEX(Input!$D$2:$AC$500,
       MATCH(B211, Input!$J$2:$J$500, 0),
       MATCH("Memory Capacity", Input!$D$1:$AC$1, 0))</f>
        <v>#N/A</v>
      </c>
      <c r="M211" s="13" t="e">
        <f>INDEX(Input!$D$2:$AC$500,
       MATCH(B211, Input!$J$2:$J$500, 0),
       MATCH("Memory Type", Input!$D$1:$AC$1, 0))</f>
        <v>#N/A</v>
      </c>
      <c r="N211" s="13" t="e">
        <f t="shared" si="9"/>
        <v>#N/A</v>
      </c>
      <c r="S211" s="13" t="str">
        <f>_xlfn.LET(_xlpm.Result,_xlfn.XLOOKUP(B211,Input!J:J,Input!AA:AA),IF(_xlpm.Result="","",_xlpm.Result))</f>
        <v/>
      </c>
      <c r="T211" s="13" t="str" cm="1">
        <f t="array" ref="T211">IFERROR(_xlfn.IFS(
   --S211&lt;55,"Battery Defect",
  -- S211&lt;=69,"Battery D",
  --S211&lt;=80,"Battery C",
 --S211&gt;80,""
),"")</f>
        <v/>
      </c>
      <c r="U211" s="13" t="str" cm="1">
        <f t="array" ref="U211:AB211">IFERROR(IF(_xlfn.XLOOKUP(B211,Input!J:J,Input!N:U)=0,"",
          _xlfn.XLOOKUP(B211,Input!J:J,Input!N:U)),"")</f>
        <v/>
      </c>
      <c r="V211" s="13" t="str">
        <v/>
      </c>
      <c r="W211" s="13" t="str">
        <v/>
      </c>
      <c r="X211" s="13" t="str">
        <v/>
      </c>
      <c r="Y211" s="13" t="str">
        <v/>
      </c>
      <c r="Z211" s="13" t="str">
        <v/>
      </c>
      <c r="AA211" s="13" t="str">
        <v/>
      </c>
      <c r="AB211" s="13" t="str">
        <v/>
      </c>
      <c r="AC211" t="str">
        <f t="shared" si="10"/>
        <v/>
      </c>
      <c r="AD211" t="str">
        <f>_xlfn.XLOOKUP(B:B,Disk_Pivot!G:G,Disk_Pivot!I:I)</f>
        <v>Yes</v>
      </c>
      <c r="AE211" t="str">
        <f>_xlfn.XLOOKUP(B211,Disk_Pivot!G:G,Disk_Pivot!N:N)</f>
        <v>Fail</v>
      </c>
    </row>
    <row r="212" spans="6:31">
      <c r="F212">
        <f>_xlfn.XLOOKUP(H212,Models!B:B,Models!F:F,"")</f>
        <v>0</v>
      </c>
      <c r="K212">
        <f>_xlfn.XLOOKUP(B212,CPU_Formula!A:A,CPU_Formula!I:I)</f>
        <v>0</v>
      </c>
      <c r="L212" s="13" t="e">
        <f>INDEX(Input!$D$2:$AC$500,
       MATCH(B212, Input!$J$2:$J$500, 0),
       MATCH("Memory Capacity", Input!$D$1:$AC$1, 0))</f>
        <v>#N/A</v>
      </c>
      <c r="M212" s="13" t="e">
        <f>INDEX(Input!$D$2:$AC$500,
       MATCH(B212, Input!$J$2:$J$500, 0),
       MATCH("Memory Type", Input!$D$1:$AC$1, 0))</f>
        <v>#N/A</v>
      </c>
      <c r="N212" s="13" t="e">
        <f t="shared" si="9"/>
        <v>#N/A</v>
      </c>
      <c r="S212" s="13" t="str">
        <f>_xlfn.LET(_xlpm.Result,_xlfn.XLOOKUP(B212,Input!J:J,Input!AA:AA),IF(_xlpm.Result="","",_xlpm.Result))</f>
        <v/>
      </c>
      <c r="T212" s="13" t="str" cm="1">
        <f t="array" ref="T212">IFERROR(_xlfn.IFS(
   --S212&lt;55,"Battery Defect",
  -- S212&lt;=69,"Battery D",
  --S212&lt;=80,"Battery C",
 --S212&gt;80,""
),"")</f>
        <v/>
      </c>
      <c r="U212" s="13" t="str" cm="1">
        <f t="array" ref="U212:AB212">IFERROR(IF(_xlfn.XLOOKUP(B212,Input!J:J,Input!N:U)=0,"",
          _xlfn.XLOOKUP(B212,Input!J:J,Input!N:U)),"")</f>
        <v/>
      </c>
      <c r="V212" s="13" t="str">
        <v/>
      </c>
      <c r="W212" s="13" t="str">
        <v/>
      </c>
      <c r="X212" s="13" t="str">
        <v/>
      </c>
      <c r="Y212" s="13" t="str">
        <v/>
      </c>
      <c r="Z212" s="13" t="str">
        <v/>
      </c>
      <c r="AA212" s="13" t="str">
        <v/>
      </c>
      <c r="AB212" s="13" t="str">
        <v/>
      </c>
      <c r="AC212" t="str">
        <f t="shared" si="10"/>
        <v/>
      </c>
      <c r="AD212" t="str">
        <f>_xlfn.XLOOKUP(B:B,Disk_Pivot!G:G,Disk_Pivot!I:I)</f>
        <v>Yes</v>
      </c>
      <c r="AE212" t="str">
        <f>_xlfn.XLOOKUP(B212,Disk_Pivot!G:G,Disk_Pivot!N:N)</f>
        <v>Fail</v>
      </c>
    </row>
    <row r="213" spans="6:31">
      <c r="F213" t="str">
        <f>_xlfn.XLOOKUP(H213,Models!B:B,Models!F:F,"")</f>
        <v/>
      </c>
      <c r="K213">
        <f>_xlfn.XLOOKUP(B213,CPU_Formula!A:A,CPU_Formula!I:I)</f>
        <v>0</v>
      </c>
      <c r="L213" s="13" t="e">
        <f>INDEX(Input!$D$2:$AC$500,
       MATCH(B213, Input!$J$2:$J$500, 0),
       MATCH("Memory Capacity", Input!$D$1:$AC$1, 0))</f>
        <v>#N/A</v>
      </c>
      <c r="M213" s="13" t="e">
        <f>INDEX(Input!$D$2:$AC$500,
       MATCH(B213, Input!$J$2:$J$500, 0),
       MATCH("Memory Type", Input!$D$1:$AC$1, 0))</f>
        <v>#N/A</v>
      </c>
      <c r="N213" s="13" t="e">
        <f t="shared" si="9"/>
        <v>#N/A</v>
      </c>
      <c r="S213" s="13" t="str">
        <f>_xlfn.LET(_xlpm.Result,_xlfn.XLOOKUP(B213,Input!J:J,Input!AA:AA),IF(_xlpm.Result="","",_xlpm.Result))</f>
        <v/>
      </c>
      <c r="T213" s="13" t="str" cm="1">
        <f t="array" ref="T213">IFERROR(_xlfn.IFS(
   --S213&lt;55,"Battery Defect",
  -- S213&lt;=69,"Battery D",
  --S213&lt;=80,"Battery C",
 --S213&gt;80,""
),"")</f>
        <v/>
      </c>
      <c r="U213" s="13" t="str" cm="1">
        <f t="array" ref="U213:AB213">IFERROR(IF(_xlfn.XLOOKUP(B213,Input!J:J,Input!N:U)=0,"",
          _xlfn.XLOOKUP(B213,Input!J:J,Input!N:U)),"")</f>
        <v/>
      </c>
      <c r="V213" s="13" t="str">
        <v/>
      </c>
      <c r="W213" s="13" t="str">
        <v/>
      </c>
      <c r="X213" s="13" t="str">
        <v/>
      </c>
      <c r="Y213" s="13" t="str">
        <v/>
      </c>
      <c r="Z213" s="13" t="str">
        <v/>
      </c>
      <c r="AA213" s="13" t="str">
        <v/>
      </c>
      <c r="AB213" s="13" t="str">
        <v/>
      </c>
      <c r="AC213" t="str">
        <f t="shared" si="10"/>
        <v/>
      </c>
      <c r="AD213" t="str">
        <f>_xlfn.XLOOKUP(B:B,Disk_Pivot!G:G,Disk_Pivot!I:I)</f>
        <v>Yes</v>
      </c>
      <c r="AE213" t="str">
        <f>_xlfn.XLOOKUP(B213,Disk_Pivot!G:G,Disk_Pivot!N:N)</f>
        <v>Fail</v>
      </c>
    </row>
    <row r="214" spans="6:31">
      <c r="F214" t="str">
        <f>_xlfn.XLOOKUP(H214,Models!B:B,Models!F:F,"")</f>
        <v/>
      </c>
      <c r="K214">
        <f>_xlfn.XLOOKUP(B214,CPU_Formula!A:A,CPU_Formula!I:I)</f>
        <v>0</v>
      </c>
      <c r="L214" s="13" t="e">
        <f>INDEX(Input!$D$2:$AC$500,
       MATCH(B214, Input!$J$2:$J$500, 0),
       MATCH("Memory Capacity", Input!$D$1:$AC$1, 0))</f>
        <v>#N/A</v>
      </c>
      <c r="M214" s="13" t="e">
        <f>INDEX(Input!$D$2:$AC$500,
       MATCH(B214, Input!$J$2:$J$500, 0),
       MATCH("Memory Type", Input!$D$1:$AC$1, 0))</f>
        <v>#N/A</v>
      </c>
      <c r="N214" s="13" t="e">
        <f t="shared" si="9"/>
        <v>#N/A</v>
      </c>
      <c r="S214" s="13" t="str">
        <f>_xlfn.LET(_xlpm.Result,_xlfn.XLOOKUP(B214,Input!J:J,Input!AA:AA),IF(_xlpm.Result="","",_xlpm.Result))</f>
        <v/>
      </c>
      <c r="T214" s="13" t="str" cm="1">
        <f t="array" ref="T214">IFERROR(_xlfn.IFS(
   --S214&lt;55,"Battery Defect",
  -- S214&lt;=69,"Battery D",
  --S214&lt;=80,"Battery C",
 --S214&gt;80,""
),"")</f>
        <v/>
      </c>
      <c r="U214" s="13" t="str" cm="1">
        <f t="array" ref="U214:AB214">IFERROR(IF(_xlfn.XLOOKUP(B214,Input!J:J,Input!N:U)=0,"",
          _xlfn.XLOOKUP(B214,Input!J:J,Input!N:U)),"")</f>
        <v/>
      </c>
      <c r="V214" s="13" t="str">
        <v/>
      </c>
      <c r="W214" s="13" t="str">
        <v/>
      </c>
      <c r="X214" s="13" t="str">
        <v/>
      </c>
      <c r="Y214" s="13" t="str">
        <v/>
      </c>
      <c r="Z214" s="13" t="str">
        <v/>
      </c>
      <c r="AA214" s="13" t="str">
        <v/>
      </c>
      <c r="AB214" s="13" t="str">
        <v/>
      </c>
      <c r="AC214" t="str">
        <f t="shared" si="10"/>
        <v/>
      </c>
      <c r="AD214" t="str">
        <f>_xlfn.XLOOKUP(B:B,Disk_Pivot!G:G,Disk_Pivot!I:I)</f>
        <v>Yes</v>
      </c>
      <c r="AE214" t="str">
        <f>_xlfn.XLOOKUP(B214,Disk_Pivot!G:G,Disk_Pivot!N:N)</f>
        <v>Fail</v>
      </c>
    </row>
    <row r="215" spans="6:31">
      <c r="F215">
        <f>_xlfn.XLOOKUP(H215,Models!B:B,Models!F:F,"")</f>
        <v>0</v>
      </c>
      <c r="K215">
        <f>_xlfn.XLOOKUP(B215,CPU_Formula!A:A,CPU_Formula!I:I)</f>
        <v>0</v>
      </c>
      <c r="L215" s="13" t="e">
        <f>INDEX(Input!$D$2:$AC$500,
       MATCH(B215, Input!$J$2:$J$500, 0),
       MATCH("Memory Capacity", Input!$D$1:$AC$1, 0))</f>
        <v>#N/A</v>
      </c>
      <c r="M215" s="13" t="e">
        <f>INDEX(Input!$D$2:$AC$500,
       MATCH(B215, Input!$J$2:$J$500, 0),
       MATCH("Memory Type", Input!$D$1:$AC$1, 0))</f>
        <v>#N/A</v>
      </c>
      <c r="N215" s="13" t="e">
        <f t="shared" si="9"/>
        <v>#N/A</v>
      </c>
      <c r="S215" s="13" t="str">
        <f>_xlfn.LET(_xlpm.Result,_xlfn.XLOOKUP(B215,Input!J:J,Input!AA:AA),IF(_xlpm.Result="","",_xlpm.Result))</f>
        <v/>
      </c>
      <c r="T215" s="13" t="str" cm="1">
        <f t="array" ref="T215">IFERROR(_xlfn.IFS(
   --S215&lt;55,"Battery Defect",
  -- S215&lt;=69,"Battery D",
  --S215&lt;=80,"Battery C",
 --S215&gt;80,""
),"")</f>
        <v/>
      </c>
      <c r="U215" s="13" t="str" cm="1">
        <f t="array" ref="U215:AB215">IFERROR(IF(_xlfn.XLOOKUP(B215,Input!J:J,Input!N:U)=0,"",
          _xlfn.XLOOKUP(B215,Input!J:J,Input!N:U)),"")</f>
        <v/>
      </c>
      <c r="V215" s="13" t="str">
        <v/>
      </c>
      <c r="W215" s="13" t="str">
        <v/>
      </c>
      <c r="X215" s="13" t="str">
        <v/>
      </c>
      <c r="Y215" s="13" t="str">
        <v/>
      </c>
      <c r="Z215" s="13" t="str">
        <v/>
      </c>
      <c r="AA215" s="13" t="str">
        <v/>
      </c>
      <c r="AB215" s="13" t="str">
        <v/>
      </c>
      <c r="AC215" t="str">
        <f t="shared" si="10"/>
        <v/>
      </c>
      <c r="AD215" t="str">
        <f>_xlfn.XLOOKUP(B:B,Disk_Pivot!G:G,Disk_Pivot!I:I)</f>
        <v>Yes</v>
      </c>
      <c r="AE215" t="str">
        <f>_xlfn.XLOOKUP(B215,Disk_Pivot!G:G,Disk_Pivot!N:N)</f>
        <v>Fail</v>
      </c>
    </row>
    <row r="216" spans="6:31">
      <c r="F216" t="str">
        <f>_xlfn.XLOOKUP(H216,Models!B:B,Models!F:F,"")</f>
        <v/>
      </c>
      <c r="K216">
        <f>_xlfn.XLOOKUP(B216,CPU_Formula!A:A,CPU_Formula!I:I)</f>
        <v>0</v>
      </c>
      <c r="L216" s="13" t="e">
        <f>INDEX(Input!$D$2:$AC$500,
       MATCH(B216, Input!$J$2:$J$500, 0),
       MATCH("Memory Capacity", Input!$D$1:$AC$1, 0))</f>
        <v>#N/A</v>
      </c>
      <c r="M216" s="13" t="e">
        <f>INDEX(Input!$D$2:$AC$500,
       MATCH(B216, Input!$J$2:$J$500, 0),
       MATCH("Memory Type", Input!$D$1:$AC$1, 0))</f>
        <v>#N/A</v>
      </c>
      <c r="N216" s="13" t="e">
        <f t="shared" si="9"/>
        <v>#N/A</v>
      </c>
      <c r="S216" s="13" t="str">
        <f>_xlfn.LET(_xlpm.Result,_xlfn.XLOOKUP(B216,Input!J:J,Input!AA:AA),IF(_xlpm.Result="","",_xlpm.Result))</f>
        <v/>
      </c>
      <c r="T216" s="13" t="str" cm="1">
        <f t="array" ref="T216">IFERROR(_xlfn.IFS(
   --S216&lt;55,"Battery Defect",
  -- S216&lt;=69,"Battery D",
  --S216&lt;=80,"Battery C",
 --S216&gt;80,""
),"")</f>
        <v/>
      </c>
      <c r="U216" s="13" t="str" cm="1">
        <f t="array" ref="U216:AB216">IFERROR(IF(_xlfn.XLOOKUP(B216,Input!J:J,Input!N:U)=0,"",
          _xlfn.XLOOKUP(B216,Input!J:J,Input!N:U)),"")</f>
        <v/>
      </c>
      <c r="V216" s="13" t="str">
        <v/>
      </c>
      <c r="W216" s="13" t="str">
        <v/>
      </c>
      <c r="X216" s="13" t="str">
        <v/>
      </c>
      <c r="Y216" s="13" t="str">
        <v/>
      </c>
      <c r="Z216" s="13" t="str">
        <v/>
      </c>
      <c r="AA216" s="13" t="str">
        <v/>
      </c>
      <c r="AB216" s="13" t="str">
        <v/>
      </c>
      <c r="AC216" t="str">
        <f t="shared" si="10"/>
        <v/>
      </c>
      <c r="AD216" t="str">
        <f>_xlfn.XLOOKUP(B:B,Disk_Pivot!G:G,Disk_Pivot!I:I)</f>
        <v>Yes</v>
      </c>
      <c r="AE216" t="str">
        <f>_xlfn.XLOOKUP(B216,Disk_Pivot!G:G,Disk_Pivot!N:N)</f>
        <v>Fail</v>
      </c>
    </row>
    <row r="217" spans="6:31">
      <c r="F217" t="str">
        <f>_xlfn.XLOOKUP(H217,Models!B:B,Models!F:F,"")</f>
        <v/>
      </c>
      <c r="K217">
        <f>_xlfn.XLOOKUP(B217,CPU_Formula!A:A,CPU_Formula!I:I)</f>
        <v>0</v>
      </c>
      <c r="L217" s="13" t="e">
        <f>INDEX(Input!$D$2:$AC$500,
       MATCH(B217, Input!$J$2:$J$500, 0),
       MATCH("Memory Capacity", Input!$D$1:$AC$1, 0))</f>
        <v>#N/A</v>
      </c>
      <c r="M217" s="13" t="e">
        <f>INDEX(Input!$D$2:$AC$500,
       MATCH(B217, Input!$J$2:$J$500, 0),
       MATCH("Memory Type", Input!$D$1:$AC$1, 0))</f>
        <v>#N/A</v>
      </c>
      <c r="N217" s="13" t="e">
        <f t="shared" si="9"/>
        <v>#N/A</v>
      </c>
      <c r="S217" s="13" t="str">
        <f>_xlfn.LET(_xlpm.Result,_xlfn.XLOOKUP(B217,Input!J:J,Input!AA:AA),IF(_xlpm.Result="","",_xlpm.Result))</f>
        <v/>
      </c>
      <c r="T217" s="13" t="str" cm="1">
        <f t="array" ref="T217">IFERROR(_xlfn.IFS(
   --S217&lt;55,"Battery Defect",
  -- S217&lt;=69,"Battery D",
  --S217&lt;=80,"Battery C",
 --S217&gt;80,""
),"")</f>
        <v/>
      </c>
      <c r="U217" s="13" t="str" cm="1">
        <f t="array" ref="U217:AB217">IFERROR(IF(_xlfn.XLOOKUP(B217,Input!J:J,Input!N:U)=0,"",
          _xlfn.XLOOKUP(B217,Input!J:J,Input!N:U)),"")</f>
        <v/>
      </c>
      <c r="V217" s="13" t="str">
        <v/>
      </c>
      <c r="W217" s="13" t="str">
        <v/>
      </c>
      <c r="X217" s="13" t="str">
        <v/>
      </c>
      <c r="Y217" s="13" t="str">
        <v/>
      </c>
      <c r="Z217" s="13" t="str">
        <v/>
      </c>
      <c r="AA217" s="13" t="str">
        <v/>
      </c>
      <c r="AB217" s="13" t="str">
        <v/>
      </c>
      <c r="AC217" t="str">
        <f t="shared" si="10"/>
        <v/>
      </c>
      <c r="AD217" t="str">
        <f>_xlfn.XLOOKUP(B:B,Disk_Pivot!G:G,Disk_Pivot!I:I)</f>
        <v>Yes</v>
      </c>
      <c r="AE217" t="str">
        <f>_xlfn.XLOOKUP(B217,Disk_Pivot!G:G,Disk_Pivot!N:N)</f>
        <v>Fail</v>
      </c>
    </row>
    <row r="218" spans="6:31">
      <c r="F218">
        <f>_xlfn.XLOOKUP(H218,Models!B:B,Models!F:F,"")</f>
        <v>0</v>
      </c>
      <c r="K218">
        <f>_xlfn.XLOOKUP(B218,CPU_Formula!A:A,CPU_Formula!I:I)</f>
        <v>0</v>
      </c>
      <c r="L218" s="13" t="e">
        <f>INDEX(Input!$D$2:$AC$500,
       MATCH(B218, Input!$J$2:$J$500, 0),
       MATCH("Memory Capacity", Input!$D$1:$AC$1, 0))</f>
        <v>#N/A</v>
      </c>
      <c r="M218" s="13" t="e">
        <f>INDEX(Input!$D$2:$AC$500,
       MATCH(B218, Input!$J$2:$J$500, 0),
       MATCH("Memory Type", Input!$D$1:$AC$1, 0))</f>
        <v>#N/A</v>
      </c>
      <c r="N218" s="13" t="e">
        <f t="shared" si="9"/>
        <v>#N/A</v>
      </c>
      <c r="S218" s="13" t="str">
        <f>_xlfn.LET(_xlpm.Result,_xlfn.XLOOKUP(B218,Input!J:J,Input!AA:AA),IF(_xlpm.Result="","",_xlpm.Result))</f>
        <v/>
      </c>
      <c r="T218" s="13" t="str" cm="1">
        <f t="array" ref="T218">IFERROR(_xlfn.IFS(
   --S218&lt;55,"Battery Defect",
  -- S218&lt;=69,"Battery D",
  --S218&lt;=80,"Battery C",
 --S218&gt;80,""
),"")</f>
        <v/>
      </c>
      <c r="U218" s="13" t="str" cm="1">
        <f t="array" ref="U218:AB218">IFERROR(IF(_xlfn.XLOOKUP(B218,Input!J:J,Input!N:U)=0,"",
          _xlfn.XLOOKUP(B218,Input!J:J,Input!N:U)),"")</f>
        <v/>
      </c>
      <c r="V218" s="13" t="str">
        <v/>
      </c>
      <c r="W218" s="13" t="str">
        <v/>
      </c>
      <c r="X218" s="13" t="str">
        <v/>
      </c>
      <c r="Y218" s="13" t="str">
        <v/>
      </c>
      <c r="Z218" s="13" t="str">
        <v/>
      </c>
      <c r="AA218" s="13" t="str">
        <v/>
      </c>
      <c r="AB218" s="13" t="str">
        <v/>
      </c>
      <c r="AC218" t="str">
        <f t="shared" si="10"/>
        <v/>
      </c>
      <c r="AD218" t="str">
        <f>_xlfn.XLOOKUP(B:B,Disk_Pivot!G:G,Disk_Pivot!I:I)</f>
        <v>Yes</v>
      </c>
      <c r="AE218" t="str">
        <f>_xlfn.XLOOKUP(B218,Disk_Pivot!G:G,Disk_Pivot!N:N)</f>
        <v>Fail</v>
      </c>
    </row>
    <row r="219" spans="6:31">
      <c r="F219" t="str">
        <f>_xlfn.XLOOKUP(H219,Models!B:B,Models!F:F,"")</f>
        <v/>
      </c>
      <c r="K219">
        <f>_xlfn.XLOOKUP(B219,CPU_Formula!A:A,CPU_Formula!I:I)</f>
        <v>0</v>
      </c>
      <c r="L219" s="13" t="e">
        <f>INDEX(Input!$D$2:$AC$500,
       MATCH(B219, Input!$J$2:$J$500, 0),
       MATCH("Memory Capacity", Input!$D$1:$AC$1, 0))</f>
        <v>#N/A</v>
      </c>
      <c r="M219" s="13" t="e">
        <f>INDEX(Input!$D$2:$AC$500,
       MATCH(B219, Input!$J$2:$J$500, 0),
       MATCH("Memory Type", Input!$D$1:$AC$1, 0))</f>
        <v>#N/A</v>
      </c>
      <c r="N219" s="13" t="e">
        <f t="shared" si="9"/>
        <v>#N/A</v>
      </c>
      <c r="S219" s="13" t="str">
        <f>_xlfn.LET(_xlpm.Result,_xlfn.XLOOKUP(B219,Input!J:J,Input!AA:AA),IF(_xlpm.Result="","",_xlpm.Result))</f>
        <v/>
      </c>
      <c r="T219" s="13" t="str" cm="1">
        <f t="array" ref="T219">IFERROR(_xlfn.IFS(
   --S219&lt;55,"Battery Defect",
  -- S219&lt;=69,"Battery D",
  --S219&lt;=80,"Battery C",
 --S219&gt;80,""
),"")</f>
        <v/>
      </c>
      <c r="U219" s="13" t="str" cm="1">
        <f t="array" ref="U219:AB219">IFERROR(IF(_xlfn.XLOOKUP(B219,Input!J:J,Input!N:U)=0,"",
          _xlfn.XLOOKUP(B219,Input!J:J,Input!N:U)),"")</f>
        <v/>
      </c>
      <c r="V219" s="13" t="str">
        <v/>
      </c>
      <c r="W219" s="13" t="str">
        <v/>
      </c>
      <c r="X219" s="13" t="str">
        <v/>
      </c>
      <c r="Y219" s="13" t="str">
        <v/>
      </c>
      <c r="Z219" s="13" t="str">
        <v/>
      </c>
      <c r="AA219" s="13" t="str">
        <v/>
      </c>
      <c r="AB219" s="13" t="str">
        <v/>
      </c>
      <c r="AC219" t="str">
        <f t="shared" si="10"/>
        <v/>
      </c>
      <c r="AD219" t="str">
        <f>_xlfn.XLOOKUP(B:B,Disk_Pivot!G:G,Disk_Pivot!I:I)</f>
        <v>Yes</v>
      </c>
      <c r="AE219" t="str">
        <f>_xlfn.XLOOKUP(B219,Disk_Pivot!G:G,Disk_Pivot!N:N)</f>
        <v>Fail</v>
      </c>
    </row>
    <row r="220" spans="6:31">
      <c r="F220" t="str">
        <f>_xlfn.XLOOKUP(H220,Models!B:B,Models!F:F,"")</f>
        <v/>
      </c>
      <c r="K220">
        <f>_xlfn.XLOOKUP(B220,CPU_Formula!A:A,CPU_Formula!I:I)</f>
        <v>0</v>
      </c>
      <c r="L220" s="13" t="e">
        <f>INDEX(Input!$D$2:$AC$500,
       MATCH(B220, Input!$J$2:$J$500, 0),
       MATCH("Memory Capacity", Input!$D$1:$AC$1, 0))</f>
        <v>#N/A</v>
      </c>
      <c r="M220" s="13" t="e">
        <f>INDEX(Input!$D$2:$AC$500,
       MATCH(B220, Input!$J$2:$J$500, 0),
       MATCH("Memory Type", Input!$D$1:$AC$1, 0))</f>
        <v>#N/A</v>
      </c>
      <c r="N220" s="13" t="e">
        <f t="shared" si="9"/>
        <v>#N/A</v>
      </c>
      <c r="S220" s="13" t="str">
        <f>_xlfn.LET(_xlpm.Result,_xlfn.XLOOKUP(B220,Input!J:J,Input!AA:AA),IF(_xlpm.Result="","",_xlpm.Result))</f>
        <v/>
      </c>
      <c r="T220" s="13" t="str" cm="1">
        <f t="array" ref="T220">IFERROR(_xlfn.IFS(
   --S220&lt;55,"Battery Defect",
  -- S220&lt;=69,"Battery D",
  --S220&lt;=80,"Battery C",
 --S220&gt;80,""
),"")</f>
        <v/>
      </c>
      <c r="U220" s="13" t="str" cm="1">
        <f t="array" ref="U220:AB220">IFERROR(IF(_xlfn.XLOOKUP(B220,Input!J:J,Input!N:U)=0,"",
          _xlfn.XLOOKUP(B220,Input!J:J,Input!N:U)),"")</f>
        <v/>
      </c>
      <c r="V220" s="13" t="str">
        <v/>
      </c>
      <c r="W220" s="13" t="str">
        <v/>
      </c>
      <c r="X220" s="13" t="str">
        <v/>
      </c>
      <c r="Y220" s="13" t="str">
        <v/>
      </c>
      <c r="Z220" s="13" t="str">
        <v/>
      </c>
      <c r="AA220" s="13" t="str">
        <v/>
      </c>
      <c r="AB220" s="13" t="str">
        <v/>
      </c>
      <c r="AC220" t="str">
        <f t="shared" si="10"/>
        <v/>
      </c>
      <c r="AD220" t="str">
        <f>_xlfn.XLOOKUP(B:B,Disk_Pivot!G:G,Disk_Pivot!I:I)</f>
        <v>Yes</v>
      </c>
      <c r="AE220" t="str">
        <f>_xlfn.XLOOKUP(B220,Disk_Pivot!G:G,Disk_Pivot!N:N)</f>
        <v>Fail</v>
      </c>
    </row>
    <row r="221" spans="6:31">
      <c r="F221">
        <f>_xlfn.XLOOKUP(H221,Models!B:B,Models!F:F,"")</f>
        <v>0</v>
      </c>
      <c r="K221">
        <f>_xlfn.XLOOKUP(B221,CPU_Formula!A:A,CPU_Formula!I:I)</f>
        <v>0</v>
      </c>
      <c r="L221" s="13" t="e">
        <f>INDEX(Input!$D$2:$AC$500,
       MATCH(B221, Input!$J$2:$J$500, 0),
       MATCH("Memory Capacity", Input!$D$1:$AC$1, 0))</f>
        <v>#N/A</v>
      </c>
      <c r="M221" s="13" t="e">
        <f>INDEX(Input!$D$2:$AC$500,
       MATCH(B221, Input!$J$2:$J$500, 0),
       MATCH("Memory Type", Input!$D$1:$AC$1, 0))</f>
        <v>#N/A</v>
      </c>
      <c r="N221" s="13" t="e">
        <f t="shared" si="9"/>
        <v>#N/A</v>
      </c>
      <c r="S221" s="13" t="str">
        <f>_xlfn.LET(_xlpm.Result,_xlfn.XLOOKUP(B221,Input!J:J,Input!AA:AA),IF(_xlpm.Result="","",_xlpm.Result))</f>
        <v/>
      </c>
      <c r="T221" s="13" t="str" cm="1">
        <f t="array" ref="T221">IFERROR(_xlfn.IFS(
   --S221&lt;55,"Battery Defect",
  -- S221&lt;=69,"Battery D",
  --S221&lt;=80,"Battery C",
 --S221&gt;80,""
),"")</f>
        <v/>
      </c>
      <c r="U221" s="13" t="str" cm="1">
        <f t="array" ref="U221:AB221">IFERROR(IF(_xlfn.XLOOKUP(B221,Input!J:J,Input!N:U)=0,"",
          _xlfn.XLOOKUP(B221,Input!J:J,Input!N:U)),"")</f>
        <v/>
      </c>
      <c r="V221" s="13" t="str">
        <v/>
      </c>
      <c r="W221" s="13" t="str">
        <v/>
      </c>
      <c r="X221" s="13" t="str">
        <v/>
      </c>
      <c r="Y221" s="13" t="str">
        <v/>
      </c>
      <c r="Z221" s="13" t="str">
        <v/>
      </c>
      <c r="AA221" s="13" t="str">
        <v/>
      </c>
      <c r="AB221" s="13" t="str">
        <v/>
      </c>
      <c r="AC221" t="str">
        <f t="shared" si="10"/>
        <v/>
      </c>
      <c r="AD221" t="str">
        <f>_xlfn.XLOOKUP(B:B,Disk_Pivot!G:G,Disk_Pivot!I:I)</f>
        <v>Yes</v>
      </c>
      <c r="AE221" t="str">
        <f>_xlfn.XLOOKUP(B221,Disk_Pivot!G:G,Disk_Pivot!N:N)</f>
        <v>Fail</v>
      </c>
    </row>
    <row r="222" spans="6:31">
      <c r="F222" t="str">
        <f>_xlfn.XLOOKUP(H222,Models!B:B,Models!F:F,"")</f>
        <v/>
      </c>
      <c r="K222">
        <f>_xlfn.XLOOKUP(B222,CPU_Formula!A:A,CPU_Formula!I:I)</f>
        <v>0</v>
      </c>
      <c r="L222" s="13" t="e">
        <f>INDEX(Input!$D$2:$AC$500,
       MATCH(B222, Input!$J$2:$J$500, 0),
       MATCH("Memory Capacity", Input!$D$1:$AC$1, 0))</f>
        <v>#N/A</v>
      </c>
      <c r="M222" s="13" t="e">
        <f>INDEX(Input!$D$2:$AC$500,
       MATCH(B222, Input!$J$2:$J$500, 0),
       MATCH("Memory Type", Input!$D$1:$AC$1, 0))</f>
        <v>#N/A</v>
      </c>
      <c r="N222" s="13" t="e">
        <f t="shared" si="9"/>
        <v>#N/A</v>
      </c>
      <c r="S222" s="13" t="str">
        <f>_xlfn.LET(_xlpm.Result,_xlfn.XLOOKUP(B222,Input!J:J,Input!AA:AA),IF(_xlpm.Result="","",_xlpm.Result))</f>
        <v/>
      </c>
      <c r="T222" s="13" t="str" cm="1">
        <f t="array" ref="T222">IFERROR(_xlfn.IFS(
   --S222&lt;55,"Battery Defect",
  -- S222&lt;=69,"Battery D",
  --S222&lt;=80,"Battery C",
 --S222&gt;80,""
),"")</f>
        <v/>
      </c>
      <c r="U222" s="13" t="str" cm="1">
        <f t="array" ref="U222:AB222">IFERROR(IF(_xlfn.XLOOKUP(B222,Input!J:J,Input!N:U)=0,"",
          _xlfn.XLOOKUP(B222,Input!J:J,Input!N:U)),"")</f>
        <v/>
      </c>
      <c r="V222" s="13" t="str">
        <v/>
      </c>
      <c r="W222" s="13" t="str">
        <v/>
      </c>
      <c r="X222" s="13" t="str">
        <v/>
      </c>
      <c r="Y222" s="13" t="str">
        <v/>
      </c>
      <c r="Z222" s="13" t="str">
        <v/>
      </c>
      <c r="AA222" s="13" t="str">
        <v/>
      </c>
      <c r="AB222" s="13" t="str">
        <v/>
      </c>
      <c r="AC222" t="str">
        <f t="shared" si="10"/>
        <v/>
      </c>
      <c r="AD222" t="str">
        <f>_xlfn.XLOOKUP(B:B,Disk_Pivot!G:G,Disk_Pivot!I:I)</f>
        <v>Yes</v>
      </c>
      <c r="AE222" t="str">
        <f>_xlfn.XLOOKUP(B222,Disk_Pivot!G:G,Disk_Pivot!N:N)</f>
        <v>Fail</v>
      </c>
    </row>
    <row r="223" spans="6:31">
      <c r="F223" t="str">
        <f>_xlfn.XLOOKUP(H223,Models!B:B,Models!F:F,"")</f>
        <v/>
      </c>
      <c r="K223">
        <f>_xlfn.XLOOKUP(B223,CPU_Formula!A:A,CPU_Formula!I:I)</f>
        <v>0</v>
      </c>
      <c r="L223" s="13" t="e">
        <f>INDEX(Input!$D$2:$AC$500,
       MATCH(B223, Input!$J$2:$J$500, 0),
       MATCH("Memory Capacity", Input!$D$1:$AC$1, 0))</f>
        <v>#N/A</v>
      </c>
      <c r="M223" s="13" t="e">
        <f>INDEX(Input!$D$2:$AC$500,
       MATCH(B223, Input!$J$2:$J$500, 0),
       MATCH("Memory Type", Input!$D$1:$AC$1, 0))</f>
        <v>#N/A</v>
      </c>
      <c r="N223" s="13" t="e">
        <f t="shared" si="9"/>
        <v>#N/A</v>
      </c>
      <c r="S223" s="13" t="str">
        <f>_xlfn.LET(_xlpm.Result,_xlfn.XLOOKUP(B223,Input!J:J,Input!AA:AA),IF(_xlpm.Result="","",_xlpm.Result))</f>
        <v/>
      </c>
      <c r="T223" s="13" t="str" cm="1">
        <f t="array" ref="T223">IFERROR(_xlfn.IFS(
   --S223&lt;55,"Battery Defect",
  -- S223&lt;=69,"Battery D",
  --S223&lt;=80,"Battery C",
 --S223&gt;80,""
),"")</f>
        <v/>
      </c>
      <c r="U223" s="13" t="str" cm="1">
        <f t="array" ref="U223:AB223">IFERROR(IF(_xlfn.XLOOKUP(B223,Input!J:J,Input!N:U)=0,"",
          _xlfn.XLOOKUP(B223,Input!J:J,Input!N:U)),"")</f>
        <v/>
      </c>
      <c r="V223" s="13" t="str">
        <v/>
      </c>
      <c r="W223" s="13" t="str">
        <v/>
      </c>
      <c r="X223" s="13" t="str">
        <v/>
      </c>
      <c r="Y223" s="13" t="str">
        <v/>
      </c>
      <c r="Z223" s="13" t="str">
        <v/>
      </c>
      <c r="AA223" s="13" t="str">
        <v/>
      </c>
      <c r="AB223" s="13" t="str">
        <v/>
      </c>
      <c r="AC223" t="str">
        <f t="shared" si="10"/>
        <v/>
      </c>
      <c r="AD223" t="str">
        <f>_xlfn.XLOOKUP(B:B,Disk_Pivot!G:G,Disk_Pivot!I:I)</f>
        <v>Yes</v>
      </c>
      <c r="AE223" t="str">
        <f>_xlfn.XLOOKUP(B223,Disk_Pivot!G:G,Disk_Pivot!N:N)</f>
        <v>Fail</v>
      </c>
    </row>
    <row r="224" spans="6:31">
      <c r="F224">
        <f>_xlfn.XLOOKUP(H224,Models!B:B,Models!F:F,"")</f>
        <v>0</v>
      </c>
      <c r="K224">
        <f>_xlfn.XLOOKUP(B224,CPU_Formula!A:A,CPU_Formula!I:I)</f>
        <v>0</v>
      </c>
      <c r="L224" s="13" t="e">
        <f>INDEX(Input!$D$2:$AC$500,
       MATCH(B224, Input!$J$2:$J$500, 0),
       MATCH("Memory Capacity", Input!$D$1:$AC$1, 0))</f>
        <v>#N/A</v>
      </c>
      <c r="M224" s="13" t="e">
        <f>INDEX(Input!$D$2:$AC$500,
       MATCH(B224, Input!$J$2:$J$500, 0),
       MATCH("Memory Type", Input!$D$1:$AC$1, 0))</f>
        <v>#N/A</v>
      </c>
      <c r="N224" s="13" t="e">
        <f t="shared" si="9"/>
        <v>#N/A</v>
      </c>
      <c r="S224" s="13" t="str">
        <f>_xlfn.LET(_xlpm.Result,_xlfn.XLOOKUP(B224,Input!J:J,Input!AA:AA),IF(_xlpm.Result="","",_xlpm.Result))</f>
        <v/>
      </c>
      <c r="T224" s="13" t="str" cm="1">
        <f t="array" ref="T224">IFERROR(_xlfn.IFS(
   --S224&lt;55,"Battery Defect",
  -- S224&lt;=69,"Battery D",
  --S224&lt;=80,"Battery C",
 --S224&gt;80,""
),"")</f>
        <v/>
      </c>
      <c r="U224" s="13" t="str" cm="1">
        <f t="array" ref="U224:AB224">IFERROR(IF(_xlfn.XLOOKUP(B224,Input!J:J,Input!N:U)=0,"",
          _xlfn.XLOOKUP(B224,Input!J:J,Input!N:U)),"")</f>
        <v/>
      </c>
      <c r="V224" s="13" t="str">
        <v/>
      </c>
      <c r="W224" s="13" t="str">
        <v/>
      </c>
      <c r="X224" s="13" t="str">
        <v/>
      </c>
      <c r="Y224" s="13" t="str">
        <v/>
      </c>
      <c r="Z224" s="13" t="str">
        <v/>
      </c>
      <c r="AA224" s="13" t="str">
        <v/>
      </c>
      <c r="AB224" s="13" t="str">
        <v/>
      </c>
      <c r="AC224" t="str">
        <f t="shared" si="10"/>
        <v/>
      </c>
      <c r="AD224" t="str">
        <f>_xlfn.XLOOKUP(B:B,Disk_Pivot!G:G,Disk_Pivot!I:I)</f>
        <v>Yes</v>
      </c>
      <c r="AE224" t="str">
        <f>_xlfn.XLOOKUP(B224,Disk_Pivot!G:G,Disk_Pivot!N:N)</f>
        <v>Fail</v>
      </c>
    </row>
    <row r="225" spans="6:31">
      <c r="F225" t="str">
        <f>_xlfn.XLOOKUP(H225,Models!B:B,Models!F:F,"")</f>
        <v/>
      </c>
      <c r="K225">
        <f>_xlfn.XLOOKUP(B225,CPU_Formula!A:A,CPU_Formula!I:I)</f>
        <v>0</v>
      </c>
      <c r="L225" s="13" t="e">
        <f>INDEX(Input!$D$2:$AC$500,
       MATCH(B225, Input!$J$2:$J$500, 0),
       MATCH("Memory Capacity", Input!$D$1:$AC$1, 0))</f>
        <v>#N/A</v>
      </c>
      <c r="M225" s="13" t="e">
        <f>INDEX(Input!$D$2:$AC$500,
       MATCH(B225, Input!$J$2:$J$500, 0),
       MATCH("Memory Type", Input!$D$1:$AC$1, 0))</f>
        <v>#N/A</v>
      </c>
      <c r="N225" s="13" t="e">
        <f t="shared" si="9"/>
        <v>#N/A</v>
      </c>
      <c r="S225" s="13" t="str">
        <f>_xlfn.LET(_xlpm.Result,_xlfn.XLOOKUP(B225,Input!J:J,Input!AA:AA),IF(_xlpm.Result="","",_xlpm.Result))</f>
        <v/>
      </c>
      <c r="T225" s="13" t="str" cm="1">
        <f t="array" ref="T225">IFERROR(_xlfn.IFS(
   --S225&lt;55,"Battery Defect",
  -- S225&lt;=69,"Battery D",
  --S225&lt;=80,"Battery C",
 --S225&gt;80,""
),"")</f>
        <v/>
      </c>
      <c r="U225" s="13" t="str" cm="1">
        <f t="array" ref="U225:AB225">IFERROR(IF(_xlfn.XLOOKUP(B225,Input!J:J,Input!N:U)=0,"",
          _xlfn.XLOOKUP(B225,Input!J:J,Input!N:U)),"")</f>
        <v/>
      </c>
      <c r="V225" s="13" t="str">
        <v/>
      </c>
      <c r="W225" s="13" t="str">
        <v/>
      </c>
      <c r="X225" s="13" t="str">
        <v/>
      </c>
      <c r="Y225" s="13" t="str">
        <v/>
      </c>
      <c r="Z225" s="13" t="str">
        <v/>
      </c>
      <c r="AA225" s="13" t="str">
        <v/>
      </c>
      <c r="AB225" s="13" t="str">
        <v/>
      </c>
      <c r="AC225" t="str">
        <f t="shared" si="10"/>
        <v/>
      </c>
      <c r="AD225" t="str">
        <f>_xlfn.XLOOKUP(B:B,Disk_Pivot!G:G,Disk_Pivot!I:I)</f>
        <v>Yes</v>
      </c>
      <c r="AE225" t="str">
        <f>_xlfn.XLOOKUP(B225,Disk_Pivot!G:G,Disk_Pivot!N:N)</f>
        <v>Fail</v>
      </c>
    </row>
    <row r="226" spans="6:31">
      <c r="F226" t="str">
        <f>_xlfn.XLOOKUP(H226,Models!B:B,Models!F:F,"")</f>
        <v/>
      </c>
      <c r="K226">
        <f>_xlfn.XLOOKUP(B226,CPU_Formula!A:A,CPU_Formula!I:I)</f>
        <v>0</v>
      </c>
      <c r="L226" s="13" t="e">
        <f>INDEX(Input!$D$2:$AC$500,
       MATCH(B226, Input!$J$2:$J$500, 0),
       MATCH("Memory Capacity", Input!$D$1:$AC$1, 0))</f>
        <v>#N/A</v>
      </c>
      <c r="M226" s="13" t="e">
        <f>INDEX(Input!$D$2:$AC$500,
       MATCH(B226, Input!$J$2:$J$500, 0),
       MATCH("Memory Type", Input!$D$1:$AC$1, 0))</f>
        <v>#N/A</v>
      </c>
      <c r="N226" s="13" t="e">
        <f t="shared" si="9"/>
        <v>#N/A</v>
      </c>
      <c r="S226" s="13" t="str">
        <f>_xlfn.LET(_xlpm.Result,_xlfn.XLOOKUP(B226,Input!J:J,Input!AA:AA),IF(_xlpm.Result="","",_xlpm.Result))</f>
        <v/>
      </c>
      <c r="T226" s="13" t="str" cm="1">
        <f t="array" ref="T226">IFERROR(_xlfn.IFS(
   --S226&lt;55,"Battery Defect",
  -- S226&lt;=69,"Battery D",
  --S226&lt;=80,"Battery C",
 --S226&gt;80,""
),"")</f>
        <v/>
      </c>
      <c r="U226" s="13" t="str" cm="1">
        <f t="array" ref="U226:AB226">IFERROR(IF(_xlfn.XLOOKUP(B226,Input!J:J,Input!N:U)=0,"",
          _xlfn.XLOOKUP(B226,Input!J:J,Input!N:U)),"")</f>
        <v/>
      </c>
      <c r="V226" s="13" t="str">
        <v/>
      </c>
      <c r="W226" s="13" t="str">
        <v/>
      </c>
      <c r="X226" s="13" t="str">
        <v/>
      </c>
      <c r="Y226" s="13" t="str">
        <v/>
      </c>
      <c r="Z226" s="13" t="str">
        <v/>
      </c>
      <c r="AA226" s="13" t="str">
        <v/>
      </c>
      <c r="AB226" s="13" t="str">
        <v/>
      </c>
      <c r="AC226" t="str">
        <f t="shared" si="10"/>
        <v/>
      </c>
      <c r="AD226" t="str">
        <f>_xlfn.XLOOKUP(B:B,Disk_Pivot!G:G,Disk_Pivot!I:I)</f>
        <v>Yes</v>
      </c>
      <c r="AE226" t="str">
        <f>_xlfn.XLOOKUP(B226,Disk_Pivot!G:G,Disk_Pivot!N:N)</f>
        <v>Fail</v>
      </c>
    </row>
    <row r="227" spans="6:31">
      <c r="F227">
        <f>_xlfn.XLOOKUP(H227,Models!B:B,Models!F:F,"")</f>
        <v>0</v>
      </c>
      <c r="K227">
        <f>_xlfn.XLOOKUP(B227,CPU_Formula!A:A,CPU_Formula!I:I)</f>
        <v>0</v>
      </c>
      <c r="L227" s="13" t="e">
        <f>INDEX(Input!$D$2:$AC$500,
       MATCH(B227, Input!$J$2:$J$500, 0),
       MATCH("Memory Capacity", Input!$D$1:$AC$1, 0))</f>
        <v>#N/A</v>
      </c>
      <c r="M227" s="13" t="e">
        <f>INDEX(Input!$D$2:$AC$500,
       MATCH(B227, Input!$J$2:$J$500, 0),
       MATCH("Memory Type", Input!$D$1:$AC$1, 0))</f>
        <v>#N/A</v>
      </c>
      <c r="N227" s="13" t="e">
        <f t="shared" si="9"/>
        <v>#N/A</v>
      </c>
      <c r="S227" s="13" t="str">
        <f>_xlfn.LET(_xlpm.Result,_xlfn.XLOOKUP(B227,Input!J:J,Input!AA:AA),IF(_xlpm.Result="","",_xlpm.Result))</f>
        <v/>
      </c>
      <c r="T227" s="13" t="str" cm="1">
        <f t="array" ref="T227">IFERROR(_xlfn.IFS(
   --S227&lt;55,"Battery Defect",
  -- S227&lt;=69,"Battery D",
  --S227&lt;=80,"Battery C",
 --S227&gt;80,""
),"")</f>
        <v/>
      </c>
      <c r="U227" s="13" t="str" cm="1">
        <f t="array" ref="U227:AB227">IFERROR(IF(_xlfn.XLOOKUP(B227,Input!J:J,Input!N:U)=0,"",
          _xlfn.XLOOKUP(B227,Input!J:J,Input!N:U)),"")</f>
        <v/>
      </c>
      <c r="V227" s="13" t="str">
        <v/>
      </c>
      <c r="W227" s="13" t="str">
        <v/>
      </c>
      <c r="X227" s="13" t="str">
        <v/>
      </c>
      <c r="Y227" s="13" t="str">
        <v/>
      </c>
      <c r="Z227" s="13" t="str">
        <v/>
      </c>
      <c r="AA227" s="13" t="str">
        <v/>
      </c>
      <c r="AB227" s="13" t="str">
        <v/>
      </c>
      <c r="AC227" t="str">
        <f t="shared" si="10"/>
        <v/>
      </c>
      <c r="AD227" t="str">
        <f>_xlfn.XLOOKUP(B:B,Disk_Pivot!G:G,Disk_Pivot!I:I)</f>
        <v>Yes</v>
      </c>
      <c r="AE227" t="str">
        <f>_xlfn.XLOOKUP(B227,Disk_Pivot!G:G,Disk_Pivot!N:N)</f>
        <v>Fail</v>
      </c>
    </row>
    <row r="228" spans="6:31">
      <c r="F228" t="str">
        <f>_xlfn.XLOOKUP(H228,Models!B:B,Models!F:F,"")</f>
        <v/>
      </c>
      <c r="K228">
        <f>_xlfn.XLOOKUP(B228,CPU_Formula!A:A,CPU_Formula!I:I)</f>
        <v>0</v>
      </c>
      <c r="L228" s="13" t="e">
        <f>INDEX(Input!$D$2:$AC$500,
       MATCH(B228, Input!$J$2:$J$500, 0),
       MATCH("Memory Capacity", Input!$D$1:$AC$1, 0))</f>
        <v>#N/A</v>
      </c>
      <c r="M228" s="13" t="e">
        <f>INDEX(Input!$D$2:$AC$500,
       MATCH(B228, Input!$J$2:$J$500, 0),
       MATCH("Memory Type", Input!$D$1:$AC$1, 0))</f>
        <v>#N/A</v>
      </c>
      <c r="N228" s="13" t="e">
        <f t="shared" si="9"/>
        <v>#N/A</v>
      </c>
      <c r="S228" s="13" t="str">
        <f>_xlfn.LET(_xlpm.Result,_xlfn.XLOOKUP(B228,Input!J:J,Input!AA:AA),IF(_xlpm.Result="","",_xlpm.Result))</f>
        <v/>
      </c>
      <c r="T228" s="13" t="str" cm="1">
        <f t="array" ref="T228">IFERROR(_xlfn.IFS(
   --S228&lt;55,"Battery Defect",
  -- S228&lt;=69,"Battery D",
  --S228&lt;=80,"Battery C",
 --S228&gt;80,""
),"")</f>
        <v/>
      </c>
      <c r="U228" s="13" t="str" cm="1">
        <f t="array" ref="U228:AB228">IFERROR(IF(_xlfn.XLOOKUP(B228,Input!J:J,Input!N:U)=0,"",
          _xlfn.XLOOKUP(B228,Input!J:J,Input!N:U)),"")</f>
        <v/>
      </c>
      <c r="V228" s="13" t="str">
        <v/>
      </c>
      <c r="W228" s="13" t="str">
        <v/>
      </c>
      <c r="X228" s="13" t="str">
        <v/>
      </c>
      <c r="Y228" s="13" t="str">
        <v/>
      </c>
      <c r="Z228" s="13" t="str">
        <v/>
      </c>
      <c r="AA228" s="13" t="str">
        <v/>
      </c>
      <c r="AB228" s="13" t="str">
        <v/>
      </c>
      <c r="AC228" t="str">
        <f t="shared" si="10"/>
        <v/>
      </c>
      <c r="AD228" t="str">
        <f>_xlfn.XLOOKUP(B:B,Disk_Pivot!G:G,Disk_Pivot!I:I)</f>
        <v>Yes</v>
      </c>
      <c r="AE228" t="str">
        <f>_xlfn.XLOOKUP(B228,Disk_Pivot!G:G,Disk_Pivot!N:N)</f>
        <v>Fail</v>
      </c>
    </row>
    <row r="229" spans="6:31">
      <c r="F229" t="str">
        <f>_xlfn.XLOOKUP(H229,Models!B:B,Models!F:F,"")</f>
        <v/>
      </c>
      <c r="K229">
        <f>_xlfn.XLOOKUP(B229,CPU_Formula!A:A,CPU_Formula!I:I)</f>
        <v>0</v>
      </c>
      <c r="L229" s="13" t="e">
        <f>INDEX(Input!$D$2:$AC$500,
       MATCH(B229, Input!$J$2:$J$500, 0),
       MATCH("Memory Capacity", Input!$D$1:$AC$1, 0))</f>
        <v>#N/A</v>
      </c>
      <c r="M229" s="13" t="e">
        <f>INDEX(Input!$D$2:$AC$500,
       MATCH(B229, Input!$J$2:$J$500, 0),
       MATCH("Memory Type", Input!$D$1:$AC$1, 0))</f>
        <v>#N/A</v>
      </c>
      <c r="N229" s="13" t="e">
        <f t="shared" si="9"/>
        <v>#N/A</v>
      </c>
      <c r="S229" s="13" t="str">
        <f>_xlfn.LET(_xlpm.Result,_xlfn.XLOOKUP(B229,Input!J:J,Input!AA:AA),IF(_xlpm.Result="","",_xlpm.Result))</f>
        <v/>
      </c>
      <c r="T229" s="13" t="str" cm="1">
        <f t="array" ref="T229">IFERROR(_xlfn.IFS(
   --S229&lt;55,"Battery Defect",
  -- S229&lt;=69,"Battery D",
  --S229&lt;=80,"Battery C",
 --S229&gt;80,""
),"")</f>
        <v/>
      </c>
      <c r="U229" s="13" t="str" cm="1">
        <f t="array" ref="U229:AB229">IFERROR(IF(_xlfn.XLOOKUP(B229,Input!J:J,Input!N:U)=0,"",
          _xlfn.XLOOKUP(B229,Input!J:J,Input!N:U)),"")</f>
        <v/>
      </c>
      <c r="V229" s="13" t="str">
        <v/>
      </c>
      <c r="W229" s="13" t="str">
        <v/>
      </c>
      <c r="X229" s="13" t="str">
        <v/>
      </c>
      <c r="Y229" s="13" t="str">
        <v/>
      </c>
      <c r="Z229" s="13" t="str">
        <v/>
      </c>
      <c r="AA229" s="13" t="str">
        <v/>
      </c>
      <c r="AB229" s="13" t="str">
        <v/>
      </c>
      <c r="AC229" t="str">
        <f t="shared" si="10"/>
        <v/>
      </c>
      <c r="AD229" t="str">
        <f>_xlfn.XLOOKUP(B:B,Disk_Pivot!G:G,Disk_Pivot!I:I)</f>
        <v>Yes</v>
      </c>
      <c r="AE229" t="str">
        <f>_xlfn.XLOOKUP(B229,Disk_Pivot!G:G,Disk_Pivot!N:N)</f>
        <v>Fail</v>
      </c>
    </row>
    <row r="230" spans="6:31">
      <c r="F230">
        <f>_xlfn.XLOOKUP(H230,Models!B:B,Models!F:F,"")</f>
        <v>0</v>
      </c>
      <c r="K230">
        <f>_xlfn.XLOOKUP(B230,CPU_Formula!A:A,CPU_Formula!I:I)</f>
        <v>0</v>
      </c>
      <c r="L230" s="13" t="e">
        <f>INDEX(Input!$D$2:$AC$500,
       MATCH(B230, Input!$J$2:$J$500, 0),
       MATCH("Memory Capacity", Input!$D$1:$AC$1, 0))</f>
        <v>#N/A</v>
      </c>
      <c r="M230" s="13" t="e">
        <f>INDEX(Input!$D$2:$AC$500,
       MATCH(B230, Input!$J$2:$J$500, 0),
       MATCH("Memory Type", Input!$D$1:$AC$1, 0))</f>
        <v>#N/A</v>
      </c>
      <c r="N230" s="13" t="e">
        <f t="shared" si="9"/>
        <v>#N/A</v>
      </c>
      <c r="S230" s="13" t="str">
        <f>_xlfn.LET(_xlpm.Result,_xlfn.XLOOKUP(B230,Input!J:J,Input!AA:AA),IF(_xlpm.Result="","",_xlpm.Result))</f>
        <v/>
      </c>
      <c r="T230" s="13" t="str" cm="1">
        <f t="array" ref="T230">IFERROR(_xlfn.IFS(
   --S230&lt;55,"Battery Defect",
  -- S230&lt;=69,"Battery D",
  --S230&lt;=80,"Battery C",
 --S230&gt;80,""
),"")</f>
        <v/>
      </c>
      <c r="U230" s="13" t="str" cm="1">
        <f t="array" ref="U230:AB230">IFERROR(IF(_xlfn.XLOOKUP(B230,Input!J:J,Input!N:U)=0,"",
          _xlfn.XLOOKUP(B230,Input!J:J,Input!N:U)),"")</f>
        <v/>
      </c>
      <c r="V230" s="13" t="str">
        <v/>
      </c>
      <c r="W230" s="13" t="str">
        <v/>
      </c>
      <c r="X230" s="13" t="str">
        <v/>
      </c>
      <c r="Y230" s="13" t="str">
        <v/>
      </c>
      <c r="Z230" s="13" t="str">
        <v/>
      </c>
      <c r="AA230" s="13" t="str">
        <v/>
      </c>
      <c r="AB230" s="13" t="str">
        <v/>
      </c>
      <c r="AC230" t="str">
        <f t="shared" si="10"/>
        <v/>
      </c>
      <c r="AD230" t="str">
        <f>_xlfn.XLOOKUP(B:B,Disk_Pivot!G:G,Disk_Pivot!I:I)</f>
        <v>Yes</v>
      </c>
      <c r="AE230" t="str">
        <f>_xlfn.XLOOKUP(B230,Disk_Pivot!G:G,Disk_Pivot!N:N)</f>
        <v>Fail</v>
      </c>
    </row>
    <row r="231" spans="6:31">
      <c r="F231" t="str">
        <f>_xlfn.XLOOKUP(H231,Models!B:B,Models!F:F,"")</f>
        <v/>
      </c>
      <c r="K231">
        <f>_xlfn.XLOOKUP(B231,CPU_Formula!A:A,CPU_Formula!I:I)</f>
        <v>0</v>
      </c>
      <c r="L231" s="13" t="e">
        <f>INDEX(Input!$D$2:$AC$500,
       MATCH(B231, Input!$J$2:$J$500, 0),
       MATCH("Memory Capacity", Input!$D$1:$AC$1, 0))</f>
        <v>#N/A</v>
      </c>
      <c r="M231" s="13" t="e">
        <f>INDEX(Input!$D$2:$AC$500,
       MATCH(B231, Input!$J$2:$J$500, 0),
       MATCH("Memory Type", Input!$D$1:$AC$1, 0))</f>
        <v>#N/A</v>
      </c>
      <c r="N231" s="13" t="e">
        <f t="shared" si="9"/>
        <v>#N/A</v>
      </c>
      <c r="S231" s="13" t="str">
        <f>_xlfn.LET(_xlpm.Result,_xlfn.XLOOKUP(B231,Input!J:J,Input!AA:AA),IF(_xlpm.Result="","",_xlpm.Result))</f>
        <v/>
      </c>
      <c r="T231" s="13" t="str" cm="1">
        <f t="array" ref="T231">IFERROR(_xlfn.IFS(
   --S231&lt;55,"Battery Defect",
  -- S231&lt;=69,"Battery D",
  --S231&lt;=80,"Battery C",
 --S231&gt;80,""
),"")</f>
        <v/>
      </c>
      <c r="U231" s="13" t="str" cm="1">
        <f t="array" ref="U231:AB231">IFERROR(IF(_xlfn.XLOOKUP(B231,Input!J:J,Input!N:U)=0,"",
          _xlfn.XLOOKUP(B231,Input!J:J,Input!N:U)),"")</f>
        <v/>
      </c>
      <c r="V231" s="13" t="str">
        <v/>
      </c>
      <c r="W231" s="13" t="str">
        <v/>
      </c>
      <c r="X231" s="13" t="str">
        <v/>
      </c>
      <c r="Y231" s="13" t="str">
        <v/>
      </c>
      <c r="Z231" s="13" t="str">
        <v/>
      </c>
      <c r="AA231" s="13" t="str">
        <v/>
      </c>
      <c r="AB231" s="13" t="str">
        <v/>
      </c>
      <c r="AC231" t="str">
        <f t="shared" si="10"/>
        <v/>
      </c>
      <c r="AD231" t="str">
        <f>_xlfn.XLOOKUP(B:B,Disk_Pivot!G:G,Disk_Pivot!I:I)</f>
        <v>Yes</v>
      </c>
      <c r="AE231" t="str">
        <f>_xlfn.XLOOKUP(B231,Disk_Pivot!G:G,Disk_Pivot!N:N)</f>
        <v>Fail</v>
      </c>
    </row>
    <row r="232" spans="6:31">
      <c r="F232" t="str">
        <f>_xlfn.XLOOKUP(H232,Models!B:B,Models!F:F,"")</f>
        <v/>
      </c>
      <c r="K232">
        <f>_xlfn.XLOOKUP(B232,CPU_Formula!A:A,CPU_Formula!I:I)</f>
        <v>0</v>
      </c>
      <c r="L232" s="13" t="e">
        <f>INDEX(Input!$D$2:$AC$500,
       MATCH(B232, Input!$J$2:$J$500, 0),
       MATCH("Memory Capacity", Input!$D$1:$AC$1, 0))</f>
        <v>#N/A</v>
      </c>
      <c r="M232" s="13" t="e">
        <f>INDEX(Input!$D$2:$AC$500,
       MATCH(B232, Input!$J$2:$J$500, 0),
       MATCH("Memory Type", Input!$D$1:$AC$1, 0))</f>
        <v>#N/A</v>
      </c>
      <c r="N232" s="13" t="e">
        <f t="shared" si="9"/>
        <v>#N/A</v>
      </c>
      <c r="S232" s="13" t="str">
        <f>_xlfn.LET(_xlpm.Result,_xlfn.XLOOKUP(B232,Input!J:J,Input!AA:AA),IF(_xlpm.Result="","",_xlpm.Result))</f>
        <v/>
      </c>
      <c r="T232" s="13" t="str" cm="1">
        <f t="array" ref="T232">IFERROR(_xlfn.IFS(
   --S232&lt;55,"Battery Defect",
  -- S232&lt;=69,"Battery D",
  --S232&lt;=80,"Battery C",
 --S232&gt;80,""
),"")</f>
        <v/>
      </c>
      <c r="U232" s="13" t="str" cm="1">
        <f t="array" ref="U232:AB232">IFERROR(IF(_xlfn.XLOOKUP(B232,Input!J:J,Input!N:U)=0,"",
          _xlfn.XLOOKUP(B232,Input!J:J,Input!N:U)),"")</f>
        <v/>
      </c>
      <c r="V232" s="13" t="str">
        <v/>
      </c>
      <c r="W232" s="13" t="str">
        <v/>
      </c>
      <c r="X232" s="13" t="str">
        <v/>
      </c>
      <c r="Y232" s="13" t="str">
        <v/>
      </c>
      <c r="Z232" s="13" t="str">
        <v/>
      </c>
      <c r="AA232" s="13" t="str">
        <v/>
      </c>
      <c r="AB232" s="13" t="str">
        <v/>
      </c>
      <c r="AC232" t="str">
        <f t="shared" si="10"/>
        <v/>
      </c>
      <c r="AD232" t="str">
        <f>_xlfn.XLOOKUP(B:B,Disk_Pivot!G:G,Disk_Pivot!I:I)</f>
        <v>Yes</v>
      </c>
      <c r="AE232" t="str">
        <f>_xlfn.XLOOKUP(B232,Disk_Pivot!G:G,Disk_Pivot!N:N)</f>
        <v>Fail</v>
      </c>
    </row>
    <row r="233" spans="6:31">
      <c r="F233">
        <f>_xlfn.XLOOKUP(H233,Models!B:B,Models!F:F,"")</f>
        <v>0</v>
      </c>
      <c r="K233">
        <f>_xlfn.XLOOKUP(B233,CPU_Formula!A:A,CPU_Formula!I:I)</f>
        <v>0</v>
      </c>
      <c r="L233" s="13" t="e">
        <f>INDEX(Input!$D$2:$AC$500,
       MATCH(B233, Input!$J$2:$J$500, 0),
       MATCH("Memory Capacity", Input!$D$1:$AC$1, 0))</f>
        <v>#N/A</v>
      </c>
      <c r="M233" s="13" t="e">
        <f>INDEX(Input!$D$2:$AC$500,
       MATCH(B233, Input!$J$2:$J$500, 0),
       MATCH("Memory Type", Input!$D$1:$AC$1, 0))</f>
        <v>#N/A</v>
      </c>
      <c r="N233" s="13" t="e">
        <f t="shared" si="9"/>
        <v>#N/A</v>
      </c>
      <c r="S233" s="13" t="str">
        <f>_xlfn.LET(_xlpm.Result,_xlfn.XLOOKUP(B233,Input!J:J,Input!AA:AA),IF(_xlpm.Result="","",_xlpm.Result))</f>
        <v/>
      </c>
      <c r="T233" s="13" t="str" cm="1">
        <f t="array" ref="T233">IFERROR(_xlfn.IFS(
   --S233&lt;55,"Battery Defect",
  -- S233&lt;=69,"Battery D",
  --S233&lt;=80,"Battery C",
 --S233&gt;80,""
),"")</f>
        <v/>
      </c>
      <c r="U233" s="13" t="str" cm="1">
        <f t="array" ref="U233:AB233">IFERROR(IF(_xlfn.XLOOKUP(B233,Input!J:J,Input!N:U)=0,"",
          _xlfn.XLOOKUP(B233,Input!J:J,Input!N:U)),"")</f>
        <v/>
      </c>
      <c r="V233" s="13" t="str">
        <v/>
      </c>
      <c r="W233" s="13" t="str">
        <v/>
      </c>
      <c r="X233" s="13" t="str">
        <v/>
      </c>
      <c r="Y233" s="13" t="str">
        <v/>
      </c>
      <c r="Z233" s="13" t="str">
        <v/>
      </c>
      <c r="AA233" s="13" t="str">
        <v/>
      </c>
      <c r="AB233" s="13" t="str">
        <v/>
      </c>
      <c r="AC233" t="str">
        <f t="shared" si="10"/>
        <v/>
      </c>
      <c r="AD233" t="str">
        <f>_xlfn.XLOOKUP(B:B,Disk_Pivot!G:G,Disk_Pivot!I:I)</f>
        <v>Yes</v>
      </c>
      <c r="AE233" t="str">
        <f>_xlfn.XLOOKUP(B233,Disk_Pivot!G:G,Disk_Pivot!N:N)</f>
        <v>Fail</v>
      </c>
    </row>
    <row r="234" spans="6:31">
      <c r="F234" t="str">
        <f>_xlfn.XLOOKUP(H234,Models!B:B,Models!F:F,"")</f>
        <v/>
      </c>
      <c r="K234">
        <f>_xlfn.XLOOKUP(B234,CPU_Formula!A:A,CPU_Formula!I:I)</f>
        <v>0</v>
      </c>
      <c r="L234" s="13" t="e">
        <f>INDEX(Input!$D$2:$AC$500,
       MATCH(B234, Input!$J$2:$J$500, 0),
       MATCH("Memory Capacity", Input!$D$1:$AC$1, 0))</f>
        <v>#N/A</v>
      </c>
      <c r="M234" s="13" t="e">
        <f>INDEX(Input!$D$2:$AC$500,
       MATCH(B234, Input!$J$2:$J$500, 0),
       MATCH("Memory Type", Input!$D$1:$AC$1, 0))</f>
        <v>#N/A</v>
      </c>
      <c r="N234" s="13" t="e">
        <f t="shared" si="9"/>
        <v>#N/A</v>
      </c>
      <c r="S234" s="13" t="str">
        <f>_xlfn.LET(_xlpm.Result,_xlfn.XLOOKUP(B234,Input!J:J,Input!AA:AA),IF(_xlpm.Result="","",_xlpm.Result))</f>
        <v/>
      </c>
      <c r="T234" s="13" t="str" cm="1">
        <f t="array" ref="T234">IFERROR(_xlfn.IFS(
   --S234&lt;55,"Battery Defect",
  -- S234&lt;=69,"Battery D",
  --S234&lt;=80,"Battery C",
 --S234&gt;80,""
),"")</f>
        <v/>
      </c>
      <c r="U234" s="13" t="str" cm="1">
        <f t="array" ref="U234:AB234">IFERROR(IF(_xlfn.XLOOKUP(B234,Input!J:J,Input!N:U)=0,"",
          _xlfn.XLOOKUP(B234,Input!J:J,Input!N:U)),"")</f>
        <v/>
      </c>
      <c r="V234" s="13" t="str">
        <v/>
      </c>
      <c r="W234" s="13" t="str">
        <v/>
      </c>
      <c r="X234" s="13" t="str">
        <v/>
      </c>
      <c r="Y234" s="13" t="str">
        <v/>
      </c>
      <c r="Z234" s="13" t="str">
        <v/>
      </c>
      <c r="AA234" s="13" t="str">
        <v/>
      </c>
      <c r="AB234" s="13" t="str">
        <v/>
      </c>
      <c r="AC234" t="str">
        <f t="shared" si="10"/>
        <v/>
      </c>
      <c r="AD234" t="str">
        <f>_xlfn.XLOOKUP(B:B,Disk_Pivot!G:G,Disk_Pivot!I:I)</f>
        <v>Yes</v>
      </c>
      <c r="AE234" t="str">
        <f>_xlfn.XLOOKUP(B234,Disk_Pivot!G:G,Disk_Pivot!N:N)</f>
        <v>Fail</v>
      </c>
    </row>
    <row r="235" spans="6:31">
      <c r="F235" t="str">
        <f>_xlfn.XLOOKUP(H235,Models!B:B,Models!F:F,"")</f>
        <v/>
      </c>
      <c r="K235">
        <f>_xlfn.XLOOKUP(B235,CPU_Formula!A:A,CPU_Formula!I:I)</f>
        <v>0</v>
      </c>
      <c r="L235" s="13" t="e">
        <f>INDEX(Input!$D$2:$AC$500,
       MATCH(B235, Input!$J$2:$J$500, 0),
       MATCH("Memory Capacity", Input!$D$1:$AC$1, 0))</f>
        <v>#N/A</v>
      </c>
      <c r="M235" s="13" t="e">
        <f>INDEX(Input!$D$2:$AC$500,
       MATCH(B235, Input!$J$2:$J$500, 0),
       MATCH("Memory Type", Input!$D$1:$AC$1, 0))</f>
        <v>#N/A</v>
      </c>
      <c r="N235" s="13" t="e">
        <f t="shared" si="9"/>
        <v>#N/A</v>
      </c>
      <c r="S235" s="13" t="str">
        <f>_xlfn.LET(_xlpm.Result,_xlfn.XLOOKUP(B235,Input!J:J,Input!AA:AA),IF(_xlpm.Result="","",_xlpm.Result))</f>
        <v/>
      </c>
      <c r="T235" s="13" t="str" cm="1">
        <f t="array" ref="T235">IFERROR(_xlfn.IFS(
   --S235&lt;55,"Battery Defect",
  -- S235&lt;=69,"Battery D",
  --S235&lt;=80,"Battery C",
 --S235&gt;80,""
),"")</f>
        <v/>
      </c>
      <c r="U235" s="13" t="str" cm="1">
        <f t="array" ref="U235:AB235">IFERROR(IF(_xlfn.XLOOKUP(B235,Input!J:J,Input!N:U)=0,"",
          _xlfn.XLOOKUP(B235,Input!J:J,Input!N:U)),"")</f>
        <v/>
      </c>
      <c r="V235" s="13" t="str">
        <v/>
      </c>
      <c r="W235" s="13" t="str">
        <v/>
      </c>
      <c r="X235" s="13" t="str">
        <v/>
      </c>
      <c r="Y235" s="13" t="str">
        <v/>
      </c>
      <c r="Z235" s="13" t="str">
        <v/>
      </c>
      <c r="AA235" s="13" t="str">
        <v/>
      </c>
      <c r="AB235" s="13" t="str">
        <v/>
      </c>
      <c r="AC235" t="str">
        <f t="shared" si="10"/>
        <v/>
      </c>
      <c r="AD235" t="str">
        <f>_xlfn.XLOOKUP(B:B,Disk_Pivot!G:G,Disk_Pivot!I:I)</f>
        <v>Yes</v>
      </c>
      <c r="AE235" t="str">
        <f>_xlfn.XLOOKUP(B235,Disk_Pivot!G:G,Disk_Pivot!N:N)</f>
        <v>Fail</v>
      </c>
    </row>
    <row r="236" spans="6:31">
      <c r="F236">
        <f>_xlfn.XLOOKUP(H236,Models!B:B,Models!F:F,"")</f>
        <v>0</v>
      </c>
      <c r="K236">
        <f>_xlfn.XLOOKUP(B236,CPU_Formula!A:A,CPU_Formula!I:I)</f>
        <v>0</v>
      </c>
      <c r="L236" s="13" t="e">
        <f>INDEX(Input!$D$2:$AC$500,
       MATCH(B236, Input!$J$2:$J$500, 0),
       MATCH("Memory Capacity", Input!$D$1:$AC$1, 0))</f>
        <v>#N/A</v>
      </c>
      <c r="M236" s="13" t="e">
        <f>INDEX(Input!$D$2:$AC$500,
       MATCH(B236, Input!$J$2:$J$500, 0),
       MATCH("Memory Type", Input!$D$1:$AC$1, 0))</f>
        <v>#N/A</v>
      </c>
      <c r="N236" s="13" t="e">
        <f t="shared" si="9"/>
        <v>#N/A</v>
      </c>
      <c r="S236" s="13" t="str">
        <f>_xlfn.LET(_xlpm.Result,_xlfn.XLOOKUP(B236,Input!J:J,Input!AA:AA),IF(_xlpm.Result="","",_xlpm.Result))</f>
        <v/>
      </c>
      <c r="T236" s="13" t="str" cm="1">
        <f t="array" ref="T236">IFERROR(_xlfn.IFS(
   --S236&lt;55,"Battery Defect",
  -- S236&lt;=69,"Battery D",
  --S236&lt;=80,"Battery C",
 --S236&gt;80,""
),"")</f>
        <v/>
      </c>
      <c r="U236" s="13" t="str" cm="1">
        <f t="array" ref="U236:AB236">IFERROR(IF(_xlfn.XLOOKUP(B236,Input!J:J,Input!N:U)=0,"",
          _xlfn.XLOOKUP(B236,Input!J:J,Input!N:U)),"")</f>
        <v/>
      </c>
      <c r="V236" s="13" t="str">
        <v/>
      </c>
      <c r="W236" s="13" t="str">
        <v/>
      </c>
      <c r="X236" s="13" t="str">
        <v/>
      </c>
      <c r="Y236" s="13" t="str">
        <v/>
      </c>
      <c r="Z236" s="13" t="str">
        <v/>
      </c>
      <c r="AA236" s="13" t="str">
        <v/>
      </c>
      <c r="AB236" s="13" t="str">
        <v/>
      </c>
      <c r="AC236" t="str">
        <f t="shared" si="10"/>
        <v/>
      </c>
      <c r="AD236" t="str">
        <f>_xlfn.XLOOKUP(B:B,Disk_Pivot!G:G,Disk_Pivot!I:I)</f>
        <v>Yes</v>
      </c>
      <c r="AE236" t="str">
        <f>_xlfn.XLOOKUP(B236,Disk_Pivot!G:G,Disk_Pivot!N:N)</f>
        <v>Fail</v>
      </c>
    </row>
    <row r="237" spans="6:31">
      <c r="F237" t="str">
        <f>_xlfn.XLOOKUP(H237,Models!B:B,Models!F:F,"")</f>
        <v/>
      </c>
      <c r="K237">
        <f>_xlfn.XLOOKUP(B237,CPU_Formula!A:A,CPU_Formula!I:I)</f>
        <v>0</v>
      </c>
      <c r="L237" s="13" t="e">
        <f>INDEX(Input!$D$2:$AC$500,
       MATCH(B237, Input!$J$2:$J$500, 0),
       MATCH("Memory Capacity", Input!$D$1:$AC$1, 0))</f>
        <v>#N/A</v>
      </c>
      <c r="M237" s="13" t="e">
        <f>INDEX(Input!$D$2:$AC$500,
       MATCH(B237, Input!$J$2:$J$500, 0),
       MATCH("Memory Type", Input!$D$1:$AC$1, 0))</f>
        <v>#N/A</v>
      </c>
      <c r="N237" s="13" t="e">
        <f t="shared" si="9"/>
        <v>#N/A</v>
      </c>
      <c r="S237" s="13" t="str">
        <f>_xlfn.LET(_xlpm.Result,_xlfn.XLOOKUP(B237,Input!J:J,Input!AA:AA),IF(_xlpm.Result="","",_xlpm.Result))</f>
        <v/>
      </c>
      <c r="T237" s="13" t="str" cm="1">
        <f t="array" ref="T237">IFERROR(_xlfn.IFS(
   --S237&lt;55,"Battery Defect",
  -- S237&lt;=69,"Battery D",
  --S237&lt;=80,"Battery C",
 --S237&gt;80,""
),"")</f>
        <v/>
      </c>
      <c r="U237" s="13" t="str" cm="1">
        <f t="array" ref="U237:AB237">IFERROR(IF(_xlfn.XLOOKUP(B237,Input!J:J,Input!N:U)=0,"",
          _xlfn.XLOOKUP(B237,Input!J:J,Input!N:U)),"")</f>
        <v/>
      </c>
      <c r="V237" s="13" t="str">
        <v/>
      </c>
      <c r="W237" s="13" t="str">
        <v/>
      </c>
      <c r="X237" s="13" t="str">
        <v/>
      </c>
      <c r="Y237" s="13" t="str">
        <v/>
      </c>
      <c r="Z237" s="13" t="str">
        <v/>
      </c>
      <c r="AA237" s="13" t="str">
        <v/>
      </c>
      <c r="AB237" s="13" t="str">
        <v/>
      </c>
      <c r="AC237" t="str">
        <f t="shared" si="10"/>
        <v/>
      </c>
      <c r="AD237" t="str">
        <f>_xlfn.XLOOKUP(B:B,Disk_Pivot!G:G,Disk_Pivot!I:I)</f>
        <v>Yes</v>
      </c>
      <c r="AE237" t="str">
        <f>_xlfn.XLOOKUP(B237,Disk_Pivot!G:G,Disk_Pivot!N:N)</f>
        <v>Fail</v>
      </c>
    </row>
    <row r="238" spans="6:31">
      <c r="F238" t="str">
        <f>_xlfn.XLOOKUP(H238,Models!B:B,Models!F:F,"")</f>
        <v/>
      </c>
      <c r="K238">
        <f>_xlfn.XLOOKUP(B238,CPU_Formula!A:A,CPU_Formula!I:I)</f>
        <v>0</v>
      </c>
      <c r="L238" s="13" t="e">
        <f>INDEX(Input!$D$2:$AC$500,
       MATCH(B238, Input!$J$2:$J$500, 0),
       MATCH("Memory Capacity", Input!$D$1:$AC$1, 0))</f>
        <v>#N/A</v>
      </c>
      <c r="M238" s="13" t="e">
        <f>INDEX(Input!$D$2:$AC$500,
       MATCH(B238, Input!$J$2:$J$500, 0),
       MATCH("Memory Type", Input!$D$1:$AC$1, 0))</f>
        <v>#N/A</v>
      </c>
      <c r="N238" s="13" t="e">
        <f t="shared" si="9"/>
        <v>#N/A</v>
      </c>
      <c r="S238" s="13" t="str">
        <f>_xlfn.LET(_xlpm.Result,_xlfn.XLOOKUP(B238,Input!J:J,Input!AA:AA),IF(_xlpm.Result="","",_xlpm.Result))</f>
        <v/>
      </c>
      <c r="T238" s="13" t="str" cm="1">
        <f t="array" ref="T238">IFERROR(_xlfn.IFS(
   --S238&lt;55,"Battery Defect",
  -- S238&lt;=69,"Battery D",
  --S238&lt;=80,"Battery C",
 --S238&gt;80,""
),"")</f>
        <v/>
      </c>
      <c r="U238" s="13" t="str" cm="1">
        <f t="array" ref="U238:AB238">IFERROR(IF(_xlfn.XLOOKUP(B238,Input!J:J,Input!N:U)=0,"",
          _xlfn.XLOOKUP(B238,Input!J:J,Input!N:U)),"")</f>
        <v/>
      </c>
      <c r="V238" s="13" t="str">
        <v/>
      </c>
      <c r="W238" s="13" t="str">
        <v/>
      </c>
      <c r="X238" s="13" t="str">
        <v/>
      </c>
      <c r="Y238" s="13" t="str">
        <v/>
      </c>
      <c r="Z238" s="13" t="str">
        <v/>
      </c>
      <c r="AA238" s="13" t="str">
        <v/>
      </c>
      <c r="AB238" s="13" t="str">
        <v/>
      </c>
      <c r="AC238" t="str">
        <f t="shared" si="10"/>
        <v/>
      </c>
      <c r="AD238" t="str">
        <f>_xlfn.XLOOKUP(B:B,Disk_Pivot!G:G,Disk_Pivot!I:I)</f>
        <v>Yes</v>
      </c>
      <c r="AE238" t="str">
        <f>_xlfn.XLOOKUP(B238,Disk_Pivot!G:G,Disk_Pivot!N:N)</f>
        <v>Fail</v>
      </c>
    </row>
    <row r="239" spans="6:31">
      <c r="F239">
        <f>_xlfn.XLOOKUP(H239,Models!B:B,Models!F:F,"")</f>
        <v>0</v>
      </c>
      <c r="K239">
        <f>_xlfn.XLOOKUP(B239,CPU_Formula!A:A,CPU_Formula!I:I)</f>
        <v>0</v>
      </c>
      <c r="L239" s="13" t="e">
        <f>INDEX(Input!$D$2:$AC$500,
       MATCH(B239, Input!$J$2:$J$500, 0),
       MATCH("Memory Capacity", Input!$D$1:$AC$1, 0))</f>
        <v>#N/A</v>
      </c>
      <c r="M239" s="13" t="e">
        <f>INDEX(Input!$D$2:$AC$500,
       MATCH(B239, Input!$J$2:$J$500, 0),
       MATCH("Memory Type", Input!$D$1:$AC$1, 0))</f>
        <v>#N/A</v>
      </c>
      <c r="N239" s="13" t="e">
        <f t="shared" si="9"/>
        <v>#N/A</v>
      </c>
      <c r="S239" s="13" t="str">
        <f>_xlfn.LET(_xlpm.Result,_xlfn.XLOOKUP(B239,Input!J:J,Input!AA:AA),IF(_xlpm.Result="","",_xlpm.Result))</f>
        <v/>
      </c>
      <c r="T239" s="13" t="str" cm="1">
        <f t="array" ref="T239">IFERROR(_xlfn.IFS(
   --S239&lt;55,"Battery Defect",
  -- S239&lt;=69,"Battery D",
  --S239&lt;=80,"Battery C",
 --S239&gt;80,""
),"")</f>
        <v/>
      </c>
      <c r="U239" s="13" t="str" cm="1">
        <f t="array" ref="U239:AB239">IFERROR(IF(_xlfn.XLOOKUP(B239,Input!J:J,Input!N:U)=0,"",
          _xlfn.XLOOKUP(B239,Input!J:J,Input!N:U)),"")</f>
        <v/>
      </c>
      <c r="V239" s="13" t="str">
        <v/>
      </c>
      <c r="W239" s="13" t="str">
        <v/>
      </c>
      <c r="X239" s="13" t="str">
        <v/>
      </c>
      <c r="Y239" s="13" t="str">
        <v/>
      </c>
      <c r="Z239" s="13" t="str">
        <v/>
      </c>
      <c r="AA239" s="13" t="str">
        <v/>
      </c>
      <c r="AB239" s="13" t="str">
        <v/>
      </c>
      <c r="AC239" t="str">
        <f t="shared" si="10"/>
        <v/>
      </c>
      <c r="AD239" t="str">
        <f>_xlfn.XLOOKUP(B:B,Disk_Pivot!G:G,Disk_Pivot!I:I)</f>
        <v>Yes</v>
      </c>
      <c r="AE239" t="str">
        <f>_xlfn.XLOOKUP(B239,Disk_Pivot!G:G,Disk_Pivot!N:N)</f>
        <v>Fail</v>
      </c>
    </row>
    <row r="240" spans="6:31">
      <c r="F240" t="str">
        <f>_xlfn.XLOOKUP(H240,Models!B:B,Models!F:F,"")</f>
        <v/>
      </c>
      <c r="K240">
        <f>_xlfn.XLOOKUP(B240,CPU_Formula!A:A,CPU_Formula!I:I)</f>
        <v>0</v>
      </c>
      <c r="L240" s="13" t="e">
        <f>INDEX(Input!$D$2:$AC$500,
       MATCH(B240, Input!$J$2:$J$500, 0),
       MATCH("Memory Capacity", Input!$D$1:$AC$1, 0))</f>
        <v>#N/A</v>
      </c>
      <c r="M240" s="13" t="e">
        <f>INDEX(Input!$D$2:$AC$500,
       MATCH(B240, Input!$J$2:$J$500, 0),
       MATCH("Memory Type", Input!$D$1:$AC$1, 0))</f>
        <v>#N/A</v>
      </c>
      <c r="N240" s="13" t="e">
        <f t="shared" si="9"/>
        <v>#N/A</v>
      </c>
      <c r="S240" s="13" t="str">
        <f>_xlfn.LET(_xlpm.Result,_xlfn.XLOOKUP(B240,Input!J:J,Input!AA:AA),IF(_xlpm.Result="","",_xlpm.Result))</f>
        <v/>
      </c>
      <c r="T240" s="13" t="str" cm="1">
        <f t="array" ref="T240">IFERROR(_xlfn.IFS(
   --S240&lt;55,"Battery Defect",
  -- S240&lt;=69,"Battery D",
  --S240&lt;=80,"Battery C",
 --S240&gt;80,""
),"")</f>
        <v/>
      </c>
      <c r="U240" s="13" t="str" cm="1">
        <f t="array" ref="U240:AB240">IFERROR(IF(_xlfn.XLOOKUP(B240,Input!J:J,Input!N:U)=0,"",
          _xlfn.XLOOKUP(B240,Input!J:J,Input!N:U)),"")</f>
        <v/>
      </c>
      <c r="V240" s="13" t="str">
        <v/>
      </c>
      <c r="W240" s="13" t="str">
        <v/>
      </c>
      <c r="X240" s="13" t="str">
        <v/>
      </c>
      <c r="Y240" s="13" t="str">
        <v/>
      </c>
      <c r="Z240" s="13" t="str">
        <v/>
      </c>
      <c r="AA240" s="13" t="str">
        <v/>
      </c>
      <c r="AB240" s="13" t="str">
        <v/>
      </c>
      <c r="AC240" t="str">
        <f t="shared" si="10"/>
        <v/>
      </c>
      <c r="AD240" t="str">
        <f>_xlfn.XLOOKUP(B:B,Disk_Pivot!G:G,Disk_Pivot!I:I)</f>
        <v>Yes</v>
      </c>
      <c r="AE240" t="str">
        <f>_xlfn.XLOOKUP(B240,Disk_Pivot!G:G,Disk_Pivot!N:N)</f>
        <v>Fail</v>
      </c>
    </row>
    <row r="241" spans="6:31">
      <c r="F241" t="str">
        <f>_xlfn.XLOOKUP(H241,Models!B:B,Models!F:F,"")</f>
        <v/>
      </c>
      <c r="K241">
        <f>_xlfn.XLOOKUP(B241,CPU_Formula!A:A,CPU_Formula!I:I)</f>
        <v>0</v>
      </c>
      <c r="L241" s="13" t="e">
        <f>INDEX(Input!$D$2:$AC$500,
       MATCH(B241, Input!$J$2:$J$500, 0),
       MATCH("Memory Capacity", Input!$D$1:$AC$1, 0))</f>
        <v>#N/A</v>
      </c>
      <c r="M241" s="13" t="e">
        <f>INDEX(Input!$D$2:$AC$500,
       MATCH(B241, Input!$J$2:$J$500, 0),
       MATCH("Memory Type", Input!$D$1:$AC$1, 0))</f>
        <v>#N/A</v>
      </c>
      <c r="N241" s="13" t="e">
        <f t="shared" si="9"/>
        <v>#N/A</v>
      </c>
      <c r="S241" s="13" t="str">
        <f>_xlfn.LET(_xlpm.Result,_xlfn.XLOOKUP(B241,Input!J:J,Input!AA:AA),IF(_xlpm.Result="","",_xlpm.Result))</f>
        <v/>
      </c>
      <c r="T241" s="13" t="str" cm="1">
        <f t="array" ref="T241">IFERROR(_xlfn.IFS(
   --S241&lt;55,"Battery Defect",
  -- S241&lt;=69,"Battery D",
  --S241&lt;=80,"Battery C",
 --S241&gt;80,""
),"")</f>
        <v/>
      </c>
      <c r="U241" s="13" t="str" cm="1">
        <f t="array" ref="U241:AB241">IFERROR(IF(_xlfn.XLOOKUP(B241,Input!J:J,Input!N:U)=0,"",
          _xlfn.XLOOKUP(B241,Input!J:J,Input!N:U)),"")</f>
        <v/>
      </c>
      <c r="V241" s="13" t="str">
        <v/>
      </c>
      <c r="W241" s="13" t="str">
        <v/>
      </c>
      <c r="X241" s="13" t="str">
        <v/>
      </c>
      <c r="Y241" s="13" t="str">
        <v/>
      </c>
      <c r="Z241" s="13" t="str">
        <v/>
      </c>
      <c r="AA241" s="13" t="str">
        <v/>
      </c>
      <c r="AB241" s="13" t="str">
        <v/>
      </c>
      <c r="AC241" t="str">
        <f t="shared" si="10"/>
        <v/>
      </c>
      <c r="AD241" t="str">
        <f>_xlfn.XLOOKUP(B:B,Disk_Pivot!G:G,Disk_Pivot!I:I)</f>
        <v>Yes</v>
      </c>
      <c r="AE241" t="str">
        <f>_xlfn.XLOOKUP(B241,Disk_Pivot!G:G,Disk_Pivot!N:N)</f>
        <v>Fail</v>
      </c>
    </row>
    <row r="242" spans="6:31">
      <c r="F242">
        <f>_xlfn.XLOOKUP(H242,Models!B:B,Models!F:F,"")</f>
        <v>0</v>
      </c>
      <c r="K242">
        <f>_xlfn.XLOOKUP(B242,CPU_Formula!A:A,CPU_Formula!I:I)</f>
        <v>0</v>
      </c>
      <c r="L242" s="13" t="e">
        <f>INDEX(Input!$D$2:$AC$500,
       MATCH(B242, Input!$J$2:$J$500, 0),
       MATCH("Memory Capacity", Input!$D$1:$AC$1, 0))</f>
        <v>#N/A</v>
      </c>
      <c r="M242" s="13" t="e">
        <f>INDEX(Input!$D$2:$AC$500,
       MATCH(B242, Input!$J$2:$J$500, 0),
       MATCH("Memory Type", Input!$D$1:$AC$1, 0))</f>
        <v>#N/A</v>
      </c>
      <c r="N242" s="13" t="e">
        <f t="shared" si="9"/>
        <v>#N/A</v>
      </c>
      <c r="S242" s="13" t="str">
        <f>_xlfn.LET(_xlpm.Result,_xlfn.XLOOKUP(B242,Input!J:J,Input!AA:AA),IF(_xlpm.Result="","",_xlpm.Result))</f>
        <v/>
      </c>
      <c r="T242" s="13" t="str" cm="1">
        <f t="array" ref="T242">IFERROR(_xlfn.IFS(
   --S242&lt;55,"Battery Defect",
  -- S242&lt;=69,"Battery D",
  --S242&lt;=80,"Battery C",
 --S242&gt;80,""
),"")</f>
        <v/>
      </c>
      <c r="U242" s="13" t="str" cm="1">
        <f t="array" ref="U242:AB242">IFERROR(IF(_xlfn.XLOOKUP(B242,Input!J:J,Input!N:U)=0,"",
          _xlfn.XLOOKUP(B242,Input!J:J,Input!N:U)),"")</f>
        <v/>
      </c>
      <c r="V242" s="13" t="str">
        <v/>
      </c>
      <c r="W242" s="13" t="str">
        <v/>
      </c>
      <c r="X242" s="13" t="str">
        <v/>
      </c>
      <c r="Y242" s="13" t="str">
        <v/>
      </c>
      <c r="Z242" s="13" t="str">
        <v/>
      </c>
      <c r="AA242" s="13" t="str">
        <v/>
      </c>
      <c r="AB242" s="13" t="str">
        <v/>
      </c>
      <c r="AC242" t="str">
        <f t="shared" si="10"/>
        <v/>
      </c>
      <c r="AD242" t="str">
        <f>_xlfn.XLOOKUP(B:B,Disk_Pivot!G:G,Disk_Pivot!I:I)</f>
        <v>Yes</v>
      </c>
      <c r="AE242" t="str">
        <f>_xlfn.XLOOKUP(B242,Disk_Pivot!G:G,Disk_Pivot!N:N)</f>
        <v>Fail</v>
      </c>
    </row>
    <row r="243" spans="6:31">
      <c r="F243" t="str">
        <f>_xlfn.XLOOKUP(H243,Models!B:B,Models!F:F,"")</f>
        <v/>
      </c>
      <c r="K243">
        <f>_xlfn.XLOOKUP(B243,CPU_Formula!A:A,CPU_Formula!I:I)</f>
        <v>0</v>
      </c>
      <c r="L243" s="13" t="e">
        <f>INDEX(Input!$D$2:$AC$500,
       MATCH(B243, Input!$J$2:$J$500, 0),
       MATCH("Memory Capacity", Input!$D$1:$AC$1, 0))</f>
        <v>#N/A</v>
      </c>
      <c r="M243" s="13" t="e">
        <f>INDEX(Input!$D$2:$AC$500,
       MATCH(B243, Input!$J$2:$J$500, 0),
       MATCH("Memory Type", Input!$D$1:$AC$1, 0))</f>
        <v>#N/A</v>
      </c>
      <c r="N243" s="13" t="e">
        <f t="shared" si="9"/>
        <v>#N/A</v>
      </c>
      <c r="S243" s="13" t="str">
        <f>_xlfn.LET(_xlpm.Result,_xlfn.XLOOKUP(B243,Input!J:J,Input!AA:AA),IF(_xlpm.Result="","",_xlpm.Result))</f>
        <v/>
      </c>
      <c r="T243" s="13" t="str" cm="1">
        <f t="array" ref="T243">IFERROR(_xlfn.IFS(
   --S243&lt;55,"Battery Defect",
  -- S243&lt;=69,"Battery D",
  --S243&lt;=80,"Battery C",
 --S243&gt;80,""
),"")</f>
        <v/>
      </c>
      <c r="U243" s="13" t="str" cm="1">
        <f t="array" ref="U243:AB243">IFERROR(IF(_xlfn.XLOOKUP(B243,Input!J:J,Input!N:U)=0,"",
          _xlfn.XLOOKUP(B243,Input!J:J,Input!N:U)),"")</f>
        <v/>
      </c>
      <c r="V243" s="13" t="str">
        <v/>
      </c>
      <c r="W243" s="13" t="str">
        <v/>
      </c>
      <c r="X243" s="13" t="str">
        <v/>
      </c>
      <c r="Y243" s="13" t="str">
        <v/>
      </c>
      <c r="Z243" s="13" t="str">
        <v/>
      </c>
      <c r="AA243" s="13" t="str">
        <v/>
      </c>
      <c r="AB243" s="13" t="str">
        <v/>
      </c>
      <c r="AC243" t="str">
        <f t="shared" si="10"/>
        <v/>
      </c>
      <c r="AD243" t="str">
        <f>_xlfn.XLOOKUP(B:B,Disk_Pivot!G:G,Disk_Pivot!I:I)</f>
        <v>Yes</v>
      </c>
      <c r="AE243" t="str">
        <f>_xlfn.XLOOKUP(B243,Disk_Pivot!G:G,Disk_Pivot!N:N)</f>
        <v>Fail</v>
      </c>
    </row>
    <row r="244" spans="6:31">
      <c r="F244" t="str">
        <f>_xlfn.XLOOKUP(H244,Models!B:B,Models!F:F,"")</f>
        <v/>
      </c>
      <c r="K244">
        <f>_xlfn.XLOOKUP(B244,CPU_Formula!A:A,CPU_Formula!I:I)</f>
        <v>0</v>
      </c>
      <c r="L244" s="13" t="e">
        <f>INDEX(Input!$D$2:$AC$500,
       MATCH(B244, Input!$J$2:$J$500, 0),
       MATCH("Memory Capacity", Input!$D$1:$AC$1, 0))</f>
        <v>#N/A</v>
      </c>
      <c r="M244" s="13" t="e">
        <f>INDEX(Input!$D$2:$AC$500,
       MATCH(B244, Input!$J$2:$J$500, 0),
       MATCH("Memory Type", Input!$D$1:$AC$1, 0))</f>
        <v>#N/A</v>
      </c>
      <c r="N244" s="13" t="e">
        <f t="shared" si="9"/>
        <v>#N/A</v>
      </c>
      <c r="S244" s="13" t="str">
        <f>_xlfn.LET(_xlpm.Result,_xlfn.XLOOKUP(B244,Input!J:J,Input!AA:AA),IF(_xlpm.Result="","",_xlpm.Result))</f>
        <v/>
      </c>
      <c r="T244" s="13" t="str" cm="1">
        <f t="array" ref="T244">IFERROR(_xlfn.IFS(
   --S244&lt;55,"Battery Defect",
  -- S244&lt;=69,"Battery D",
  --S244&lt;=80,"Battery C",
 --S244&gt;80,""
),"")</f>
        <v/>
      </c>
      <c r="U244" s="13" t="str" cm="1">
        <f t="array" ref="U244:AB244">IFERROR(IF(_xlfn.XLOOKUP(B244,Input!J:J,Input!N:U)=0,"",
          _xlfn.XLOOKUP(B244,Input!J:J,Input!N:U)),"")</f>
        <v/>
      </c>
      <c r="V244" s="13" t="str">
        <v/>
      </c>
      <c r="W244" s="13" t="str">
        <v/>
      </c>
      <c r="X244" s="13" t="str">
        <v/>
      </c>
      <c r="Y244" s="13" t="str">
        <v/>
      </c>
      <c r="Z244" s="13" t="str">
        <v/>
      </c>
      <c r="AA244" s="13" t="str">
        <v/>
      </c>
      <c r="AB244" s="13" t="str">
        <v/>
      </c>
      <c r="AC244" t="str">
        <f t="shared" si="10"/>
        <v/>
      </c>
      <c r="AD244" t="str">
        <f>_xlfn.XLOOKUP(B:B,Disk_Pivot!G:G,Disk_Pivot!I:I)</f>
        <v>Yes</v>
      </c>
      <c r="AE244" t="str">
        <f>_xlfn.XLOOKUP(B244,Disk_Pivot!G:G,Disk_Pivot!N:N)</f>
        <v>Fail</v>
      </c>
    </row>
    <row r="245" spans="6:31">
      <c r="F245">
        <f>_xlfn.XLOOKUP(H245,Models!B:B,Models!F:F,"")</f>
        <v>0</v>
      </c>
      <c r="K245">
        <f>_xlfn.XLOOKUP(B245,CPU_Formula!A:A,CPU_Formula!I:I)</f>
        <v>0</v>
      </c>
      <c r="L245" s="13" t="e">
        <f>INDEX(Input!$D$2:$AC$500,
       MATCH(B245, Input!$J$2:$J$500, 0),
       MATCH("Memory Capacity", Input!$D$1:$AC$1, 0))</f>
        <v>#N/A</v>
      </c>
      <c r="M245" s="13" t="e">
        <f>INDEX(Input!$D$2:$AC$500,
       MATCH(B245, Input!$J$2:$J$500, 0),
       MATCH("Memory Type", Input!$D$1:$AC$1, 0))</f>
        <v>#N/A</v>
      </c>
      <c r="N245" s="13" t="e">
        <f t="shared" si="9"/>
        <v>#N/A</v>
      </c>
      <c r="S245" s="13" t="str">
        <f>_xlfn.LET(_xlpm.Result,_xlfn.XLOOKUP(B245,Input!J:J,Input!AA:AA),IF(_xlpm.Result="","",_xlpm.Result))</f>
        <v/>
      </c>
      <c r="T245" s="13" t="str" cm="1">
        <f t="array" ref="T245">IFERROR(_xlfn.IFS(
   --S245&lt;55,"Battery Defect",
  -- S245&lt;=69,"Battery D",
  --S245&lt;=80,"Battery C",
 --S245&gt;80,""
),"")</f>
        <v/>
      </c>
      <c r="U245" s="13" t="str" cm="1">
        <f t="array" ref="U245:AB245">IFERROR(IF(_xlfn.XLOOKUP(B245,Input!J:J,Input!N:U)=0,"",
          _xlfn.XLOOKUP(B245,Input!J:J,Input!N:U)),"")</f>
        <v/>
      </c>
      <c r="V245" s="13" t="str">
        <v/>
      </c>
      <c r="W245" s="13" t="str">
        <v/>
      </c>
      <c r="X245" s="13" t="str">
        <v/>
      </c>
      <c r="Y245" s="13" t="str">
        <v/>
      </c>
      <c r="Z245" s="13" t="str">
        <v/>
      </c>
      <c r="AA245" s="13" t="str">
        <v/>
      </c>
      <c r="AB245" s="13" t="str">
        <v/>
      </c>
      <c r="AC245" t="str">
        <f t="shared" si="10"/>
        <v/>
      </c>
      <c r="AD245" t="str">
        <f>_xlfn.XLOOKUP(B:B,Disk_Pivot!G:G,Disk_Pivot!I:I)</f>
        <v>Yes</v>
      </c>
      <c r="AE245" t="str">
        <f>_xlfn.XLOOKUP(B245,Disk_Pivot!G:G,Disk_Pivot!N:N)</f>
        <v>Fail</v>
      </c>
    </row>
    <row r="246" spans="6:31">
      <c r="F246" t="str">
        <f>_xlfn.XLOOKUP(H246,Models!B:B,Models!F:F,"")</f>
        <v/>
      </c>
      <c r="K246">
        <f>_xlfn.XLOOKUP(B246,CPU_Formula!A:A,CPU_Formula!I:I)</f>
        <v>0</v>
      </c>
      <c r="L246" s="13" t="e">
        <f>INDEX(Input!$D$2:$AC$500,
       MATCH(B246, Input!$J$2:$J$500, 0),
       MATCH("Memory Capacity", Input!$D$1:$AC$1, 0))</f>
        <v>#N/A</v>
      </c>
      <c r="M246" s="13" t="e">
        <f>INDEX(Input!$D$2:$AC$500,
       MATCH(B246, Input!$J$2:$J$500, 0),
       MATCH("Memory Type", Input!$D$1:$AC$1, 0))</f>
        <v>#N/A</v>
      </c>
      <c r="N246" s="13" t="e">
        <f t="shared" si="9"/>
        <v>#N/A</v>
      </c>
      <c r="S246" s="13" t="str">
        <f>_xlfn.LET(_xlpm.Result,_xlfn.XLOOKUP(B246,Input!J:J,Input!AA:AA),IF(_xlpm.Result="","",_xlpm.Result))</f>
        <v/>
      </c>
      <c r="T246" s="13" t="str" cm="1">
        <f t="array" ref="T246">IFERROR(_xlfn.IFS(
   --S246&lt;55,"Battery Defect",
  -- S246&lt;=69,"Battery D",
  --S246&lt;=80,"Battery C",
 --S246&gt;80,""
),"")</f>
        <v/>
      </c>
      <c r="U246" s="13" t="str" cm="1">
        <f t="array" ref="U246:AB246">IFERROR(IF(_xlfn.XLOOKUP(B246,Input!J:J,Input!N:U)=0,"",
          _xlfn.XLOOKUP(B246,Input!J:J,Input!N:U)),"")</f>
        <v/>
      </c>
      <c r="V246" s="13" t="str">
        <v/>
      </c>
      <c r="W246" s="13" t="str">
        <v/>
      </c>
      <c r="X246" s="13" t="str">
        <v/>
      </c>
      <c r="Y246" s="13" t="str">
        <v/>
      </c>
      <c r="Z246" s="13" t="str">
        <v/>
      </c>
      <c r="AA246" s="13" t="str">
        <v/>
      </c>
      <c r="AB246" s="13" t="str">
        <v/>
      </c>
      <c r="AC246" t="str">
        <f t="shared" si="10"/>
        <v/>
      </c>
      <c r="AD246" t="str">
        <f>_xlfn.XLOOKUP(B:B,Disk_Pivot!G:G,Disk_Pivot!I:I)</f>
        <v>Yes</v>
      </c>
      <c r="AE246" t="str">
        <f>_xlfn.XLOOKUP(B246,Disk_Pivot!G:G,Disk_Pivot!N:N)</f>
        <v>Fail</v>
      </c>
    </row>
    <row r="247" spans="6:31">
      <c r="F247" t="str">
        <f>_xlfn.XLOOKUP(H247,Models!B:B,Models!F:F,"")</f>
        <v/>
      </c>
      <c r="K247">
        <f>_xlfn.XLOOKUP(B247,CPU_Formula!A:A,CPU_Formula!I:I)</f>
        <v>0</v>
      </c>
      <c r="L247" s="13" t="e">
        <f>INDEX(Input!$D$2:$AC$500,
       MATCH(B247, Input!$J$2:$J$500, 0),
       MATCH("Memory Capacity", Input!$D$1:$AC$1, 0))</f>
        <v>#N/A</v>
      </c>
      <c r="M247" s="13" t="e">
        <f>INDEX(Input!$D$2:$AC$500,
       MATCH(B247, Input!$J$2:$J$500, 0),
       MATCH("Memory Type", Input!$D$1:$AC$1, 0))</f>
        <v>#N/A</v>
      </c>
      <c r="N247" s="13" t="e">
        <f t="shared" si="9"/>
        <v>#N/A</v>
      </c>
      <c r="S247" s="13" t="str">
        <f>_xlfn.LET(_xlpm.Result,_xlfn.XLOOKUP(B247,Input!J:J,Input!AA:AA),IF(_xlpm.Result="","",_xlpm.Result))</f>
        <v/>
      </c>
      <c r="T247" s="13" t="str" cm="1">
        <f t="array" ref="T247">IFERROR(_xlfn.IFS(
   --S247&lt;55,"Battery Defect",
  -- S247&lt;=69,"Battery D",
  --S247&lt;=80,"Battery C",
 --S247&gt;80,""
),"")</f>
        <v/>
      </c>
      <c r="U247" s="13" t="str" cm="1">
        <f t="array" ref="U247:AB247">IFERROR(IF(_xlfn.XLOOKUP(B247,Input!J:J,Input!N:U)=0,"",
          _xlfn.XLOOKUP(B247,Input!J:J,Input!N:U)),"")</f>
        <v/>
      </c>
      <c r="V247" s="13" t="str">
        <v/>
      </c>
      <c r="W247" s="13" t="str">
        <v/>
      </c>
      <c r="X247" s="13" t="str">
        <v/>
      </c>
      <c r="Y247" s="13" t="str">
        <v/>
      </c>
      <c r="Z247" s="13" t="str">
        <v/>
      </c>
      <c r="AA247" s="13" t="str">
        <v/>
      </c>
      <c r="AB247" s="13" t="str">
        <v/>
      </c>
      <c r="AC247" t="str">
        <f t="shared" si="10"/>
        <v/>
      </c>
      <c r="AD247" t="str">
        <f>_xlfn.XLOOKUP(B:B,Disk_Pivot!G:G,Disk_Pivot!I:I)</f>
        <v>Yes</v>
      </c>
      <c r="AE247" t="str">
        <f>_xlfn.XLOOKUP(B247,Disk_Pivot!G:G,Disk_Pivot!N:N)</f>
        <v>Fail</v>
      </c>
    </row>
    <row r="248" spans="6:31">
      <c r="F248">
        <f>_xlfn.XLOOKUP(H248,Models!B:B,Models!F:F,"")</f>
        <v>0</v>
      </c>
      <c r="K248">
        <f>_xlfn.XLOOKUP(B248,CPU_Formula!A:A,CPU_Formula!I:I)</f>
        <v>0</v>
      </c>
      <c r="L248" s="13" t="e">
        <f>INDEX(Input!$D$2:$AC$500,
       MATCH(B248, Input!$J$2:$J$500, 0),
       MATCH("Memory Capacity", Input!$D$1:$AC$1, 0))</f>
        <v>#N/A</v>
      </c>
      <c r="M248" s="13" t="e">
        <f>INDEX(Input!$D$2:$AC$500,
       MATCH(B248, Input!$J$2:$J$500, 0),
       MATCH("Memory Type", Input!$D$1:$AC$1, 0))</f>
        <v>#N/A</v>
      </c>
      <c r="N248" s="13" t="e">
        <f t="shared" si="9"/>
        <v>#N/A</v>
      </c>
      <c r="S248" s="13" t="str">
        <f>_xlfn.LET(_xlpm.Result,_xlfn.XLOOKUP(B248,Input!J:J,Input!AA:AA),IF(_xlpm.Result="","",_xlpm.Result))</f>
        <v/>
      </c>
      <c r="T248" s="13" t="str" cm="1">
        <f t="array" ref="T248">IFERROR(_xlfn.IFS(
   --S248&lt;55,"Battery Defect",
  -- S248&lt;=69,"Battery D",
  --S248&lt;=80,"Battery C",
 --S248&gt;80,""
),"")</f>
        <v/>
      </c>
      <c r="U248" s="13" t="str" cm="1">
        <f t="array" ref="U248:AB248">IFERROR(IF(_xlfn.XLOOKUP(B248,Input!J:J,Input!N:U)=0,"",
          _xlfn.XLOOKUP(B248,Input!J:J,Input!N:U)),"")</f>
        <v/>
      </c>
      <c r="V248" s="13" t="str">
        <v/>
      </c>
      <c r="W248" s="13" t="str">
        <v/>
      </c>
      <c r="X248" s="13" t="str">
        <v/>
      </c>
      <c r="Y248" s="13" t="str">
        <v/>
      </c>
      <c r="Z248" s="13" t="str">
        <v/>
      </c>
      <c r="AA248" s="13" t="str">
        <v/>
      </c>
      <c r="AB248" s="13" t="str">
        <v/>
      </c>
      <c r="AC248" t="str">
        <f t="shared" si="10"/>
        <v/>
      </c>
      <c r="AD248" t="str">
        <f>_xlfn.XLOOKUP(B:B,Disk_Pivot!G:G,Disk_Pivot!I:I)</f>
        <v>Yes</v>
      </c>
      <c r="AE248" t="str">
        <f>_xlfn.XLOOKUP(B248,Disk_Pivot!G:G,Disk_Pivot!N:N)</f>
        <v>Fail</v>
      </c>
    </row>
    <row r="249" spans="6:31">
      <c r="F249" t="str">
        <f>_xlfn.XLOOKUP(H249,Models!B:B,Models!F:F,"")</f>
        <v/>
      </c>
      <c r="K249">
        <f>_xlfn.XLOOKUP(B249,CPU_Formula!A:A,CPU_Formula!I:I)</f>
        <v>0</v>
      </c>
      <c r="L249" s="13" t="e">
        <f>INDEX(Input!$D$2:$AC$500,
       MATCH(B249, Input!$J$2:$J$500, 0),
       MATCH("Memory Capacity", Input!$D$1:$AC$1, 0))</f>
        <v>#N/A</v>
      </c>
      <c r="M249" s="13" t="e">
        <f>INDEX(Input!$D$2:$AC$500,
       MATCH(B249, Input!$J$2:$J$500, 0),
       MATCH("Memory Type", Input!$D$1:$AC$1, 0))</f>
        <v>#N/A</v>
      </c>
      <c r="N249" s="13" t="e">
        <f t="shared" si="9"/>
        <v>#N/A</v>
      </c>
      <c r="S249" s="13" t="str">
        <f>_xlfn.LET(_xlpm.Result,_xlfn.XLOOKUP(B249,Input!J:J,Input!AA:AA),IF(_xlpm.Result="","",_xlpm.Result))</f>
        <v/>
      </c>
      <c r="T249" s="13" t="str" cm="1">
        <f t="array" ref="T249">IFERROR(_xlfn.IFS(
   --S249&lt;55,"Battery Defect",
  -- S249&lt;=69,"Battery D",
  --S249&lt;=80,"Battery C",
 --S249&gt;80,""
),"")</f>
        <v/>
      </c>
      <c r="U249" s="13" t="str" cm="1">
        <f t="array" ref="U249:AB249">IFERROR(IF(_xlfn.XLOOKUP(B249,Input!J:J,Input!N:U)=0,"",
          _xlfn.XLOOKUP(B249,Input!J:J,Input!N:U)),"")</f>
        <v/>
      </c>
      <c r="V249" s="13" t="str">
        <v/>
      </c>
      <c r="W249" s="13" t="str">
        <v/>
      </c>
      <c r="X249" s="13" t="str">
        <v/>
      </c>
      <c r="Y249" s="13" t="str">
        <v/>
      </c>
      <c r="Z249" s="13" t="str">
        <v/>
      </c>
      <c r="AA249" s="13" t="str">
        <v/>
      </c>
      <c r="AB249" s="13" t="str">
        <v/>
      </c>
      <c r="AC249" t="str">
        <f t="shared" si="10"/>
        <v/>
      </c>
      <c r="AD249" t="str">
        <f>_xlfn.XLOOKUP(B:B,Disk_Pivot!G:G,Disk_Pivot!I:I)</f>
        <v>Yes</v>
      </c>
      <c r="AE249" t="str">
        <f>_xlfn.XLOOKUP(B249,Disk_Pivot!G:G,Disk_Pivot!N:N)</f>
        <v>Fail</v>
      </c>
    </row>
    <row r="250" spans="6:31">
      <c r="F250" t="str">
        <f>_xlfn.XLOOKUP(H250,Models!B:B,Models!F:F,"")</f>
        <v/>
      </c>
      <c r="K250">
        <f>_xlfn.XLOOKUP(B250,CPU_Formula!A:A,CPU_Formula!I:I)</f>
        <v>0</v>
      </c>
      <c r="L250" s="13" t="e">
        <f>INDEX(Input!$D$2:$AC$500,
       MATCH(B250, Input!$J$2:$J$500, 0),
       MATCH("Memory Capacity", Input!$D$1:$AC$1, 0))</f>
        <v>#N/A</v>
      </c>
      <c r="M250" s="13" t="e">
        <f>INDEX(Input!$D$2:$AC$500,
       MATCH(B250, Input!$J$2:$J$500, 0),
       MATCH("Memory Type", Input!$D$1:$AC$1, 0))</f>
        <v>#N/A</v>
      </c>
      <c r="N250" s="13" t="e">
        <f t="shared" si="9"/>
        <v>#N/A</v>
      </c>
      <c r="S250" s="13" t="str">
        <f>_xlfn.LET(_xlpm.Result,_xlfn.XLOOKUP(B250,Input!J:J,Input!AA:AA),IF(_xlpm.Result="","",_xlpm.Result))</f>
        <v/>
      </c>
      <c r="T250" s="13" t="str" cm="1">
        <f t="array" ref="T250">IFERROR(_xlfn.IFS(
   --S250&lt;55,"Battery Defect",
  -- S250&lt;=69,"Battery D",
  --S250&lt;=80,"Battery C",
 --S250&gt;80,""
),"")</f>
        <v/>
      </c>
      <c r="U250" s="13" t="str" cm="1">
        <f t="array" ref="U250:AB250">IFERROR(IF(_xlfn.XLOOKUP(B250,Input!J:J,Input!N:U)=0,"",
          _xlfn.XLOOKUP(B250,Input!J:J,Input!N:U)),"")</f>
        <v/>
      </c>
      <c r="V250" s="13" t="str">
        <v/>
      </c>
      <c r="W250" s="13" t="str">
        <v/>
      </c>
      <c r="X250" s="13" t="str">
        <v/>
      </c>
      <c r="Y250" s="13" t="str">
        <v/>
      </c>
      <c r="Z250" s="13" t="str">
        <v/>
      </c>
      <c r="AA250" s="13" t="str">
        <v/>
      </c>
      <c r="AB250" s="13" t="str">
        <v/>
      </c>
      <c r="AC250" t="str">
        <f t="shared" si="10"/>
        <v/>
      </c>
      <c r="AD250" t="str">
        <f>_xlfn.XLOOKUP(B:B,Disk_Pivot!G:G,Disk_Pivot!I:I)</f>
        <v>Yes</v>
      </c>
      <c r="AE250" t="str">
        <f>_xlfn.XLOOKUP(B250,Disk_Pivot!G:G,Disk_Pivot!N:N)</f>
        <v>Fail</v>
      </c>
    </row>
    <row r="251" spans="6:31">
      <c r="F251">
        <f>_xlfn.XLOOKUP(H251,Models!B:B,Models!F:F,"")</f>
        <v>0</v>
      </c>
      <c r="K251">
        <f>_xlfn.XLOOKUP(B251,CPU_Formula!A:A,CPU_Formula!I:I)</f>
        <v>0</v>
      </c>
      <c r="L251" s="13" t="e">
        <f>INDEX(Input!$D$2:$AC$500,
       MATCH(B251, Input!$J$2:$J$500, 0),
       MATCH("Memory Capacity", Input!$D$1:$AC$1, 0))</f>
        <v>#N/A</v>
      </c>
      <c r="M251" s="13" t="e">
        <f>INDEX(Input!$D$2:$AC$500,
       MATCH(B251, Input!$J$2:$J$500, 0),
       MATCH("Memory Type", Input!$D$1:$AC$1, 0))</f>
        <v>#N/A</v>
      </c>
      <c r="N251" s="13" t="e">
        <f t="shared" si="9"/>
        <v>#N/A</v>
      </c>
      <c r="S251" s="13" t="str">
        <f>_xlfn.LET(_xlpm.Result,_xlfn.XLOOKUP(B251,Input!J:J,Input!AA:AA),IF(_xlpm.Result="","",_xlpm.Result))</f>
        <v/>
      </c>
      <c r="T251" s="13" t="str" cm="1">
        <f t="array" ref="T251">IFERROR(_xlfn.IFS(
   --S251&lt;55,"Battery Defect",
  -- S251&lt;=69,"Battery D",
  --S251&lt;=80,"Battery C",
 --S251&gt;80,""
),"")</f>
        <v/>
      </c>
      <c r="U251" s="13" t="str" cm="1">
        <f t="array" ref="U251:AB251">IFERROR(IF(_xlfn.XLOOKUP(B251,Input!J:J,Input!N:U)=0,"",
          _xlfn.XLOOKUP(B251,Input!J:J,Input!N:U)),"")</f>
        <v/>
      </c>
      <c r="V251" s="13" t="str">
        <v/>
      </c>
      <c r="W251" s="13" t="str">
        <v/>
      </c>
      <c r="X251" s="13" t="str">
        <v/>
      </c>
      <c r="Y251" s="13" t="str">
        <v/>
      </c>
      <c r="Z251" s="13" t="str">
        <v/>
      </c>
      <c r="AA251" s="13" t="str">
        <v/>
      </c>
      <c r="AB251" s="13" t="str">
        <v/>
      </c>
      <c r="AC251" t="str">
        <f t="shared" si="10"/>
        <v/>
      </c>
      <c r="AD251" t="str">
        <f>_xlfn.XLOOKUP(B:B,Disk_Pivot!G:G,Disk_Pivot!I:I)</f>
        <v>Yes</v>
      </c>
      <c r="AE251" t="str">
        <f>_xlfn.XLOOKUP(B251,Disk_Pivot!G:G,Disk_Pivot!N:N)</f>
        <v>Fail</v>
      </c>
    </row>
    <row r="252" spans="6:31">
      <c r="F252" t="str">
        <f>_xlfn.XLOOKUP(H252,Models!B:B,Models!F:F,"")</f>
        <v/>
      </c>
      <c r="K252">
        <f>_xlfn.XLOOKUP(B252,CPU_Formula!A:A,CPU_Formula!I:I)</f>
        <v>0</v>
      </c>
      <c r="L252" s="13" t="e">
        <f>INDEX(Input!$D$2:$AC$500,
       MATCH(B252, Input!$J$2:$J$500, 0),
       MATCH("Memory Capacity", Input!$D$1:$AC$1, 0))</f>
        <v>#N/A</v>
      </c>
      <c r="M252" s="13" t="e">
        <f>INDEX(Input!$D$2:$AC$500,
       MATCH(B252, Input!$J$2:$J$500, 0),
       MATCH("Memory Type", Input!$D$1:$AC$1, 0))</f>
        <v>#N/A</v>
      </c>
      <c r="N252" s="13" t="e">
        <f t="shared" si="9"/>
        <v>#N/A</v>
      </c>
      <c r="S252" s="13" t="str">
        <f>_xlfn.LET(_xlpm.Result,_xlfn.XLOOKUP(B252,Input!J:J,Input!AA:AA),IF(_xlpm.Result="","",_xlpm.Result))</f>
        <v/>
      </c>
      <c r="T252" s="13" t="str" cm="1">
        <f t="array" ref="T252">IFERROR(_xlfn.IFS(
   --S252&lt;55,"Battery Defect",
  -- S252&lt;=69,"Battery D",
  --S252&lt;=80,"Battery C",
 --S252&gt;80,""
),"")</f>
        <v/>
      </c>
      <c r="U252" s="13" t="str" cm="1">
        <f t="array" ref="U252:AB252">IFERROR(IF(_xlfn.XLOOKUP(B252,Input!J:J,Input!N:U)=0,"",
          _xlfn.XLOOKUP(B252,Input!J:J,Input!N:U)),"")</f>
        <v/>
      </c>
      <c r="V252" s="13" t="str">
        <v/>
      </c>
      <c r="W252" s="13" t="str">
        <v/>
      </c>
      <c r="X252" s="13" t="str">
        <v/>
      </c>
      <c r="Y252" s="13" t="str">
        <v/>
      </c>
      <c r="Z252" s="13" t="str">
        <v/>
      </c>
      <c r="AA252" s="13" t="str">
        <v/>
      </c>
      <c r="AB252" s="13" t="str">
        <v/>
      </c>
      <c r="AC252" t="str">
        <f t="shared" si="10"/>
        <v/>
      </c>
      <c r="AD252" t="str">
        <f>_xlfn.XLOOKUP(B:B,Disk_Pivot!G:G,Disk_Pivot!I:I)</f>
        <v>Yes</v>
      </c>
      <c r="AE252" t="str">
        <f>_xlfn.XLOOKUP(B252,Disk_Pivot!G:G,Disk_Pivot!N:N)</f>
        <v>Fail</v>
      </c>
    </row>
    <row r="253" spans="6:31">
      <c r="F253">
        <f>_xlfn.XLOOKUP(H253,Models!B:B,Models!F:F,"")</f>
        <v>0</v>
      </c>
      <c r="K253">
        <f>_xlfn.XLOOKUP(B253,CPU_Formula!A:A,CPU_Formula!I:I)</f>
        <v>0</v>
      </c>
      <c r="L253" s="13" t="e">
        <f>INDEX(Input!$D$2:$AC$500,
       MATCH(B253, Input!$J$2:$J$500, 0),
       MATCH("Memory Capacity", Input!$D$1:$AC$1, 0))</f>
        <v>#N/A</v>
      </c>
      <c r="M253" s="13" t="e">
        <f>INDEX(Input!$D$2:$AC$500,
       MATCH(B253, Input!$J$2:$J$500, 0),
       MATCH("Memory Type", Input!$D$1:$AC$1, 0))</f>
        <v>#N/A</v>
      </c>
      <c r="N253" s="13" t="e">
        <f t="shared" si="9"/>
        <v>#N/A</v>
      </c>
      <c r="S253" s="13" t="str">
        <f>_xlfn.LET(_xlpm.Result,_xlfn.XLOOKUP(B253,Input!J:J,Input!AA:AA),IF(_xlpm.Result="","",_xlpm.Result))</f>
        <v/>
      </c>
      <c r="T253" s="13" t="str" cm="1">
        <f t="array" ref="T253">IFERROR(_xlfn.IFS(
   --S253&lt;55,"Battery Defect",
  -- S253&lt;=69,"Battery D",
  --S253&lt;=80,"Battery C",
 --S253&gt;80,""
),"")</f>
        <v/>
      </c>
      <c r="U253" s="13" t="str" cm="1">
        <f t="array" ref="U253:AB253">IFERROR(IF(_xlfn.XLOOKUP(B253,Input!J:J,Input!N:U)=0,"",
          _xlfn.XLOOKUP(B253,Input!J:J,Input!N:U)),"")</f>
        <v/>
      </c>
      <c r="V253" s="13" t="str">
        <v/>
      </c>
      <c r="W253" s="13" t="str">
        <v/>
      </c>
      <c r="X253" s="13" t="str">
        <v/>
      </c>
      <c r="Y253" s="13" t="str">
        <v/>
      </c>
      <c r="Z253" s="13" t="str">
        <v/>
      </c>
      <c r="AA253" s="13" t="str">
        <v/>
      </c>
      <c r="AB253" s="13" t="str">
        <v/>
      </c>
      <c r="AC253" t="str">
        <f t="shared" si="10"/>
        <v/>
      </c>
    </row>
    <row r="254" spans="6:31">
      <c r="F254" t="str">
        <f>_xlfn.XLOOKUP(H254,Models!B:B,Models!F:F,"")</f>
        <v/>
      </c>
      <c r="K254">
        <f>_xlfn.XLOOKUP(B254,CPU_Formula!A:A,CPU_Formula!I:I)</f>
        <v>0</v>
      </c>
      <c r="L254" s="13" t="e">
        <f>INDEX(Input!$D$2:$AC$500,
       MATCH(B254, Input!$J$2:$J$500, 0),
       MATCH("Memory Capacity", Input!$D$1:$AC$1, 0))</f>
        <v>#N/A</v>
      </c>
      <c r="M254" s="13" t="e">
        <f>INDEX(Input!$D$2:$AC$500,
       MATCH(B254, Input!$J$2:$J$500, 0),
       MATCH("Memory Type", Input!$D$1:$AC$1, 0))</f>
        <v>#N/A</v>
      </c>
      <c r="N254" s="13" t="e">
        <f t="shared" si="9"/>
        <v>#N/A</v>
      </c>
      <c r="S254" s="13" t="str">
        <f>_xlfn.LET(_xlpm.Result,_xlfn.XLOOKUP(B254,Input!J:J,Input!AA:AA),IF(_xlpm.Result="","",_xlpm.Result))</f>
        <v/>
      </c>
      <c r="T254" s="13" t="str" cm="1">
        <f t="array" ref="T254">IFERROR(_xlfn.IFS(
   --S254&lt;55,"Battery Defect",
  -- S254&lt;=69,"Battery D",
  --S254&lt;=80,"Battery C",
 --S254&gt;80,""
),"")</f>
        <v/>
      </c>
      <c r="U254" s="13" t="str" cm="1">
        <f t="array" ref="U254:AB254">IFERROR(IF(_xlfn.XLOOKUP(B254,Input!J:J,Input!N:U)=0,"",
          _xlfn.XLOOKUP(B254,Input!J:J,Input!N:U)),"")</f>
        <v/>
      </c>
      <c r="V254" s="13" t="str">
        <v/>
      </c>
      <c r="W254" s="13" t="str">
        <v/>
      </c>
      <c r="X254" s="13" t="str">
        <v/>
      </c>
      <c r="Y254" s="13" t="str">
        <v/>
      </c>
      <c r="Z254" s="13" t="str">
        <v/>
      </c>
      <c r="AA254" s="13" t="str">
        <v/>
      </c>
      <c r="AB254" s="13" t="str">
        <v/>
      </c>
      <c r="AC254" t="str">
        <f t="shared" si="10"/>
        <v/>
      </c>
    </row>
    <row r="255" spans="6:31">
      <c r="K255">
        <f>_xlfn.XLOOKUP(B255,CPU_Formula!A:A,CPU_Formula!I:I)</f>
        <v>0</v>
      </c>
      <c r="S255" s="13" t="str">
        <f>_xlfn.LET(_xlpm.Result,_xlfn.XLOOKUP(B255,Input!J:J,Input!AA:AA),IF(_xlpm.Result="","",_xlpm.Result))</f>
        <v/>
      </c>
      <c r="T255" s="13" t="str" cm="1">
        <f t="array" ref="T255">IFERROR(_xlfn.IFS(
   --S255&lt;55,"Battery Defect",
  -- S255&lt;=69,"Battery D",
  --S255&lt;=80,"Battery C",
 --S255&gt;80,""
),"")</f>
        <v/>
      </c>
      <c r="U255" s="13" t="str" cm="1">
        <f t="array" ref="U255:AB255">IFERROR(IF(_xlfn.XLOOKUP(B255,Input!J:J,Input!N:U)=0,"",
          _xlfn.XLOOKUP(B255,Input!J:J,Input!N:U)),"")</f>
        <v/>
      </c>
      <c r="V255" s="13" t="str">
        <v/>
      </c>
      <c r="W255" s="13" t="str">
        <v/>
      </c>
      <c r="X255" s="13" t="str">
        <v/>
      </c>
      <c r="Y255" s="13" t="str">
        <v/>
      </c>
      <c r="Z255" s="13" t="str">
        <v/>
      </c>
      <c r="AA255" s="13" t="str">
        <v/>
      </c>
      <c r="AB255" s="13" t="str">
        <v/>
      </c>
      <c r="AC255" t="str">
        <f t="shared" si="10"/>
        <v/>
      </c>
    </row>
    <row r="256" spans="6:31">
      <c r="K256">
        <f>_xlfn.XLOOKUP(B256,CPU_Formula!A:A,CPU_Formula!I:I)</f>
        <v>0</v>
      </c>
      <c r="S256" s="13" t="str">
        <f>_xlfn.LET(_xlpm.Result,_xlfn.XLOOKUP(B256,Input!J:J,Input!AA:AA),IF(_xlpm.Result="","",_xlpm.Result))</f>
        <v/>
      </c>
      <c r="T256" s="13" t="str" cm="1">
        <f t="array" ref="T256">IFERROR(_xlfn.IFS(
   --S256&lt;55,"Battery Defect",
  -- S256&lt;=69,"Battery D",
  --S256&lt;=80,"Battery C",
 --S256&gt;80,""
),"")</f>
        <v/>
      </c>
      <c r="U256" s="13" t="str" cm="1">
        <f t="array" ref="U256:AB256">IFERROR(IF(_xlfn.XLOOKUP(B256,Input!J:J,Input!N:U)=0,"",
          _xlfn.XLOOKUP(B256,Input!J:J,Input!N:U)),"")</f>
        <v/>
      </c>
      <c r="V256" s="13" t="str">
        <v/>
      </c>
      <c r="W256" s="13" t="str">
        <v/>
      </c>
      <c r="X256" s="13" t="str">
        <v/>
      </c>
      <c r="Y256" s="13" t="str">
        <v/>
      </c>
      <c r="Z256" s="13" t="str">
        <v/>
      </c>
      <c r="AA256" s="13" t="str">
        <v/>
      </c>
      <c r="AB256" s="13" t="str">
        <v/>
      </c>
      <c r="AC256" t="str">
        <f t="shared" si="10"/>
        <v/>
      </c>
    </row>
    <row r="257" spans="11:26">
      <c r="K257">
        <f>_xlfn.XLOOKUP(B257,CPU_Formula!A:A,CPU_Formula!I:I)</f>
        <v>0</v>
      </c>
      <c r="S257" s="13" t="str">
        <f>_xlfn.LET(_xlpm.Result,_xlfn.XLOOKUP(B257,Input!J:J,Input!AA:AA),IF(_xlpm.Result="","",_xlpm.Result))</f>
        <v/>
      </c>
      <c r="T257" s="13" t="str" cm="1">
        <f t="array" ref="T257">IFERROR(_xlfn.IFS(
   --S257&lt;55,"Battery Defect",
  -- S257&lt;=69,"Battery D",
  --S257&lt;=80,"Battery C",
 --S257&gt;80,""
),"")</f>
        <v/>
      </c>
      <c r="U257" s="13" t="str" cm="1">
        <f t="array" ref="U257:Z257">IFERROR(IF(_xlfn.XLOOKUP(B258,Input!J:J,Input!N:S)=0,"",
          _xlfn.XLOOKUP(B258,Input!J:J,Input!N:S)),"")</f>
        <v/>
      </c>
      <c r="V257" s="13" t="str">
        <v/>
      </c>
      <c r="W257" s="13" t="str">
        <v/>
      </c>
      <c r="X257" s="13" t="str">
        <v/>
      </c>
      <c r="Y257" s="13" t="str">
        <v/>
      </c>
      <c r="Z257" s="13" t="str">
        <v/>
      </c>
    </row>
    <row r="258" spans="11:26">
      <c r="K258">
        <f>_xlfn.XLOOKUP(B258,CPU_Formula!A:A,CPU_Formula!I:I)</f>
        <v>0</v>
      </c>
      <c r="S258" s="13" t="str">
        <f>_xlfn.LET(_xlpm.Result,_xlfn.XLOOKUP(B258,Input!J:J,Input!AA:AA),IF(_xlpm.Result="","",_xlpm.Result))</f>
        <v/>
      </c>
      <c r="T258" s="13" t="str" cm="1">
        <f t="array" ref="T258">IFERROR(_xlfn.IFS(
   --S258&lt;55,"Battery Defect",
  -- S258&lt;=69,"Battery D",
  --S258&lt;=80,"Battery C",
 --S258&gt;80,""
),"")</f>
        <v/>
      </c>
      <c r="U258" s="13" t="str" cm="1">
        <f t="array" ref="U258:Z258">IFERROR(IF(_xlfn.XLOOKUP(B259,Input!J:J,Input!N:S)=0,"",
          _xlfn.XLOOKUP(B259,Input!J:J,Input!N:S)),"")</f>
        <v/>
      </c>
      <c r="V258" s="13" t="str">
        <v/>
      </c>
      <c r="W258" s="13" t="str">
        <v/>
      </c>
      <c r="X258" s="13" t="str">
        <v/>
      </c>
      <c r="Y258" s="13" t="str">
        <v/>
      </c>
      <c r="Z258" s="13" t="str">
        <v/>
      </c>
    </row>
    <row r="259" spans="11:26">
      <c r="K259">
        <f>_xlfn.XLOOKUP(B259,CPU_Formula!A:A,CPU_Formula!I:I)</f>
        <v>0</v>
      </c>
      <c r="S259" s="13" t="str">
        <f>_xlfn.LET(_xlpm.Result,_xlfn.XLOOKUP(B259,Input!J:J,Input!AA:AA),IF(_xlpm.Result="","",_xlpm.Result))</f>
        <v/>
      </c>
      <c r="T259" s="13" t="str" cm="1">
        <f t="array" ref="T259">IFERROR(_xlfn.IFS(
   --S259&lt;55,"Battery Defect",
  -- S259&lt;=69,"Battery D",
  --S259&lt;=80,"Battery C",
 --S259&gt;80,""
),"")</f>
        <v/>
      </c>
      <c r="U259" s="13" t="str" cm="1">
        <f t="array" ref="U259:Z259">IFERROR(IF(_xlfn.XLOOKUP(B260,Input!J:J,Input!N:S)=0,"",
          _xlfn.XLOOKUP(B260,Input!J:J,Input!N:S)),"")</f>
        <v/>
      </c>
      <c r="V259" s="13" t="str">
        <v/>
      </c>
      <c r="W259" s="13" t="str">
        <v/>
      </c>
      <c r="X259" s="13" t="str">
        <v/>
      </c>
      <c r="Y259" s="13" t="str">
        <v/>
      </c>
      <c r="Z259" s="13" t="str">
        <v/>
      </c>
    </row>
    <row r="260" spans="11:26">
      <c r="K260">
        <f>_xlfn.XLOOKUP(B260,CPU_Formula!A:A,CPU_Formula!I:I)</f>
        <v>0</v>
      </c>
      <c r="S260" s="13" t="str">
        <f>_xlfn.LET(_xlpm.Result,_xlfn.XLOOKUP(B260,Input!J:J,Input!AA:AA),IF(_xlpm.Result="","",_xlpm.Result))</f>
        <v/>
      </c>
      <c r="T260" s="13" t="str" cm="1">
        <f t="array" ref="T260">IFERROR(_xlfn.IFS(
   --S260&lt;55,"Battery Defect",
  -- S260&lt;=69,"Battery D",
  --S260&lt;=80,"Battery C",
 --S260&gt;80,""
),"")</f>
        <v/>
      </c>
    </row>
  </sheetData>
  <mergeCells count="1">
    <mergeCell ref="U1:Z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DF4BD-6969-4466-9094-7377506CD81B}">
  <sheetPr codeName="Sheet8"/>
  <dimension ref="A1:I693"/>
  <sheetViews>
    <sheetView tabSelected="1" workbookViewId="0">
      <selection activeCell="B5" sqref="B5"/>
    </sheetView>
  </sheetViews>
  <sheetFormatPr defaultRowHeight="15"/>
  <cols>
    <col min="1" max="1" width="11.28515625" bestFit="1" customWidth="1"/>
    <col min="2" max="2" width="46" style="13" bestFit="1" customWidth="1"/>
    <col min="3" max="3" width="23.5703125" style="13" bestFit="1" customWidth="1"/>
    <col min="4" max="4" width="35.85546875" style="13" bestFit="1" customWidth="1"/>
    <col min="5" max="5" width="11.42578125" style="13" bestFit="1" customWidth="1"/>
    <col min="6" max="6" width="11.7109375" style="13" bestFit="1" customWidth="1"/>
    <col min="7" max="7" width="12.85546875" style="13" bestFit="1" customWidth="1"/>
    <col min="8" max="8" width="11.7109375" style="13" bestFit="1" customWidth="1"/>
    <col min="9" max="9" width="11.42578125" bestFit="1" customWidth="1"/>
  </cols>
  <sheetData>
    <row r="1" spans="1:9" ht="18" thickBot="1">
      <c r="A1" s="29" t="s">
        <v>59</v>
      </c>
      <c r="B1" s="12" t="s">
        <v>287</v>
      </c>
      <c r="C1" s="12" t="s">
        <v>543</v>
      </c>
      <c r="D1" s="12" t="s">
        <v>283</v>
      </c>
      <c r="E1" s="12" t="s">
        <v>284</v>
      </c>
      <c r="F1" s="12" t="s">
        <v>544</v>
      </c>
      <c r="G1" s="12" t="s">
        <v>285</v>
      </c>
      <c r="H1" s="12" t="s">
        <v>286</v>
      </c>
      <c r="I1" s="1" t="s">
        <v>9</v>
      </c>
    </row>
    <row r="2" spans="1:9" ht="15.75" thickTop="1">
      <c r="A2">
        <f>CSV!B2</f>
        <v>0</v>
      </c>
      <c r="B2" s="13" t="e">
        <f>INDEX(Input!$D$2:$AC$500,
       MATCH(CPU_Formula!A2, Input!$J$2:$J$500, 0),
       MATCH("CPU model", Input!$D$1:$AC$1, 0))</f>
        <v>#N/A</v>
      </c>
      <c r="C2" s="13" t="str">
        <f>IFERROR(_xlfn.TEXTAFTER(B2,"Core(TM) "),IFERROR(_xlfn.TEXTAFTER(B2,"Xeon(R) CPU"),""))</f>
        <v/>
      </c>
      <c r="D2" s="13" t="str">
        <f t="shared" ref="D2:D65" si="0">IF(ISNUMBER(SEARCH("Ryzen", B2)), _xlfn.TEXTAFTER(B2, "AMD"), "")</f>
        <v/>
      </c>
      <c r="E2" s="13" t="str">
        <f t="shared" ref="E2:E65" si="1">IF(ISNUMBER(SEARCH("Ultra", B2)), "Ultra"&amp;_xlfn.TEXTAFTER(B2, "Ultra"), "")</f>
        <v/>
      </c>
      <c r="F2" s="13" t="str">
        <f t="shared" ref="F2:F65" si="2">IF(C2&lt;&gt;"", TRIM(_xlfn.TEXTBEFORE(C2," ",,1,1)), "")</f>
        <v/>
      </c>
      <c r="G2" s="13" t="str">
        <f t="shared" ref="G2:G65" si="3">IFERROR(_xlfn.TEXTBEFORE(D2,"w/"),"")</f>
        <v/>
      </c>
      <c r="H2" s="13" t="str">
        <f t="shared" ref="H2:H65" si="4">E2</f>
        <v/>
      </c>
      <c r="I2" t="str">
        <f t="shared" ref="I2:I65" si="5">IF(H2&lt;&gt;"",H2,IF(G2&lt;&gt;"",G2,F2))</f>
        <v/>
      </c>
    </row>
    <row r="3" spans="1:9">
      <c r="A3">
        <f>CSV!B3</f>
        <v>0</v>
      </c>
      <c r="B3" s="13" t="e">
        <f>INDEX(Input!$D$2:$AC$500,
       MATCH(CPU_Formula!A3, Input!$J$2:$J$500, 0),
       MATCH("CPU model", Input!$D$1:$AC$1, 0))</f>
        <v>#N/A</v>
      </c>
      <c r="C3" s="13" t="str">
        <f t="shared" ref="C3:C66" si="6">IFERROR(_xlfn.TEXTAFTER(B3,"Core(TM) "),IFERROR(_xlfn.TEXTAFTER(B3,"Xeon(R) CPU"),""))</f>
        <v/>
      </c>
      <c r="D3" s="13" t="str">
        <f t="shared" si="0"/>
        <v/>
      </c>
      <c r="E3" s="13" t="str">
        <f t="shared" si="1"/>
        <v/>
      </c>
      <c r="F3" s="13" t="str">
        <f t="shared" si="2"/>
        <v/>
      </c>
      <c r="G3" s="13" t="str">
        <f t="shared" si="3"/>
        <v/>
      </c>
      <c r="H3" s="13" t="str">
        <f t="shared" si="4"/>
        <v/>
      </c>
      <c r="I3" t="str">
        <f t="shared" si="5"/>
        <v/>
      </c>
    </row>
    <row r="4" spans="1:9">
      <c r="A4">
        <f>CSV!B4</f>
        <v>0</v>
      </c>
      <c r="B4" s="13" t="e">
        <f>INDEX(Input!$D$2:$AC$500,
       MATCH(CPU_Formula!A4, Input!$J$2:$J$500, 0),
       MATCH("CPU model", Input!$D$1:$AC$1, 0))</f>
        <v>#N/A</v>
      </c>
      <c r="C4" s="13" t="str">
        <f t="shared" si="6"/>
        <v/>
      </c>
      <c r="D4" s="13" t="str">
        <f t="shared" si="0"/>
        <v/>
      </c>
      <c r="E4" s="13" t="str">
        <f t="shared" si="1"/>
        <v/>
      </c>
      <c r="F4" s="13" t="str">
        <f t="shared" si="2"/>
        <v/>
      </c>
      <c r="G4" s="13" t="str">
        <f t="shared" si="3"/>
        <v/>
      </c>
      <c r="H4" s="13" t="str">
        <f t="shared" si="4"/>
        <v/>
      </c>
      <c r="I4" t="str">
        <f t="shared" si="5"/>
        <v/>
      </c>
    </row>
    <row r="5" spans="1:9">
      <c r="A5">
        <f>CSV!B5</f>
        <v>0</v>
      </c>
      <c r="B5" s="13" t="e">
        <f>INDEX(Input!$D$2:$AC$500,
       MATCH(CPU_Formula!A5, Input!$J$2:$J$500, 0),
       MATCH("CPU model", Input!$D$1:$AC$1, 0))</f>
        <v>#N/A</v>
      </c>
      <c r="C5" s="13" t="str">
        <f t="shared" si="6"/>
        <v/>
      </c>
      <c r="D5" s="13" t="str">
        <f t="shared" si="0"/>
        <v/>
      </c>
      <c r="E5" s="13" t="str">
        <f t="shared" si="1"/>
        <v/>
      </c>
      <c r="F5" s="13" t="str">
        <f t="shared" si="2"/>
        <v/>
      </c>
      <c r="G5" s="13" t="str">
        <f t="shared" si="3"/>
        <v/>
      </c>
      <c r="H5" s="13" t="str">
        <f t="shared" si="4"/>
        <v/>
      </c>
      <c r="I5" t="str">
        <f t="shared" si="5"/>
        <v/>
      </c>
    </row>
    <row r="6" spans="1:9">
      <c r="A6">
        <f>CSV!B6</f>
        <v>0</v>
      </c>
      <c r="B6" s="13" t="e">
        <f>INDEX(Input!$D$2:$AC$500,
       MATCH(CPU_Formula!A6, Input!$J$2:$J$500, 0),
       MATCH("CPU model", Input!$D$1:$AC$1, 0))</f>
        <v>#N/A</v>
      </c>
      <c r="C6" s="13" t="str">
        <f t="shared" si="6"/>
        <v/>
      </c>
      <c r="D6" s="13" t="str">
        <f t="shared" si="0"/>
        <v/>
      </c>
      <c r="E6" s="13" t="str">
        <f t="shared" si="1"/>
        <v/>
      </c>
      <c r="F6" s="13" t="str">
        <f t="shared" si="2"/>
        <v/>
      </c>
      <c r="G6" s="13" t="str">
        <f t="shared" si="3"/>
        <v/>
      </c>
      <c r="H6" s="13" t="str">
        <f t="shared" si="4"/>
        <v/>
      </c>
      <c r="I6" t="str">
        <f t="shared" si="5"/>
        <v/>
      </c>
    </row>
    <row r="7" spans="1:9">
      <c r="A7">
        <f>CSV!B7</f>
        <v>0</v>
      </c>
      <c r="B7" s="13" t="e">
        <f>INDEX(Input!$D$2:$AC$500,
       MATCH(CPU_Formula!A7, Input!$J$2:$J$500, 0),
       MATCH("CPU model", Input!$D$1:$AC$1, 0))</f>
        <v>#N/A</v>
      </c>
      <c r="C7" s="13" t="str">
        <f t="shared" si="6"/>
        <v/>
      </c>
      <c r="D7" s="13" t="str">
        <f t="shared" si="0"/>
        <v/>
      </c>
      <c r="E7" s="13" t="str">
        <f t="shared" si="1"/>
        <v/>
      </c>
      <c r="F7" s="13" t="str">
        <f t="shared" si="2"/>
        <v/>
      </c>
      <c r="G7" s="13" t="str">
        <f t="shared" si="3"/>
        <v/>
      </c>
      <c r="H7" s="13" t="str">
        <f t="shared" si="4"/>
        <v/>
      </c>
      <c r="I7" t="str">
        <f t="shared" si="5"/>
        <v/>
      </c>
    </row>
    <row r="8" spans="1:9">
      <c r="A8">
        <f>CSV!B8</f>
        <v>0</v>
      </c>
      <c r="B8" s="13" t="e">
        <f>INDEX(Input!$D$2:$AC$500,
       MATCH(CPU_Formula!A8, Input!$J$2:$J$500, 0),
       MATCH("CPU model", Input!$D$1:$AC$1, 0))</f>
        <v>#N/A</v>
      </c>
      <c r="C8" s="13" t="str">
        <f t="shared" si="6"/>
        <v/>
      </c>
      <c r="D8" s="13" t="str">
        <f t="shared" si="0"/>
        <v/>
      </c>
      <c r="E8" s="13" t="str">
        <f t="shared" si="1"/>
        <v/>
      </c>
      <c r="F8" s="13" t="str">
        <f t="shared" si="2"/>
        <v/>
      </c>
      <c r="G8" s="13" t="str">
        <f t="shared" si="3"/>
        <v/>
      </c>
      <c r="H8" s="13" t="str">
        <f t="shared" si="4"/>
        <v/>
      </c>
      <c r="I8" t="str">
        <f t="shared" si="5"/>
        <v/>
      </c>
    </row>
    <row r="9" spans="1:9">
      <c r="A9">
        <f>CSV!B9</f>
        <v>0</v>
      </c>
      <c r="B9" s="13" t="e">
        <f>INDEX(Input!$D$2:$AC$500,
       MATCH(CPU_Formula!A9, Input!$J$2:$J$500, 0),
       MATCH("CPU model", Input!$D$1:$AC$1, 0))</f>
        <v>#N/A</v>
      </c>
      <c r="C9" s="13" t="str">
        <f t="shared" si="6"/>
        <v/>
      </c>
      <c r="D9" s="13" t="str">
        <f t="shared" si="0"/>
        <v/>
      </c>
      <c r="E9" s="13" t="str">
        <f t="shared" si="1"/>
        <v/>
      </c>
      <c r="F9" s="13" t="str">
        <f t="shared" si="2"/>
        <v/>
      </c>
      <c r="G9" s="13" t="str">
        <f t="shared" si="3"/>
        <v/>
      </c>
      <c r="H9" s="13" t="str">
        <f t="shared" si="4"/>
        <v/>
      </c>
      <c r="I9" t="str">
        <f t="shared" si="5"/>
        <v/>
      </c>
    </row>
    <row r="10" spans="1:9">
      <c r="A10">
        <f>CSV!B10</f>
        <v>0</v>
      </c>
      <c r="B10" s="13" t="e">
        <f>INDEX(Input!$D$2:$AC$500,
       MATCH(CPU_Formula!A10, Input!$J$2:$J$500, 0),
       MATCH("CPU model", Input!$D$1:$AC$1, 0))</f>
        <v>#N/A</v>
      </c>
      <c r="C10" s="13" t="str">
        <f t="shared" si="6"/>
        <v/>
      </c>
      <c r="D10" s="13" t="str">
        <f t="shared" si="0"/>
        <v/>
      </c>
      <c r="E10" s="13" t="str">
        <f t="shared" si="1"/>
        <v/>
      </c>
      <c r="F10" s="13" t="str">
        <f t="shared" si="2"/>
        <v/>
      </c>
      <c r="G10" s="13" t="str">
        <f t="shared" si="3"/>
        <v/>
      </c>
      <c r="H10" s="13" t="str">
        <f t="shared" si="4"/>
        <v/>
      </c>
      <c r="I10" t="str">
        <f t="shared" si="5"/>
        <v/>
      </c>
    </row>
    <row r="11" spans="1:9">
      <c r="A11">
        <f>CSV!B11</f>
        <v>0</v>
      </c>
      <c r="B11" s="13" t="e">
        <f>INDEX(Input!$D$2:$AC$500,
       MATCH(CPU_Formula!A11, Input!$J$2:$J$500, 0),
       MATCH("CPU model", Input!$D$1:$AC$1, 0))</f>
        <v>#N/A</v>
      </c>
      <c r="C11" s="13" t="str">
        <f t="shared" si="6"/>
        <v/>
      </c>
      <c r="D11" s="13" t="str">
        <f t="shared" si="0"/>
        <v/>
      </c>
      <c r="E11" s="13" t="str">
        <f t="shared" si="1"/>
        <v/>
      </c>
      <c r="F11" s="13" t="str">
        <f t="shared" si="2"/>
        <v/>
      </c>
      <c r="G11" s="13" t="str">
        <f t="shared" si="3"/>
        <v/>
      </c>
      <c r="H11" s="13" t="str">
        <f t="shared" si="4"/>
        <v/>
      </c>
      <c r="I11" t="str">
        <f t="shared" si="5"/>
        <v/>
      </c>
    </row>
    <row r="12" spans="1:9">
      <c r="A12">
        <f>CSV!B12</f>
        <v>0</v>
      </c>
      <c r="B12" s="13" t="e">
        <f>INDEX(Input!$D$2:$AC$500,
       MATCH(CPU_Formula!A12, Input!$J$2:$J$500, 0),
       MATCH("CPU model", Input!$D$1:$AC$1, 0))</f>
        <v>#N/A</v>
      </c>
      <c r="C12" s="13" t="str">
        <f t="shared" si="6"/>
        <v/>
      </c>
      <c r="D12" s="13" t="str">
        <f t="shared" si="0"/>
        <v/>
      </c>
      <c r="E12" s="13" t="str">
        <f t="shared" si="1"/>
        <v/>
      </c>
      <c r="F12" s="13" t="str">
        <f t="shared" si="2"/>
        <v/>
      </c>
      <c r="G12" s="13" t="str">
        <f t="shared" si="3"/>
        <v/>
      </c>
      <c r="H12" s="13" t="str">
        <f t="shared" si="4"/>
        <v/>
      </c>
      <c r="I12" t="str">
        <f t="shared" si="5"/>
        <v/>
      </c>
    </row>
    <row r="13" spans="1:9">
      <c r="A13">
        <f>CSV!B13</f>
        <v>0</v>
      </c>
      <c r="B13" s="13" t="e">
        <f>INDEX(Input!$D$2:$AC$500,
       MATCH(CPU_Formula!A13, Input!$J$2:$J$500, 0),
       MATCH("CPU model", Input!$D$1:$AC$1, 0))</f>
        <v>#N/A</v>
      </c>
      <c r="C13" s="13" t="str">
        <f t="shared" si="6"/>
        <v/>
      </c>
      <c r="D13" s="13" t="str">
        <f t="shared" si="0"/>
        <v/>
      </c>
      <c r="E13" s="13" t="str">
        <f t="shared" si="1"/>
        <v/>
      </c>
      <c r="F13" s="13" t="str">
        <f t="shared" si="2"/>
        <v/>
      </c>
      <c r="G13" s="13" t="str">
        <f t="shared" si="3"/>
        <v/>
      </c>
      <c r="H13" s="13" t="str">
        <f t="shared" si="4"/>
        <v/>
      </c>
      <c r="I13" t="str">
        <f t="shared" si="5"/>
        <v/>
      </c>
    </row>
    <row r="14" spans="1:9">
      <c r="A14">
        <f>CSV!B14</f>
        <v>0</v>
      </c>
      <c r="B14" s="13" t="e">
        <f>INDEX(Input!$D$2:$AC$500,
       MATCH(CPU_Formula!A14, Input!$J$2:$J$500, 0),
       MATCH("CPU model", Input!$D$1:$AC$1, 0))</f>
        <v>#N/A</v>
      </c>
      <c r="C14" s="13" t="str">
        <f t="shared" si="6"/>
        <v/>
      </c>
      <c r="D14" s="13" t="str">
        <f t="shared" si="0"/>
        <v/>
      </c>
      <c r="E14" s="13" t="str">
        <f t="shared" si="1"/>
        <v/>
      </c>
      <c r="F14" s="13" t="str">
        <f t="shared" si="2"/>
        <v/>
      </c>
      <c r="G14" s="13" t="str">
        <f t="shared" si="3"/>
        <v/>
      </c>
      <c r="H14" s="13" t="str">
        <f t="shared" si="4"/>
        <v/>
      </c>
      <c r="I14" t="str">
        <f t="shared" si="5"/>
        <v/>
      </c>
    </row>
    <row r="15" spans="1:9">
      <c r="A15">
        <f>CSV!B15</f>
        <v>0</v>
      </c>
      <c r="B15" s="13" t="e">
        <f>INDEX(Input!$D$2:$AC$500,
       MATCH(CPU_Formula!A15, Input!$J$2:$J$500, 0),
       MATCH("CPU model", Input!$D$1:$AC$1, 0))</f>
        <v>#N/A</v>
      </c>
      <c r="C15" s="13" t="str">
        <f t="shared" si="6"/>
        <v/>
      </c>
      <c r="D15" s="13" t="str">
        <f t="shared" si="0"/>
        <v/>
      </c>
      <c r="E15" s="13" t="str">
        <f t="shared" si="1"/>
        <v/>
      </c>
      <c r="F15" s="13" t="str">
        <f t="shared" si="2"/>
        <v/>
      </c>
      <c r="G15" s="13" t="str">
        <f t="shared" si="3"/>
        <v/>
      </c>
      <c r="H15" s="13" t="str">
        <f t="shared" si="4"/>
        <v/>
      </c>
      <c r="I15" t="str">
        <f t="shared" si="5"/>
        <v/>
      </c>
    </row>
    <row r="16" spans="1:9">
      <c r="A16">
        <f>CSV!B16</f>
        <v>0</v>
      </c>
      <c r="B16" s="13" t="e">
        <f>INDEX(Input!$D$2:$AC$500,
       MATCH(CPU_Formula!A16, Input!$J$2:$J$500, 0),
       MATCH("CPU model", Input!$D$1:$AC$1, 0))</f>
        <v>#N/A</v>
      </c>
      <c r="C16" s="13" t="str">
        <f t="shared" si="6"/>
        <v/>
      </c>
      <c r="D16" s="13" t="str">
        <f t="shared" si="0"/>
        <v/>
      </c>
      <c r="E16" s="13" t="str">
        <f t="shared" si="1"/>
        <v/>
      </c>
      <c r="F16" s="13" t="str">
        <f t="shared" si="2"/>
        <v/>
      </c>
      <c r="G16" s="13" t="str">
        <f t="shared" si="3"/>
        <v/>
      </c>
      <c r="H16" s="13" t="str">
        <f t="shared" si="4"/>
        <v/>
      </c>
      <c r="I16" t="str">
        <f t="shared" si="5"/>
        <v/>
      </c>
    </row>
    <row r="17" spans="1:9">
      <c r="A17">
        <f>CSV!B17</f>
        <v>0</v>
      </c>
      <c r="B17" s="13" t="e">
        <f>INDEX(Input!$D$2:$AC$500,
       MATCH(CPU_Formula!A17, Input!$J$2:$J$500, 0),
       MATCH("CPU model", Input!$D$1:$AC$1, 0))</f>
        <v>#N/A</v>
      </c>
      <c r="C17" s="13" t="str">
        <f t="shared" si="6"/>
        <v/>
      </c>
      <c r="D17" s="13" t="str">
        <f t="shared" si="0"/>
        <v/>
      </c>
      <c r="E17" s="13" t="str">
        <f t="shared" si="1"/>
        <v/>
      </c>
      <c r="F17" s="13" t="str">
        <f t="shared" si="2"/>
        <v/>
      </c>
      <c r="G17" s="13" t="str">
        <f t="shared" si="3"/>
        <v/>
      </c>
      <c r="H17" s="13" t="str">
        <f t="shared" si="4"/>
        <v/>
      </c>
      <c r="I17" t="str">
        <f t="shared" si="5"/>
        <v/>
      </c>
    </row>
    <row r="18" spans="1:9">
      <c r="A18">
        <f>CSV!B18</f>
        <v>0</v>
      </c>
      <c r="B18" s="13" t="e">
        <f>INDEX(Input!$D$2:$AC$500,
       MATCH(CPU_Formula!A18, Input!$J$2:$J$500, 0),
       MATCH("CPU model", Input!$D$1:$AC$1, 0))</f>
        <v>#N/A</v>
      </c>
      <c r="C18" s="13" t="str">
        <f t="shared" si="6"/>
        <v/>
      </c>
      <c r="D18" s="13" t="str">
        <f t="shared" si="0"/>
        <v/>
      </c>
      <c r="E18" s="13" t="str">
        <f t="shared" si="1"/>
        <v/>
      </c>
      <c r="F18" s="13" t="str">
        <f t="shared" si="2"/>
        <v/>
      </c>
      <c r="G18" s="13" t="str">
        <f t="shared" si="3"/>
        <v/>
      </c>
      <c r="H18" s="13" t="str">
        <f t="shared" si="4"/>
        <v/>
      </c>
      <c r="I18" t="str">
        <f t="shared" si="5"/>
        <v/>
      </c>
    </row>
    <row r="19" spans="1:9">
      <c r="A19">
        <f>CSV!B19</f>
        <v>0</v>
      </c>
      <c r="B19" s="13" t="e">
        <f>INDEX(Input!$D$2:$AC$500,
       MATCH(CPU_Formula!A19, Input!$J$2:$J$500, 0),
       MATCH("CPU model", Input!$D$1:$AC$1, 0))</f>
        <v>#N/A</v>
      </c>
      <c r="C19" s="13" t="str">
        <f t="shared" si="6"/>
        <v/>
      </c>
      <c r="D19" s="13" t="str">
        <f t="shared" si="0"/>
        <v/>
      </c>
      <c r="E19" s="13" t="str">
        <f t="shared" si="1"/>
        <v/>
      </c>
      <c r="F19" s="13" t="str">
        <f t="shared" si="2"/>
        <v/>
      </c>
      <c r="G19" s="13" t="str">
        <f t="shared" si="3"/>
        <v/>
      </c>
      <c r="H19" s="13" t="str">
        <f t="shared" si="4"/>
        <v/>
      </c>
      <c r="I19" t="str">
        <f t="shared" si="5"/>
        <v/>
      </c>
    </row>
    <row r="20" spans="1:9">
      <c r="A20">
        <f>CSV!B20</f>
        <v>0</v>
      </c>
      <c r="B20" s="13" t="e">
        <f>INDEX(Input!$D$2:$AC$500,
       MATCH(CPU_Formula!A20, Input!$J$2:$J$500, 0),
       MATCH("CPU model", Input!$D$1:$AC$1, 0))</f>
        <v>#N/A</v>
      </c>
      <c r="C20" s="13" t="str">
        <f t="shared" si="6"/>
        <v/>
      </c>
      <c r="D20" s="13" t="str">
        <f t="shared" si="0"/>
        <v/>
      </c>
      <c r="E20" s="13" t="str">
        <f t="shared" si="1"/>
        <v/>
      </c>
      <c r="F20" s="13" t="str">
        <f t="shared" si="2"/>
        <v/>
      </c>
      <c r="G20" s="13" t="str">
        <f t="shared" si="3"/>
        <v/>
      </c>
      <c r="H20" s="13" t="str">
        <f t="shared" si="4"/>
        <v/>
      </c>
      <c r="I20" t="str">
        <f t="shared" si="5"/>
        <v/>
      </c>
    </row>
    <row r="21" spans="1:9">
      <c r="A21">
        <f>CSV!B21</f>
        <v>0</v>
      </c>
      <c r="B21" s="13" t="e">
        <f>INDEX(Input!$D$2:$AC$500,
       MATCH(CPU_Formula!A21, Input!$J$2:$J$500, 0),
       MATCH("CPU model", Input!$D$1:$AC$1, 0))</f>
        <v>#N/A</v>
      </c>
      <c r="C21" s="13" t="str">
        <f t="shared" si="6"/>
        <v/>
      </c>
      <c r="D21" s="13" t="str">
        <f t="shared" si="0"/>
        <v/>
      </c>
      <c r="E21" s="13" t="str">
        <f t="shared" si="1"/>
        <v/>
      </c>
      <c r="F21" s="13" t="str">
        <f t="shared" si="2"/>
        <v/>
      </c>
      <c r="G21" s="13" t="str">
        <f t="shared" si="3"/>
        <v/>
      </c>
      <c r="H21" s="13" t="str">
        <f t="shared" si="4"/>
        <v/>
      </c>
      <c r="I21" t="str">
        <f t="shared" si="5"/>
        <v/>
      </c>
    </row>
    <row r="22" spans="1:9">
      <c r="A22">
        <f>CSV!B22</f>
        <v>0</v>
      </c>
      <c r="B22" s="13" t="e">
        <f>INDEX(Input!$D$2:$AC$500,
       MATCH(CPU_Formula!A22, Input!$J$2:$J$500, 0),
       MATCH("CPU model", Input!$D$1:$AC$1, 0))</f>
        <v>#N/A</v>
      </c>
      <c r="C22" s="13" t="str">
        <f t="shared" si="6"/>
        <v/>
      </c>
      <c r="D22" s="13" t="str">
        <f t="shared" si="0"/>
        <v/>
      </c>
      <c r="E22" s="13" t="str">
        <f t="shared" si="1"/>
        <v/>
      </c>
      <c r="F22" s="13" t="str">
        <f t="shared" si="2"/>
        <v/>
      </c>
      <c r="G22" s="13" t="str">
        <f t="shared" si="3"/>
        <v/>
      </c>
      <c r="H22" s="13" t="str">
        <f t="shared" si="4"/>
        <v/>
      </c>
      <c r="I22" t="str">
        <f t="shared" si="5"/>
        <v/>
      </c>
    </row>
    <row r="23" spans="1:9">
      <c r="A23">
        <f>CSV!B23</f>
        <v>0</v>
      </c>
      <c r="B23" s="13" t="e">
        <f>INDEX(Input!$D$2:$AC$500,
       MATCH(CPU_Formula!A23, Input!$J$2:$J$500, 0),
       MATCH("CPU model", Input!$D$1:$AC$1, 0))</f>
        <v>#N/A</v>
      </c>
      <c r="C23" s="13" t="str">
        <f t="shared" si="6"/>
        <v/>
      </c>
      <c r="D23" s="13" t="str">
        <f t="shared" si="0"/>
        <v/>
      </c>
      <c r="E23" s="13" t="str">
        <f t="shared" si="1"/>
        <v/>
      </c>
      <c r="F23" s="13" t="str">
        <f t="shared" si="2"/>
        <v/>
      </c>
      <c r="G23" s="13" t="str">
        <f t="shared" si="3"/>
        <v/>
      </c>
      <c r="H23" s="13" t="str">
        <f t="shared" si="4"/>
        <v/>
      </c>
      <c r="I23" t="str">
        <f t="shared" si="5"/>
        <v/>
      </c>
    </row>
    <row r="24" spans="1:9">
      <c r="A24">
        <f>CSV!B24</f>
        <v>0</v>
      </c>
      <c r="B24" s="13" t="e">
        <f>INDEX(Input!$D$2:$AC$500,
       MATCH(CPU_Formula!A24, Input!$J$2:$J$500, 0),
       MATCH("CPU model", Input!$D$1:$AC$1, 0))</f>
        <v>#N/A</v>
      </c>
      <c r="C24" s="13" t="str">
        <f t="shared" si="6"/>
        <v/>
      </c>
      <c r="D24" s="13" t="str">
        <f t="shared" si="0"/>
        <v/>
      </c>
      <c r="E24" s="13" t="str">
        <f t="shared" si="1"/>
        <v/>
      </c>
      <c r="F24" s="13" t="str">
        <f t="shared" si="2"/>
        <v/>
      </c>
      <c r="G24" s="13" t="str">
        <f t="shared" si="3"/>
        <v/>
      </c>
      <c r="H24" s="13" t="str">
        <f t="shared" si="4"/>
        <v/>
      </c>
      <c r="I24" t="str">
        <f t="shared" si="5"/>
        <v/>
      </c>
    </row>
    <row r="25" spans="1:9">
      <c r="A25">
        <f>CSV!B25</f>
        <v>0</v>
      </c>
      <c r="B25" s="13" t="e">
        <f>INDEX(Input!$D$2:$AC$500,
       MATCH(CPU_Formula!A25, Input!$J$2:$J$500, 0),
       MATCH("CPU model", Input!$D$1:$AC$1, 0))</f>
        <v>#N/A</v>
      </c>
      <c r="C25" s="13" t="str">
        <f t="shared" si="6"/>
        <v/>
      </c>
      <c r="D25" s="13" t="str">
        <f t="shared" si="0"/>
        <v/>
      </c>
      <c r="E25" s="13" t="str">
        <f t="shared" si="1"/>
        <v/>
      </c>
      <c r="F25" s="13" t="str">
        <f t="shared" si="2"/>
        <v/>
      </c>
      <c r="G25" s="13" t="str">
        <f t="shared" si="3"/>
        <v/>
      </c>
      <c r="H25" s="13" t="str">
        <f t="shared" si="4"/>
        <v/>
      </c>
      <c r="I25" t="str">
        <f t="shared" si="5"/>
        <v/>
      </c>
    </row>
    <row r="26" spans="1:9">
      <c r="A26">
        <f>CSV!B26</f>
        <v>0</v>
      </c>
      <c r="B26" s="13" t="e">
        <f>INDEX(Input!$D$2:$AC$500,
       MATCH(CPU_Formula!A26, Input!$J$2:$J$500, 0),
       MATCH("CPU model", Input!$D$1:$AC$1, 0))</f>
        <v>#N/A</v>
      </c>
      <c r="C26" s="13" t="str">
        <f t="shared" si="6"/>
        <v/>
      </c>
      <c r="D26" s="13" t="str">
        <f t="shared" si="0"/>
        <v/>
      </c>
      <c r="E26" s="13" t="str">
        <f t="shared" si="1"/>
        <v/>
      </c>
      <c r="F26" s="13" t="str">
        <f t="shared" si="2"/>
        <v/>
      </c>
      <c r="G26" s="13" t="str">
        <f t="shared" si="3"/>
        <v/>
      </c>
      <c r="H26" s="13" t="str">
        <f t="shared" si="4"/>
        <v/>
      </c>
      <c r="I26" t="str">
        <f t="shared" si="5"/>
        <v/>
      </c>
    </row>
    <row r="27" spans="1:9">
      <c r="A27">
        <f>CSV!B27</f>
        <v>0</v>
      </c>
      <c r="B27" s="13" t="e">
        <f>INDEX(Input!$D$2:$AC$500,
       MATCH(CPU_Formula!A27, Input!$J$2:$J$500, 0),
       MATCH("CPU model", Input!$D$1:$AC$1, 0))</f>
        <v>#N/A</v>
      </c>
      <c r="C27" s="13" t="str">
        <f t="shared" si="6"/>
        <v/>
      </c>
      <c r="D27" s="13" t="str">
        <f t="shared" si="0"/>
        <v/>
      </c>
      <c r="E27" s="13" t="str">
        <f t="shared" si="1"/>
        <v/>
      </c>
      <c r="F27" s="13" t="str">
        <f t="shared" si="2"/>
        <v/>
      </c>
      <c r="G27" s="13" t="str">
        <f t="shared" si="3"/>
        <v/>
      </c>
      <c r="H27" s="13" t="str">
        <f t="shared" si="4"/>
        <v/>
      </c>
      <c r="I27" t="str">
        <f t="shared" si="5"/>
        <v/>
      </c>
    </row>
    <row r="28" spans="1:9">
      <c r="A28">
        <f>CSV!B28</f>
        <v>0</v>
      </c>
      <c r="B28" s="13" t="e">
        <f>INDEX(Input!$D$2:$AC$500,
       MATCH(CPU_Formula!A28, Input!$J$2:$J$500, 0),
       MATCH("CPU model", Input!$D$1:$AC$1, 0))</f>
        <v>#N/A</v>
      </c>
      <c r="C28" s="13" t="str">
        <f t="shared" si="6"/>
        <v/>
      </c>
      <c r="D28" s="13" t="str">
        <f t="shared" si="0"/>
        <v/>
      </c>
      <c r="E28" s="13" t="str">
        <f t="shared" si="1"/>
        <v/>
      </c>
      <c r="F28" s="13" t="str">
        <f t="shared" si="2"/>
        <v/>
      </c>
      <c r="G28" s="13" t="str">
        <f t="shared" si="3"/>
        <v/>
      </c>
      <c r="H28" s="13" t="str">
        <f t="shared" si="4"/>
        <v/>
      </c>
      <c r="I28" t="str">
        <f t="shared" si="5"/>
        <v/>
      </c>
    </row>
    <row r="29" spans="1:9">
      <c r="A29">
        <f>CSV!B29</f>
        <v>0</v>
      </c>
      <c r="B29" s="13" t="e">
        <f>INDEX(Input!$D$2:$AC$500,
       MATCH(CPU_Formula!A29, Input!$J$2:$J$500, 0),
       MATCH("CPU model", Input!$D$1:$AC$1, 0))</f>
        <v>#N/A</v>
      </c>
      <c r="C29" s="13" t="str">
        <f t="shared" si="6"/>
        <v/>
      </c>
      <c r="D29" s="13" t="str">
        <f t="shared" si="0"/>
        <v/>
      </c>
      <c r="E29" s="13" t="str">
        <f t="shared" si="1"/>
        <v/>
      </c>
      <c r="F29" s="13" t="str">
        <f t="shared" si="2"/>
        <v/>
      </c>
      <c r="G29" s="13" t="str">
        <f t="shared" si="3"/>
        <v/>
      </c>
      <c r="H29" s="13" t="str">
        <f t="shared" si="4"/>
        <v/>
      </c>
      <c r="I29" t="str">
        <f t="shared" si="5"/>
        <v/>
      </c>
    </row>
    <row r="30" spans="1:9">
      <c r="A30">
        <f>CSV!B30</f>
        <v>0</v>
      </c>
      <c r="B30" s="13" t="e">
        <f>INDEX(Input!$D$2:$AC$500,
       MATCH(CPU_Formula!A30, Input!$J$2:$J$500, 0),
       MATCH("CPU model", Input!$D$1:$AC$1, 0))</f>
        <v>#N/A</v>
      </c>
      <c r="C30" s="13" t="str">
        <f t="shared" si="6"/>
        <v/>
      </c>
      <c r="D30" s="13" t="str">
        <f t="shared" si="0"/>
        <v/>
      </c>
      <c r="E30" s="13" t="str">
        <f t="shared" si="1"/>
        <v/>
      </c>
      <c r="F30" s="13" t="str">
        <f t="shared" si="2"/>
        <v/>
      </c>
      <c r="G30" s="13" t="str">
        <f t="shared" si="3"/>
        <v/>
      </c>
      <c r="H30" s="13" t="str">
        <f t="shared" si="4"/>
        <v/>
      </c>
      <c r="I30" t="str">
        <f t="shared" si="5"/>
        <v/>
      </c>
    </row>
    <row r="31" spans="1:9">
      <c r="A31">
        <f>CSV!B31</f>
        <v>0</v>
      </c>
      <c r="B31" s="13" t="e">
        <f>INDEX(Input!$D$2:$AC$500,
       MATCH(CPU_Formula!A31, Input!$J$2:$J$500, 0),
       MATCH("CPU model", Input!$D$1:$AC$1, 0))</f>
        <v>#N/A</v>
      </c>
      <c r="C31" s="13" t="str">
        <f t="shared" si="6"/>
        <v/>
      </c>
      <c r="D31" s="13" t="str">
        <f t="shared" si="0"/>
        <v/>
      </c>
      <c r="E31" s="13" t="str">
        <f t="shared" si="1"/>
        <v/>
      </c>
      <c r="F31" s="13" t="str">
        <f t="shared" si="2"/>
        <v/>
      </c>
      <c r="G31" s="13" t="str">
        <f t="shared" si="3"/>
        <v/>
      </c>
      <c r="H31" s="13" t="str">
        <f t="shared" si="4"/>
        <v/>
      </c>
      <c r="I31" t="str">
        <f t="shared" si="5"/>
        <v/>
      </c>
    </row>
    <row r="32" spans="1:9">
      <c r="A32">
        <f>CSV!B32</f>
        <v>0</v>
      </c>
      <c r="B32" s="13" t="e">
        <f>INDEX(Input!$D$2:$AC$500,
       MATCH(CPU_Formula!A32, Input!$J$2:$J$500, 0),
       MATCH("CPU model", Input!$D$1:$AC$1, 0))</f>
        <v>#N/A</v>
      </c>
      <c r="C32" s="13" t="str">
        <f t="shared" si="6"/>
        <v/>
      </c>
      <c r="D32" s="13" t="str">
        <f t="shared" si="0"/>
        <v/>
      </c>
      <c r="E32" s="13" t="str">
        <f t="shared" si="1"/>
        <v/>
      </c>
      <c r="F32" s="13" t="str">
        <f t="shared" si="2"/>
        <v/>
      </c>
      <c r="G32" s="13" t="str">
        <f t="shared" si="3"/>
        <v/>
      </c>
      <c r="H32" s="13" t="str">
        <f t="shared" si="4"/>
        <v/>
      </c>
      <c r="I32" t="str">
        <f t="shared" si="5"/>
        <v/>
      </c>
    </row>
    <row r="33" spans="1:9">
      <c r="A33">
        <f>CSV!B33</f>
        <v>0</v>
      </c>
      <c r="B33" s="13" t="e">
        <f>INDEX(Input!$D$2:$AC$500,
       MATCH(CPU_Formula!A33, Input!$J$2:$J$500, 0),
       MATCH("CPU model", Input!$D$1:$AC$1, 0))</f>
        <v>#N/A</v>
      </c>
      <c r="C33" s="13" t="str">
        <f t="shared" si="6"/>
        <v/>
      </c>
      <c r="D33" s="13" t="str">
        <f t="shared" si="0"/>
        <v/>
      </c>
      <c r="E33" s="13" t="str">
        <f t="shared" si="1"/>
        <v/>
      </c>
      <c r="F33" s="13" t="str">
        <f t="shared" si="2"/>
        <v/>
      </c>
      <c r="G33" s="13" t="str">
        <f t="shared" si="3"/>
        <v/>
      </c>
      <c r="H33" s="13" t="str">
        <f t="shared" si="4"/>
        <v/>
      </c>
      <c r="I33" t="str">
        <f t="shared" si="5"/>
        <v/>
      </c>
    </row>
    <row r="34" spans="1:9">
      <c r="A34">
        <f>CSV!B34</f>
        <v>0</v>
      </c>
      <c r="B34" s="13" t="e">
        <f>INDEX(Input!$D$2:$AC$500,
       MATCH(CPU_Formula!A34, Input!$J$2:$J$500, 0),
       MATCH("CPU model", Input!$D$1:$AC$1, 0))</f>
        <v>#N/A</v>
      </c>
      <c r="C34" s="13" t="str">
        <f t="shared" si="6"/>
        <v/>
      </c>
      <c r="D34" s="13" t="str">
        <f t="shared" si="0"/>
        <v/>
      </c>
      <c r="E34" s="13" t="str">
        <f t="shared" si="1"/>
        <v/>
      </c>
      <c r="F34" s="13" t="str">
        <f t="shared" si="2"/>
        <v/>
      </c>
      <c r="G34" s="13" t="str">
        <f t="shared" si="3"/>
        <v/>
      </c>
      <c r="H34" s="13" t="str">
        <f t="shared" si="4"/>
        <v/>
      </c>
      <c r="I34" t="str">
        <f t="shared" si="5"/>
        <v/>
      </c>
    </row>
    <row r="35" spans="1:9">
      <c r="A35">
        <f>CSV!B35</f>
        <v>0</v>
      </c>
      <c r="B35" s="13" t="e">
        <f>INDEX(Input!$D$2:$AC$500,
       MATCH(CPU_Formula!A35, Input!$J$2:$J$500, 0),
       MATCH("CPU model", Input!$D$1:$AC$1, 0))</f>
        <v>#N/A</v>
      </c>
      <c r="C35" s="13" t="str">
        <f t="shared" si="6"/>
        <v/>
      </c>
      <c r="D35" s="13" t="str">
        <f t="shared" si="0"/>
        <v/>
      </c>
      <c r="E35" s="13" t="str">
        <f t="shared" si="1"/>
        <v/>
      </c>
      <c r="F35" s="13" t="str">
        <f t="shared" si="2"/>
        <v/>
      </c>
      <c r="G35" s="13" t="str">
        <f t="shared" si="3"/>
        <v/>
      </c>
      <c r="H35" s="13" t="str">
        <f t="shared" si="4"/>
        <v/>
      </c>
      <c r="I35" t="str">
        <f t="shared" si="5"/>
        <v/>
      </c>
    </row>
    <row r="36" spans="1:9">
      <c r="A36">
        <f>CSV!B36</f>
        <v>0</v>
      </c>
      <c r="B36" s="13" t="e">
        <f>INDEX(Input!$D$2:$AC$500,
       MATCH(CPU_Formula!A36, Input!$J$2:$J$500, 0),
       MATCH("CPU model", Input!$D$1:$AC$1, 0))</f>
        <v>#N/A</v>
      </c>
      <c r="C36" s="13" t="str">
        <f t="shared" si="6"/>
        <v/>
      </c>
      <c r="D36" s="13" t="str">
        <f t="shared" si="0"/>
        <v/>
      </c>
      <c r="E36" s="13" t="str">
        <f t="shared" si="1"/>
        <v/>
      </c>
      <c r="F36" s="13" t="str">
        <f t="shared" si="2"/>
        <v/>
      </c>
      <c r="G36" s="13" t="str">
        <f t="shared" si="3"/>
        <v/>
      </c>
      <c r="H36" s="13" t="str">
        <f t="shared" si="4"/>
        <v/>
      </c>
      <c r="I36" t="str">
        <f t="shared" si="5"/>
        <v/>
      </c>
    </row>
    <row r="37" spans="1:9">
      <c r="A37">
        <f>CSV!B37</f>
        <v>0</v>
      </c>
      <c r="B37" s="13" t="e">
        <f>INDEX(Input!$D$2:$AC$500,
       MATCH(CPU_Formula!A37, Input!$J$2:$J$500, 0),
       MATCH("CPU model", Input!$D$1:$AC$1, 0))</f>
        <v>#N/A</v>
      </c>
      <c r="C37" s="13" t="str">
        <f t="shared" si="6"/>
        <v/>
      </c>
      <c r="D37" s="13" t="str">
        <f t="shared" si="0"/>
        <v/>
      </c>
      <c r="E37" s="13" t="str">
        <f t="shared" si="1"/>
        <v/>
      </c>
      <c r="F37" s="13" t="str">
        <f t="shared" si="2"/>
        <v/>
      </c>
      <c r="G37" s="13" t="str">
        <f t="shared" si="3"/>
        <v/>
      </c>
      <c r="H37" s="13" t="str">
        <f t="shared" si="4"/>
        <v/>
      </c>
      <c r="I37" t="str">
        <f t="shared" si="5"/>
        <v/>
      </c>
    </row>
    <row r="38" spans="1:9">
      <c r="A38">
        <f>CSV!B38</f>
        <v>0</v>
      </c>
      <c r="B38" s="13" t="e">
        <f>INDEX(Input!$D$2:$AC$500,
       MATCH(CPU_Formula!A38, Input!$J$2:$J$500, 0),
       MATCH("CPU model", Input!$D$1:$AC$1, 0))</f>
        <v>#N/A</v>
      </c>
      <c r="C38" s="13" t="str">
        <f t="shared" si="6"/>
        <v/>
      </c>
      <c r="D38" s="13" t="str">
        <f t="shared" si="0"/>
        <v/>
      </c>
      <c r="E38" s="13" t="str">
        <f t="shared" si="1"/>
        <v/>
      </c>
      <c r="F38" s="13" t="str">
        <f t="shared" si="2"/>
        <v/>
      </c>
      <c r="G38" s="13" t="str">
        <f t="shared" si="3"/>
        <v/>
      </c>
      <c r="H38" s="13" t="str">
        <f t="shared" si="4"/>
        <v/>
      </c>
      <c r="I38" t="str">
        <f t="shared" si="5"/>
        <v/>
      </c>
    </row>
    <row r="39" spans="1:9">
      <c r="A39">
        <f>CSV!B39</f>
        <v>0</v>
      </c>
      <c r="B39" s="13" t="e">
        <f>INDEX(Input!$D$2:$AC$500,
       MATCH(CPU_Formula!A39, Input!$J$2:$J$500, 0),
       MATCH("CPU model", Input!$D$1:$AC$1, 0))</f>
        <v>#N/A</v>
      </c>
      <c r="C39" s="13" t="str">
        <f t="shared" si="6"/>
        <v/>
      </c>
      <c r="D39" s="13" t="str">
        <f t="shared" si="0"/>
        <v/>
      </c>
      <c r="E39" s="13" t="str">
        <f t="shared" si="1"/>
        <v/>
      </c>
      <c r="F39" s="13" t="str">
        <f t="shared" si="2"/>
        <v/>
      </c>
      <c r="G39" s="13" t="str">
        <f t="shared" si="3"/>
        <v/>
      </c>
      <c r="H39" s="13" t="str">
        <f t="shared" si="4"/>
        <v/>
      </c>
      <c r="I39" t="str">
        <f t="shared" si="5"/>
        <v/>
      </c>
    </row>
    <row r="40" spans="1:9">
      <c r="A40">
        <f>CSV!B40</f>
        <v>0</v>
      </c>
      <c r="B40" s="13" t="e">
        <f>INDEX(Input!$D$2:$AC$500,
       MATCH(CPU_Formula!A40, Input!$J$2:$J$500, 0),
       MATCH("CPU model", Input!$D$1:$AC$1, 0))</f>
        <v>#N/A</v>
      </c>
      <c r="C40" s="13" t="str">
        <f t="shared" si="6"/>
        <v/>
      </c>
      <c r="D40" s="13" t="str">
        <f t="shared" si="0"/>
        <v/>
      </c>
      <c r="E40" s="13" t="str">
        <f t="shared" si="1"/>
        <v/>
      </c>
      <c r="F40" s="13" t="str">
        <f t="shared" si="2"/>
        <v/>
      </c>
      <c r="G40" s="13" t="str">
        <f t="shared" si="3"/>
        <v/>
      </c>
      <c r="H40" s="13" t="str">
        <f t="shared" si="4"/>
        <v/>
      </c>
      <c r="I40" t="str">
        <f t="shared" si="5"/>
        <v/>
      </c>
    </row>
    <row r="41" spans="1:9">
      <c r="A41">
        <f>CSV!B41</f>
        <v>0</v>
      </c>
      <c r="B41" s="13" t="e">
        <f>INDEX(Input!$D$2:$AC$500,
       MATCH(CPU_Formula!A41, Input!$J$2:$J$500, 0),
       MATCH("CPU model", Input!$D$1:$AC$1, 0))</f>
        <v>#N/A</v>
      </c>
      <c r="C41" s="13" t="str">
        <f t="shared" si="6"/>
        <v/>
      </c>
      <c r="D41" s="13" t="str">
        <f t="shared" si="0"/>
        <v/>
      </c>
      <c r="E41" s="13" t="str">
        <f t="shared" si="1"/>
        <v/>
      </c>
      <c r="F41" s="13" t="str">
        <f t="shared" si="2"/>
        <v/>
      </c>
      <c r="G41" s="13" t="str">
        <f t="shared" si="3"/>
        <v/>
      </c>
      <c r="H41" s="13" t="str">
        <f t="shared" si="4"/>
        <v/>
      </c>
      <c r="I41" t="str">
        <f t="shared" si="5"/>
        <v/>
      </c>
    </row>
    <row r="42" spans="1:9">
      <c r="A42">
        <f>CSV!B42</f>
        <v>0</v>
      </c>
      <c r="B42" s="13" t="e">
        <f>INDEX(Input!$D$2:$AC$500,
       MATCH(CPU_Formula!A42, Input!$J$2:$J$500, 0),
       MATCH("CPU model", Input!$D$1:$AC$1, 0))</f>
        <v>#N/A</v>
      </c>
      <c r="C42" s="13" t="str">
        <f t="shared" si="6"/>
        <v/>
      </c>
      <c r="D42" s="13" t="str">
        <f t="shared" si="0"/>
        <v/>
      </c>
      <c r="E42" s="13" t="str">
        <f t="shared" si="1"/>
        <v/>
      </c>
      <c r="F42" s="13" t="str">
        <f t="shared" si="2"/>
        <v/>
      </c>
      <c r="G42" s="13" t="str">
        <f t="shared" si="3"/>
        <v/>
      </c>
      <c r="H42" s="13" t="str">
        <f t="shared" si="4"/>
        <v/>
      </c>
      <c r="I42" t="str">
        <f t="shared" si="5"/>
        <v/>
      </c>
    </row>
    <row r="43" spans="1:9">
      <c r="A43">
        <f>CSV!B43</f>
        <v>0</v>
      </c>
      <c r="B43" s="13" t="e">
        <f>INDEX(Input!$D$2:$AC$500,
       MATCH(CPU_Formula!A43, Input!$J$2:$J$500, 0),
       MATCH("CPU model", Input!$D$1:$AC$1, 0))</f>
        <v>#N/A</v>
      </c>
      <c r="C43" s="13" t="str">
        <f t="shared" si="6"/>
        <v/>
      </c>
      <c r="D43" s="13" t="str">
        <f t="shared" si="0"/>
        <v/>
      </c>
      <c r="E43" s="13" t="str">
        <f t="shared" si="1"/>
        <v/>
      </c>
      <c r="F43" s="13" t="str">
        <f t="shared" si="2"/>
        <v/>
      </c>
      <c r="G43" s="13" t="str">
        <f t="shared" si="3"/>
        <v/>
      </c>
      <c r="H43" s="13" t="str">
        <f t="shared" si="4"/>
        <v/>
      </c>
      <c r="I43" t="str">
        <f t="shared" si="5"/>
        <v/>
      </c>
    </row>
    <row r="44" spans="1:9">
      <c r="A44">
        <f>CSV!B44</f>
        <v>0</v>
      </c>
      <c r="B44" s="13" t="e">
        <f>INDEX(Input!$D$2:$AC$500,
       MATCH(CPU_Formula!A44, Input!$J$2:$J$500, 0),
       MATCH("CPU model", Input!$D$1:$AC$1, 0))</f>
        <v>#N/A</v>
      </c>
      <c r="C44" s="13" t="str">
        <f t="shared" si="6"/>
        <v/>
      </c>
      <c r="D44" s="13" t="str">
        <f t="shared" si="0"/>
        <v/>
      </c>
      <c r="E44" s="13" t="str">
        <f t="shared" si="1"/>
        <v/>
      </c>
      <c r="F44" s="13" t="str">
        <f t="shared" si="2"/>
        <v/>
      </c>
      <c r="G44" s="13" t="str">
        <f t="shared" si="3"/>
        <v/>
      </c>
      <c r="H44" s="13" t="str">
        <f t="shared" si="4"/>
        <v/>
      </c>
      <c r="I44" t="str">
        <f t="shared" si="5"/>
        <v/>
      </c>
    </row>
    <row r="45" spans="1:9">
      <c r="A45">
        <f>CSV!B45</f>
        <v>0</v>
      </c>
      <c r="B45" s="13" t="e">
        <f>INDEX(Input!$D$2:$AC$500,
       MATCH(CPU_Formula!A45, Input!$J$2:$J$500, 0),
       MATCH("CPU model", Input!$D$1:$AC$1, 0))</f>
        <v>#N/A</v>
      </c>
      <c r="C45" s="13" t="str">
        <f t="shared" si="6"/>
        <v/>
      </c>
      <c r="D45" s="13" t="str">
        <f t="shared" si="0"/>
        <v/>
      </c>
      <c r="E45" s="13" t="str">
        <f t="shared" si="1"/>
        <v/>
      </c>
      <c r="F45" s="13" t="str">
        <f t="shared" si="2"/>
        <v/>
      </c>
      <c r="G45" s="13" t="str">
        <f t="shared" si="3"/>
        <v/>
      </c>
      <c r="H45" s="13" t="str">
        <f t="shared" si="4"/>
        <v/>
      </c>
      <c r="I45" t="str">
        <f t="shared" si="5"/>
        <v/>
      </c>
    </row>
    <row r="46" spans="1:9">
      <c r="A46">
        <f>CSV!B46</f>
        <v>0</v>
      </c>
      <c r="B46" s="13" t="e">
        <f>INDEX(Input!$D$2:$AC$500,
       MATCH(CPU_Formula!A46, Input!$J$2:$J$500, 0),
       MATCH("CPU model", Input!$D$1:$AC$1, 0))</f>
        <v>#N/A</v>
      </c>
      <c r="C46" s="13" t="str">
        <f t="shared" si="6"/>
        <v/>
      </c>
      <c r="D46" s="13" t="str">
        <f t="shared" si="0"/>
        <v/>
      </c>
      <c r="E46" s="13" t="str">
        <f t="shared" si="1"/>
        <v/>
      </c>
      <c r="F46" s="13" t="str">
        <f t="shared" si="2"/>
        <v/>
      </c>
      <c r="G46" s="13" t="str">
        <f t="shared" si="3"/>
        <v/>
      </c>
      <c r="H46" s="13" t="str">
        <f t="shared" si="4"/>
        <v/>
      </c>
      <c r="I46" t="str">
        <f t="shared" si="5"/>
        <v/>
      </c>
    </row>
    <row r="47" spans="1:9">
      <c r="A47">
        <f>CSV!B47</f>
        <v>0</v>
      </c>
      <c r="B47" s="13" t="e">
        <f>INDEX(Input!$D$2:$AC$500,
       MATCH(CPU_Formula!A47, Input!$J$2:$J$500, 0),
       MATCH("CPU model", Input!$D$1:$AC$1, 0))</f>
        <v>#N/A</v>
      </c>
      <c r="C47" s="13" t="str">
        <f t="shared" si="6"/>
        <v/>
      </c>
      <c r="D47" s="13" t="str">
        <f t="shared" si="0"/>
        <v/>
      </c>
      <c r="E47" s="13" t="str">
        <f t="shared" si="1"/>
        <v/>
      </c>
      <c r="F47" s="13" t="str">
        <f t="shared" si="2"/>
        <v/>
      </c>
      <c r="G47" s="13" t="str">
        <f t="shared" si="3"/>
        <v/>
      </c>
      <c r="H47" s="13" t="str">
        <f t="shared" si="4"/>
        <v/>
      </c>
      <c r="I47" t="str">
        <f t="shared" si="5"/>
        <v/>
      </c>
    </row>
    <row r="48" spans="1:9">
      <c r="A48">
        <f>CSV!B48</f>
        <v>0</v>
      </c>
      <c r="B48" s="13" t="e">
        <f>INDEX(Input!$D$2:$AC$500,
       MATCH(CPU_Formula!A48, Input!$J$2:$J$500, 0),
       MATCH("CPU model", Input!$D$1:$AC$1, 0))</f>
        <v>#N/A</v>
      </c>
      <c r="C48" s="13" t="str">
        <f t="shared" si="6"/>
        <v/>
      </c>
      <c r="D48" s="13" t="str">
        <f t="shared" si="0"/>
        <v/>
      </c>
      <c r="E48" s="13" t="str">
        <f t="shared" si="1"/>
        <v/>
      </c>
      <c r="F48" s="13" t="str">
        <f t="shared" si="2"/>
        <v/>
      </c>
      <c r="G48" s="13" t="str">
        <f t="shared" si="3"/>
        <v/>
      </c>
      <c r="H48" s="13" t="str">
        <f t="shared" si="4"/>
        <v/>
      </c>
      <c r="I48" t="str">
        <f t="shared" si="5"/>
        <v/>
      </c>
    </row>
    <row r="49" spans="1:9">
      <c r="A49">
        <f>CSV!B49</f>
        <v>0</v>
      </c>
      <c r="B49" s="13" t="e">
        <f>INDEX(Input!$D$2:$AC$500,
       MATCH(CPU_Formula!A49, Input!$J$2:$J$500, 0),
       MATCH("CPU model", Input!$D$1:$AC$1, 0))</f>
        <v>#N/A</v>
      </c>
      <c r="C49" s="13" t="str">
        <f t="shared" si="6"/>
        <v/>
      </c>
      <c r="D49" s="13" t="str">
        <f t="shared" si="0"/>
        <v/>
      </c>
      <c r="E49" s="13" t="str">
        <f t="shared" si="1"/>
        <v/>
      </c>
      <c r="F49" s="13" t="str">
        <f t="shared" si="2"/>
        <v/>
      </c>
      <c r="G49" s="13" t="str">
        <f t="shared" si="3"/>
        <v/>
      </c>
      <c r="H49" s="13" t="str">
        <f t="shared" si="4"/>
        <v/>
      </c>
      <c r="I49" t="str">
        <f t="shared" si="5"/>
        <v/>
      </c>
    </row>
    <row r="50" spans="1:9">
      <c r="A50">
        <f>CSV!B50</f>
        <v>0</v>
      </c>
      <c r="B50" s="13" t="e">
        <f>INDEX(Input!$D$2:$AC$500,
       MATCH(CPU_Formula!A50, Input!$J$2:$J$500, 0),
       MATCH("CPU model", Input!$D$1:$AC$1, 0))</f>
        <v>#N/A</v>
      </c>
      <c r="C50" s="13" t="str">
        <f t="shared" si="6"/>
        <v/>
      </c>
      <c r="D50" s="13" t="str">
        <f t="shared" si="0"/>
        <v/>
      </c>
      <c r="E50" s="13" t="str">
        <f t="shared" si="1"/>
        <v/>
      </c>
      <c r="F50" s="13" t="str">
        <f t="shared" si="2"/>
        <v/>
      </c>
      <c r="G50" s="13" t="str">
        <f t="shared" si="3"/>
        <v/>
      </c>
      <c r="H50" s="13" t="str">
        <f t="shared" si="4"/>
        <v/>
      </c>
      <c r="I50" t="str">
        <f t="shared" si="5"/>
        <v/>
      </c>
    </row>
    <row r="51" spans="1:9">
      <c r="A51">
        <f>CSV!B51</f>
        <v>0</v>
      </c>
      <c r="B51" s="13" t="e">
        <f>INDEX(Input!$D$2:$AC$500,
       MATCH(CPU_Formula!A51, Input!$J$2:$J$500, 0),
       MATCH("CPU model", Input!$D$1:$AC$1, 0))</f>
        <v>#N/A</v>
      </c>
      <c r="C51" s="13" t="str">
        <f t="shared" si="6"/>
        <v/>
      </c>
      <c r="D51" s="13" t="str">
        <f t="shared" si="0"/>
        <v/>
      </c>
      <c r="E51" s="13" t="str">
        <f t="shared" si="1"/>
        <v/>
      </c>
      <c r="F51" s="13" t="str">
        <f t="shared" si="2"/>
        <v/>
      </c>
      <c r="G51" s="13" t="str">
        <f t="shared" si="3"/>
        <v/>
      </c>
      <c r="H51" s="13" t="str">
        <f t="shared" si="4"/>
        <v/>
      </c>
      <c r="I51" t="str">
        <f t="shared" si="5"/>
        <v/>
      </c>
    </row>
    <row r="52" spans="1:9">
      <c r="A52">
        <f>CSV!B52</f>
        <v>0</v>
      </c>
      <c r="B52" s="13" t="e">
        <f>INDEX(Input!$D$2:$AC$500,
       MATCH(CPU_Formula!A52, Input!$J$2:$J$500, 0),
       MATCH("CPU model", Input!$D$1:$AC$1, 0))</f>
        <v>#N/A</v>
      </c>
      <c r="C52" s="13" t="str">
        <f t="shared" si="6"/>
        <v/>
      </c>
      <c r="D52" s="13" t="str">
        <f t="shared" si="0"/>
        <v/>
      </c>
      <c r="E52" s="13" t="str">
        <f t="shared" si="1"/>
        <v/>
      </c>
      <c r="F52" s="13" t="str">
        <f t="shared" si="2"/>
        <v/>
      </c>
      <c r="G52" s="13" t="str">
        <f t="shared" si="3"/>
        <v/>
      </c>
      <c r="H52" s="13" t="str">
        <f t="shared" si="4"/>
        <v/>
      </c>
      <c r="I52" t="str">
        <f t="shared" si="5"/>
        <v/>
      </c>
    </row>
    <row r="53" spans="1:9">
      <c r="A53">
        <f>CSV!B53</f>
        <v>0</v>
      </c>
      <c r="B53" s="13" t="e">
        <f>INDEX(Input!$D$2:$AC$500,
       MATCH(CPU_Formula!A53, Input!$J$2:$J$500, 0),
       MATCH("CPU model", Input!$D$1:$AC$1, 0))</f>
        <v>#N/A</v>
      </c>
      <c r="C53" s="13" t="str">
        <f t="shared" si="6"/>
        <v/>
      </c>
      <c r="D53" s="13" t="str">
        <f t="shared" si="0"/>
        <v/>
      </c>
      <c r="E53" s="13" t="str">
        <f t="shared" si="1"/>
        <v/>
      </c>
      <c r="F53" s="13" t="str">
        <f t="shared" si="2"/>
        <v/>
      </c>
      <c r="G53" s="13" t="str">
        <f t="shared" si="3"/>
        <v/>
      </c>
      <c r="H53" s="13" t="str">
        <f t="shared" si="4"/>
        <v/>
      </c>
      <c r="I53" t="str">
        <f t="shared" si="5"/>
        <v/>
      </c>
    </row>
    <row r="54" spans="1:9">
      <c r="A54">
        <f>CSV!B54</f>
        <v>0</v>
      </c>
      <c r="B54" s="13" t="e">
        <f>INDEX(Input!$D$2:$AC$500,
       MATCH(CPU_Formula!A54, Input!$J$2:$J$500, 0),
       MATCH("CPU model", Input!$D$1:$AC$1, 0))</f>
        <v>#N/A</v>
      </c>
      <c r="C54" s="13" t="str">
        <f t="shared" si="6"/>
        <v/>
      </c>
      <c r="D54" s="13" t="str">
        <f t="shared" si="0"/>
        <v/>
      </c>
      <c r="E54" s="13" t="str">
        <f t="shared" si="1"/>
        <v/>
      </c>
      <c r="F54" s="13" t="str">
        <f t="shared" si="2"/>
        <v/>
      </c>
      <c r="G54" s="13" t="str">
        <f t="shared" si="3"/>
        <v/>
      </c>
      <c r="H54" s="13" t="str">
        <f t="shared" si="4"/>
        <v/>
      </c>
      <c r="I54" t="str">
        <f t="shared" si="5"/>
        <v/>
      </c>
    </row>
    <row r="55" spans="1:9">
      <c r="A55">
        <f>CSV!B55</f>
        <v>0</v>
      </c>
      <c r="B55" s="13" t="e">
        <f>INDEX(Input!$D$2:$AC$500,
       MATCH(CPU_Formula!A55, Input!$J$2:$J$500, 0),
       MATCH("CPU model", Input!$D$1:$AC$1, 0))</f>
        <v>#N/A</v>
      </c>
      <c r="C55" s="13" t="str">
        <f t="shared" si="6"/>
        <v/>
      </c>
      <c r="D55" s="13" t="str">
        <f t="shared" si="0"/>
        <v/>
      </c>
      <c r="E55" s="13" t="str">
        <f t="shared" si="1"/>
        <v/>
      </c>
      <c r="F55" s="13" t="str">
        <f t="shared" si="2"/>
        <v/>
      </c>
      <c r="G55" s="13" t="str">
        <f t="shared" si="3"/>
        <v/>
      </c>
      <c r="H55" s="13" t="str">
        <f t="shared" si="4"/>
        <v/>
      </c>
      <c r="I55" t="str">
        <f t="shared" si="5"/>
        <v/>
      </c>
    </row>
    <row r="56" spans="1:9">
      <c r="A56">
        <f>CSV!B56</f>
        <v>0</v>
      </c>
      <c r="B56" s="13" t="e">
        <f>INDEX(Input!$D$2:$AC$500,
       MATCH(CPU_Formula!A56, Input!$J$2:$J$500, 0),
       MATCH("CPU model", Input!$D$1:$AC$1, 0))</f>
        <v>#N/A</v>
      </c>
      <c r="C56" s="13" t="str">
        <f t="shared" si="6"/>
        <v/>
      </c>
      <c r="D56" s="13" t="str">
        <f t="shared" si="0"/>
        <v/>
      </c>
      <c r="E56" s="13" t="str">
        <f t="shared" si="1"/>
        <v/>
      </c>
      <c r="F56" s="13" t="str">
        <f t="shared" si="2"/>
        <v/>
      </c>
      <c r="G56" s="13" t="str">
        <f t="shared" si="3"/>
        <v/>
      </c>
      <c r="H56" s="13" t="str">
        <f t="shared" si="4"/>
        <v/>
      </c>
      <c r="I56" t="str">
        <f t="shared" si="5"/>
        <v/>
      </c>
    </row>
    <row r="57" spans="1:9">
      <c r="A57">
        <f>CSV!B57</f>
        <v>0</v>
      </c>
      <c r="B57" s="13" t="e">
        <f>INDEX(Input!$D$2:$AC$500,
       MATCH(CPU_Formula!A57, Input!$J$2:$J$500, 0),
       MATCH("CPU model", Input!$D$1:$AC$1, 0))</f>
        <v>#N/A</v>
      </c>
      <c r="C57" s="13" t="str">
        <f t="shared" si="6"/>
        <v/>
      </c>
      <c r="D57" s="13" t="str">
        <f t="shared" si="0"/>
        <v/>
      </c>
      <c r="E57" s="13" t="str">
        <f t="shared" si="1"/>
        <v/>
      </c>
      <c r="F57" s="13" t="str">
        <f t="shared" si="2"/>
        <v/>
      </c>
      <c r="G57" s="13" t="str">
        <f t="shared" si="3"/>
        <v/>
      </c>
      <c r="H57" s="13" t="str">
        <f t="shared" si="4"/>
        <v/>
      </c>
      <c r="I57" t="str">
        <f t="shared" si="5"/>
        <v/>
      </c>
    </row>
    <row r="58" spans="1:9">
      <c r="A58">
        <f>CSV!B58</f>
        <v>0</v>
      </c>
      <c r="B58" s="13" t="e">
        <f>INDEX(Input!$D$2:$AC$500,
       MATCH(CPU_Formula!A58, Input!$J$2:$J$500, 0),
       MATCH("CPU model", Input!$D$1:$AC$1, 0))</f>
        <v>#N/A</v>
      </c>
      <c r="C58" s="13" t="str">
        <f t="shared" si="6"/>
        <v/>
      </c>
      <c r="D58" s="13" t="str">
        <f t="shared" si="0"/>
        <v/>
      </c>
      <c r="E58" s="13" t="str">
        <f t="shared" si="1"/>
        <v/>
      </c>
      <c r="F58" s="13" t="str">
        <f t="shared" si="2"/>
        <v/>
      </c>
      <c r="G58" s="13" t="str">
        <f t="shared" si="3"/>
        <v/>
      </c>
      <c r="H58" s="13" t="str">
        <f t="shared" si="4"/>
        <v/>
      </c>
      <c r="I58" t="str">
        <f t="shared" si="5"/>
        <v/>
      </c>
    </row>
    <row r="59" spans="1:9">
      <c r="A59">
        <f>CSV!B59</f>
        <v>0</v>
      </c>
      <c r="B59" s="13" t="e">
        <f>INDEX(Input!$D$2:$AC$500,
       MATCH(CPU_Formula!A59, Input!$J$2:$J$500, 0),
       MATCH("CPU model", Input!$D$1:$AC$1, 0))</f>
        <v>#N/A</v>
      </c>
      <c r="C59" s="13" t="str">
        <f t="shared" si="6"/>
        <v/>
      </c>
      <c r="D59" s="13" t="str">
        <f t="shared" si="0"/>
        <v/>
      </c>
      <c r="E59" s="13" t="str">
        <f t="shared" si="1"/>
        <v/>
      </c>
      <c r="F59" s="13" t="str">
        <f t="shared" si="2"/>
        <v/>
      </c>
      <c r="G59" s="13" t="str">
        <f t="shared" si="3"/>
        <v/>
      </c>
      <c r="H59" s="13" t="str">
        <f t="shared" si="4"/>
        <v/>
      </c>
      <c r="I59" t="str">
        <f t="shared" si="5"/>
        <v/>
      </c>
    </row>
    <row r="60" spans="1:9">
      <c r="A60">
        <f>CSV!B60</f>
        <v>0</v>
      </c>
      <c r="B60" s="13" t="e">
        <f>INDEX(Input!$D$2:$AC$500,
       MATCH(CPU_Formula!A60, Input!$J$2:$J$500, 0),
       MATCH("CPU model", Input!$D$1:$AC$1, 0))</f>
        <v>#N/A</v>
      </c>
      <c r="C60" s="13" t="str">
        <f t="shared" si="6"/>
        <v/>
      </c>
      <c r="D60" s="13" t="str">
        <f t="shared" si="0"/>
        <v/>
      </c>
      <c r="E60" s="13" t="str">
        <f t="shared" si="1"/>
        <v/>
      </c>
      <c r="F60" s="13" t="str">
        <f t="shared" si="2"/>
        <v/>
      </c>
      <c r="G60" s="13" t="str">
        <f t="shared" si="3"/>
        <v/>
      </c>
      <c r="H60" s="13" t="str">
        <f t="shared" si="4"/>
        <v/>
      </c>
      <c r="I60" t="str">
        <f t="shared" si="5"/>
        <v/>
      </c>
    </row>
    <row r="61" spans="1:9">
      <c r="A61">
        <f>CSV!B61</f>
        <v>0</v>
      </c>
      <c r="B61" s="13" t="e">
        <f>INDEX(Input!$D$2:$AC$500,
       MATCH(CPU_Formula!A61, Input!$J$2:$J$500, 0),
       MATCH("CPU model", Input!$D$1:$AC$1, 0))</f>
        <v>#N/A</v>
      </c>
      <c r="C61" s="13" t="str">
        <f t="shared" si="6"/>
        <v/>
      </c>
      <c r="D61" s="13" t="str">
        <f t="shared" si="0"/>
        <v/>
      </c>
      <c r="E61" s="13" t="str">
        <f t="shared" si="1"/>
        <v/>
      </c>
      <c r="F61" s="13" t="str">
        <f t="shared" si="2"/>
        <v/>
      </c>
      <c r="G61" s="13" t="str">
        <f t="shared" si="3"/>
        <v/>
      </c>
      <c r="H61" s="13" t="str">
        <f t="shared" si="4"/>
        <v/>
      </c>
      <c r="I61" t="str">
        <f t="shared" si="5"/>
        <v/>
      </c>
    </row>
    <row r="62" spans="1:9">
      <c r="A62">
        <f>CSV!B62</f>
        <v>0</v>
      </c>
      <c r="B62" s="13" t="e">
        <f>INDEX(Input!$D$2:$AC$500,
       MATCH(CPU_Formula!A62, Input!$J$2:$J$500, 0),
       MATCH("CPU model", Input!$D$1:$AC$1, 0))</f>
        <v>#N/A</v>
      </c>
      <c r="C62" s="13" t="str">
        <f t="shared" si="6"/>
        <v/>
      </c>
      <c r="D62" s="13" t="str">
        <f t="shared" si="0"/>
        <v/>
      </c>
      <c r="E62" s="13" t="str">
        <f t="shared" si="1"/>
        <v/>
      </c>
      <c r="F62" s="13" t="str">
        <f t="shared" si="2"/>
        <v/>
      </c>
      <c r="G62" s="13" t="str">
        <f t="shared" si="3"/>
        <v/>
      </c>
      <c r="H62" s="13" t="str">
        <f t="shared" si="4"/>
        <v/>
      </c>
      <c r="I62" t="str">
        <f t="shared" si="5"/>
        <v/>
      </c>
    </row>
    <row r="63" spans="1:9">
      <c r="A63">
        <f>CSV!B63</f>
        <v>0</v>
      </c>
      <c r="B63" s="13" t="e">
        <f>INDEX(Input!$D$2:$AC$500,
       MATCH(CPU_Formula!A63, Input!$J$2:$J$500, 0),
       MATCH("CPU model", Input!$D$1:$AC$1, 0))</f>
        <v>#N/A</v>
      </c>
      <c r="C63" s="13" t="str">
        <f t="shared" si="6"/>
        <v/>
      </c>
      <c r="D63" s="13" t="str">
        <f t="shared" si="0"/>
        <v/>
      </c>
      <c r="E63" s="13" t="str">
        <f t="shared" si="1"/>
        <v/>
      </c>
      <c r="F63" s="13" t="str">
        <f t="shared" si="2"/>
        <v/>
      </c>
      <c r="G63" s="13" t="str">
        <f t="shared" si="3"/>
        <v/>
      </c>
      <c r="H63" s="13" t="str">
        <f t="shared" si="4"/>
        <v/>
      </c>
      <c r="I63" t="str">
        <f t="shared" si="5"/>
        <v/>
      </c>
    </row>
    <row r="64" spans="1:9">
      <c r="A64">
        <f>CSV!B64</f>
        <v>0</v>
      </c>
      <c r="B64" s="13" t="e">
        <f>INDEX(Input!$D$2:$AC$500,
       MATCH(CPU_Formula!A64, Input!$J$2:$J$500, 0),
       MATCH("CPU model", Input!$D$1:$AC$1, 0))</f>
        <v>#N/A</v>
      </c>
      <c r="C64" s="13" t="str">
        <f t="shared" si="6"/>
        <v/>
      </c>
      <c r="D64" s="13" t="str">
        <f t="shared" si="0"/>
        <v/>
      </c>
      <c r="E64" s="13" t="str">
        <f t="shared" si="1"/>
        <v/>
      </c>
      <c r="F64" s="13" t="str">
        <f t="shared" si="2"/>
        <v/>
      </c>
      <c r="G64" s="13" t="str">
        <f t="shared" si="3"/>
        <v/>
      </c>
      <c r="H64" s="13" t="str">
        <f t="shared" si="4"/>
        <v/>
      </c>
      <c r="I64" t="str">
        <f t="shared" si="5"/>
        <v/>
      </c>
    </row>
    <row r="65" spans="1:9">
      <c r="A65">
        <f>CSV!B65</f>
        <v>0</v>
      </c>
      <c r="B65" s="13" t="e">
        <f>INDEX(Input!$D$2:$AC$500,
       MATCH(CPU_Formula!A65, Input!$J$2:$J$500, 0),
       MATCH("CPU model", Input!$D$1:$AC$1, 0))</f>
        <v>#N/A</v>
      </c>
      <c r="C65" s="13" t="str">
        <f t="shared" si="6"/>
        <v/>
      </c>
      <c r="D65" s="13" t="str">
        <f t="shared" si="0"/>
        <v/>
      </c>
      <c r="E65" s="13" t="str">
        <f t="shared" si="1"/>
        <v/>
      </c>
      <c r="F65" s="13" t="str">
        <f t="shared" si="2"/>
        <v/>
      </c>
      <c r="G65" s="13" t="str">
        <f t="shared" si="3"/>
        <v/>
      </c>
      <c r="H65" s="13" t="str">
        <f t="shared" si="4"/>
        <v/>
      </c>
      <c r="I65" t="str">
        <f t="shared" si="5"/>
        <v/>
      </c>
    </row>
    <row r="66" spans="1:9">
      <c r="A66">
        <f>CSV!B66</f>
        <v>0</v>
      </c>
      <c r="B66" s="13" t="e">
        <f>INDEX(Input!$D$2:$AC$500,
       MATCH(CPU_Formula!A66, Input!$J$2:$J$500, 0),
       MATCH("CPU model", Input!$D$1:$AC$1, 0))</f>
        <v>#N/A</v>
      </c>
      <c r="C66" s="13" t="str">
        <f t="shared" si="6"/>
        <v/>
      </c>
      <c r="D66" s="13" t="str">
        <f t="shared" ref="D66:D73" si="7">IF(ISNUMBER(SEARCH("Ryzen", B66)), _xlfn.TEXTAFTER(B66, "AMD"), "")</f>
        <v/>
      </c>
      <c r="E66" s="13" t="str">
        <f t="shared" ref="E66:E73" si="8">IF(ISNUMBER(SEARCH("Ultra", B66)), "Ultra"&amp;_xlfn.TEXTAFTER(B66, "Ultra"), "")</f>
        <v/>
      </c>
      <c r="F66" s="13" t="str">
        <f t="shared" ref="F66:F73" si="9">IF(C66&lt;&gt;"", TRIM(_xlfn.TEXTBEFORE(C66," ",,1,1)), "")</f>
        <v/>
      </c>
      <c r="G66" s="13" t="str">
        <f t="shared" ref="G66:G73" si="10">IFERROR(_xlfn.TEXTBEFORE(D66,"w/"),"")</f>
        <v/>
      </c>
      <c r="H66" s="13" t="str">
        <f t="shared" ref="H66:H73" si="11">E66</f>
        <v/>
      </c>
      <c r="I66" t="str">
        <f t="shared" ref="I66:I73" si="12">IF(H66&lt;&gt;"",H66,IF(G66&lt;&gt;"",G66,F66))</f>
        <v/>
      </c>
    </row>
    <row r="67" spans="1:9">
      <c r="A67">
        <f>CSV!B67</f>
        <v>0</v>
      </c>
      <c r="B67" s="13" t="e">
        <f>INDEX(Input!$D$2:$AC$500,
       MATCH(CPU_Formula!A67, Input!$J$2:$J$500, 0),
       MATCH("CPU model", Input!$D$1:$AC$1, 0))</f>
        <v>#N/A</v>
      </c>
      <c r="C67" s="13" t="str">
        <f t="shared" ref="C67:C130" si="13">IFERROR(_xlfn.TEXTAFTER(B67,"Core(TM) "),IFERROR(_xlfn.TEXTAFTER(B67,"Xeon(R) CPU"),""))</f>
        <v/>
      </c>
      <c r="D67" s="13" t="str">
        <f t="shared" si="7"/>
        <v/>
      </c>
      <c r="E67" s="13" t="str">
        <f t="shared" si="8"/>
        <v/>
      </c>
      <c r="F67" s="13" t="str">
        <f t="shared" si="9"/>
        <v/>
      </c>
      <c r="G67" s="13" t="str">
        <f t="shared" si="10"/>
        <v/>
      </c>
      <c r="H67" s="13" t="str">
        <f t="shared" si="11"/>
        <v/>
      </c>
      <c r="I67" t="str">
        <f t="shared" si="12"/>
        <v/>
      </c>
    </row>
    <row r="68" spans="1:9">
      <c r="A68">
        <f>CSV!B68</f>
        <v>0</v>
      </c>
      <c r="B68" s="13" t="e">
        <f>INDEX(Input!$D$2:$AC$500,
       MATCH(CPU_Formula!A68, Input!$J$2:$J$500, 0),
       MATCH("CPU model", Input!$D$1:$AC$1, 0))</f>
        <v>#N/A</v>
      </c>
      <c r="C68" s="13" t="str">
        <f t="shared" si="13"/>
        <v/>
      </c>
      <c r="D68" s="13" t="str">
        <f t="shared" si="7"/>
        <v/>
      </c>
      <c r="E68" s="13" t="str">
        <f t="shared" si="8"/>
        <v/>
      </c>
      <c r="F68" s="13" t="str">
        <f t="shared" si="9"/>
        <v/>
      </c>
      <c r="G68" s="13" t="str">
        <f t="shared" si="10"/>
        <v/>
      </c>
      <c r="H68" s="13" t="str">
        <f t="shared" si="11"/>
        <v/>
      </c>
      <c r="I68" t="str">
        <f t="shared" si="12"/>
        <v/>
      </c>
    </row>
    <row r="69" spans="1:9">
      <c r="A69">
        <f>CSV!B69</f>
        <v>0</v>
      </c>
      <c r="B69" s="13" t="e">
        <f>INDEX(Input!$D$2:$AC$500,
       MATCH(CPU_Formula!A69, Input!$J$2:$J$500, 0),
       MATCH("CPU model", Input!$D$1:$AC$1, 0))</f>
        <v>#N/A</v>
      </c>
      <c r="C69" s="13" t="str">
        <f t="shared" si="13"/>
        <v/>
      </c>
      <c r="D69" s="13" t="str">
        <f t="shared" si="7"/>
        <v/>
      </c>
      <c r="E69" s="13" t="str">
        <f t="shared" si="8"/>
        <v/>
      </c>
      <c r="F69" s="13" t="str">
        <f t="shared" si="9"/>
        <v/>
      </c>
      <c r="G69" s="13" t="str">
        <f t="shared" si="10"/>
        <v/>
      </c>
      <c r="H69" s="13" t="str">
        <f t="shared" si="11"/>
        <v/>
      </c>
      <c r="I69" t="str">
        <f t="shared" si="12"/>
        <v/>
      </c>
    </row>
    <row r="70" spans="1:9">
      <c r="A70">
        <f>CSV!B70</f>
        <v>0</v>
      </c>
      <c r="B70" s="13" t="e">
        <f>INDEX(Input!$D$2:$AC$500,
       MATCH(CPU_Formula!A70, Input!$J$2:$J$500, 0),
       MATCH("CPU model", Input!$D$1:$AC$1, 0))</f>
        <v>#N/A</v>
      </c>
      <c r="C70" s="13" t="str">
        <f t="shared" si="13"/>
        <v/>
      </c>
      <c r="D70" s="13" t="str">
        <f t="shared" si="7"/>
        <v/>
      </c>
      <c r="E70" s="13" t="str">
        <f t="shared" si="8"/>
        <v/>
      </c>
      <c r="F70" s="13" t="str">
        <f t="shared" si="9"/>
        <v/>
      </c>
      <c r="G70" s="13" t="str">
        <f t="shared" si="10"/>
        <v/>
      </c>
      <c r="H70" s="13" t="str">
        <f t="shared" si="11"/>
        <v/>
      </c>
      <c r="I70" t="str">
        <f t="shared" si="12"/>
        <v/>
      </c>
    </row>
    <row r="71" spans="1:9">
      <c r="A71">
        <f>CSV!B71</f>
        <v>0</v>
      </c>
      <c r="B71" s="13" t="e">
        <f>INDEX(Input!$D$2:$AC$500,
       MATCH(CPU_Formula!A71, Input!$J$2:$J$500, 0),
       MATCH("CPU model", Input!$D$1:$AC$1, 0))</f>
        <v>#N/A</v>
      </c>
      <c r="C71" s="13" t="str">
        <f t="shared" si="13"/>
        <v/>
      </c>
      <c r="D71" s="13" t="str">
        <f t="shared" si="7"/>
        <v/>
      </c>
      <c r="E71" s="13" t="str">
        <f t="shared" si="8"/>
        <v/>
      </c>
      <c r="F71" s="13" t="str">
        <f t="shared" si="9"/>
        <v/>
      </c>
      <c r="G71" s="13" t="str">
        <f t="shared" si="10"/>
        <v/>
      </c>
      <c r="H71" s="13" t="str">
        <f t="shared" si="11"/>
        <v/>
      </c>
      <c r="I71" t="str">
        <f t="shared" si="12"/>
        <v/>
      </c>
    </row>
    <row r="72" spans="1:9">
      <c r="A72">
        <f>CSV!B72</f>
        <v>0</v>
      </c>
      <c r="B72" s="13" t="e">
        <f>INDEX(Input!$D$2:$AC$500,
       MATCH(CPU_Formula!A72, Input!$J$2:$J$500, 0),
       MATCH("CPU model", Input!$D$1:$AC$1, 0))</f>
        <v>#N/A</v>
      </c>
      <c r="C72" s="13" t="str">
        <f t="shared" si="13"/>
        <v/>
      </c>
      <c r="D72" s="13" t="str">
        <f t="shared" si="7"/>
        <v/>
      </c>
      <c r="E72" s="13" t="str">
        <f t="shared" si="8"/>
        <v/>
      </c>
      <c r="F72" s="13" t="str">
        <f t="shared" si="9"/>
        <v/>
      </c>
      <c r="G72" s="13" t="str">
        <f t="shared" si="10"/>
        <v/>
      </c>
      <c r="H72" s="13" t="str">
        <f t="shared" si="11"/>
        <v/>
      </c>
      <c r="I72" t="str">
        <f t="shared" si="12"/>
        <v/>
      </c>
    </row>
    <row r="73" spans="1:9">
      <c r="A73">
        <f>CSV!B73</f>
        <v>0</v>
      </c>
      <c r="B73" s="13" t="e">
        <f>INDEX(Input!$D$2:$AC$500,
       MATCH(CPU_Formula!A73, Input!$J$2:$J$500, 0),
       MATCH("CPU model", Input!$D$1:$AC$1, 0))</f>
        <v>#N/A</v>
      </c>
      <c r="C73" s="13" t="str">
        <f t="shared" si="13"/>
        <v/>
      </c>
      <c r="D73" s="13" t="str">
        <f t="shared" si="7"/>
        <v/>
      </c>
      <c r="E73" s="13" t="str">
        <f t="shared" si="8"/>
        <v/>
      </c>
      <c r="F73" s="13" t="str">
        <f t="shared" si="9"/>
        <v/>
      </c>
      <c r="G73" s="13" t="str">
        <f t="shared" si="10"/>
        <v/>
      </c>
      <c r="H73" s="13" t="str">
        <f t="shared" si="11"/>
        <v/>
      </c>
      <c r="I73" t="str">
        <f t="shared" si="12"/>
        <v/>
      </c>
    </row>
    <row r="74" spans="1:9">
      <c r="A74">
        <f>CSV!B74</f>
        <v>0</v>
      </c>
      <c r="B74" s="13" t="e">
        <f>INDEX(Input!$D$2:$AC$500,
       MATCH(CPU_Formula!A74, Input!$J$2:$J$500, 0),
       MATCH("CPU model", Input!$D$1:$AC$1, 0))</f>
        <v>#N/A</v>
      </c>
      <c r="C74" s="13" t="str">
        <f t="shared" si="13"/>
        <v/>
      </c>
      <c r="D74" s="13" t="str">
        <f>IF(ISNUMBER(SEARCH("Ryzen", B74)), _xlfn.TEXTAFTER(B74, "AMD"), "")</f>
        <v/>
      </c>
      <c r="E74" s="13" t="str">
        <f t="shared" ref="E74:E104" si="14">IF(ISNUMBER(SEARCH("Ultra", B74)), "Ultra"&amp;_xlfn.TEXTAFTER(B74, "Ultra"), "")</f>
        <v/>
      </c>
      <c r="F74" s="13" t="str">
        <f t="shared" ref="F74:F104" si="15">IF(C74&lt;&gt;"", TRIM(_xlfn.TEXTBEFORE(C74," ",,1,1)), "")</f>
        <v/>
      </c>
      <c r="G74" s="13" t="str">
        <f>IFERROR(_xlfn.TEXTBEFORE(D74,"w/"),"")</f>
        <v/>
      </c>
      <c r="H74" s="13" t="str">
        <f t="shared" ref="H74:H104" si="16">E74</f>
        <v/>
      </c>
      <c r="I74" t="str">
        <f t="shared" ref="I74:I104" si="17">IF(H74&lt;&gt;"",H74,IF(G74&lt;&gt;"",G74,F74))</f>
        <v/>
      </c>
    </row>
    <row r="75" spans="1:9">
      <c r="A75">
        <f>CSV!B75</f>
        <v>0</v>
      </c>
      <c r="B75" s="13" t="e">
        <f>INDEX(Input!$D$2:$AC$500,
       MATCH(CPU_Formula!A75, Input!$J$2:$J$500, 0),
       MATCH("CPU model", Input!$D$1:$AC$1, 0))</f>
        <v>#N/A</v>
      </c>
      <c r="C75" s="13" t="str">
        <f t="shared" si="13"/>
        <v/>
      </c>
      <c r="D75" s="13" t="str">
        <f t="shared" ref="D75:D87" si="18">IF(ISNUMBER(SEARCH("Ryzen", B75)), _xlfn.TEXTAFTER(B75, "AMD"), "")</f>
        <v/>
      </c>
      <c r="E75" s="13" t="str">
        <f t="shared" ref="E75:E87" si="19">IF(ISNUMBER(SEARCH("Ultra", B75)), "Ultra"&amp;_xlfn.TEXTAFTER(B75, "Ultra"), "")</f>
        <v/>
      </c>
      <c r="F75" s="13" t="str">
        <f t="shared" ref="F75:F87" si="20">IF(C75&lt;&gt;"", TRIM(_xlfn.TEXTBEFORE(C75," ",,1,1)), "")</f>
        <v/>
      </c>
      <c r="G75" s="13" t="str">
        <f t="shared" ref="G75:G87" si="21">IFERROR(_xlfn.TEXTBEFORE(D75,"w/"),"")</f>
        <v/>
      </c>
      <c r="H75" s="13" t="str">
        <f t="shared" ref="H75:H87" si="22">E75</f>
        <v/>
      </c>
      <c r="I75" t="str">
        <f t="shared" ref="I75:I87" si="23">IF(H75&lt;&gt;"",H75,IF(G75&lt;&gt;"",G75,F75))</f>
        <v/>
      </c>
    </row>
    <row r="76" spans="1:9">
      <c r="A76">
        <f>CSV!B76</f>
        <v>0</v>
      </c>
      <c r="B76" s="13" t="e">
        <f>INDEX(Input!$D$2:$AC$500,
       MATCH(CPU_Formula!A76, Input!$J$2:$J$500, 0),
       MATCH("CPU model", Input!$D$1:$AC$1, 0))</f>
        <v>#N/A</v>
      </c>
      <c r="C76" s="13" t="str">
        <f t="shared" si="13"/>
        <v/>
      </c>
      <c r="D76" s="13" t="str">
        <f t="shared" si="18"/>
        <v/>
      </c>
      <c r="E76" s="13" t="str">
        <f t="shared" si="19"/>
        <v/>
      </c>
      <c r="F76" s="13" t="str">
        <f t="shared" si="20"/>
        <v/>
      </c>
      <c r="G76" s="13" t="str">
        <f t="shared" si="21"/>
        <v/>
      </c>
      <c r="H76" s="13" t="str">
        <f t="shared" si="22"/>
        <v/>
      </c>
      <c r="I76" t="str">
        <f t="shared" si="23"/>
        <v/>
      </c>
    </row>
    <row r="77" spans="1:9">
      <c r="A77">
        <f>CSV!B77</f>
        <v>0</v>
      </c>
      <c r="B77" s="13" t="e">
        <f>INDEX(Input!$D$2:$AC$500,
       MATCH(CPU_Formula!A77, Input!$J$2:$J$500, 0),
       MATCH("CPU model", Input!$D$1:$AC$1, 0))</f>
        <v>#N/A</v>
      </c>
      <c r="C77" s="13" t="str">
        <f t="shared" si="13"/>
        <v/>
      </c>
      <c r="D77" s="13" t="str">
        <f t="shared" si="18"/>
        <v/>
      </c>
      <c r="E77" s="13" t="str">
        <f t="shared" si="19"/>
        <v/>
      </c>
      <c r="F77" s="13" t="str">
        <f t="shared" si="20"/>
        <v/>
      </c>
      <c r="G77" s="13" t="str">
        <f t="shared" si="21"/>
        <v/>
      </c>
      <c r="H77" s="13" t="str">
        <f t="shared" si="22"/>
        <v/>
      </c>
      <c r="I77" t="str">
        <f t="shared" si="23"/>
        <v/>
      </c>
    </row>
    <row r="78" spans="1:9">
      <c r="A78">
        <f>CSV!B78</f>
        <v>0</v>
      </c>
      <c r="B78" s="13" t="e">
        <f>INDEX(Input!$D$2:$AC$500,
       MATCH(CPU_Formula!A78, Input!$J$2:$J$500, 0),
       MATCH("CPU model", Input!$D$1:$AC$1, 0))</f>
        <v>#N/A</v>
      </c>
      <c r="C78" s="13" t="str">
        <f t="shared" si="13"/>
        <v/>
      </c>
      <c r="D78" s="13" t="str">
        <f t="shared" si="18"/>
        <v/>
      </c>
      <c r="E78" s="13" t="str">
        <f t="shared" si="19"/>
        <v/>
      </c>
      <c r="F78" s="13" t="str">
        <f t="shared" si="20"/>
        <v/>
      </c>
      <c r="G78" s="13" t="str">
        <f t="shared" si="21"/>
        <v/>
      </c>
      <c r="H78" s="13" t="str">
        <f t="shared" si="22"/>
        <v/>
      </c>
      <c r="I78" t="str">
        <f t="shared" si="23"/>
        <v/>
      </c>
    </row>
    <row r="79" spans="1:9">
      <c r="A79">
        <f>CSV!B79</f>
        <v>0</v>
      </c>
      <c r="B79" s="13" t="e">
        <f>INDEX(Input!$D$2:$AC$500,
       MATCH(CPU_Formula!A79, Input!$J$2:$J$500, 0),
       MATCH("CPU model", Input!$D$1:$AC$1, 0))</f>
        <v>#N/A</v>
      </c>
      <c r="C79" s="13" t="str">
        <f t="shared" si="13"/>
        <v/>
      </c>
      <c r="D79" s="13" t="str">
        <f t="shared" si="18"/>
        <v/>
      </c>
      <c r="E79" s="13" t="str">
        <f t="shared" si="19"/>
        <v/>
      </c>
      <c r="F79" s="13" t="str">
        <f t="shared" si="20"/>
        <v/>
      </c>
      <c r="G79" s="13" t="str">
        <f t="shared" si="21"/>
        <v/>
      </c>
      <c r="H79" s="13" t="str">
        <f t="shared" si="22"/>
        <v/>
      </c>
      <c r="I79" t="str">
        <f t="shared" si="23"/>
        <v/>
      </c>
    </row>
    <row r="80" spans="1:9">
      <c r="A80">
        <f>CSV!B80</f>
        <v>0</v>
      </c>
      <c r="B80" s="13" t="e">
        <f>INDEX(Input!$D$2:$AC$500,
       MATCH(CPU_Formula!A80, Input!$J$2:$J$500, 0),
       MATCH("CPU model", Input!$D$1:$AC$1, 0))</f>
        <v>#N/A</v>
      </c>
      <c r="C80" s="13" t="str">
        <f t="shared" si="13"/>
        <v/>
      </c>
      <c r="D80" s="13" t="str">
        <f t="shared" si="18"/>
        <v/>
      </c>
      <c r="E80" s="13" t="str">
        <f t="shared" si="19"/>
        <v/>
      </c>
      <c r="F80" s="13" t="str">
        <f t="shared" si="20"/>
        <v/>
      </c>
      <c r="G80" s="13" t="str">
        <f t="shared" si="21"/>
        <v/>
      </c>
      <c r="H80" s="13" t="str">
        <f t="shared" si="22"/>
        <v/>
      </c>
      <c r="I80" t="str">
        <f t="shared" si="23"/>
        <v/>
      </c>
    </row>
    <row r="81" spans="1:9">
      <c r="A81">
        <f>CSV!B81</f>
        <v>0</v>
      </c>
      <c r="B81" s="13" t="e">
        <f>INDEX(Input!$D$2:$AC$500,
       MATCH(CPU_Formula!A81, Input!$J$2:$J$500, 0),
       MATCH("CPU model", Input!$D$1:$AC$1, 0))</f>
        <v>#N/A</v>
      </c>
      <c r="C81" s="13" t="str">
        <f t="shared" si="13"/>
        <v/>
      </c>
      <c r="D81" s="13" t="str">
        <f t="shared" si="18"/>
        <v/>
      </c>
      <c r="E81" s="13" t="str">
        <f t="shared" si="19"/>
        <v/>
      </c>
      <c r="F81" s="13" t="str">
        <f t="shared" si="20"/>
        <v/>
      </c>
      <c r="G81" s="13" t="str">
        <f t="shared" si="21"/>
        <v/>
      </c>
      <c r="H81" s="13" t="str">
        <f t="shared" si="22"/>
        <v/>
      </c>
      <c r="I81" t="str">
        <f t="shared" si="23"/>
        <v/>
      </c>
    </row>
    <row r="82" spans="1:9">
      <c r="A82">
        <f>CSV!B82</f>
        <v>0</v>
      </c>
      <c r="B82" s="13" t="e">
        <f>INDEX(Input!$D$2:$AC$500,
       MATCH(CPU_Formula!A82, Input!$J$2:$J$500, 0),
       MATCH("CPU model", Input!$D$1:$AC$1, 0))</f>
        <v>#N/A</v>
      </c>
      <c r="C82" s="13" t="str">
        <f t="shared" si="13"/>
        <v/>
      </c>
      <c r="D82" s="13" t="str">
        <f t="shared" si="18"/>
        <v/>
      </c>
      <c r="E82" s="13" t="str">
        <f t="shared" si="19"/>
        <v/>
      </c>
      <c r="F82" s="13" t="str">
        <f t="shared" si="20"/>
        <v/>
      </c>
      <c r="G82" s="13" t="str">
        <f t="shared" si="21"/>
        <v/>
      </c>
      <c r="H82" s="13" t="str">
        <f t="shared" si="22"/>
        <v/>
      </c>
      <c r="I82" t="str">
        <f t="shared" si="23"/>
        <v/>
      </c>
    </row>
    <row r="83" spans="1:9">
      <c r="A83">
        <f>CSV!B83</f>
        <v>0</v>
      </c>
      <c r="B83" s="13" t="e">
        <f>INDEX(Input!$D$2:$AC$500,
       MATCH(CPU_Formula!A83, Input!$J$2:$J$500, 0),
       MATCH("CPU model", Input!$D$1:$AC$1, 0))</f>
        <v>#N/A</v>
      </c>
      <c r="C83" s="13" t="str">
        <f t="shared" si="13"/>
        <v/>
      </c>
      <c r="D83" s="13" t="str">
        <f t="shared" si="18"/>
        <v/>
      </c>
      <c r="E83" s="13" t="str">
        <f t="shared" si="19"/>
        <v/>
      </c>
      <c r="F83" s="13" t="str">
        <f t="shared" si="20"/>
        <v/>
      </c>
      <c r="G83" s="13" t="str">
        <f t="shared" si="21"/>
        <v/>
      </c>
      <c r="H83" s="13" t="str">
        <f t="shared" si="22"/>
        <v/>
      </c>
      <c r="I83" t="str">
        <f t="shared" si="23"/>
        <v/>
      </c>
    </row>
    <row r="84" spans="1:9">
      <c r="A84">
        <f>CSV!B84</f>
        <v>0</v>
      </c>
      <c r="B84" s="13" t="e">
        <f>INDEX(Input!$D$2:$AC$500,
       MATCH(CPU_Formula!A84, Input!$J$2:$J$500, 0),
       MATCH("CPU model", Input!$D$1:$AC$1, 0))</f>
        <v>#N/A</v>
      </c>
      <c r="C84" s="13" t="str">
        <f t="shared" si="13"/>
        <v/>
      </c>
      <c r="D84" s="13" t="str">
        <f t="shared" si="18"/>
        <v/>
      </c>
      <c r="E84" s="13" t="str">
        <f t="shared" si="19"/>
        <v/>
      </c>
      <c r="F84" s="13" t="str">
        <f t="shared" si="20"/>
        <v/>
      </c>
      <c r="G84" s="13" t="str">
        <f t="shared" si="21"/>
        <v/>
      </c>
      <c r="H84" s="13" t="str">
        <f t="shared" si="22"/>
        <v/>
      </c>
      <c r="I84" t="str">
        <f t="shared" si="23"/>
        <v/>
      </c>
    </row>
    <row r="85" spans="1:9">
      <c r="A85">
        <f>CSV!B85</f>
        <v>0</v>
      </c>
      <c r="B85" s="13" t="e">
        <f>INDEX(Input!$D$2:$AC$500,
       MATCH(CPU_Formula!A85, Input!$J$2:$J$500, 0),
       MATCH("CPU model", Input!$D$1:$AC$1, 0))</f>
        <v>#N/A</v>
      </c>
      <c r="C85" s="13" t="str">
        <f t="shared" si="13"/>
        <v/>
      </c>
      <c r="D85" s="13" t="str">
        <f t="shared" si="18"/>
        <v/>
      </c>
      <c r="E85" s="13" t="str">
        <f t="shared" si="19"/>
        <v/>
      </c>
      <c r="F85" s="13" t="str">
        <f t="shared" si="20"/>
        <v/>
      </c>
      <c r="G85" s="13" t="str">
        <f t="shared" si="21"/>
        <v/>
      </c>
      <c r="H85" s="13" t="str">
        <f t="shared" si="22"/>
        <v/>
      </c>
      <c r="I85" t="str">
        <f t="shared" si="23"/>
        <v/>
      </c>
    </row>
    <row r="86" spans="1:9">
      <c r="A86">
        <f>CSV!B86</f>
        <v>0</v>
      </c>
      <c r="B86" s="13" t="e">
        <f>INDEX(Input!$D$2:$AC$500,
       MATCH(CPU_Formula!A86, Input!$J$2:$J$500, 0),
       MATCH("CPU model", Input!$D$1:$AC$1, 0))</f>
        <v>#N/A</v>
      </c>
      <c r="C86" s="13" t="str">
        <f t="shared" si="13"/>
        <v/>
      </c>
      <c r="D86" s="13" t="str">
        <f t="shared" si="18"/>
        <v/>
      </c>
      <c r="E86" s="13" t="str">
        <f t="shared" si="19"/>
        <v/>
      </c>
      <c r="F86" s="13" t="str">
        <f t="shared" si="20"/>
        <v/>
      </c>
      <c r="G86" s="13" t="str">
        <f t="shared" si="21"/>
        <v/>
      </c>
      <c r="H86" s="13" t="str">
        <f t="shared" si="22"/>
        <v/>
      </c>
      <c r="I86" t="str">
        <f t="shared" si="23"/>
        <v/>
      </c>
    </row>
    <row r="87" spans="1:9">
      <c r="A87">
        <f>CSV!B87</f>
        <v>0</v>
      </c>
      <c r="B87" s="13" t="e">
        <f>INDEX(Input!$D$2:$AC$500,
       MATCH(CPU_Formula!A87, Input!$J$2:$J$500, 0),
       MATCH("CPU model", Input!$D$1:$AC$1, 0))</f>
        <v>#N/A</v>
      </c>
      <c r="C87" s="13" t="str">
        <f t="shared" si="13"/>
        <v/>
      </c>
      <c r="D87" s="13" t="str">
        <f t="shared" si="18"/>
        <v/>
      </c>
      <c r="E87" s="13" t="str">
        <f t="shared" si="19"/>
        <v/>
      </c>
      <c r="F87" s="13" t="str">
        <f t="shared" si="20"/>
        <v/>
      </c>
      <c r="G87" s="13" t="str">
        <f t="shared" si="21"/>
        <v/>
      </c>
      <c r="H87" s="13" t="str">
        <f t="shared" si="22"/>
        <v/>
      </c>
      <c r="I87" t="str">
        <f t="shared" si="23"/>
        <v/>
      </c>
    </row>
    <row r="88" spans="1:9">
      <c r="A88">
        <f>CSV!B88</f>
        <v>0</v>
      </c>
      <c r="B88" s="13" t="e">
        <f>INDEX(Input!$D$2:$AC$500,
       MATCH(CPU_Formula!A88, Input!$J$2:$J$500, 0),
       MATCH("CPU model", Input!$D$1:$AC$1, 0))</f>
        <v>#N/A</v>
      </c>
      <c r="C88" s="13" t="str">
        <f t="shared" si="13"/>
        <v/>
      </c>
      <c r="D88" s="13" t="str">
        <f t="shared" ref="D88:D104" si="24">IFERROR(_xlfn.TEXTAFTER(B88,"Ryzen "), "")</f>
        <v/>
      </c>
      <c r="E88" s="13" t="str">
        <f t="shared" si="14"/>
        <v/>
      </c>
      <c r="F88" s="13" t="str">
        <f t="shared" si="15"/>
        <v/>
      </c>
      <c r="G88" s="13" t="str">
        <f t="shared" ref="G88:G104" si="25">IF(D88&lt;&gt;"", TRIM(_xlfn.TEXTBEFORE(D88," ",,1)), "")</f>
        <v/>
      </c>
      <c r="H88" s="13" t="str">
        <f t="shared" si="16"/>
        <v/>
      </c>
      <c r="I88" t="str">
        <f t="shared" si="17"/>
        <v/>
      </c>
    </row>
    <row r="89" spans="1:9">
      <c r="A89">
        <f>CSV!B89</f>
        <v>0</v>
      </c>
      <c r="B89" s="13" t="e">
        <f>INDEX(Input!$D$2:$AC$500,
       MATCH(CPU_Formula!A89, Input!$J$2:$J$500, 0),
       MATCH("CPU model", Input!$D$1:$AC$1, 0))</f>
        <v>#N/A</v>
      </c>
      <c r="C89" s="13" t="str">
        <f t="shared" si="13"/>
        <v/>
      </c>
      <c r="D89" s="13" t="str">
        <f t="shared" si="24"/>
        <v/>
      </c>
      <c r="E89" s="13" t="str">
        <f t="shared" si="14"/>
        <v/>
      </c>
      <c r="F89" s="13" t="str">
        <f t="shared" si="15"/>
        <v/>
      </c>
      <c r="G89" s="13" t="str">
        <f t="shared" si="25"/>
        <v/>
      </c>
      <c r="H89" s="13" t="str">
        <f t="shared" si="16"/>
        <v/>
      </c>
      <c r="I89" t="str">
        <f t="shared" si="17"/>
        <v/>
      </c>
    </row>
    <row r="90" spans="1:9">
      <c r="A90">
        <f>CSV!B90</f>
        <v>0</v>
      </c>
      <c r="B90" s="13" t="e">
        <f>INDEX(Input!$D$2:$AC$500,
       MATCH(CPU_Formula!A90, Input!$J$2:$J$500, 0),
       MATCH("CPU model", Input!$D$1:$AC$1, 0))</f>
        <v>#N/A</v>
      </c>
      <c r="C90" s="13" t="str">
        <f t="shared" si="13"/>
        <v/>
      </c>
      <c r="D90" s="13" t="str">
        <f t="shared" si="24"/>
        <v/>
      </c>
      <c r="E90" s="13" t="str">
        <f t="shared" si="14"/>
        <v/>
      </c>
      <c r="F90" s="13" t="str">
        <f t="shared" si="15"/>
        <v/>
      </c>
      <c r="G90" s="13" t="str">
        <f t="shared" si="25"/>
        <v/>
      </c>
      <c r="H90" s="13" t="str">
        <f t="shared" si="16"/>
        <v/>
      </c>
      <c r="I90" t="str">
        <f t="shared" si="17"/>
        <v/>
      </c>
    </row>
    <row r="91" spans="1:9">
      <c r="A91">
        <f>CSV!B91</f>
        <v>0</v>
      </c>
      <c r="B91" s="13" t="e">
        <f>INDEX(Input!$D$2:$AC$500,
       MATCH(CPU_Formula!A91, Input!$J$2:$J$500, 0),
       MATCH("CPU model", Input!$D$1:$AC$1, 0))</f>
        <v>#N/A</v>
      </c>
      <c r="C91" s="13" t="str">
        <f t="shared" si="13"/>
        <v/>
      </c>
      <c r="D91" s="13" t="str">
        <f t="shared" si="24"/>
        <v/>
      </c>
      <c r="E91" s="13" t="str">
        <f t="shared" si="14"/>
        <v/>
      </c>
      <c r="F91" s="13" t="str">
        <f t="shared" si="15"/>
        <v/>
      </c>
      <c r="G91" s="13" t="str">
        <f t="shared" si="25"/>
        <v/>
      </c>
      <c r="H91" s="13" t="str">
        <f t="shared" si="16"/>
        <v/>
      </c>
      <c r="I91" t="str">
        <f t="shared" si="17"/>
        <v/>
      </c>
    </row>
    <row r="92" spans="1:9">
      <c r="A92">
        <f>CSV!B92</f>
        <v>0</v>
      </c>
      <c r="B92" s="13" t="e">
        <f>INDEX(Input!$D$2:$AC$500,
       MATCH(CPU_Formula!A92, Input!$J$2:$J$500, 0),
       MATCH("CPU model", Input!$D$1:$AC$1, 0))</f>
        <v>#N/A</v>
      </c>
      <c r="C92" s="13" t="str">
        <f t="shared" si="13"/>
        <v/>
      </c>
      <c r="D92" s="13" t="str">
        <f t="shared" si="24"/>
        <v/>
      </c>
      <c r="E92" s="13" t="str">
        <f t="shared" si="14"/>
        <v/>
      </c>
      <c r="F92" s="13" t="str">
        <f t="shared" si="15"/>
        <v/>
      </c>
      <c r="G92" s="13" t="str">
        <f t="shared" si="25"/>
        <v/>
      </c>
      <c r="H92" s="13" t="str">
        <f t="shared" si="16"/>
        <v/>
      </c>
      <c r="I92" t="str">
        <f t="shared" si="17"/>
        <v/>
      </c>
    </row>
    <row r="93" spans="1:9">
      <c r="A93">
        <f>CSV!B93</f>
        <v>0</v>
      </c>
      <c r="B93" s="13" t="e">
        <f>INDEX(Input!$D$2:$AC$500,
       MATCH(CPU_Formula!A93, Input!$J$2:$J$500, 0),
       MATCH("CPU model", Input!$D$1:$AC$1, 0))</f>
        <v>#N/A</v>
      </c>
      <c r="C93" s="13" t="str">
        <f t="shared" si="13"/>
        <v/>
      </c>
      <c r="D93" s="13" t="str">
        <f t="shared" si="24"/>
        <v/>
      </c>
      <c r="E93" s="13" t="str">
        <f t="shared" si="14"/>
        <v/>
      </c>
      <c r="F93" s="13" t="str">
        <f t="shared" si="15"/>
        <v/>
      </c>
      <c r="G93" s="13" t="str">
        <f t="shared" si="25"/>
        <v/>
      </c>
      <c r="H93" s="13" t="str">
        <f t="shared" si="16"/>
        <v/>
      </c>
      <c r="I93" t="str">
        <f t="shared" si="17"/>
        <v/>
      </c>
    </row>
    <row r="94" spans="1:9">
      <c r="A94">
        <f>CSV!B94</f>
        <v>0</v>
      </c>
      <c r="B94" s="13" t="e">
        <f>INDEX(Input!$D$2:$AC$500,
       MATCH(CPU_Formula!A94, Input!$J$2:$J$500, 0),
       MATCH("CPU model", Input!$D$1:$AC$1, 0))</f>
        <v>#N/A</v>
      </c>
      <c r="C94" s="13" t="str">
        <f t="shared" si="13"/>
        <v/>
      </c>
      <c r="D94" s="13" t="str">
        <f t="shared" si="24"/>
        <v/>
      </c>
      <c r="E94" s="13" t="str">
        <f t="shared" si="14"/>
        <v/>
      </c>
      <c r="F94" s="13" t="str">
        <f t="shared" si="15"/>
        <v/>
      </c>
      <c r="G94" s="13" t="str">
        <f t="shared" si="25"/>
        <v/>
      </c>
      <c r="H94" s="13" t="str">
        <f t="shared" si="16"/>
        <v/>
      </c>
      <c r="I94" t="str">
        <f t="shared" si="17"/>
        <v/>
      </c>
    </row>
    <row r="95" spans="1:9">
      <c r="A95">
        <f>CSV!B95</f>
        <v>0</v>
      </c>
      <c r="B95" s="13" t="e">
        <f>INDEX(Input!$D$2:$AC$500,
       MATCH(CPU_Formula!A95, Input!$J$2:$J$500, 0),
       MATCH("CPU model", Input!$D$1:$AC$1, 0))</f>
        <v>#N/A</v>
      </c>
      <c r="C95" s="13" t="str">
        <f t="shared" si="13"/>
        <v/>
      </c>
      <c r="D95" s="13" t="str">
        <f t="shared" si="24"/>
        <v/>
      </c>
      <c r="E95" s="13" t="str">
        <f t="shared" si="14"/>
        <v/>
      </c>
      <c r="F95" s="13" t="str">
        <f t="shared" si="15"/>
        <v/>
      </c>
      <c r="G95" s="13" t="str">
        <f t="shared" si="25"/>
        <v/>
      </c>
      <c r="H95" s="13" t="str">
        <f t="shared" si="16"/>
        <v/>
      </c>
      <c r="I95" t="str">
        <f t="shared" si="17"/>
        <v/>
      </c>
    </row>
    <row r="96" spans="1:9">
      <c r="A96">
        <f>CSV!B96</f>
        <v>0</v>
      </c>
      <c r="B96" s="13" t="e">
        <f>INDEX(Input!$D$2:$AC$500,
       MATCH(CPU_Formula!A96, Input!$J$2:$J$500, 0),
       MATCH("CPU model", Input!$D$1:$AC$1, 0))</f>
        <v>#N/A</v>
      </c>
      <c r="C96" s="13" t="str">
        <f t="shared" si="13"/>
        <v/>
      </c>
      <c r="D96" s="13" t="str">
        <f t="shared" si="24"/>
        <v/>
      </c>
      <c r="E96" s="13" t="str">
        <f t="shared" si="14"/>
        <v/>
      </c>
      <c r="F96" s="13" t="str">
        <f t="shared" si="15"/>
        <v/>
      </c>
      <c r="G96" s="13" t="str">
        <f t="shared" si="25"/>
        <v/>
      </c>
      <c r="H96" s="13" t="str">
        <f t="shared" si="16"/>
        <v/>
      </c>
      <c r="I96" t="str">
        <f t="shared" si="17"/>
        <v/>
      </c>
    </row>
    <row r="97" spans="1:9">
      <c r="A97">
        <f>CSV!B97</f>
        <v>0</v>
      </c>
      <c r="B97" s="13" t="e">
        <f>INDEX(Input!$D$2:$AC$500,
       MATCH(CPU_Formula!A97, Input!$J$2:$J$500, 0),
       MATCH("CPU model", Input!$D$1:$AC$1, 0))</f>
        <v>#N/A</v>
      </c>
      <c r="C97" s="13" t="str">
        <f t="shared" si="13"/>
        <v/>
      </c>
      <c r="D97" s="13" t="str">
        <f t="shared" si="24"/>
        <v/>
      </c>
      <c r="E97" s="13" t="str">
        <f t="shared" si="14"/>
        <v/>
      </c>
      <c r="F97" s="13" t="str">
        <f t="shared" si="15"/>
        <v/>
      </c>
      <c r="G97" s="13" t="str">
        <f t="shared" si="25"/>
        <v/>
      </c>
      <c r="H97" s="13" t="str">
        <f t="shared" si="16"/>
        <v/>
      </c>
      <c r="I97" t="str">
        <f t="shared" si="17"/>
        <v/>
      </c>
    </row>
    <row r="98" spans="1:9">
      <c r="A98">
        <f>CSV!B98</f>
        <v>0</v>
      </c>
      <c r="B98" s="13" t="e">
        <f>INDEX(Input!$D$2:$AC$500,
       MATCH(CPU_Formula!A98, Input!$J$2:$J$500, 0),
       MATCH("CPU model", Input!$D$1:$AC$1, 0))</f>
        <v>#N/A</v>
      </c>
      <c r="C98" s="13" t="str">
        <f t="shared" si="13"/>
        <v/>
      </c>
      <c r="D98" s="13" t="str">
        <f t="shared" si="24"/>
        <v/>
      </c>
      <c r="E98" s="13" t="str">
        <f t="shared" si="14"/>
        <v/>
      </c>
      <c r="F98" s="13" t="str">
        <f t="shared" si="15"/>
        <v/>
      </c>
      <c r="G98" s="13" t="str">
        <f t="shared" si="25"/>
        <v/>
      </c>
      <c r="H98" s="13" t="str">
        <f t="shared" si="16"/>
        <v/>
      </c>
      <c r="I98" t="str">
        <f t="shared" si="17"/>
        <v/>
      </c>
    </row>
    <row r="99" spans="1:9">
      <c r="A99">
        <f>CSV!B99</f>
        <v>0</v>
      </c>
      <c r="B99" s="13" t="e">
        <f>INDEX(Input!$D$2:$AC$500,
       MATCH(CPU_Formula!A99, Input!$J$2:$J$500, 0),
       MATCH("CPU model", Input!$D$1:$AC$1, 0))</f>
        <v>#N/A</v>
      </c>
      <c r="C99" s="13" t="str">
        <f t="shared" si="13"/>
        <v/>
      </c>
      <c r="D99" s="13" t="str">
        <f t="shared" si="24"/>
        <v/>
      </c>
      <c r="E99" s="13" t="str">
        <f t="shared" si="14"/>
        <v/>
      </c>
      <c r="F99" s="13" t="str">
        <f t="shared" si="15"/>
        <v/>
      </c>
      <c r="G99" s="13" t="str">
        <f t="shared" si="25"/>
        <v/>
      </c>
      <c r="H99" s="13" t="str">
        <f t="shared" si="16"/>
        <v/>
      </c>
      <c r="I99" t="str">
        <f t="shared" si="17"/>
        <v/>
      </c>
    </row>
    <row r="100" spans="1:9">
      <c r="A100">
        <f>CSV!B100</f>
        <v>0</v>
      </c>
      <c r="B100" s="13" t="e">
        <f>INDEX(Input!$D$2:$AC$500,
       MATCH(CPU_Formula!A100, Input!$J$2:$J$500, 0),
       MATCH("CPU model", Input!$D$1:$AC$1, 0))</f>
        <v>#N/A</v>
      </c>
      <c r="C100" s="13" t="str">
        <f t="shared" si="13"/>
        <v/>
      </c>
      <c r="D100" s="13" t="str">
        <f t="shared" si="24"/>
        <v/>
      </c>
      <c r="E100" s="13" t="str">
        <f t="shared" si="14"/>
        <v/>
      </c>
      <c r="F100" s="13" t="str">
        <f t="shared" si="15"/>
        <v/>
      </c>
      <c r="G100" s="13" t="str">
        <f t="shared" si="25"/>
        <v/>
      </c>
      <c r="H100" s="13" t="str">
        <f t="shared" si="16"/>
        <v/>
      </c>
      <c r="I100" t="str">
        <f t="shared" si="17"/>
        <v/>
      </c>
    </row>
    <row r="101" spans="1:9">
      <c r="A101">
        <f>CSV!B101</f>
        <v>0</v>
      </c>
      <c r="B101" s="13" t="e">
        <f>INDEX(Input!$D$2:$AC$500,
       MATCH(CPU_Formula!A101, Input!$J$2:$J$500, 0),
       MATCH("CPU model", Input!$D$1:$AC$1, 0))</f>
        <v>#N/A</v>
      </c>
      <c r="C101" s="13" t="str">
        <f t="shared" si="13"/>
        <v/>
      </c>
      <c r="D101" s="13" t="str">
        <f t="shared" si="24"/>
        <v/>
      </c>
      <c r="E101" s="13" t="str">
        <f t="shared" si="14"/>
        <v/>
      </c>
      <c r="F101" s="13" t="str">
        <f t="shared" si="15"/>
        <v/>
      </c>
      <c r="G101" s="13" t="str">
        <f t="shared" si="25"/>
        <v/>
      </c>
      <c r="H101" s="13" t="str">
        <f t="shared" si="16"/>
        <v/>
      </c>
      <c r="I101" t="str">
        <f t="shared" si="17"/>
        <v/>
      </c>
    </row>
    <row r="102" spans="1:9">
      <c r="A102">
        <f>CSV!B102</f>
        <v>0</v>
      </c>
      <c r="B102" s="13" t="e">
        <f>INDEX(Input!$D$2:$AC$500,
       MATCH(CPU_Formula!A102, Input!$J$2:$J$500, 0),
       MATCH("CPU model", Input!$D$1:$AC$1, 0))</f>
        <v>#N/A</v>
      </c>
      <c r="C102" s="13" t="str">
        <f t="shared" si="13"/>
        <v/>
      </c>
      <c r="D102" s="13" t="str">
        <f t="shared" si="24"/>
        <v/>
      </c>
      <c r="E102" s="13" t="str">
        <f t="shared" si="14"/>
        <v/>
      </c>
      <c r="F102" s="13" t="str">
        <f t="shared" si="15"/>
        <v/>
      </c>
      <c r="G102" s="13" t="str">
        <f t="shared" si="25"/>
        <v/>
      </c>
      <c r="H102" s="13" t="str">
        <f t="shared" si="16"/>
        <v/>
      </c>
      <c r="I102" t="str">
        <f t="shared" si="17"/>
        <v/>
      </c>
    </row>
    <row r="103" spans="1:9">
      <c r="A103">
        <f>CSV!B103</f>
        <v>0</v>
      </c>
      <c r="B103" s="13" t="e">
        <f>INDEX(Input!$D$2:$AC$500,
       MATCH(CPU_Formula!A103, Input!$J$2:$J$500, 0),
       MATCH("CPU model", Input!$D$1:$AC$1, 0))</f>
        <v>#N/A</v>
      </c>
      <c r="C103" s="13" t="str">
        <f t="shared" si="13"/>
        <v/>
      </c>
      <c r="D103" s="13" t="str">
        <f t="shared" si="24"/>
        <v/>
      </c>
      <c r="E103" s="13" t="str">
        <f t="shared" si="14"/>
        <v/>
      </c>
      <c r="F103" s="13" t="str">
        <f t="shared" si="15"/>
        <v/>
      </c>
      <c r="G103" s="13" t="str">
        <f t="shared" si="25"/>
        <v/>
      </c>
      <c r="H103" s="13" t="str">
        <f t="shared" si="16"/>
        <v/>
      </c>
      <c r="I103" t="str">
        <f t="shared" si="17"/>
        <v/>
      </c>
    </row>
    <row r="104" spans="1:9">
      <c r="A104">
        <f>CSV!B104</f>
        <v>0</v>
      </c>
      <c r="B104" s="13" t="e">
        <f>_xlfn.XLOOKUP(A104,Input!J:J,Input!T:T)</f>
        <v>#N/A</v>
      </c>
      <c r="C104" s="13" t="str">
        <f t="shared" si="13"/>
        <v/>
      </c>
      <c r="D104" s="13" t="str">
        <f t="shared" si="24"/>
        <v/>
      </c>
      <c r="E104" s="13" t="str">
        <f t="shared" si="14"/>
        <v/>
      </c>
      <c r="F104" s="13" t="str">
        <f t="shared" si="15"/>
        <v/>
      </c>
      <c r="G104" s="13" t="str">
        <f t="shared" si="25"/>
        <v/>
      </c>
      <c r="H104" s="13" t="str">
        <f t="shared" si="16"/>
        <v/>
      </c>
      <c r="I104" t="str">
        <f t="shared" si="17"/>
        <v/>
      </c>
    </row>
    <row r="105" spans="1:9">
      <c r="C105" s="13" t="str">
        <f t="shared" si="13"/>
        <v/>
      </c>
    </row>
    <row r="106" spans="1:9">
      <c r="C106" s="13" t="str">
        <f t="shared" si="13"/>
        <v/>
      </c>
    </row>
    <row r="107" spans="1:9">
      <c r="C107" s="13" t="str">
        <f t="shared" si="13"/>
        <v/>
      </c>
    </row>
    <row r="108" spans="1:9">
      <c r="C108" s="13" t="str">
        <f t="shared" si="13"/>
        <v/>
      </c>
    </row>
    <row r="109" spans="1:9">
      <c r="C109" s="13" t="str">
        <f t="shared" si="13"/>
        <v/>
      </c>
    </row>
    <row r="110" spans="1:9">
      <c r="C110" s="13" t="str">
        <f t="shared" si="13"/>
        <v/>
      </c>
    </row>
    <row r="111" spans="1:9">
      <c r="C111" s="13" t="str">
        <f t="shared" si="13"/>
        <v/>
      </c>
    </row>
    <row r="112" spans="1:9">
      <c r="C112" s="13" t="str">
        <f t="shared" si="13"/>
        <v/>
      </c>
    </row>
    <row r="113" spans="3:3">
      <c r="C113" s="13" t="str">
        <f t="shared" si="13"/>
        <v/>
      </c>
    </row>
    <row r="114" spans="3:3">
      <c r="C114" s="13" t="str">
        <f t="shared" si="13"/>
        <v/>
      </c>
    </row>
    <row r="115" spans="3:3">
      <c r="C115" s="13" t="str">
        <f t="shared" si="13"/>
        <v/>
      </c>
    </row>
    <row r="116" spans="3:3">
      <c r="C116" s="13" t="str">
        <f t="shared" si="13"/>
        <v/>
      </c>
    </row>
    <row r="117" spans="3:3">
      <c r="C117" s="13" t="str">
        <f t="shared" si="13"/>
        <v/>
      </c>
    </row>
    <row r="118" spans="3:3">
      <c r="C118" s="13" t="str">
        <f t="shared" si="13"/>
        <v/>
      </c>
    </row>
    <row r="119" spans="3:3">
      <c r="C119" s="13" t="str">
        <f t="shared" si="13"/>
        <v/>
      </c>
    </row>
    <row r="120" spans="3:3">
      <c r="C120" s="13" t="str">
        <f t="shared" si="13"/>
        <v/>
      </c>
    </row>
    <row r="121" spans="3:3">
      <c r="C121" s="13" t="str">
        <f t="shared" si="13"/>
        <v/>
      </c>
    </row>
    <row r="122" spans="3:3">
      <c r="C122" s="13" t="str">
        <f t="shared" si="13"/>
        <v/>
      </c>
    </row>
    <row r="123" spans="3:3">
      <c r="C123" s="13" t="str">
        <f t="shared" si="13"/>
        <v/>
      </c>
    </row>
    <row r="124" spans="3:3">
      <c r="C124" s="13" t="str">
        <f t="shared" si="13"/>
        <v/>
      </c>
    </row>
    <row r="125" spans="3:3">
      <c r="C125" s="13" t="str">
        <f t="shared" si="13"/>
        <v/>
      </c>
    </row>
    <row r="126" spans="3:3">
      <c r="C126" s="13" t="str">
        <f t="shared" si="13"/>
        <v/>
      </c>
    </row>
    <row r="127" spans="3:3">
      <c r="C127" s="13" t="str">
        <f t="shared" si="13"/>
        <v/>
      </c>
    </row>
    <row r="128" spans="3:3">
      <c r="C128" s="13" t="str">
        <f t="shared" si="13"/>
        <v/>
      </c>
    </row>
    <row r="129" spans="3:3">
      <c r="C129" s="13" t="str">
        <f t="shared" si="13"/>
        <v/>
      </c>
    </row>
    <row r="130" spans="3:3">
      <c r="C130" s="13" t="str">
        <f t="shared" si="13"/>
        <v/>
      </c>
    </row>
    <row r="131" spans="3:3">
      <c r="C131" s="13" t="str">
        <f t="shared" ref="C131:C194" si="26">IFERROR(_xlfn.TEXTAFTER(B131,"Core(TM) "),IFERROR(_xlfn.TEXTAFTER(B131,"Xeon(R) CPU"),""))</f>
        <v/>
      </c>
    </row>
    <row r="132" spans="3:3">
      <c r="C132" s="13" t="str">
        <f t="shared" si="26"/>
        <v/>
      </c>
    </row>
    <row r="133" spans="3:3">
      <c r="C133" s="13" t="str">
        <f t="shared" si="26"/>
        <v/>
      </c>
    </row>
    <row r="134" spans="3:3">
      <c r="C134" s="13" t="str">
        <f t="shared" si="26"/>
        <v/>
      </c>
    </row>
    <row r="135" spans="3:3">
      <c r="C135" s="13" t="str">
        <f t="shared" si="26"/>
        <v/>
      </c>
    </row>
    <row r="136" spans="3:3">
      <c r="C136" s="13" t="str">
        <f t="shared" si="26"/>
        <v/>
      </c>
    </row>
    <row r="137" spans="3:3">
      <c r="C137" s="13" t="str">
        <f t="shared" si="26"/>
        <v/>
      </c>
    </row>
    <row r="138" spans="3:3">
      <c r="C138" s="13" t="str">
        <f t="shared" si="26"/>
        <v/>
      </c>
    </row>
    <row r="139" spans="3:3">
      <c r="C139" s="13" t="str">
        <f t="shared" si="26"/>
        <v/>
      </c>
    </row>
    <row r="140" spans="3:3">
      <c r="C140" s="13" t="str">
        <f t="shared" si="26"/>
        <v/>
      </c>
    </row>
    <row r="141" spans="3:3">
      <c r="C141" s="13" t="str">
        <f t="shared" si="26"/>
        <v/>
      </c>
    </row>
    <row r="142" spans="3:3">
      <c r="C142" s="13" t="str">
        <f t="shared" si="26"/>
        <v/>
      </c>
    </row>
    <row r="143" spans="3:3">
      <c r="C143" s="13" t="str">
        <f t="shared" si="26"/>
        <v/>
      </c>
    </row>
    <row r="144" spans="3:3">
      <c r="C144" s="13" t="str">
        <f t="shared" si="26"/>
        <v/>
      </c>
    </row>
    <row r="145" spans="3:3">
      <c r="C145" s="13" t="str">
        <f t="shared" si="26"/>
        <v/>
      </c>
    </row>
    <row r="146" spans="3:3">
      <c r="C146" s="13" t="str">
        <f t="shared" si="26"/>
        <v/>
      </c>
    </row>
    <row r="147" spans="3:3">
      <c r="C147" s="13" t="str">
        <f t="shared" si="26"/>
        <v/>
      </c>
    </row>
    <row r="148" spans="3:3">
      <c r="C148" s="13" t="str">
        <f t="shared" si="26"/>
        <v/>
      </c>
    </row>
    <row r="149" spans="3:3">
      <c r="C149" s="13" t="str">
        <f t="shared" si="26"/>
        <v/>
      </c>
    </row>
    <row r="150" spans="3:3">
      <c r="C150" s="13" t="str">
        <f t="shared" si="26"/>
        <v/>
      </c>
    </row>
    <row r="151" spans="3:3">
      <c r="C151" s="13" t="str">
        <f t="shared" si="26"/>
        <v/>
      </c>
    </row>
    <row r="152" spans="3:3">
      <c r="C152" s="13" t="str">
        <f t="shared" si="26"/>
        <v/>
      </c>
    </row>
    <row r="153" spans="3:3">
      <c r="C153" s="13" t="str">
        <f t="shared" si="26"/>
        <v/>
      </c>
    </row>
    <row r="154" spans="3:3">
      <c r="C154" s="13" t="str">
        <f t="shared" si="26"/>
        <v/>
      </c>
    </row>
    <row r="155" spans="3:3">
      <c r="C155" s="13" t="str">
        <f t="shared" si="26"/>
        <v/>
      </c>
    </row>
    <row r="156" spans="3:3">
      <c r="C156" s="13" t="str">
        <f t="shared" si="26"/>
        <v/>
      </c>
    </row>
    <row r="157" spans="3:3">
      <c r="C157" s="13" t="str">
        <f t="shared" si="26"/>
        <v/>
      </c>
    </row>
    <row r="158" spans="3:3">
      <c r="C158" s="13" t="str">
        <f t="shared" si="26"/>
        <v/>
      </c>
    </row>
    <row r="159" spans="3:3">
      <c r="C159" s="13" t="str">
        <f t="shared" si="26"/>
        <v/>
      </c>
    </row>
    <row r="160" spans="3:3">
      <c r="C160" s="13" t="str">
        <f t="shared" si="26"/>
        <v/>
      </c>
    </row>
    <row r="161" spans="3:3">
      <c r="C161" s="13" t="str">
        <f t="shared" si="26"/>
        <v/>
      </c>
    </row>
    <row r="162" spans="3:3">
      <c r="C162" s="13" t="str">
        <f t="shared" si="26"/>
        <v/>
      </c>
    </row>
    <row r="163" spans="3:3">
      <c r="C163" s="13" t="str">
        <f t="shared" si="26"/>
        <v/>
      </c>
    </row>
    <row r="164" spans="3:3">
      <c r="C164" s="13" t="str">
        <f t="shared" si="26"/>
        <v/>
      </c>
    </row>
    <row r="165" spans="3:3">
      <c r="C165" s="13" t="str">
        <f t="shared" si="26"/>
        <v/>
      </c>
    </row>
    <row r="166" spans="3:3">
      <c r="C166" s="13" t="str">
        <f t="shared" si="26"/>
        <v/>
      </c>
    </row>
    <row r="167" spans="3:3">
      <c r="C167" s="13" t="str">
        <f t="shared" si="26"/>
        <v/>
      </c>
    </row>
    <row r="168" spans="3:3">
      <c r="C168" s="13" t="str">
        <f t="shared" si="26"/>
        <v/>
      </c>
    </row>
    <row r="169" spans="3:3">
      <c r="C169" s="13" t="str">
        <f t="shared" si="26"/>
        <v/>
      </c>
    </row>
    <row r="170" spans="3:3">
      <c r="C170" s="13" t="str">
        <f t="shared" si="26"/>
        <v/>
      </c>
    </row>
    <row r="171" spans="3:3">
      <c r="C171" s="13" t="str">
        <f t="shared" si="26"/>
        <v/>
      </c>
    </row>
    <row r="172" spans="3:3">
      <c r="C172" s="13" t="str">
        <f t="shared" si="26"/>
        <v/>
      </c>
    </row>
    <row r="173" spans="3:3">
      <c r="C173" s="13" t="str">
        <f t="shared" si="26"/>
        <v/>
      </c>
    </row>
    <row r="174" spans="3:3">
      <c r="C174" s="13" t="str">
        <f t="shared" si="26"/>
        <v/>
      </c>
    </row>
    <row r="175" spans="3:3">
      <c r="C175" s="13" t="str">
        <f t="shared" si="26"/>
        <v/>
      </c>
    </row>
    <row r="176" spans="3:3">
      <c r="C176" s="13" t="str">
        <f t="shared" si="26"/>
        <v/>
      </c>
    </row>
    <row r="177" spans="3:3">
      <c r="C177" s="13" t="str">
        <f t="shared" si="26"/>
        <v/>
      </c>
    </row>
    <row r="178" spans="3:3">
      <c r="C178" s="13" t="str">
        <f t="shared" si="26"/>
        <v/>
      </c>
    </row>
    <row r="179" spans="3:3">
      <c r="C179" s="13" t="str">
        <f t="shared" si="26"/>
        <v/>
      </c>
    </row>
    <row r="180" spans="3:3">
      <c r="C180" s="13" t="str">
        <f t="shared" si="26"/>
        <v/>
      </c>
    </row>
    <row r="181" spans="3:3">
      <c r="C181" s="13" t="str">
        <f t="shared" si="26"/>
        <v/>
      </c>
    </row>
    <row r="182" spans="3:3">
      <c r="C182" s="13" t="str">
        <f t="shared" si="26"/>
        <v/>
      </c>
    </row>
    <row r="183" spans="3:3">
      <c r="C183" s="13" t="str">
        <f t="shared" si="26"/>
        <v/>
      </c>
    </row>
    <row r="184" spans="3:3">
      <c r="C184" s="13" t="str">
        <f t="shared" si="26"/>
        <v/>
      </c>
    </row>
    <row r="185" spans="3:3">
      <c r="C185" s="13" t="str">
        <f t="shared" si="26"/>
        <v/>
      </c>
    </row>
    <row r="186" spans="3:3">
      <c r="C186" s="13" t="str">
        <f t="shared" si="26"/>
        <v/>
      </c>
    </row>
    <row r="187" spans="3:3">
      <c r="C187" s="13" t="str">
        <f t="shared" si="26"/>
        <v/>
      </c>
    </row>
    <row r="188" spans="3:3">
      <c r="C188" s="13" t="str">
        <f t="shared" si="26"/>
        <v/>
      </c>
    </row>
    <row r="189" spans="3:3">
      <c r="C189" s="13" t="str">
        <f t="shared" si="26"/>
        <v/>
      </c>
    </row>
    <row r="190" spans="3:3">
      <c r="C190" s="13" t="str">
        <f t="shared" si="26"/>
        <v/>
      </c>
    </row>
    <row r="191" spans="3:3">
      <c r="C191" s="13" t="str">
        <f t="shared" si="26"/>
        <v/>
      </c>
    </row>
    <row r="192" spans="3:3">
      <c r="C192" s="13" t="str">
        <f t="shared" si="26"/>
        <v/>
      </c>
    </row>
    <row r="193" spans="3:3">
      <c r="C193" s="13" t="str">
        <f t="shared" si="26"/>
        <v/>
      </c>
    </row>
    <row r="194" spans="3:3">
      <c r="C194" s="13" t="str">
        <f t="shared" si="26"/>
        <v/>
      </c>
    </row>
    <row r="195" spans="3:3">
      <c r="C195" s="13" t="str">
        <f t="shared" ref="C195:C258" si="27">IFERROR(_xlfn.TEXTAFTER(B195,"Core(TM) "),IFERROR(_xlfn.TEXTAFTER(B195,"Xeon(R) CPU"),""))</f>
        <v/>
      </c>
    </row>
    <row r="196" spans="3:3">
      <c r="C196" s="13" t="str">
        <f t="shared" si="27"/>
        <v/>
      </c>
    </row>
    <row r="197" spans="3:3">
      <c r="C197" s="13" t="str">
        <f t="shared" si="27"/>
        <v/>
      </c>
    </row>
    <row r="198" spans="3:3">
      <c r="C198" s="13" t="str">
        <f t="shared" si="27"/>
        <v/>
      </c>
    </row>
    <row r="199" spans="3:3">
      <c r="C199" s="13" t="str">
        <f t="shared" si="27"/>
        <v/>
      </c>
    </row>
    <row r="200" spans="3:3">
      <c r="C200" s="13" t="str">
        <f t="shared" si="27"/>
        <v/>
      </c>
    </row>
    <row r="201" spans="3:3">
      <c r="C201" s="13" t="str">
        <f t="shared" si="27"/>
        <v/>
      </c>
    </row>
    <row r="202" spans="3:3">
      <c r="C202" s="13" t="str">
        <f t="shared" si="27"/>
        <v/>
      </c>
    </row>
    <row r="203" spans="3:3">
      <c r="C203" s="13" t="str">
        <f t="shared" si="27"/>
        <v/>
      </c>
    </row>
    <row r="204" spans="3:3">
      <c r="C204" s="13" t="str">
        <f t="shared" si="27"/>
        <v/>
      </c>
    </row>
    <row r="205" spans="3:3">
      <c r="C205" s="13" t="str">
        <f t="shared" si="27"/>
        <v/>
      </c>
    </row>
    <row r="206" spans="3:3">
      <c r="C206" s="13" t="str">
        <f t="shared" si="27"/>
        <v/>
      </c>
    </row>
    <row r="207" spans="3:3">
      <c r="C207" s="13" t="str">
        <f t="shared" si="27"/>
        <v/>
      </c>
    </row>
    <row r="208" spans="3:3">
      <c r="C208" s="13" t="str">
        <f t="shared" si="27"/>
        <v/>
      </c>
    </row>
    <row r="209" spans="3:3">
      <c r="C209" s="13" t="str">
        <f t="shared" si="27"/>
        <v/>
      </c>
    </row>
    <row r="210" spans="3:3">
      <c r="C210" s="13" t="str">
        <f t="shared" si="27"/>
        <v/>
      </c>
    </row>
    <row r="211" spans="3:3">
      <c r="C211" s="13" t="str">
        <f t="shared" si="27"/>
        <v/>
      </c>
    </row>
    <row r="212" spans="3:3">
      <c r="C212" s="13" t="str">
        <f t="shared" si="27"/>
        <v/>
      </c>
    </row>
    <row r="213" spans="3:3">
      <c r="C213" s="13" t="str">
        <f t="shared" si="27"/>
        <v/>
      </c>
    </row>
    <row r="214" spans="3:3">
      <c r="C214" s="13" t="str">
        <f t="shared" si="27"/>
        <v/>
      </c>
    </row>
    <row r="215" spans="3:3">
      <c r="C215" s="13" t="str">
        <f t="shared" si="27"/>
        <v/>
      </c>
    </row>
    <row r="216" spans="3:3">
      <c r="C216" s="13" t="str">
        <f t="shared" si="27"/>
        <v/>
      </c>
    </row>
    <row r="217" spans="3:3">
      <c r="C217" s="13" t="str">
        <f t="shared" si="27"/>
        <v/>
      </c>
    </row>
    <row r="218" spans="3:3">
      <c r="C218" s="13" t="str">
        <f t="shared" si="27"/>
        <v/>
      </c>
    </row>
    <row r="219" spans="3:3">
      <c r="C219" s="13" t="str">
        <f t="shared" si="27"/>
        <v/>
      </c>
    </row>
    <row r="220" spans="3:3">
      <c r="C220" s="13" t="str">
        <f t="shared" si="27"/>
        <v/>
      </c>
    </row>
    <row r="221" spans="3:3">
      <c r="C221" s="13" t="str">
        <f t="shared" si="27"/>
        <v/>
      </c>
    </row>
    <row r="222" spans="3:3">
      <c r="C222" s="13" t="str">
        <f t="shared" si="27"/>
        <v/>
      </c>
    </row>
    <row r="223" spans="3:3">
      <c r="C223" s="13" t="str">
        <f t="shared" si="27"/>
        <v/>
      </c>
    </row>
    <row r="224" spans="3:3">
      <c r="C224" s="13" t="str">
        <f t="shared" si="27"/>
        <v/>
      </c>
    </row>
    <row r="225" spans="3:3">
      <c r="C225" s="13" t="str">
        <f t="shared" si="27"/>
        <v/>
      </c>
    </row>
    <row r="226" spans="3:3">
      <c r="C226" s="13" t="str">
        <f t="shared" si="27"/>
        <v/>
      </c>
    </row>
    <row r="227" spans="3:3">
      <c r="C227" s="13" t="str">
        <f t="shared" si="27"/>
        <v/>
      </c>
    </row>
    <row r="228" spans="3:3">
      <c r="C228" s="13" t="str">
        <f t="shared" si="27"/>
        <v/>
      </c>
    </row>
    <row r="229" spans="3:3">
      <c r="C229" s="13" t="str">
        <f t="shared" si="27"/>
        <v/>
      </c>
    </row>
    <row r="230" spans="3:3">
      <c r="C230" s="13" t="str">
        <f t="shared" si="27"/>
        <v/>
      </c>
    </row>
    <row r="231" spans="3:3">
      <c r="C231" s="13" t="str">
        <f t="shared" si="27"/>
        <v/>
      </c>
    </row>
    <row r="232" spans="3:3">
      <c r="C232" s="13" t="str">
        <f t="shared" si="27"/>
        <v/>
      </c>
    </row>
    <row r="233" spans="3:3">
      <c r="C233" s="13" t="str">
        <f t="shared" si="27"/>
        <v/>
      </c>
    </row>
    <row r="234" spans="3:3">
      <c r="C234" s="13" t="str">
        <f t="shared" si="27"/>
        <v/>
      </c>
    </row>
    <row r="235" spans="3:3">
      <c r="C235" s="13" t="str">
        <f t="shared" si="27"/>
        <v/>
      </c>
    </row>
    <row r="236" spans="3:3">
      <c r="C236" s="13" t="str">
        <f t="shared" si="27"/>
        <v/>
      </c>
    </row>
    <row r="237" spans="3:3">
      <c r="C237" s="13" t="str">
        <f t="shared" si="27"/>
        <v/>
      </c>
    </row>
    <row r="238" spans="3:3">
      <c r="C238" s="13" t="str">
        <f t="shared" si="27"/>
        <v/>
      </c>
    </row>
    <row r="239" spans="3:3">
      <c r="C239" s="13" t="str">
        <f t="shared" si="27"/>
        <v/>
      </c>
    </row>
    <row r="240" spans="3:3">
      <c r="C240" s="13" t="str">
        <f t="shared" si="27"/>
        <v/>
      </c>
    </row>
    <row r="241" spans="3:3">
      <c r="C241" s="13" t="str">
        <f t="shared" si="27"/>
        <v/>
      </c>
    </row>
    <row r="242" spans="3:3">
      <c r="C242" s="13" t="str">
        <f t="shared" si="27"/>
        <v/>
      </c>
    </row>
    <row r="243" spans="3:3">
      <c r="C243" s="13" t="str">
        <f t="shared" si="27"/>
        <v/>
      </c>
    </row>
    <row r="244" spans="3:3">
      <c r="C244" s="13" t="str">
        <f t="shared" si="27"/>
        <v/>
      </c>
    </row>
    <row r="245" spans="3:3">
      <c r="C245" s="13" t="str">
        <f t="shared" si="27"/>
        <v/>
      </c>
    </row>
    <row r="246" spans="3:3">
      <c r="C246" s="13" t="str">
        <f t="shared" si="27"/>
        <v/>
      </c>
    </row>
    <row r="247" spans="3:3">
      <c r="C247" s="13" t="str">
        <f t="shared" si="27"/>
        <v/>
      </c>
    </row>
    <row r="248" spans="3:3">
      <c r="C248" s="13" t="str">
        <f t="shared" si="27"/>
        <v/>
      </c>
    </row>
    <row r="249" spans="3:3">
      <c r="C249" s="13" t="str">
        <f t="shared" si="27"/>
        <v/>
      </c>
    </row>
    <row r="250" spans="3:3">
      <c r="C250" s="13" t="str">
        <f t="shared" si="27"/>
        <v/>
      </c>
    </row>
    <row r="251" spans="3:3">
      <c r="C251" s="13" t="str">
        <f t="shared" si="27"/>
        <v/>
      </c>
    </row>
    <row r="252" spans="3:3">
      <c r="C252" s="13" t="str">
        <f t="shared" si="27"/>
        <v/>
      </c>
    </row>
    <row r="253" spans="3:3">
      <c r="C253" s="13" t="str">
        <f t="shared" si="27"/>
        <v/>
      </c>
    </row>
    <row r="254" spans="3:3">
      <c r="C254" s="13" t="str">
        <f t="shared" si="27"/>
        <v/>
      </c>
    </row>
    <row r="255" spans="3:3">
      <c r="C255" s="13" t="str">
        <f t="shared" si="27"/>
        <v/>
      </c>
    </row>
    <row r="256" spans="3:3">
      <c r="C256" s="13" t="str">
        <f t="shared" si="27"/>
        <v/>
      </c>
    </row>
    <row r="257" spans="3:3">
      <c r="C257" s="13" t="str">
        <f t="shared" si="27"/>
        <v/>
      </c>
    </row>
    <row r="258" spans="3:3">
      <c r="C258" s="13" t="str">
        <f t="shared" si="27"/>
        <v/>
      </c>
    </row>
    <row r="259" spans="3:3">
      <c r="C259" s="13" t="str">
        <f t="shared" ref="C259:C322" si="28">IFERROR(_xlfn.TEXTAFTER(B259,"Core(TM) "),IFERROR(_xlfn.TEXTAFTER(B259,"Xeon(R) CPU"),""))</f>
        <v/>
      </c>
    </row>
    <row r="260" spans="3:3">
      <c r="C260" s="13" t="str">
        <f t="shared" si="28"/>
        <v/>
      </c>
    </row>
    <row r="261" spans="3:3">
      <c r="C261" s="13" t="str">
        <f t="shared" si="28"/>
        <v/>
      </c>
    </row>
    <row r="262" spans="3:3">
      <c r="C262" s="13" t="str">
        <f t="shared" si="28"/>
        <v/>
      </c>
    </row>
    <row r="263" spans="3:3">
      <c r="C263" s="13" t="str">
        <f t="shared" si="28"/>
        <v/>
      </c>
    </row>
    <row r="264" spans="3:3">
      <c r="C264" s="13" t="str">
        <f t="shared" si="28"/>
        <v/>
      </c>
    </row>
    <row r="265" spans="3:3">
      <c r="C265" s="13" t="str">
        <f t="shared" si="28"/>
        <v/>
      </c>
    </row>
    <row r="266" spans="3:3">
      <c r="C266" s="13" t="str">
        <f t="shared" si="28"/>
        <v/>
      </c>
    </row>
    <row r="267" spans="3:3">
      <c r="C267" s="13" t="str">
        <f t="shared" si="28"/>
        <v/>
      </c>
    </row>
    <row r="268" spans="3:3">
      <c r="C268" s="13" t="str">
        <f t="shared" si="28"/>
        <v/>
      </c>
    </row>
    <row r="269" spans="3:3">
      <c r="C269" s="13" t="str">
        <f t="shared" si="28"/>
        <v/>
      </c>
    </row>
    <row r="270" spans="3:3">
      <c r="C270" s="13" t="str">
        <f t="shared" si="28"/>
        <v/>
      </c>
    </row>
    <row r="271" spans="3:3">
      <c r="C271" s="13" t="str">
        <f t="shared" si="28"/>
        <v/>
      </c>
    </row>
    <row r="272" spans="3:3">
      <c r="C272" s="13" t="str">
        <f t="shared" si="28"/>
        <v/>
      </c>
    </row>
    <row r="273" spans="3:3">
      <c r="C273" s="13" t="str">
        <f t="shared" si="28"/>
        <v/>
      </c>
    </row>
    <row r="274" spans="3:3">
      <c r="C274" s="13" t="str">
        <f t="shared" si="28"/>
        <v/>
      </c>
    </row>
    <row r="275" spans="3:3">
      <c r="C275" s="13" t="str">
        <f t="shared" si="28"/>
        <v/>
      </c>
    </row>
    <row r="276" spans="3:3">
      <c r="C276" s="13" t="str">
        <f t="shared" si="28"/>
        <v/>
      </c>
    </row>
    <row r="277" spans="3:3">
      <c r="C277" s="13" t="str">
        <f t="shared" si="28"/>
        <v/>
      </c>
    </row>
    <row r="278" spans="3:3">
      <c r="C278" s="13" t="str">
        <f t="shared" si="28"/>
        <v/>
      </c>
    </row>
    <row r="279" spans="3:3">
      <c r="C279" s="13" t="str">
        <f t="shared" si="28"/>
        <v/>
      </c>
    </row>
    <row r="280" spans="3:3">
      <c r="C280" s="13" t="str">
        <f t="shared" si="28"/>
        <v/>
      </c>
    </row>
    <row r="281" spans="3:3">
      <c r="C281" s="13" t="str">
        <f t="shared" si="28"/>
        <v/>
      </c>
    </row>
    <row r="282" spans="3:3">
      <c r="C282" s="13" t="str">
        <f t="shared" si="28"/>
        <v/>
      </c>
    </row>
    <row r="283" spans="3:3">
      <c r="C283" s="13" t="str">
        <f t="shared" si="28"/>
        <v/>
      </c>
    </row>
    <row r="284" spans="3:3">
      <c r="C284" s="13" t="str">
        <f t="shared" si="28"/>
        <v/>
      </c>
    </row>
    <row r="285" spans="3:3">
      <c r="C285" s="13" t="str">
        <f t="shared" si="28"/>
        <v/>
      </c>
    </row>
    <row r="286" spans="3:3">
      <c r="C286" s="13" t="str">
        <f t="shared" si="28"/>
        <v/>
      </c>
    </row>
    <row r="287" spans="3:3">
      <c r="C287" s="13" t="str">
        <f t="shared" si="28"/>
        <v/>
      </c>
    </row>
    <row r="288" spans="3:3">
      <c r="C288" s="13" t="str">
        <f t="shared" si="28"/>
        <v/>
      </c>
    </row>
    <row r="289" spans="3:3">
      <c r="C289" s="13" t="str">
        <f t="shared" si="28"/>
        <v/>
      </c>
    </row>
    <row r="290" spans="3:3">
      <c r="C290" s="13" t="str">
        <f t="shared" si="28"/>
        <v/>
      </c>
    </row>
    <row r="291" spans="3:3">
      <c r="C291" s="13" t="str">
        <f t="shared" si="28"/>
        <v/>
      </c>
    </row>
    <row r="292" spans="3:3">
      <c r="C292" s="13" t="str">
        <f t="shared" si="28"/>
        <v/>
      </c>
    </row>
    <row r="293" spans="3:3">
      <c r="C293" s="13" t="str">
        <f t="shared" si="28"/>
        <v/>
      </c>
    </row>
    <row r="294" spans="3:3">
      <c r="C294" s="13" t="str">
        <f t="shared" si="28"/>
        <v/>
      </c>
    </row>
    <row r="295" spans="3:3">
      <c r="C295" s="13" t="str">
        <f t="shared" si="28"/>
        <v/>
      </c>
    </row>
    <row r="296" spans="3:3">
      <c r="C296" s="13" t="str">
        <f t="shared" si="28"/>
        <v/>
      </c>
    </row>
    <row r="297" spans="3:3">
      <c r="C297" s="13" t="str">
        <f t="shared" si="28"/>
        <v/>
      </c>
    </row>
    <row r="298" spans="3:3">
      <c r="C298" s="13" t="str">
        <f t="shared" si="28"/>
        <v/>
      </c>
    </row>
    <row r="299" spans="3:3">
      <c r="C299" s="13" t="str">
        <f t="shared" si="28"/>
        <v/>
      </c>
    </row>
    <row r="300" spans="3:3">
      <c r="C300" s="13" t="str">
        <f t="shared" si="28"/>
        <v/>
      </c>
    </row>
    <row r="301" spans="3:3">
      <c r="C301" s="13" t="str">
        <f t="shared" si="28"/>
        <v/>
      </c>
    </row>
    <row r="302" spans="3:3">
      <c r="C302" s="13" t="str">
        <f t="shared" si="28"/>
        <v/>
      </c>
    </row>
    <row r="303" spans="3:3">
      <c r="C303" s="13" t="str">
        <f t="shared" si="28"/>
        <v/>
      </c>
    </row>
    <row r="304" spans="3:3">
      <c r="C304" s="13" t="str">
        <f t="shared" si="28"/>
        <v/>
      </c>
    </row>
    <row r="305" spans="3:3">
      <c r="C305" s="13" t="str">
        <f t="shared" si="28"/>
        <v/>
      </c>
    </row>
    <row r="306" spans="3:3">
      <c r="C306" s="13" t="str">
        <f t="shared" si="28"/>
        <v/>
      </c>
    </row>
    <row r="307" spans="3:3">
      <c r="C307" s="13" t="str">
        <f t="shared" si="28"/>
        <v/>
      </c>
    </row>
    <row r="308" spans="3:3">
      <c r="C308" s="13" t="str">
        <f t="shared" si="28"/>
        <v/>
      </c>
    </row>
    <row r="309" spans="3:3">
      <c r="C309" s="13" t="str">
        <f t="shared" si="28"/>
        <v/>
      </c>
    </row>
    <row r="310" spans="3:3">
      <c r="C310" s="13" t="str">
        <f t="shared" si="28"/>
        <v/>
      </c>
    </row>
    <row r="311" spans="3:3">
      <c r="C311" s="13" t="str">
        <f t="shared" si="28"/>
        <v/>
      </c>
    </row>
    <row r="312" spans="3:3">
      <c r="C312" s="13" t="str">
        <f t="shared" si="28"/>
        <v/>
      </c>
    </row>
    <row r="313" spans="3:3">
      <c r="C313" s="13" t="str">
        <f t="shared" si="28"/>
        <v/>
      </c>
    </row>
    <row r="314" spans="3:3">
      <c r="C314" s="13" t="str">
        <f t="shared" si="28"/>
        <v/>
      </c>
    </row>
    <row r="315" spans="3:3">
      <c r="C315" s="13" t="str">
        <f t="shared" si="28"/>
        <v/>
      </c>
    </row>
    <row r="316" spans="3:3">
      <c r="C316" s="13" t="str">
        <f t="shared" si="28"/>
        <v/>
      </c>
    </row>
    <row r="317" spans="3:3">
      <c r="C317" s="13" t="str">
        <f t="shared" si="28"/>
        <v/>
      </c>
    </row>
    <row r="318" spans="3:3">
      <c r="C318" s="13" t="str">
        <f t="shared" si="28"/>
        <v/>
      </c>
    </row>
    <row r="319" spans="3:3">
      <c r="C319" s="13" t="str">
        <f t="shared" si="28"/>
        <v/>
      </c>
    </row>
    <row r="320" spans="3:3">
      <c r="C320" s="13" t="str">
        <f t="shared" si="28"/>
        <v/>
      </c>
    </row>
    <row r="321" spans="3:3">
      <c r="C321" s="13" t="str">
        <f t="shared" si="28"/>
        <v/>
      </c>
    </row>
    <row r="322" spans="3:3">
      <c r="C322" s="13" t="str">
        <f t="shared" si="28"/>
        <v/>
      </c>
    </row>
    <row r="323" spans="3:3">
      <c r="C323" s="13" t="str">
        <f t="shared" ref="C323:C386" si="29">IFERROR(_xlfn.TEXTAFTER(B323,"Core(TM) "),IFERROR(_xlfn.TEXTAFTER(B323,"Xeon(R) CPU"),""))</f>
        <v/>
      </c>
    </row>
    <row r="324" spans="3:3">
      <c r="C324" s="13" t="str">
        <f t="shared" si="29"/>
        <v/>
      </c>
    </row>
    <row r="325" spans="3:3">
      <c r="C325" s="13" t="str">
        <f t="shared" si="29"/>
        <v/>
      </c>
    </row>
    <row r="326" spans="3:3">
      <c r="C326" s="13" t="str">
        <f t="shared" si="29"/>
        <v/>
      </c>
    </row>
    <row r="327" spans="3:3">
      <c r="C327" s="13" t="str">
        <f t="shared" si="29"/>
        <v/>
      </c>
    </row>
    <row r="328" spans="3:3">
      <c r="C328" s="13" t="str">
        <f t="shared" si="29"/>
        <v/>
      </c>
    </row>
    <row r="329" spans="3:3">
      <c r="C329" s="13" t="str">
        <f t="shared" si="29"/>
        <v/>
      </c>
    </row>
    <row r="330" spans="3:3">
      <c r="C330" s="13" t="str">
        <f t="shared" si="29"/>
        <v/>
      </c>
    </row>
    <row r="331" spans="3:3">
      <c r="C331" s="13" t="str">
        <f t="shared" si="29"/>
        <v/>
      </c>
    </row>
    <row r="332" spans="3:3">
      <c r="C332" s="13" t="str">
        <f t="shared" si="29"/>
        <v/>
      </c>
    </row>
    <row r="333" spans="3:3">
      <c r="C333" s="13" t="str">
        <f t="shared" si="29"/>
        <v/>
      </c>
    </row>
    <row r="334" spans="3:3">
      <c r="C334" s="13" t="str">
        <f t="shared" si="29"/>
        <v/>
      </c>
    </row>
    <row r="335" spans="3:3">
      <c r="C335" s="13" t="str">
        <f t="shared" si="29"/>
        <v/>
      </c>
    </row>
    <row r="336" spans="3:3">
      <c r="C336" s="13" t="str">
        <f t="shared" si="29"/>
        <v/>
      </c>
    </row>
    <row r="337" spans="3:3">
      <c r="C337" s="13" t="str">
        <f t="shared" si="29"/>
        <v/>
      </c>
    </row>
    <row r="338" spans="3:3">
      <c r="C338" s="13" t="str">
        <f t="shared" si="29"/>
        <v/>
      </c>
    </row>
    <row r="339" spans="3:3">
      <c r="C339" s="13" t="str">
        <f t="shared" si="29"/>
        <v/>
      </c>
    </row>
    <row r="340" spans="3:3">
      <c r="C340" s="13" t="str">
        <f t="shared" si="29"/>
        <v/>
      </c>
    </row>
    <row r="341" spans="3:3">
      <c r="C341" s="13" t="str">
        <f t="shared" si="29"/>
        <v/>
      </c>
    </row>
    <row r="342" spans="3:3">
      <c r="C342" s="13" t="str">
        <f t="shared" si="29"/>
        <v/>
      </c>
    </row>
    <row r="343" spans="3:3">
      <c r="C343" s="13" t="str">
        <f t="shared" si="29"/>
        <v/>
      </c>
    </row>
    <row r="344" spans="3:3">
      <c r="C344" s="13" t="str">
        <f t="shared" si="29"/>
        <v/>
      </c>
    </row>
    <row r="345" spans="3:3">
      <c r="C345" s="13" t="str">
        <f t="shared" si="29"/>
        <v/>
      </c>
    </row>
    <row r="346" spans="3:3">
      <c r="C346" s="13" t="str">
        <f t="shared" si="29"/>
        <v/>
      </c>
    </row>
    <row r="347" spans="3:3">
      <c r="C347" s="13" t="str">
        <f t="shared" si="29"/>
        <v/>
      </c>
    </row>
    <row r="348" spans="3:3">
      <c r="C348" s="13" t="str">
        <f t="shared" si="29"/>
        <v/>
      </c>
    </row>
    <row r="349" spans="3:3">
      <c r="C349" s="13" t="str">
        <f t="shared" si="29"/>
        <v/>
      </c>
    </row>
    <row r="350" spans="3:3">
      <c r="C350" s="13" t="str">
        <f t="shared" si="29"/>
        <v/>
      </c>
    </row>
    <row r="351" spans="3:3">
      <c r="C351" s="13" t="str">
        <f t="shared" si="29"/>
        <v/>
      </c>
    </row>
    <row r="352" spans="3:3">
      <c r="C352" s="13" t="str">
        <f t="shared" si="29"/>
        <v/>
      </c>
    </row>
    <row r="353" spans="3:3">
      <c r="C353" s="13" t="str">
        <f t="shared" si="29"/>
        <v/>
      </c>
    </row>
    <row r="354" spans="3:3">
      <c r="C354" s="13" t="str">
        <f t="shared" si="29"/>
        <v/>
      </c>
    </row>
    <row r="355" spans="3:3">
      <c r="C355" s="13" t="str">
        <f t="shared" si="29"/>
        <v/>
      </c>
    </row>
    <row r="356" spans="3:3">
      <c r="C356" s="13" t="str">
        <f t="shared" si="29"/>
        <v/>
      </c>
    </row>
    <row r="357" spans="3:3">
      <c r="C357" s="13" t="str">
        <f t="shared" si="29"/>
        <v/>
      </c>
    </row>
    <row r="358" spans="3:3">
      <c r="C358" s="13" t="str">
        <f t="shared" si="29"/>
        <v/>
      </c>
    </row>
    <row r="359" spans="3:3">
      <c r="C359" s="13" t="str">
        <f t="shared" si="29"/>
        <v/>
      </c>
    </row>
    <row r="360" spans="3:3">
      <c r="C360" s="13" t="str">
        <f t="shared" si="29"/>
        <v/>
      </c>
    </row>
    <row r="361" spans="3:3">
      <c r="C361" s="13" t="str">
        <f t="shared" si="29"/>
        <v/>
      </c>
    </row>
    <row r="362" spans="3:3">
      <c r="C362" s="13" t="str">
        <f t="shared" si="29"/>
        <v/>
      </c>
    </row>
    <row r="363" spans="3:3">
      <c r="C363" s="13" t="str">
        <f t="shared" si="29"/>
        <v/>
      </c>
    </row>
    <row r="364" spans="3:3">
      <c r="C364" s="13" t="str">
        <f t="shared" si="29"/>
        <v/>
      </c>
    </row>
    <row r="365" spans="3:3">
      <c r="C365" s="13" t="str">
        <f t="shared" si="29"/>
        <v/>
      </c>
    </row>
    <row r="366" spans="3:3">
      <c r="C366" s="13" t="str">
        <f t="shared" si="29"/>
        <v/>
      </c>
    </row>
    <row r="367" spans="3:3">
      <c r="C367" s="13" t="str">
        <f t="shared" si="29"/>
        <v/>
      </c>
    </row>
    <row r="368" spans="3:3">
      <c r="C368" s="13" t="str">
        <f t="shared" si="29"/>
        <v/>
      </c>
    </row>
    <row r="369" spans="3:3">
      <c r="C369" s="13" t="str">
        <f t="shared" si="29"/>
        <v/>
      </c>
    </row>
    <row r="370" spans="3:3">
      <c r="C370" s="13" t="str">
        <f t="shared" si="29"/>
        <v/>
      </c>
    </row>
    <row r="371" spans="3:3">
      <c r="C371" s="13" t="str">
        <f t="shared" si="29"/>
        <v/>
      </c>
    </row>
    <row r="372" spans="3:3">
      <c r="C372" s="13" t="str">
        <f t="shared" si="29"/>
        <v/>
      </c>
    </row>
    <row r="373" spans="3:3">
      <c r="C373" s="13" t="str">
        <f t="shared" si="29"/>
        <v/>
      </c>
    </row>
    <row r="374" spans="3:3">
      <c r="C374" s="13" t="str">
        <f t="shared" si="29"/>
        <v/>
      </c>
    </row>
    <row r="375" spans="3:3">
      <c r="C375" s="13" t="str">
        <f t="shared" si="29"/>
        <v/>
      </c>
    </row>
    <row r="376" spans="3:3">
      <c r="C376" s="13" t="str">
        <f t="shared" si="29"/>
        <v/>
      </c>
    </row>
    <row r="377" spans="3:3">
      <c r="C377" s="13" t="str">
        <f t="shared" si="29"/>
        <v/>
      </c>
    </row>
    <row r="378" spans="3:3">
      <c r="C378" s="13" t="str">
        <f t="shared" si="29"/>
        <v/>
      </c>
    </row>
    <row r="379" spans="3:3">
      <c r="C379" s="13" t="str">
        <f t="shared" si="29"/>
        <v/>
      </c>
    </row>
    <row r="380" spans="3:3">
      <c r="C380" s="13" t="str">
        <f t="shared" si="29"/>
        <v/>
      </c>
    </row>
    <row r="381" spans="3:3">
      <c r="C381" s="13" t="str">
        <f t="shared" si="29"/>
        <v/>
      </c>
    </row>
    <row r="382" spans="3:3">
      <c r="C382" s="13" t="str">
        <f t="shared" si="29"/>
        <v/>
      </c>
    </row>
    <row r="383" spans="3:3">
      <c r="C383" s="13" t="str">
        <f t="shared" si="29"/>
        <v/>
      </c>
    </row>
    <row r="384" spans="3:3">
      <c r="C384" s="13" t="str">
        <f t="shared" si="29"/>
        <v/>
      </c>
    </row>
    <row r="385" spans="3:3">
      <c r="C385" s="13" t="str">
        <f t="shared" si="29"/>
        <v/>
      </c>
    </row>
    <row r="386" spans="3:3">
      <c r="C386" s="13" t="str">
        <f t="shared" si="29"/>
        <v/>
      </c>
    </row>
    <row r="387" spans="3:3">
      <c r="C387" s="13" t="str">
        <f t="shared" ref="C387:C450" si="30">IFERROR(_xlfn.TEXTAFTER(B387,"Core(TM) "),IFERROR(_xlfn.TEXTAFTER(B387,"Xeon(R) CPU"),""))</f>
        <v/>
      </c>
    </row>
    <row r="388" spans="3:3">
      <c r="C388" s="13" t="str">
        <f t="shared" si="30"/>
        <v/>
      </c>
    </row>
    <row r="389" spans="3:3">
      <c r="C389" s="13" t="str">
        <f t="shared" si="30"/>
        <v/>
      </c>
    </row>
    <row r="390" spans="3:3">
      <c r="C390" s="13" t="str">
        <f t="shared" si="30"/>
        <v/>
      </c>
    </row>
    <row r="391" spans="3:3">
      <c r="C391" s="13" t="str">
        <f t="shared" si="30"/>
        <v/>
      </c>
    </row>
    <row r="392" spans="3:3">
      <c r="C392" s="13" t="str">
        <f t="shared" si="30"/>
        <v/>
      </c>
    </row>
    <row r="393" spans="3:3">
      <c r="C393" s="13" t="str">
        <f t="shared" si="30"/>
        <v/>
      </c>
    </row>
    <row r="394" spans="3:3">
      <c r="C394" s="13" t="str">
        <f t="shared" si="30"/>
        <v/>
      </c>
    </row>
    <row r="395" spans="3:3">
      <c r="C395" s="13" t="str">
        <f t="shared" si="30"/>
        <v/>
      </c>
    </row>
    <row r="396" spans="3:3">
      <c r="C396" s="13" t="str">
        <f t="shared" si="30"/>
        <v/>
      </c>
    </row>
    <row r="397" spans="3:3">
      <c r="C397" s="13" t="str">
        <f t="shared" si="30"/>
        <v/>
      </c>
    </row>
    <row r="398" spans="3:3">
      <c r="C398" s="13" t="str">
        <f t="shared" si="30"/>
        <v/>
      </c>
    </row>
    <row r="399" spans="3:3">
      <c r="C399" s="13" t="str">
        <f t="shared" si="30"/>
        <v/>
      </c>
    </row>
    <row r="400" spans="3:3">
      <c r="C400" s="13" t="str">
        <f t="shared" si="30"/>
        <v/>
      </c>
    </row>
    <row r="401" spans="3:3">
      <c r="C401" s="13" t="str">
        <f t="shared" si="30"/>
        <v/>
      </c>
    </row>
    <row r="402" spans="3:3">
      <c r="C402" s="13" t="str">
        <f t="shared" si="30"/>
        <v/>
      </c>
    </row>
    <row r="403" spans="3:3">
      <c r="C403" s="13" t="str">
        <f t="shared" si="30"/>
        <v/>
      </c>
    </row>
    <row r="404" spans="3:3">
      <c r="C404" s="13" t="str">
        <f t="shared" si="30"/>
        <v/>
      </c>
    </row>
    <row r="405" spans="3:3">
      <c r="C405" s="13" t="str">
        <f t="shared" si="30"/>
        <v/>
      </c>
    </row>
    <row r="406" spans="3:3">
      <c r="C406" s="13" t="str">
        <f t="shared" si="30"/>
        <v/>
      </c>
    </row>
    <row r="407" spans="3:3">
      <c r="C407" s="13" t="str">
        <f t="shared" si="30"/>
        <v/>
      </c>
    </row>
    <row r="408" spans="3:3">
      <c r="C408" s="13" t="str">
        <f t="shared" si="30"/>
        <v/>
      </c>
    </row>
    <row r="409" spans="3:3">
      <c r="C409" s="13" t="str">
        <f t="shared" si="30"/>
        <v/>
      </c>
    </row>
    <row r="410" spans="3:3">
      <c r="C410" s="13" t="str">
        <f t="shared" si="30"/>
        <v/>
      </c>
    </row>
    <row r="411" spans="3:3">
      <c r="C411" s="13" t="str">
        <f t="shared" si="30"/>
        <v/>
      </c>
    </row>
    <row r="412" spans="3:3">
      <c r="C412" s="13" t="str">
        <f t="shared" si="30"/>
        <v/>
      </c>
    </row>
    <row r="413" spans="3:3">
      <c r="C413" s="13" t="str">
        <f t="shared" si="30"/>
        <v/>
      </c>
    </row>
    <row r="414" spans="3:3">
      <c r="C414" s="13" t="str">
        <f t="shared" si="30"/>
        <v/>
      </c>
    </row>
    <row r="415" spans="3:3">
      <c r="C415" s="13" t="str">
        <f t="shared" si="30"/>
        <v/>
      </c>
    </row>
    <row r="416" spans="3:3">
      <c r="C416" s="13" t="str">
        <f t="shared" si="30"/>
        <v/>
      </c>
    </row>
    <row r="417" spans="3:3">
      <c r="C417" s="13" t="str">
        <f t="shared" si="30"/>
        <v/>
      </c>
    </row>
    <row r="418" spans="3:3">
      <c r="C418" s="13" t="str">
        <f t="shared" si="30"/>
        <v/>
      </c>
    </row>
    <row r="419" spans="3:3">
      <c r="C419" s="13" t="str">
        <f t="shared" si="30"/>
        <v/>
      </c>
    </row>
    <row r="420" spans="3:3">
      <c r="C420" s="13" t="str">
        <f t="shared" si="30"/>
        <v/>
      </c>
    </row>
    <row r="421" spans="3:3">
      <c r="C421" s="13" t="str">
        <f t="shared" si="30"/>
        <v/>
      </c>
    </row>
    <row r="422" spans="3:3">
      <c r="C422" s="13" t="str">
        <f t="shared" si="30"/>
        <v/>
      </c>
    </row>
    <row r="423" spans="3:3">
      <c r="C423" s="13" t="str">
        <f t="shared" si="30"/>
        <v/>
      </c>
    </row>
    <row r="424" spans="3:3">
      <c r="C424" s="13" t="str">
        <f t="shared" si="30"/>
        <v/>
      </c>
    </row>
    <row r="425" spans="3:3">
      <c r="C425" s="13" t="str">
        <f t="shared" si="30"/>
        <v/>
      </c>
    </row>
    <row r="426" spans="3:3">
      <c r="C426" s="13" t="str">
        <f t="shared" si="30"/>
        <v/>
      </c>
    </row>
    <row r="427" spans="3:3">
      <c r="C427" s="13" t="str">
        <f t="shared" si="30"/>
        <v/>
      </c>
    </row>
    <row r="428" spans="3:3">
      <c r="C428" s="13" t="str">
        <f t="shared" si="30"/>
        <v/>
      </c>
    </row>
    <row r="429" spans="3:3">
      <c r="C429" s="13" t="str">
        <f t="shared" si="30"/>
        <v/>
      </c>
    </row>
    <row r="430" spans="3:3">
      <c r="C430" s="13" t="str">
        <f t="shared" si="30"/>
        <v/>
      </c>
    </row>
    <row r="431" spans="3:3">
      <c r="C431" s="13" t="str">
        <f t="shared" si="30"/>
        <v/>
      </c>
    </row>
    <row r="432" spans="3:3">
      <c r="C432" s="13" t="str">
        <f t="shared" si="30"/>
        <v/>
      </c>
    </row>
    <row r="433" spans="3:3">
      <c r="C433" s="13" t="str">
        <f t="shared" si="30"/>
        <v/>
      </c>
    </row>
    <row r="434" spans="3:3">
      <c r="C434" s="13" t="str">
        <f t="shared" si="30"/>
        <v/>
      </c>
    </row>
    <row r="435" spans="3:3">
      <c r="C435" s="13" t="str">
        <f t="shared" si="30"/>
        <v/>
      </c>
    </row>
    <row r="436" spans="3:3">
      <c r="C436" s="13" t="str">
        <f t="shared" si="30"/>
        <v/>
      </c>
    </row>
    <row r="437" spans="3:3">
      <c r="C437" s="13" t="str">
        <f t="shared" si="30"/>
        <v/>
      </c>
    </row>
    <row r="438" spans="3:3">
      <c r="C438" s="13" t="str">
        <f t="shared" si="30"/>
        <v/>
      </c>
    </row>
    <row r="439" spans="3:3">
      <c r="C439" s="13" t="str">
        <f t="shared" si="30"/>
        <v/>
      </c>
    </row>
    <row r="440" spans="3:3">
      <c r="C440" s="13" t="str">
        <f t="shared" si="30"/>
        <v/>
      </c>
    </row>
    <row r="441" spans="3:3">
      <c r="C441" s="13" t="str">
        <f t="shared" si="30"/>
        <v/>
      </c>
    </row>
    <row r="442" spans="3:3">
      <c r="C442" s="13" t="str">
        <f t="shared" si="30"/>
        <v/>
      </c>
    </row>
    <row r="443" spans="3:3">
      <c r="C443" s="13" t="str">
        <f t="shared" si="30"/>
        <v/>
      </c>
    </row>
    <row r="444" spans="3:3">
      <c r="C444" s="13" t="str">
        <f t="shared" si="30"/>
        <v/>
      </c>
    </row>
    <row r="445" spans="3:3">
      <c r="C445" s="13" t="str">
        <f t="shared" si="30"/>
        <v/>
      </c>
    </row>
    <row r="446" spans="3:3">
      <c r="C446" s="13" t="str">
        <f t="shared" si="30"/>
        <v/>
      </c>
    </row>
    <row r="447" spans="3:3">
      <c r="C447" s="13" t="str">
        <f t="shared" si="30"/>
        <v/>
      </c>
    </row>
    <row r="448" spans="3:3">
      <c r="C448" s="13" t="str">
        <f t="shared" si="30"/>
        <v/>
      </c>
    </row>
    <row r="449" spans="3:3">
      <c r="C449" s="13" t="str">
        <f t="shared" si="30"/>
        <v/>
      </c>
    </row>
    <row r="450" spans="3:3">
      <c r="C450" s="13" t="str">
        <f t="shared" si="30"/>
        <v/>
      </c>
    </row>
    <row r="451" spans="3:3">
      <c r="C451" s="13" t="str">
        <f t="shared" ref="C451:C514" si="31">IFERROR(_xlfn.TEXTAFTER(B451,"Core(TM) "),IFERROR(_xlfn.TEXTAFTER(B451,"Xeon(R) CPU"),""))</f>
        <v/>
      </c>
    </row>
    <row r="452" spans="3:3">
      <c r="C452" s="13" t="str">
        <f t="shared" si="31"/>
        <v/>
      </c>
    </row>
    <row r="453" spans="3:3">
      <c r="C453" s="13" t="str">
        <f t="shared" si="31"/>
        <v/>
      </c>
    </row>
    <row r="454" spans="3:3">
      <c r="C454" s="13" t="str">
        <f t="shared" si="31"/>
        <v/>
      </c>
    </row>
    <row r="455" spans="3:3">
      <c r="C455" s="13" t="str">
        <f t="shared" si="31"/>
        <v/>
      </c>
    </row>
    <row r="456" spans="3:3">
      <c r="C456" s="13" t="str">
        <f t="shared" si="31"/>
        <v/>
      </c>
    </row>
    <row r="457" spans="3:3">
      <c r="C457" s="13" t="str">
        <f t="shared" si="31"/>
        <v/>
      </c>
    </row>
    <row r="458" spans="3:3">
      <c r="C458" s="13" t="str">
        <f t="shared" si="31"/>
        <v/>
      </c>
    </row>
    <row r="459" spans="3:3">
      <c r="C459" s="13" t="str">
        <f t="shared" si="31"/>
        <v/>
      </c>
    </row>
    <row r="460" spans="3:3">
      <c r="C460" s="13" t="str">
        <f t="shared" si="31"/>
        <v/>
      </c>
    </row>
    <row r="461" spans="3:3">
      <c r="C461" s="13" t="str">
        <f t="shared" si="31"/>
        <v/>
      </c>
    </row>
    <row r="462" spans="3:3">
      <c r="C462" s="13" t="str">
        <f t="shared" si="31"/>
        <v/>
      </c>
    </row>
    <row r="463" spans="3:3">
      <c r="C463" s="13" t="str">
        <f t="shared" si="31"/>
        <v/>
      </c>
    </row>
    <row r="464" spans="3:3">
      <c r="C464" s="13" t="str">
        <f t="shared" si="31"/>
        <v/>
      </c>
    </row>
    <row r="465" spans="3:3">
      <c r="C465" s="13" t="str">
        <f t="shared" si="31"/>
        <v/>
      </c>
    </row>
    <row r="466" spans="3:3">
      <c r="C466" s="13" t="str">
        <f t="shared" si="31"/>
        <v/>
      </c>
    </row>
    <row r="467" spans="3:3">
      <c r="C467" s="13" t="str">
        <f t="shared" si="31"/>
        <v/>
      </c>
    </row>
    <row r="468" spans="3:3">
      <c r="C468" s="13" t="str">
        <f t="shared" si="31"/>
        <v/>
      </c>
    </row>
    <row r="469" spans="3:3">
      <c r="C469" s="13" t="str">
        <f t="shared" si="31"/>
        <v/>
      </c>
    </row>
    <row r="470" spans="3:3">
      <c r="C470" s="13" t="str">
        <f t="shared" si="31"/>
        <v/>
      </c>
    </row>
    <row r="471" spans="3:3">
      <c r="C471" s="13" t="str">
        <f t="shared" si="31"/>
        <v/>
      </c>
    </row>
    <row r="472" spans="3:3">
      <c r="C472" s="13" t="str">
        <f t="shared" si="31"/>
        <v/>
      </c>
    </row>
    <row r="473" spans="3:3">
      <c r="C473" s="13" t="str">
        <f t="shared" si="31"/>
        <v/>
      </c>
    </row>
    <row r="474" spans="3:3">
      <c r="C474" s="13" t="str">
        <f t="shared" si="31"/>
        <v/>
      </c>
    </row>
    <row r="475" spans="3:3">
      <c r="C475" s="13" t="str">
        <f t="shared" si="31"/>
        <v/>
      </c>
    </row>
    <row r="476" spans="3:3">
      <c r="C476" s="13" t="str">
        <f t="shared" si="31"/>
        <v/>
      </c>
    </row>
    <row r="477" spans="3:3">
      <c r="C477" s="13" t="str">
        <f t="shared" si="31"/>
        <v/>
      </c>
    </row>
    <row r="478" spans="3:3">
      <c r="C478" s="13" t="str">
        <f t="shared" si="31"/>
        <v/>
      </c>
    </row>
    <row r="479" spans="3:3">
      <c r="C479" s="13" t="str">
        <f t="shared" si="31"/>
        <v/>
      </c>
    </row>
    <row r="480" spans="3:3">
      <c r="C480" s="13" t="str">
        <f t="shared" si="31"/>
        <v/>
      </c>
    </row>
    <row r="481" spans="3:3">
      <c r="C481" s="13" t="str">
        <f t="shared" si="31"/>
        <v/>
      </c>
    </row>
    <row r="482" spans="3:3">
      <c r="C482" s="13" t="str">
        <f t="shared" si="31"/>
        <v/>
      </c>
    </row>
    <row r="483" spans="3:3">
      <c r="C483" s="13" t="str">
        <f t="shared" si="31"/>
        <v/>
      </c>
    </row>
    <row r="484" spans="3:3">
      <c r="C484" s="13" t="str">
        <f t="shared" si="31"/>
        <v/>
      </c>
    </row>
    <row r="485" spans="3:3">
      <c r="C485" s="13" t="str">
        <f t="shared" si="31"/>
        <v/>
      </c>
    </row>
    <row r="486" spans="3:3">
      <c r="C486" s="13" t="str">
        <f t="shared" si="31"/>
        <v/>
      </c>
    </row>
    <row r="487" spans="3:3">
      <c r="C487" s="13" t="str">
        <f t="shared" si="31"/>
        <v/>
      </c>
    </row>
    <row r="488" spans="3:3">
      <c r="C488" s="13" t="str">
        <f t="shared" si="31"/>
        <v/>
      </c>
    </row>
    <row r="489" spans="3:3">
      <c r="C489" s="13" t="str">
        <f t="shared" si="31"/>
        <v/>
      </c>
    </row>
    <row r="490" spans="3:3">
      <c r="C490" s="13" t="str">
        <f t="shared" si="31"/>
        <v/>
      </c>
    </row>
    <row r="491" spans="3:3">
      <c r="C491" s="13" t="str">
        <f t="shared" si="31"/>
        <v/>
      </c>
    </row>
    <row r="492" spans="3:3">
      <c r="C492" s="13" t="str">
        <f t="shared" si="31"/>
        <v/>
      </c>
    </row>
    <row r="493" spans="3:3">
      <c r="C493" s="13" t="str">
        <f t="shared" si="31"/>
        <v/>
      </c>
    </row>
    <row r="494" spans="3:3">
      <c r="C494" s="13" t="str">
        <f t="shared" si="31"/>
        <v/>
      </c>
    </row>
    <row r="495" spans="3:3">
      <c r="C495" s="13" t="str">
        <f t="shared" si="31"/>
        <v/>
      </c>
    </row>
    <row r="496" spans="3:3">
      <c r="C496" s="13" t="str">
        <f t="shared" si="31"/>
        <v/>
      </c>
    </row>
    <row r="497" spans="3:3">
      <c r="C497" s="13" t="str">
        <f t="shared" si="31"/>
        <v/>
      </c>
    </row>
    <row r="498" spans="3:3">
      <c r="C498" s="13" t="str">
        <f t="shared" si="31"/>
        <v/>
      </c>
    </row>
    <row r="499" spans="3:3">
      <c r="C499" s="13" t="str">
        <f t="shared" si="31"/>
        <v/>
      </c>
    </row>
    <row r="500" spans="3:3">
      <c r="C500" s="13" t="str">
        <f t="shared" si="31"/>
        <v/>
      </c>
    </row>
    <row r="501" spans="3:3">
      <c r="C501" s="13" t="str">
        <f t="shared" si="31"/>
        <v/>
      </c>
    </row>
    <row r="502" spans="3:3">
      <c r="C502" s="13" t="str">
        <f t="shared" si="31"/>
        <v/>
      </c>
    </row>
    <row r="503" spans="3:3">
      <c r="C503" s="13" t="str">
        <f t="shared" si="31"/>
        <v/>
      </c>
    </row>
    <row r="504" spans="3:3">
      <c r="C504" s="13" t="str">
        <f t="shared" si="31"/>
        <v/>
      </c>
    </row>
    <row r="505" spans="3:3">
      <c r="C505" s="13" t="str">
        <f t="shared" si="31"/>
        <v/>
      </c>
    </row>
    <row r="506" spans="3:3">
      <c r="C506" s="13" t="str">
        <f t="shared" si="31"/>
        <v/>
      </c>
    </row>
    <row r="507" spans="3:3">
      <c r="C507" s="13" t="str">
        <f t="shared" si="31"/>
        <v/>
      </c>
    </row>
    <row r="508" spans="3:3">
      <c r="C508" s="13" t="str">
        <f t="shared" si="31"/>
        <v/>
      </c>
    </row>
    <row r="509" spans="3:3">
      <c r="C509" s="13" t="str">
        <f t="shared" si="31"/>
        <v/>
      </c>
    </row>
    <row r="510" spans="3:3">
      <c r="C510" s="13" t="str">
        <f t="shared" si="31"/>
        <v/>
      </c>
    </row>
    <row r="511" spans="3:3">
      <c r="C511" s="13" t="str">
        <f t="shared" si="31"/>
        <v/>
      </c>
    </row>
    <row r="512" spans="3:3">
      <c r="C512" s="13" t="str">
        <f t="shared" si="31"/>
        <v/>
      </c>
    </row>
    <row r="513" spans="3:3">
      <c r="C513" s="13" t="str">
        <f t="shared" si="31"/>
        <v/>
      </c>
    </row>
    <row r="514" spans="3:3">
      <c r="C514" s="13" t="str">
        <f t="shared" si="31"/>
        <v/>
      </c>
    </row>
    <row r="515" spans="3:3">
      <c r="C515" s="13" t="str">
        <f t="shared" ref="C515:C578" si="32">IFERROR(_xlfn.TEXTAFTER(B515,"Core(TM) "),IFERROR(_xlfn.TEXTAFTER(B515,"Xeon(R) CPU"),""))</f>
        <v/>
      </c>
    </row>
    <row r="516" spans="3:3">
      <c r="C516" s="13" t="str">
        <f t="shared" si="32"/>
        <v/>
      </c>
    </row>
    <row r="517" spans="3:3">
      <c r="C517" s="13" t="str">
        <f t="shared" si="32"/>
        <v/>
      </c>
    </row>
    <row r="518" spans="3:3">
      <c r="C518" s="13" t="str">
        <f t="shared" si="32"/>
        <v/>
      </c>
    </row>
    <row r="519" spans="3:3">
      <c r="C519" s="13" t="str">
        <f t="shared" si="32"/>
        <v/>
      </c>
    </row>
    <row r="520" spans="3:3">
      <c r="C520" s="13" t="str">
        <f t="shared" si="32"/>
        <v/>
      </c>
    </row>
    <row r="521" spans="3:3">
      <c r="C521" s="13" t="str">
        <f t="shared" si="32"/>
        <v/>
      </c>
    </row>
    <row r="522" spans="3:3">
      <c r="C522" s="13" t="str">
        <f t="shared" si="32"/>
        <v/>
      </c>
    </row>
    <row r="523" spans="3:3">
      <c r="C523" s="13" t="str">
        <f t="shared" si="32"/>
        <v/>
      </c>
    </row>
    <row r="524" spans="3:3">
      <c r="C524" s="13" t="str">
        <f t="shared" si="32"/>
        <v/>
      </c>
    </row>
    <row r="525" spans="3:3">
      <c r="C525" s="13" t="str">
        <f t="shared" si="32"/>
        <v/>
      </c>
    </row>
    <row r="526" spans="3:3">
      <c r="C526" s="13" t="str">
        <f t="shared" si="32"/>
        <v/>
      </c>
    </row>
    <row r="527" spans="3:3">
      <c r="C527" s="13" t="str">
        <f t="shared" si="32"/>
        <v/>
      </c>
    </row>
    <row r="528" spans="3:3">
      <c r="C528" s="13" t="str">
        <f t="shared" si="32"/>
        <v/>
      </c>
    </row>
    <row r="529" spans="3:3">
      <c r="C529" s="13" t="str">
        <f t="shared" si="32"/>
        <v/>
      </c>
    </row>
    <row r="530" spans="3:3">
      <c r="C530" s="13" t="str">
        <f t="shared" si="32"/>
        <v/>
      </c>
    </row>
    <row r="531" spans="3:3">
      <c r="C531" s="13" t="str">
        <f t="shared" si="32"/>
        <v/>
      </c>
    </row>
    <row r="532" spans="3:3">
      <c r="C532" s="13" t="str">
        <f t="shared" si="32"/>
        <v/>
      </c>
    </row>
    <row r="533" spans="3:3">
      <c r="C533" s="13" t="str">
        <f t="shared" si="32"/>
        <v/>
      </c>
    </row>
    <row r="534" spans="3:3">
      <c r="C534" s="13" t="str">
        <f t="shared" si="32"/>
        <v/>
      </c>
    </row>
    <row r="535" spans="3:3">
      <c r="C535" s="13" t="str">
        <f t="shared" si="32"/>
        <v/>
      </c>
    </row>
    <row r="536" spans="3:3">
      <c r="C536" s="13" t="str">
        <f t="shared" si="32"/>
        <v/>
      </c>
    </row>
    <row r="537" spans="3:3">
      <c r="C537" s="13" t="str">
        <f t="shared" si="32"/>
        <v/>
      </c>
    </row>
    <row r="538" spans="3:3">
      <c r="C538" s="13" t="str">
        <f t="shared" si="32"/>
        <v/>
      </c>
    </row>
    <row r="539" spans="3:3">
      <c r="C539" s="13" t="str">
        <f t="shared" si="32"/>
        <v/>
      </c>
    </row>
    <row r="540" spans="3:3">
      <c r="C540" s="13" t="str">
        <f t="shared" si="32"/>
        <v/>
      </c>
    </row>
    <row r="541" spans="3:3">
      <c r="C541" s="13" t="str">
        <f t="shared" si="32"/>
        <v/>
      </c>
    </row>
    <row r="542" spans="3:3">
      <c r="C542" s="13" t="str">
        <f t="shared" si="32"/>
        <v/>
      </c>
    </row>
    <row r="543" spans="3:3">
      <c r="C543" s="13" t="str">
        <f t="shared" si="32"/>
        <v/>
      </c>
    </row>
    <row r="544" spans="3:3">
      <c r="C544" s="13" t="str">
        <f t="shared" si="32"/>
        <v/>
      </c>
    </row>
    <row r="545" spans="3:3">
      <c r="C545" s="13" t="str">
        <f t="shared" si="32"/>
        <v/>
      </c>
    </row>
    <row r="546" spans="3:3">
      <c r="C546" s="13" t="str">
        <f t="shared" si="32"/>
        <v/>
      </c>
    </row>
    <row r="547" spans="3:3">
      <c r="C547" s="13" t="str">
        <f t="shared" si="32"/>
        <v/>
      </c>
    </row>
    <row r="548" spans="3:3">
      <c r="C548" s="13" t="str">
        <f t="shared" si="32"/>
        <v/>
      </c>
    </row>
    <row r="549" spans="3:3">
      <c r="C549" s="13" t="str">
        <f t="shared" si="32"/>
        <v/>
      </c>
    </row>
    <row r="550" spans="3:3">
      <c r="C550" s="13" t="str">
        <f t="shared" si="32"/>
        <v/>
      </c>
    </row>
    <row r="551" spans="3:3">
      <c r="C551" s="13" t="str">
        <f t="shared" si="32"/>
        <v/>
      </c>
    </row>
    <row r="552" spans="3:3">
      <c r="C552" s="13" t="str">
        <f t="shared" si="32"/>
        <v/>
      </c>
    </row>
    <row r="553" spans="3:3">
      <c r="C553" s="13" t="str">
        <f t="shared" si="32"/>
        <v/>
      </c>
    </row>
    <row r="554" spans="3:3">
      <c r="C554" s="13" t="str">
        <f t="shared" si="32"/>
        <v/>
      </c>
    </row>
    <row r="555" spans="3:3">
      <c r="C555" s="13" t="str">
        <f t="shared" si="32"/>
        <v/>
      </c>
    </row>
    <row r="556" spans="3:3">
      <c r="C556" s="13" t="str">
        <f t="shared" si="32"/>
        <v/>
      </c>
    </row>
    <row r="557" spans="3:3">
      <c r="C557" s="13" t="str">
        <f t="shared" si="32"/>
        <v/>
      </c>
    </row>
    <row r="558" spans="3:3">
      <c r="C558" s="13" t="str">
        <f t="shared" si="32"/>
        <v/>
      </c>
    </row>
    <row r="559" spans="3:3">
      <c r="C559" s="13" t="str">
        <f t="shared" si="32"/>
        <v/>
      </c>
    </row>
    <row r="560" spans="3:3">
      <c r="C560" s="13" t="str">
        <f t="shared" si="32"/>
        <v/>
      </c>
    </row>
    <row r="561" spans="3:3">
      <c r="C561" s="13" t="str">
        <f t="shared" si="32"/>
        <v/>
      </c>
    </row>
    <row r="562" spans="3:3">
      <c r="C562" s="13" t="str">
        <f t="shared" si="32"/>
        <v/>
      </c>
    </row>
    <row r="563" spans="3:3">
      <c r="C563" s="13" t="str">
        <f t="shared" si="32"/>
        <v/>
      </c>
    </row>
    <row r="564" spans="3:3">
      <c r="C564" s="13" t="str">
        <f t="shared" si="32"/>
        <v/>
      </c>
    </row>
    <row r="565" spans="3:3">
      <c r="C565" s="13" t="str">
        <f t="shared" si="32"/>
        <v/>
      </c>
    </row>
    <row r="566" spans="3:3">
      <c r="C566" s="13" t="str">
        <f t="shared" si="32"/>
        <v/>
      </c>
    </row>
    <row r="567" spans="3:3">
      <c r="C567" s="13" t="str">
        <f t="shared" si="32"/>
        <v/>
      </c>
    </row>
    <row r="568" spans="3:3">
      <c r="C568" s="13" t="str">
        <f t="shared" si="32"/>
        <v/>
      </c>
    </row>
    <row r="569" spans="3:3">
      <c r="C569" s="13" t="str">
        <f t="shared" si="32"/>
        <v/>
      </c>
    </row>
    <row r="570" spans="3:3">
      <c r="C570" s="13" t="str">
        <f t="shared" si="32"/>
        <v/>
      </c>
    </row>
    <row r="571" spans="3:3">
      <c r="C571" s="13" t="str">
        <f t="shared" si="32"/>
        <v/>
      </c>
    </row>
    <row r="572" spans="3:3">
      <c r="C572" s="13" t="str">
        <f t="shared" si="32"/>
        <v/>
      </c>
    </row>
    <row r="573" spans="3:3">
      <c r="C573" s="13" t="str">
        <f t="shared" si="32"/>
        <v/>
      </c>
    </row>
    <row r="574" spans="3:3">
      <c r="C574" s="13" t="str">
        <f t="shared" si="32"/>
        <v/>
      </c>
    </row>
    <row r="575" spans="3:3">
      <c r="C575" s="13" t="str">
        <f t="shared" si="32"/>
        <v/>
      </c>
    </row>
    <row r="576" spans="3:3">
      <c r="C576" s="13" t="str">
        <f t="shared" si="32"/>
        <v/>
      </c>
    </row>
    <row r="577" spans="3:3">
      <c r="C577" s="13" t="str">
        <f t="shared" si="32"/>
        <v/>
      </c>
    </row>
    <row r="578" spans="3:3">
      <c r="C578" s="13" t="str">
        <f t="shared" si="32"/>
        <v/>
      </c>
    </row>
    <row r="579" spans="3:3">
      <c r="C579" s="13" t="str">
        <f t="shared" ref="C579:C642" si="33">IFERROR(_xlfn.TEXTAFTER(B579,"Core(TM) "),IFERROR(_xlfn.TEXTAFTER(B579,"Xeon(R) CPU"),""))</f>
        <v/>
      </c>
    </row>
    <row r="580" spans="3:3">
      <c r="C580" s="13" t="str">
        <f t="shared" si="33"/>
        <v/>
      </c>
    </row>
    <row r="581" spans="3:3">
      <c r="C581" s="13" t="str">
        <f t="shared" si="33"/>
        <v/>
      </c>
    </row>
    <row r="582" spans="3:3">
      <c r="C582" s="13" t="str">
        <f t="shared" si="33"/>
        <v/>
      </c>
    </row>
    <row r="583" spans="3:3">
      <c r="C583" s="13" t="str">
        <f t="shared" si="33"/>
        <v/>
      </c>
    </row>
    <row r="584" spans="3:3">
      <c r="C584" s="13" t="str">
        <f t="shared" si="33"/>
        <v/>
      </c>
    </row>
    <row r="585" spans="3:3">
      <c r="C585" s="13" t="str">
        <f t="shared" si="33"/>
        <v/>
      </c>
    </row>
    <row r="586" spans="3:3">
      <c r="C586" s="13" t="str">
        <f t="shared" si="33"/>
        <v/>
      </c>
    </row>
    <row r="587" spans="3:3">
      <c r="C587" s="13" t="str">
        <f t="shared" si="33"/>
        <v/>
      </c>
    </row>
    <row r="588" spans="3:3">
      <c r="C588" s="13" t="str">
        <f t="shared" si="33"/>
        <v/>
      </c>
    </row>
    <row r="589" spans="3:3">
      <c r="C589" s="13" t="str">
        <f t="shared" si="33"/>
        <v/>
      </c>
    </row>
    <row r="590" spans="3:3">
      <c r="C590" s="13" t="str">
        <f t="shared" si="33"/>
        <v/>
      </c>
    </row>
    <row r="591" spans="3:3">
      <c r="C591" s="13" t="str">
        <f t="shared" si="33"/>
        <v/>
      </c>
    </row>
    <row r="592" spans="3:3">
      <c r="C592" s="13" t="str">
        <f t="shared" si="33"/>
        <v/>
      </c>
    </row>
    <row r="593" spans="3:3">
      <c r="C593" s="13" t="str">
        <f t="shared" si="33"/>
        <v/>
      </c>
    </row>
    <row r="594" spans="3:3">
      <c r="C594" s="13" t="str">
        <f t="shared" si="33"/>
        <v/>
      </c>
    </row>
    <row r="595" spans="3:3">
      <c r="C595" s="13" t="str">
        <f t="shared" si="33"/>
        <v/>
      </c>
    </row>
    <row r="596" spans="3:3">
      <c r="C596" s="13" t="str">
        <f t="shared" si="33"/>
        <v/>
      </c>
    </row>
    <row r="597" spans="3:3">
      <c r="C597" s="13" t="str">
        <f t="shared" si="33"/>
        <v/>
      </c>
    </row>
    <row r="598" spans="3:3">
      <c r="C598" s="13" t="str">
        <f t="shared" si="33"/>
        <v/>
      </c>
    </row>
    <row r="599" spans="3:3">
      <c r="C599" s="13" t="str">
        <f t="shared" si="33"/>
        <v/>
      </c>
    </row>
    <row r="600" spans="3:3">
      <c r="C600" s="13" t="str">
        <f t="shared" si="33"/>
        <v/>
      </c>
    </row>
    <row r="601" spans="3:3">
      <c r="C601" s="13" t="str">
        <f t="shared" si="33"/>
        <v/>
      </c>
    </row>
    <row r="602" spans="3:3">
      <c r="C602" s="13" t="str">
        <f t="shared" si="33"/>
        <v/>
      </c>
    </row>
    <row r="603" spans="3:3">
      <c r="C603" s="13" t="str">
        <f t="shared" si="33"/>
        <v/>
      </c>
    </row>
    <row r="604" spans="3:3">
      <c r="C604" s="13" t="str">
        <f t="shared" si="33"/>
        <v/>
      </c>
    </row>
    <row r="605" spans="3:3">
      <c r="C605" s="13" t="str">
        <f t="shared" si="33"/>
        <v/>
      </c>
    </row>
    <row r="606" spans="3:3">
      <c r="C606" s="13" t="str">
        <f t="shared" si="33"/>
        <v/>
      </c>
    </row>
    <row r="607" spans="3:3">
      <c r="C607" s="13" t="str">
        <f t="shared" si="33"/>
        <v/>
      </c>
    </row>
    <row r="608" spans="3:3">
      <c r="C608" s="13" t="str">
        <f t="shared" si="33"/>
        <v/>
      </c>
    </row>
    <row r="609" spans="3:3">
      <c r="C609" s="13" t="str">
        <f t="shared" si="33"/>
        <v/>
      </c>
    </row>
    <row r="610" spans="3:3">
      <c r="C610" s="13" t="str">
        <f t="shared" si="33"/>
        <v/>
      </c>
    </row>
    <row r="611" spans="3:3">
      <c r="C611" s="13" t="str">
        <f t="shared" si="33"/>
        <v/>
      </c>
    </row>
    <row r="612" spans="3:3">
      <c r="C612" s="13" t="str">
        <f t="shared" si="33"/>
        <v/>
      </c>
    </row>
    <row r="613" spans="3:3">
      <c r="C613" s="13" t="str">
        <f t="shared" si="33"/>
        <v/>
      </c>
    </row>
    <row r="614" spans="3:3">
      <c r="C614" s="13" t="str">
        <f t="shared" si="33"/>
        <v/>
      </c>
    </row>
    <row r="615" spans="3:3">
      <c r="C615" s="13" t="str">
        <f t="shared" si="33"/>
        <v/>
      </c>
    </row>
    <row r="616" spans="3:3">
      <c r="C616" s="13" t="str">
        <f t="shared" si="33"/>
        <v/>
      </c>
    </row>
    <row r="617" spans="3:3">
      <c r="C617" s="13" t="str">
        <f t="shared" si="33"/>
        <v/>
      </c>
    </row>
    <row r="618" spans="3:3">
      <c r="C618" s="13" t="str">
        <f t="shared" si="33"/>
        <v/>
      </c>
    </row>
    <row r="619" spans="3:3">
      <c r="C619" s="13" t="str">
        <f t="shared" si="33"/>
        <v/>
      </c>
    </row>
    <row r="620" spans="3:3">
      <c r="C620" s="13" t="str">
        <f t="shared" si="33"/>
        <v/>
      </c>
    </row>
    <row r="621" spans="3:3">
      <c r="C621" s="13" t="str">
        <f t="shared" si="33"/>
        <v/>
      </c>
    </row>
    <row r="622" spans="3:3">
      <c r="C622" s="13" t="str">
        <f t="shared" si="33"/>
        <v/>
      </c>
    </row>
    <row r="623" spans="3:3">
      <c r="C623" s="13" t="str">
        <f t="shared" si="33"/>
        <v/>
      </c>
    </row>
    <row r="624" spans="3:3">
      <c r="C624" s="13" t="str">
        <f t="shared" si="33"/>
        <v/>
      </c>
    </row>
    <row r="625" spans="3:3">
      <c r="C625" s="13" t="str">
        <f t="shared" si="33"/>
        <v/>
      </c>
    </row>
    <row r="626" spans="3:3">
      <c r="C626" s="13" t="str">
        <f t="shared" si="33"/>
        <v/>
      </c>
    </row>
    <row r="627" spans="3:3">
      <c r="C627" s="13" t="str">
        <f t="shared" si="33"/>
        <v/>
      </c>
    </row>
    <row r="628" spans="3:3">
      <c r="C628" s="13" t="str">
        <f t="shared" si="33"/>
        <v/>
      </c>
    </row>
    <row r="629" spans="3:3">
      <c r="C629" s="13" t="str">
        <f t="shared" si="33"/>
        <v/>
      </c>
    </row>
    <row r="630" spans="3:3">
      <c r="C630" s="13" t="str">
        <f t="shared" si="33"/>
        <v/>
      </c>
    </row>
    <row r="631" spans="3:3">
      <c r="C631" s="13" t="str">
        <f t="shared" si="33"/>
        <v/>
      </c>
    </row>
    <row r="632" spans="3:3">
      <c r="C632" s="13" t="str">
        <f t="shared" si="33"/>
        <v/>
      </c>
    </row>
    <row r="633" spans="3:3">
      <c r="C633" s="13" t="str">
        <f t="shared" si="33"/>
        <v/>
      </c>
    </row>
    <row r="634" spans="3:3">
      <c r="C634" s="13" t="str">
        <f t="shared" si="33"/>
        <v/>
      </c>
    </row>
    <row r="635" spans="3:3">
      <c r="C635" s="13" t="str">
        <f t="shared" si="33"/>
        <v/>
      </c>
    </row>
    <row r="636" spans="3:3">
      <c r="C636" s="13" t="str">
        <f t="shared" si="33"/>
        <v/>
      </c>
    </row>
    <row r="637" spans="3:3">
      <c r="C637" s="13" t="str">
        <f t="shared" si="33"/>
        <v/>
      </c>
    </row>
    <row r="638" spans="3:3">
      <c r="C638" s="13" t="str">
        <f t="shared" si="33"/>
        <v/>
      </c>
    </row>
    <row r="639" spans="3:3">
      <c r="C639" s="13" t="str">
        <f t="shared" si="33"/>
        <v/>
      </c>
    </row>
    <row r="640" spans="3:3">
      <c r="C640" s="13" t="str">
        <f t="shared" si="33"/>
        <v/>
      </c>
    </row>
    <row r="641" spans="3:3">
      <c r="C641" s="13" t="str">
        <f t="shared" si="33"/>
        <v/>
      </c>
    </row>
    <row r="642" spans="3:3">
      <c r="C642" s="13" t="str">
        <f t="shared" si="33"/>
        <v/>
      </c>
    </row>
    <row r="643" spans="3:3">
      <c r="C643" s="13" t="str">
        <f t="shared" ref="C643:C693" si="34">IFERROR(_xlfn.TEXTAFTER(B643,"Core(TM) "),IFERROR(_xlfn.TEXTAFTER(B643,"Xeon(R) CPU"),""))</f>
        <v/>
      </c>
    </row>
    <row r="644" spans="3:3">
      <c r="C644" s="13" t="str">
        <f t="shared" si="34"/>
        <v/>
      </c>
    </row>
    <row r="645" spans="3:3">
      <c r="C645" s="13" t="str">
        <f t="shared" si="34"/>
        <v/>
      </c>
    </row>
    <row r="646" spans="3:3">
      <c r="C646" s="13" t="str">
        <f t="shared" si="34"/>
        <v/>
      </c>
    </row>
    <row r="647" spans="3:3">
      <c r="C647" s="13" t="str">
        <f t="shared" si="34"/>
        <v/>
      </c>
    </row>
    <row r="648" spans="3:3">
      <c r="C648" s="13" t="str">
        <f t="shared" si="34"/>
        <v/>
      </c>
    </row>
    <row r="649" spans="3:3">
      <c r="C649" s="13" t="str">
        <f t="shared" si="34"/>
        <v/>
      </c>
    </row>
    <row r="650" spans="3:3">
      <c r="C650" s="13" t="str">
        <f t="shared" si="34"/>
        <v/>
      </c>
    </row>
    <row r="651" spans="3:3">
      <c r="C651" s="13" t="str">
        <f t="shared" si="34"/>
        <v/>
      </c>
    </row>
    <row r="652" spans="3:3">
      <c r="C652" s="13" t="str">
        <f t="shared" si="34"/>
        <v/>
      </c>
    </row>
    <row r="653" spans="3:3">
      <c r="C653" s="13" t="str">
        <f t="shared" si="34"/>
        <v/>
      </c>
    </row>
    <row r="654" spans="3:3">
      <c r="C654" s="13" t="str">
        <f t="shared" si="34"/>
        <v/>
      </c>
    </row>
    <row r="655" spans="3:3">
      <c r="C655" s="13" t="str">
        <f t="shared" si="34"/>
        <v/>
      </c>
    </row>
    <row r="656" spans="3:3">
      <c r="C656" s="13" t="str">
        <f t="shared" si="34"/>
        <v/>
      </c>
    </row>
    <row r="657" spans="3:3">
      <c r="C657" s="13" t="str">
        <f t="shared" si="34"/>
        <v/>
      </c>
    </row>
    <row r="658" spans="3:3">
      <c r="C658" s="13" t="str">
        <f t="shared" si="34"/>
        <v/>
      </c>
    </row>
    <row r="659" spans="3:3">
      <c r="C659" s="13" t="str">
        <f t="shared" si="34"/>
        <v/>
      </c>
    </row>
    <row r="660" spans="3:3">
      <c r="C660" s="13" t="str">
        <f t="shared" si="34"/>
        <v/>
      </c>
    </row>
    <row r="661" spans="3:3">
      <c r="C661" s="13" t="str">
        <f t="shared" si="34"/>
        <v/>
      </c>
    </row>
    <row r="662" spans="3:3">
      <c r="C662" s="13" t="str">
        <f t="shared" si="34"/>
        <v/>
      </c>
    </row>
    <row r="663" spans="3:3">
      <c r="C663" s="13" t="str">
        <f t="shared" si="34"/>
        <v/>
      </c>
    </row>
    <row r="664" spans="3:3">
      <c r="C664" s="13" t="str">
        <f t="shared" si="34"/>
        <v/>
      </c>
    </row>
    <row r="665" spans="3:3">
      <c r="C665" s="13" t="str">
        <f t="shared" si="34"/>
        <v/>
      </c>
    </row>
    <row r="666" spans="3:3">
      <c r="C666" s="13" t="str">
        <f t="shared" si="34"/>
        <v/>
      </c>
    </row>
    <row r="667" spans="3:3">
      <c r="C667" s="13" t="str">
        <f t="shared" si="34"/>
        <v/>
      </c>
    </row>
    <row r="668" spans="3:3">
      <c r="C668" s="13" t="str">
        <f t="shared" si="34"/>
        <v/>
      </c>
    </row>
    <row r="669" spans="3:3">
      <c r="C669" s="13" t="str">
        <f t="shared" si="34"/>
        <v/>
      </c>
    </row>
    <row r="670" spans="3:3">
      <c r="C670" s="13" t="str">
        <f t="shared" si="34"/>
        <v/>
      </c>
    </row>
    <row r="671" spans="3:3">
      <c r="C671" s="13" t="str">
        <f t="shared" si="34"/>
        <v/>
      </c>
    </row>
    <row r="672" spans="3:3">
      <c r="C672" s="13" t="str">
        <f t="shared" si="34"/>
        <v/>
      </c>
    </row>
    <row r="673" spans="3:3">
      <c r="C673" s="13" t="str">
        <f t="shared" si="34"/>
        <v/>
      </c>
    </row>
    <row r="674" spans="3:3">
      <c r="C674" s="13" t="str">
        <f t="shared" si="34"/>
        <v/>
      </c>
    </row>
    <row r="675" spans="3:3">
      <c r="C675" s="13" t="str">
        <f t="shared" si="34"/>
        <v/>
      </c>
    </row>
    <row r="676" spans="3:3">
      <c r="C676" s="13" t="str">
        <f t="shared" si="34"/>
        <v/>
      </c>
    </row>
    <row r="677" spans="3:3">
      <c r="C677" s="13" t="str">
        <f t="shared" si="34"/>
        <v/>
      </c>
    </row>
    <row r="678" spans="3:3">
      <c r="C678" s="13" t="str">
        <f t="shared" si="34"/>
        <v/>
      </c>
    </row>
    <row r="679" spans="3:3">
      <c r="C679" s="13" t="str">
        <f t="shared" si="34"/>
        <v/>
      </c>
    </row>
    <row r="680" spans="3:3">
      <c r="C680" s="13" t="str">
        <f t="shared" si="34"/>
        <v/>
      </c>
    </row>
    <row r="681" spans="3:3">
      <c r="C681" s="13" t="str">
        <f t="shared" si="34"/>
        <v/>
      </c>
    </row>
    <row r="682" spans="3:3">
      <c r="C682" s="13" t="str">
        <f t="shared" si="34"/>
        <v/>
      </c>
    </row>
    <row r="683" spans="3:3">
      <c r="C683" s="13" t="str">
        <f t="shared" si="34"/>
        <v/>
      </c>
    </row>
    <row r="684" spans="3:3">
      <c r="C684" s="13" t="str">
        <f t="shared" si="34"/>
        <v/>
      </c>
    </row>
    <row r="685" spans="3:3">
      <c r="C685" s="13" t="str">
        <f t="shared" si="34"/>
        <v/>
      </c>
    </row>
    <row r="686" spans="3:3">
      <c r="C686" s="13" t="str">
        <f t="shared" si="34"/>
        <v/>
      </c>
    </row>
    <row r="687" spans="3:3">
      <c r="C687" s="13" t="str">
        <f t="shared" si="34"/>
        <v/>
      </c>
    </row>
    <row r="688" spans="3:3">
      <c r="C688" s="13" t="str">
        <f t="shared" si="34"/>
        <v/>
      </c>
    </row>
    <row r="689" spans="3:3">
      <c r="C689" s="13" t="str">
        <f t="shared" si="34"/>
        <v/>
      </c>
    </row>
    <row r="690" spans="3:3">
      <c r="C690" s="13" t="str">
        <f t="shared" si="34"/>
        <v/>
      </c>
    </row>
    <row r="691" spans="3:3">
      <c r="C691" s="13" t="str">
        <f t="shared" si="34"/>
        <v/>
      </c>
    </row>
    <row r="692" spans="3:3">
      <c r="C692" s="13" t="str">
        <f t="shared" si="34"/>
        <v/>
      </c>
    </row>
    <row r="693" spans="3:3">
      <c r="C693" s="13" t="str">
        <f t="shared" si="34"/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BEBE2-28A8-4A3B-B77A-DBC7640E1DC0}">
  <sheetPr codeName="Sheet9"/>
  <dimension ref="A1:AB812"/>
  <sheetViews>
    <sheetView workbookViewId="0">
      <selection activeCell="E14" sqref="E14"/>
    </sheetView>
  </sheetViews>
  <sheetFormatPr defaultRowHeight="15"/>
  <cols>
    <col min="2" max="2" width="19.42578125" customWidth="1"/>
    <col min="7" max="7" width="21.85546875" style="13" customWidth="1"/>
    <col min="8" max="8" width="19.28515625" customWidth="1"/>
    <col min="11" max="11" width="12.42578125" customWidth="1"/>
    <col min="14" max="15" width="16" style="13" customWidth="1"/>
    <col min="16" max="18" width="35.28515625" style="13" customWidth="1"/>
    <col min="19" max="19" width="63.42578125" customWidth="1"/>
    <col min="20" max="20" width="20.28515625" customWidth="1"/>
    <col min="21" max="21" width="22.28515625" customWidth="1"/>
    <col min="22" max="22" width="21" customWidth="1"/>
    <col min="23" max="23" width="21.42578125" customWidth="1"/>
    <col min="28" max="28" width="20.7109375" customWidth="1"/>
  </cols>
  <sheetData>
    <row r="1" spans="1:28" ht="18" thickBo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2" t="s">
        <v>275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2" t="s">
        <v>277</v>
      </c>
      <c r="O1" s="12" t="s">
        <v>276</v>
      </c>
      <c r="P1" s="12" t="s">
        <v>19</v>
      </c>
      <c r="Q1" s="12" t="s">
        <v>278</v>
      </c>
      <c r="R1" s="12" t="s">
        <v>279</v>
      </c>
      <c r="S1" s="17" t="s">
        <v>13</v>
      </c>
      <c r="T1" s="1" t="s">
        <v>14</v>
      </c>
      <c r="U1" s="1" t="s">
        <v>15</v>
      </c>
      <c r="V1" s="1" t="s">
        <v>16</v>
      </c>
      <c r="W1" s="1" t="s">
        <v>17</v>
      </c>
      <c r="X1" s="1" t="s">
        <v>18</v>
      </c>
      <c r="Y1" s="1" t="s">
        <v>19</v>
      </c>
      <c r="Z1" s="1" t="s">
        <v>20</v>
      </c>
      <c r="AA1" s="1" t="s">
        <v>21</v>
      </c>
      <c r="AB1" s="39" t="s">
        <v>493</v>
      </c>
    </row>
    <row r="2" spans="1:28" ht="15.75" thickTop="1">
      <c r="A2" t="str">
        <f>MacReports!A2</f>
        <v/>
      </c>
      <c r="B2">
        <f>MacReports!B2</f>
        <v>0</v>
      </c>
      <c r="C2">
        <f>MacReports!C2</f>
        <v>0</v>
      </c>
      <c r="E2" t="e">
        <f>_xlfn.XLOOKUP(G2,Models!A:A,Models!F:F)</f>
        <v>#N/A</v>
      </c>
      <c r="F2" t="str">
        <f>_xlfn.XLOOKUP(B2,MacReports!B:B,MacReports!D:D,"")</f>
        <v/>
      </c>
      <c r="G2" s="13">
        <f>MacReports!E2</f>
        <v>0</v>
      </c>
      <c r="H2">
        <f>_xlfn.XLOOKUP(G2,Models!A:A,Models!B:B,G2)</f>
        <v>0</v>
      </c>
      <c r="I2" t="e">
        <f>_xlfn.XLOOKUP(G2,Models!A:A,Models!E:E)</f>
        <v>#N/A</v>
      </c>
      <c r="J2" t="e">
        <f>_xlfn.XLOOKUP(G2,Models!A:A,Models!D:D)</f>
        <v>#N/A</v>
      </c>
      <c r="K2">
        <f>MacReports!F2</f>
        <v>0</v>
      </c>
      <c r="L2">
        <f>MacReports!G2</f>
        <v>0</v>
      </c>
      <c r="M2" s="15" t="e" cm="1">
        <f t="array" ref="M2">--_xlfn.LET(
    _xlpm.txt, MacReports!H2,
    _xlpm.chars, MID(_xlpm.txt, _xlfn.SEQUENCE(LEN(_xlpm.txt)), 1),
    _xlfn.TEXTJOIN("", TRUE, IF(ISNUMBER(--_xlpm.chars), _xlpm.chars, ""))
)</f>
        <v>#VALUE!</v>
      </c>
      <c r="N2" s="16" t="str" cm="1">
        <f t="array" ref="N2">_xlfn.IFS(
   --MacReports!M2&lt;55,"Battery Defect",
  -- MacReports!M2&lt;=69,"Battery D",
  --MacReports!M2&lt;=80,"Battery C",
 --MacReports!M2&gt;80,""
)</f>
        <v>Battery Defect</v>
      </c>
      <c r="O2" s="16" t="str">
        <f>IF(MacReports!I2="Service","Battery Service","")</f>
        <v/>
      </c>
      <c r="P2" s="13">
        <f>MacReports!P2</f>
        <v>0</v>
      </c>
      <c r="Q2" s="13" t="str">
        <f>IF(MacReports!J2="Enabled","Apple ID Lock","")</f>
        <v/>
      </c>
      <c r="R2" s="13" t="str">
        <f>IF(MacReports!L2="y","Remote Locked","")</f>
        <v/>
      </c>
      <c r="S2" t="str">
        <f t="shared" ref="S2:S9" si="0">_xlfn.TEXTJOIN(", ",TRUE,Q2,R2,N2,O2,P2)</f>
        <v>Battery Defect, 0</v>
      </c>
      <c r="T2" t="str">
        <f>_xlfn.XLOOKUP(B2,Disk_Pivot!G:G,Disk_Pivot!I:I)</f>
        <v>Yes</v>
      </c>
      <c r="U2" t="str">
        <f>_xlfn.XLOOKUP(B2,Disk_Pivot!G:G,Disk_Pivot!N:N)</f>
        <v>Fail</v>
      </c>
      <c r="V2">
        <f>IF(U2="Fail",MacReports!N2,"")</f>
        <v>0</v>
      </c>
      <c r="AB2" t="str">
        <f>_xlfn.TEXTJOIN(", ",TRUE,Q2,R2)</f>
        <v/>
      </c>
    </row>
    <row r="3" spans="1:28">
      <c r="A3" t="str">
        <f>MacReports!A3</f>
        <v/>
      </c>
      <c r="B3">
        <f>MacReports!B3</f>
        <v>0</v>
      </c>
      <c r="C3">
        <f>MacReports!C3</f>
        <v>0</v>
      </c>
      <c r="E3" t="e">
        <f>_xlfn.XLOOKUP(G3,Models!A:A,Models!F:F)</f>
        <v>#N/A</v>
      </c>
      <c r="F3" t="str">
        <f>_xlfn.XLOOKUP(B3,MacReports!B:B,MacReports!D:D,"")</f>
        <v/>
      </c>
      <c r="G3" s="13">
        <f>MacReports!E3</f>
        <v>0</v>
      </c>
      <c r="H3" t="e">
        <f>_xlfn.XLOOKUP(G3,Models!A:A,Models!B:B)</f>
        <v>#N/A</v>
      </c>
      <c r="I3" t="e">
        <f>_xlfn.XLOOKUP(G3,Models!A:A,Models!E:E)</f>
        <v>#N/A</v>
      </c>
      <c r="J3" t="e">
        <f>_xlfn.XLOOKUP(G3,Models!A:A,Models!D:D)</f>
        <v>#N/A</v>
      </c>
      <c r="K3">
        <f>MacReports!F3</f>
        <v>0</v>
      </c>
      <c r="L3">
        <f>MacReports!G3</f>
        <v>0</v>
      </c>
      <c r="M3" s="15" t="e" cm="1">
        <f t="array" ref="M3">--_xlfn.LET(
    _xlpm.txt, MacReports!H3,
    _xlpm.chars, MID(_xlpm.txt, _xlfn.SEQUENCE(LEN(_xlpm.txt)), 1),
    _xlfn.TEXTJOIN("", TRUE, IF(ISNUMBER(--_xlpm.chars), _xlpm.chars, ""))
)</f>
        <v>#VALUE!</v>
      </c>
      <c r="N3" s="16" t="str" cm="1">
        <f t="array" ref="N3">_xlfn.IFS(
   --MacReports!M3&lt;55,"Battery Defect",
  -- MacReports!M3&lt;=69,"Battery D",
  --MacReports!M3&lt;=80,"Battery C",
 --MacReports!M3&gt;80,""
)</f>
        <v>Battery Defect</v>
      </c>
      <c r="O3" s="16" t="str">
        <f>IF(MacReports!I3="Service","Battery Service","")</f>
        <v/>
      </c>
      <c r="P3" s="13">
        <f>MacReports!P3</f>
        <v>0</v>
      </c>
      <c r="Q3" s="13" t="str">
        <f>IF(MacReports!J3="Enabled","Apple ID Lock","")</f>
        <v/>
      </c>
      <c r="R3" s="13" t="str">
        <f>IF(MacReports!L3="y","Remote Locked","")</f>
        <v/>
      </c>
      <c r="S3" t="str">
        <f t="shared" si="0"/>
        <v>Battery Defect, 0</v>
      </c>
      <c r="T3" t="str">
        <f>_xlfn.XLOOKUP(B3,Disk_Pivot!G:G,Disk_Pivot!I:I)</f>
        <v>Yes</v>
      </c>
      <c r="U3" t="str">
        <f>_xlfn.XLOOKUP(B3,Disk_Pivot!G:G,Disk_Pivot!N:N)</f>
        <v>Fail</v>
      </c>
      <c r="V3">
        <f>IF(U3="Fail",MacReports!N3,"")</f>
        <v>0</v>
      </c>
      <c r="AB3" t="str">
        <f t="shared" ref="AB3:AB34" si="1">_xlfn.TEXTJOIN(", ",TRUE,Q3,R3)</f>
        <v/>
      </c>
    </row>
    <row r="4" spans="1:28">
      <c r="A4" t="str">
        <f>MacReports!A4</f>
        <v/>
      </c>
      <c r="B4">
        <f>MacReports!B4</f>
        <v>0</v>
      </c>
      <c r="C4">
        <f>MacReports!C4</f>
        <v>0</v>
      </c>
      <c r="E4" t="e">
        <f>_xlfn.XLOOKUP(G4,Models!A:A,Models!F:F)</f>
        <v>#N/A</v>
      </c>
      <c r="F4" t="str">
        <f>_xlfn.XLOOKUP(B4,MacReports!B:B,MacReports!D:D,"")</f>
        <v/>
      </c>
      <c r="G4" s="13">
        <f>MacReports!E4</f>
        <v>0</v>
      </c>
      <c r="H4" t="e">
        <f>_xlfn.XLOOKUP(G4,Models!A:A,Models!B:B)</f>
        <v>#N/A</v>
      </c>
      <c r="I4" t="e">
        <f>_xlfn.XLOOKUP(G4,Models!A:A,Models!E:E)</f>
        <v>#N/A</v>
      </c>
      <c r="J4" t="e">
        <f>_xlfn.XLOOKUP(G4,Models!A:A,Models!D:D)</f>
        <v>#N/A</v>
      </c>
      <c r="K4">
        <f>MacReports!F4</f>
        <v>0</v>
      </c>
      <c r="L4">
        <f>MacReports!G4</f>
        <v>0</v>
      </c>
      <c r="M4" s="15" t="e" cm="1">
        <f t="array" ref="M4">--_xlfn.LET(
    _xlpm.txt, MacReports!H4,
    _xlpm.chars, MID(_xlpm.txt, _xlfn.SEQUENCE(LEN(_xlpm.txt)), 1),
    _xlfn.TEXTJOIN("", TRUE, IF(ISNUMBER(--_xlpm.chars), _xlpm.chars, ""))
)</f>
        <v>#VALUE!</v>
      </c>
      <c r="N4" s="16" t="str" cm="1">
        <f t="array" ref="N4">_xlfn.IFS(
   --MacReports!M4&lt;55,"Battery Defect",
  -- MacReports!M4&lt;=69,"Battery D",
  --MacReports!M4&lt;=80,"Battery C",
 --MacReports!M4&gt;80,""
)</f>
        <v>Battery Defect</v>
      </c>
      <c r="O4" s="16" t="str">
        <f>IF(MacReports!I4="Service","Battery Service","")</f>
        <v/>
      </c>
      <c r="P4" s="13">
        <f>MacReports!P4</f>
        <v>0</v>
      </c>
      <c r="Q4" s="13" t="str">
        <f>IF(MacReports!J4="Enabled","Apple ID Lock","")</f>
        <v/>
      </c>
      <c r="R4" s="13" t="str">
        <f>IF(MacReports!L4="y","Remote Locked","")</f>
        <v/>
      </c>
      <c r="S4" t="str">
        <f t="shared" si="0"/>
        <v>Battery Defect, 0</v>
      </c>
      <c r="T4" t="str">
        <f>_xlfn.XLOOKUP(B4,Disk_Pivot!G:G,Disk_Pivot!I:I)</f>
        <v>Yes</v>
      </c>
      <c r="U4" t="str">
        <f>_xlfn.XLOOKUP(B4,Disk_Pivot!G:G,Disk_Pivot!N:N)</f>
        <v>Fail</v>
      </c>
      <c r="V4">
        <f>IF(U4="Fail",MacReports!N4,"")</f>
        <v>0</v>
      </c>
      <c r="AB4" t="str">
        <f t="shared" si="1"/>
        <v/>
      </c>
    </row>
    <row r="5" spans="1:28">
      <c r="A5" t="str">
        <f>MacReports!A5</f>
        <v/>
      </c>
      <c r="B5">
        <f>MacReports!B5</f>
        <v>0</v>
      </c>
      <c r="C5">
        <f>MacReports!C5</f>
        <v>0</v>
      </c>
      <c r="E5" t="e">
        <f>_xlfn.XLOOKUP(G5,Models!A:A,Models!F:F)</f>
        <v>#N/A</v>
      </c>
      <c r="F5" t="str">
        <f>_xlfn.XLOOKUP(B5,MacReports!B:B,MacReports!D:D,"")</f>
        <v/>
      </c>
      <c r="G5" s="13">
        <f>MacReports!E5</f>
        <v>0</v>
      </c>
      <c r="H5" t="e">
        <f>_xlfn.XLOOKUP(G5,Models!A:A,Models!B:B)</f>
        <v>#N/A</v>
      </c>
      <c r="I5" t="e">
        <f>_xlfn.XLOOKUP(G5,Models!A:A,Models!E:E)</f>
        <v>#N/A</v>
      </c>
      <c r="J5" t="e">
        <f>_xlfn.XLOOKUP(G5,Models!A:A,Models!D:D)</f>
        <v>#N/A</v>
      </c>
      <c r="K5">
        <f>MacReports!F5</f>
        <v>0</v>
      </c>
      <c r="L5">
        <f>MacReports!G5</f>
        <v>0</v>
      </c>
      <c r="M5" s="15" t="e" cm="1">
        <f t="array" ref="M5">--_xlfn.LET(
    _xlpm.txt, MacReports!H5,
    _xlpm.chars, MID(_xlpm.txt, _xlfn.SEQUENCE(LEN(_xlpm.txt)), 1),
    _xlfn.TEXTJOIN("", TRUE, IF(ISNUMBER(--_xlpm.chars), _xlpm.chars, ""))
)</f>
        <v>#VALUE!</v>
      </c>
      <c r="N5" s="16" t="str" cm="1">
        <f t="array" ref="N5">_xlfn.IFS(
   --MacReports!M5&lt;55,"Battery Defect",
  -- MacReports!M5&lt;=69,"Battery D",
  --MacReports!M5&lt;=80,"Battery C",
 --MacReports!M5&gt;80,""
)</f>
        <v>Battery Defect</v>
      </c>
      <c r="O5" s="16" t="str">
        <f>IF(MacReports!I5="Service","Battery Service","")</f>
        <v/>
      </c>
      <c r="P5" s="13">
        <f>MacReports!P5</f>
        <v>0</v>
      </c>
      <c r="Q5" s="13" t="str">
        <f>IF(MacReports!J5="Enabled","Apple ID Lock","")</f>
        <v/>
      </c>
      <c r="R5" s="13" t="str">
        <f>IF(MacReports!L5="y","Remote Locked","")</f>
        <v/>
      </c>
      <c r="S5" t="str">
        <f t="shared" si="0"/>
        <v>Battery Defect, 0</v>
      </c>
      <c r="T5" t="str">
        <f>_xlfn.XLOOKUP(B5,Disk_Pivot!G:G,Disk_Pivot!I:I)</f>
        <v>Yes</v>
      </c>
      <c r="U5" t="str">
        <f>_xlfn.XLOOKUP(B5,Disk_Pivot!G:G,Disk_Pivot!N:N)</f>
        <v>Fail</v>
      </c>
      <c r="V5">
        <f>IF(U5="Fail",MacReports!N5,"")</f>
        <v>0</v>
      </c>
      <c r="AB5" t="str">
        <f t="shared" si="1"/>
        <v/>
      </c>
    </row>
    <row r="6" spans="1:28">
      <c r="A6" t="str">
        <f>MacReports!A6</f>
        <v/>
      </c>
      <c r="B6">
        <f>MacReports!B6</f>
        <v>0</v>
      </c>
      <c r="C6">
        <f>MacReports!C6</f>
        <v>0</v>
      </c>
      <c r="E6" t="e">
        <f>_xlfn.XLOOKUP(G6,Models!A:A,Models!F:F)</f>
        <v>#N/A</v>
      </c>
      <c r="F6" t="str">
        <f>_xlfn.XLOOKUP(B6,MacReports!B:B,MacReports!D:D,"")</f>
        <v/>
      </c>
      <c r="G6" s="13">
        <f>MacReports!E6</f>
        <v>0</v>
      </c>
      <c r="H6" t="e">
        <f>_xlfn.XLOOKUP(G6,Models!A:A,Models!B:B)</f>
        <v>#N/A</v>
      </c>
      <c r="I6" t="e">
        <f>_xlfn.XLOOKUP(G6,Models!A:A,Models!E:E)</f>
        <v>#N/A</v>
      </c>
      <c r="J6" t="e">
        <f>_xlfn.XLOOKUP(G6,Models!A:A,Models!D:D)</f>
        <v>#N/A</v>
      </c>
      <c r="K6">
        <f>MacReports!F6</f>
        <v>0</v>
      </c>
      <c r="L6">
        <f>MacReports!G6</f>
        <v>0</v>
      </c>
      <c r="M6" s="15" t="e" cm="1">
        <f t="array" ref="M6">--_xlfn.LET(
    _xlpm.txt, MacReports!H6,
    _xlpm.chars, MID(_xlpm.txt, _xlfn.SEQUENCE(LEN(_xlpm.txt)), 1),
    _xlfn.TEXTJOIN("", TRUE, IF(ISNUMBER(--_xlpm.chars), _xlpm.chars, ""))
)</f>
        <v>#VALUE!</v>
      </c>
      <c r="N6" s="16" t="str" cm="1">
        <f t="array" ref="N6">_xlfn.IFS(
   --MacReports!M6&lt;55,"Battery Defect",
  -- MacReports!M6&lt;=69,"Battery D",
  --MacReports!M6&lt;=80,"Battery C",
 --MacReports!M6&gt;80,""
)</f>
        <v>Battery Defect</v>
      </c>
      <c r="O6" s="16" t="str">
        <f>IF(MacReports!I6="Service","Battery Service","")</f>
        <v/>
      </c>
      <c r="P6" s="13">
        <f>MacReports!P6</f>
        <v>0</v>
      </c>
      <c r="Q6" s="13" t="str">
        <f>IF(MacReports!J6="Enabled","Apple ID Lock","")</f>
        <v/>
      </c>
      <c r="R6" s="13" t="str">
        <f>IF(MacReports!L6="y","Remote Locked","")</f>
        <v/>
      </c>
      <c r="S6" t="str">
        <f t="shared" si="0"/>
        <v>Battery Defect, 0</v>
      </c>
      <c r="T6" t="str">
        <f>_xlfn.XLOOKUP(B6,Disk_Pivot!G:G,Disk_Pivot!I:I)</f>
        <v>Yes</v>
      </c>
      <c r="U6" t="str">
        <f>_xlfn.XLOOKUP(B6,Disk_Pivot!G:G,Disk_Pivot!N:N)</f>
        <v>Fail</v>
      </c>
      <c r="V6">
        <f>IF(U6="Fail",MacReports!N6,"")</f>
        <v>0</v>
      </c>
      <c r="AB6" t="str">
        <f t="shared" si="1"/>
        <v/>
      </c>
    </row>
    <row r="7" spans="1:28">
      <c r="A7" t="str">
        <f>MacReports!A7</f>
        <v/>
      </c>
      <c r="B7">
        <f>MacReports!B7</f>
        <v>0</v>
      </c>
      <c r="C7">
        <f>MacReports!C7</f>
        <v>0</v>
      </c>
      <c r="E7" t="e">
        <f>_xlfn.XLOOKUP(G7,Models!A:A,Models!F:F)</f>
        <v>#N/A</v>
      </c>
      <c r="F7" t="str">
        <f>_xlfn.XLOOKUP(B7,MacReports!B:B,MacReports!D:D,"")</f>
        <v/>
      </c>
      <c r="G7" s="13">
        <f>MacReports!E7</f>
        <v>0</v>
      </c>
      <c r="H7" t="e">
        <f>_xlfn.XLOOKUP(G7,Models!A:A,Models!B:B)</f>
        <v>#N/A</v>
      </c>
      <c r="I7" t="e">
        <f>_xlfn.XLOOKUP(G7,Models!A:A,Models!E:E)</f>
        <v>#N/A</v>
      </c>
      <c r="J7" t="e">
        <f>_xlfn.XLOOKUP(G7,Models!A:A,Models!D:D)</f>
        <v>#N/A</v>
      </c>
      <c r="K7">
        <f>MacReports!F7</f>
        <v>0</v>
      </c>
      <c r="L7">
        <f>MacReports!G7</f>
        <v>0</v>
      </c>
      <c r="M7" s="15" t="e" cm="1">
        <f t="array" ref="M7">--_xlfn.LET(
    _xlpm.txt, MacReports!H7,
    _xlpm.chars, MID(_xlpm.txt, _xlfn.SEQUENCE(LEN(_xlpm.txt)), 1),
    _xlfn.TEXTJOIN("", TRUE, IF(ISNUMBER(--_xlpm.chars), _xlpm.chars, ""))
)</f>
        <v>#VALUE!</v>
      </c>
      <c r="N7" s="16" t="str" cm="1">
        <f t="array" ref="N7">_xlfn.IFS(
   --MacReports!M7&lt;55,"Battery Defect",
  -- MacReports!M7&lt;=69,"Battery D",
  --MacReports!M7&lt;=80,"Battery C",
 --MacReports!M7&gt;80,""
)</f>
        <v>Battery Defect</v>
      </c>
      <c r="O7" s="16" t="str">
        <f>IF(MacReports!I7="Service","Battery Service","")</f>
        <v/>
      </c>
      <c r="P7" s="13">
        <f>MacReports!P7</f>
        <v>0</v>
      </c>
      <c r="Q7" s="13" t="str">
        <f>IF(MacReports!J7="Enabled","Apple ID Lock","")</f>
        <v/>
      </c>
      <c r="R7" s="13" t="str">
        <f>IF(MacReports!L7="y","Remote Locked","")</f>
        <v/>
      </c>
      <c r="S7" t="str">
        <f t="shared" si="0"/>
        <v>Battery Defect, 0</v>
      </c>
      <c r="T7" t="str">
        <f>_xlfn.XLOOKUP(B7,Disk_Pivot!G:G,Disk_Pivot!I:I)</f>
        <v>Yes</v>
      </c>
      <c r="U7" t="str">
        <f>_xlfn.XLOOKUP(B7,Disk_Pivot!G:G,Disk_Pivot!N:N)</f>
        <v>Fail</v>
      </c>
      <c r="V7">
        <f>IF(U7="Fail",MacReports!N7,"")</f>
        <v>0</v>
      </c>
      <c r="AB7" t="str">
        <f t="shared" si="1"/>
        <v/>
      </c>
    </row>
    <row r="8" spans="1:28">
      <c r="A8" t="str">
        <f>MacReports!A8</f>
        <v/>
      </c>
      <c r="B8">
        <f>MacReports!B8</f>
        <v>0</v>
      </c>
      <c r="C8">
        <f>MacReports!C8</f>
        <v>0</v>
      </c>
      <c r="E8" t="e">
        <f>_xlfn.XLOOKUP(G8,Models!A:A,Models!F:F)</f>
        <v>#N/A</v>
      </c>
      <c r="F8" t="str">
        <f>_xlfn.XLOOKUP(B8,MacReports!B:B,MacReports!D:D,"")</f>
        <v/>
      </c>
      <c r="G8" s="13">
        <f>MacReports!E8</f>
        <v>0</v>
      </c>
      <c r="H8" t="e">
        <f>_xlfn.XLOOKUP(G8,Models!A:A,Models!B:B)</f>
        <v>#N/A</v>
      </c>
      <c r="I8" t="e">
        <f>_xlfn.XLOOKUP(G8,Models!A:A,Models!E:E)</f>
        <v>#N/A</v>
      </c>
      <c r="J8" t="e">
        <f>_xlfn.XLOOKUP(G8,Models!A:A,Models!D:D)</f>
        <v>#N/A</v>
      </c>
      <c r="K8">
        <f>MacReports!F8</f>
        <v>0</v>
      </c>
      <c r="L8">
        <f>MacReports!G8</f>
        <v>0</v>
      </c>
      <c r="M8" s="15" t="e" cm="1">
        <f t="array" ref="M8">--_xlfn.LET(
    _xlpm.txt, MacReports!H8,
    _xlpm.chars, MID(_xlpm.txt, _xlfn.SEQUENCE(LEN(_xlpm.txt)), 1),
    _xlfn.TEXTJOIN("", TRUE, IF(ISNUMBER(--_xlpm.chars), _xlpm.chars, ""))
)</f>
        <v>#VALUE!</v>
      </c>
      <c r="N8" s="16" t="str" cm="1">
        <f t="array" ref="N8">_xlfn.IFS(
   --MacReports!M8&lt;55,"Battery Defect",
  -- MacReports!M8&lt;=69,"Battery D",
  --MacReports!M8&lt;=80,"Battery C",
 --MacReports!M8&gt;80,""
)</f>
        <v>Battery Defect</v>
      </c>
      <c r="O8" s="16" t="str">
        <f>IF(MacReports!I8="Service","Battery Service","")</f>
        <v/>
      </c>
      <c r="P8" s="13">
        <f>MacReports!P8</f>
        <v>0</v>
      </c>
      <c r="Q8" s="13" t="str">
        <f>IF(MacReports!J8="Enabled","Apple ID Lock","")</f>
        <v/>
      </c>
      <c r="R8" s="13" t="str">
        <f>IF(MacReports!L8="y","Remote Locked","")</f>
        <v/>
      </c>
      <c r="S8" t="str">
        <f t="shared" si="0"/>
        <v>Battery Defect, 0</v>
      </c>
      <c r="T8" t="str">
        <f>_xlfn.XLOOKUP(B8,Disk_Pivot!G:G,Disk_Pivot!I:I)</f>
        <v>Yes</v>
      </c>
      <c r="U8" t="str">
        <f>_xlfn.XLOOKUP(B8,Disk_Pivot!G:G,Disk_Pivot!N:N)</f>
        <v>Fail</v>
      </c>
      <c r="V8">
        <f>IF(U8="Fail",MacReports!N8,"")</f>
        <v>0</v>
      </c>
      <c r="AB8" t="str">
        <f t="shared" si="1"/>
        <v/>
      </c>
    </row>
    <row r="9" spans="1:28">
      <c r="A9" t="str">
        <f>MacReports!A9</f>
        <v/>
      </c>
      <c r="B9">
        <f>MacReports!B9</f>
        <v>0</v>
      </c>
      <c r="C9">
        <f>MacReports!C9</f>
        <v>0</v>
      </c>
      <c r="E9" t="e">
        <f>_xlfn.XLOOKUP(G9,Models!A:A,Models!F:F)</f>
        <v>#N/A</v>
      </c>
      <c r="F9" t="str">
        <f>_xlfn.XLOOKUP(B9,MacReports!B:B,MacReports!D:D,"")</f>
        <v/>
      </c>
      <c r="G9" s="13">
        <f>MacReports!E9</f>
        <v>0</v>
      </c>
      <c r="H9" t="e">
        <f>_xlfn.XLOOKUP(G9,Models!A:A,Models!B:B)</f>
        <v>#N/A</v>
      </c>
      <c r="I9" t="e">
        <f>_xlfn.XLOOKUP(G9,Models!A:A,Models!E:E)</f>
        <v>#N/A</v>
      </c>
      <c r="J9" t="e">
        <f>_xlfn.XLOOKUP(G9,Models!A:A,Models!D:D)</f>
        <v>#N/A</v>
      </c>
      <c r="K9">
        <f>MacReports!F9</f>
        <v>0</v>
      </c>
      <c r="L9">
        <f>MacReports!G9</f>
        <v>0</v>
      </c>
      <c r="M9" s="15" t="e" cm="1">
        <f t="array" ref="M9">--_xlfn.LET(
    _xlpm.txt, MacReports!H9,
    _xlpm.chars, MID(_xlpm.txt, _xlfn.SEQUENCE(LEN(_xlpm.txt)), 1),
    _xlfn.TEXTJOIN("", TRUE, IF(ISNUMBER(--_xlpm.chars), _xlpm.chars, ""))
)</f>
        <v>#VALUE!</v>
      </c>
      <c r="N9" s="16" t="str" cm="1">
        <f t="array" ref="N9">_xlfn.IFS(
   --MacReports!M9&lt;55,"Battery Defect",
  -- MacReports!M9&lt;=69,"Battery D",
  --MacReports!M9&lt;=80,"Battery C",
 --MacReports!M9&gt;80,""
)</f>
        <v>Battery Defect</v>
      </c>
      <c r="O9" s="16" t="str">
        <f>IF(MacReports!I9="Service","Battery Service","")</f>
        <v/>
      </c>
      <c r="P9" s="13">
        <f>MacReports!P9</f>
        <v>0</v>
      </c>
      <c r="Q9" s="13" t="str">
        <f>IF(MacReports!J9="Enabled","Apple ID Lock","")</f>
        <v/>
      </c>
      <c r="R9" s="13" t="str">
        <f>IF(MacReports!L9="y","Remote Locked","")</f>
        <v/>
      </c>
      <c r="S9" t="str">
        <f t="shared" si="0"/>
        <v>Battery Defect, 0</v>
      </c>
      <c r="T9" t="str">
        <f>_xlfn.XLOOKUP(B9,Disk_Pivot!G:G,Disk_Pivot!I:I)</f>
        <v>Yes</v>
      </c>
      <c r="U9" t="str">
        <f>_xlfn.XLOOKUP(B9,Disk_Pivot!G:G,Disk_Pivot!N:N)</f>
        <v>Fail</v>
      </c>
      <c r="V9">
        <f>IF(U9="Fail",MacReports!N9,"")</f>
        <v>0</v>
      </c>
      <c r="AB9" t="str">
        <f t="shared" si="1"/>
        <v/>
      </c>
    </row>
    <row r="10" spans="1:28">
      <c r="A10" t="str">
        <f>MacReports!A10</f>
        <v/>
      </c>
      <c r="B10">
        <f>MacReports!B10</f>
        <v>0</v>
      </c>
      <c r="C10">
        <f>MacReports!C10</f>
        <v>0</v>
      </c>
      <c r="E10" t="e">
        <f>_xlfn.XLOOKUP(G10,Models!A:A,Models!F:F)</f>
        <v>#N/A</v>
      </c>
      <c r="F10" t="str">
        <f>_xlfn.XLOOKUP(B10,MacReports!B:B,MacReports!D:D,"")</f>
        <v/>
      </c>
      <c r="G10" s="13">
        <f>MacReports!E10</f>
        <v>0</v>
      </c>
      <c r="H10" t="e">
        <f>_xlfn.XLOOKUP(G10,Models!A:A,Models!B:B)</f>
        <v>#N/A</v>
      </c>
      <c r="I10" t="e">
        <f>_xlfn.XLOOKUP(G10,Models!A:A,Models!E:E)</f>
        <v>#N/A</v>
      </c>
      <c r="J10" t="e">
        <f>_xlfn.XLOOKUP(G10,Models!A:A,Models!D:D)</f>
        <v>#N/A</v>
      </c>
      <c r="K10">
        <f>MacReports!F10</f>
        <v>0</v>
      </c>
      <c r="L10">
        <f>MacReports!G10</f>
        <v>0</v>
      </c>
      <c r="M10" s="15" t="e" cm="1">
        <f t="array" ref="M10">--_xlfn.LET(
    _xlpm.txt, MacReports!H10,
    _xlpm.chars, MID(_xlpm.txt, _xlfn.SEQUENCE(LEN(_xlpm.txt)), 1),
    _xlfn.TEXTJOIN("", TRUE, IF(ISNUMBER(--_xlpm.chars), _xlpm.chars, ""))
)</f>
        <v>#VALUE!</v>
      </c>
      <c r="N10" s="16" t="str" cm="1">
        <f t="array" ref="N10">_xlfn.IFS(
   --MacReports!M10&lt;55,"Battery Defect",
  -- MacReports!M10&lt;=69,"Battery D",
  --MacReports!M10&lt;=80,"Battery C",
 --MacReports!M10&gt;80,""
)</f>
        <v>Battery Defect</v>
      </c>
      <c r="O10" s="16" t="str">
        <f>IF(MacReports!I10="Service","Battery Service","")</f>
        <v/>
      </c>
      <c r="P10" s="13">
        <f>MacReports!P10</f>
        <v>0</v>
      </c>
      <c r="Q10" s="13" t="str">
        <f>IF(MacReports!J10="Enabled","Apple ID Lock","")</f>
        <v/>
      </c>
      <c r="R10" s="13" t="str">
        <f>IF(MacReports!L10="y","Remote Locked","")</f>
        <v/>
      </c>
      <c r="S10" t="str">
        <f t="shared" ref="S10:S34" si="2">_xlfn.TEXTJOIN(", ",TRUE,Q10,R10,N10,O10,P10)</f>
        <v>Battery Defect, 0</v>
      </c>
      <c r="T10" t="str">
        <f>_xlfn.XLOOKUP(B10,Disk_Pivot!G:G,Disk_Pivot!I:I)</f>
        <v>Yes</v>
      </c>
      <c r="U10" t="str">
        <f>_xlfn.XLOOKUP(B10,Disk_Pivot!G:G,Disk_Pivot!N:N)</f>
        <v>Fail</v>
      </c>
      <c r="V10">
        <f>IF(U10="Fail",MacReports!N10,"")</f>
        <v>0</v>
      </c>
      <c r="AB10" t="str">
        <f t="shared" si="1"/>
        <v/>
      </c>
    </row>
    <row r="11" spans="1:28">
      <c r="A11" t="str">
        <f>MacReports!A11</f>
        <v/>
      </c>
      <c r="B11">
        <f>MacReports!B11</f>
        <v>0</v>
      </c>
      <c r="C11">
        <f>MacReports!C11</f>
        <v>0</v>
      </c>
      <c r="E11" t="e">
        <f>_xlfn.XLOOKUP(G11,Models!A:A,Models!F:F)</f>
        <v>#N/A</v>
      </c>
      <c r="F11" t="str">
        <f>_xlfn.XLOOKUP(B11,MacReports!B:B,MacReports!D:D,"")</f>
        <v/>
      </c>
      <c r="G11" s="13">
        <f>MacReports!E11</f>
        <v>0</v>
      </c>
      <c r="H11" t="e">
        <f>_xlfn.XLOOKUP(G11,Models!A:A,Models!B:B)</f>
        <v>#N/A</v>
      </c>
      <c r="I11" t="e">
        <f>_xlfn.XLOOKUP(G11,Models!A:A,Models!E:E)</f>
        <v>#N/A</v>
      </c>
      <c r="J11" t="e">
        <f>_xlfn.XLOOKUP(G11,Models!A:A,Models!D:D)</f>
        <v>#N/A</v>
      </c>
      <c r="K11">
        <f>MacReports!F11</f>
        <v>0</v>
      </c>
      <c r="L11">
        <f>MacReports!G11</f>
        <v>0</v>
      </c>
      <c r="M11" s="15" t="e" cm="1">
        <f t="array" ref="M11">--_xlfn.LET(
    _xlpm.txt, MacReports!H11,
    _xlpm.chars, MID(_xlpm.txt, _xlfn.SEQUENCE(LEN(_xlpm.txt)), 1),
    _xlfn.TEXTJOIN("", TRUE, IF(ISNUMBER(--_xlpm.chars), _xlpm.chars, ""))
)</f>
        <v>#VALUE!</v>
      </c>
      <c r="N11" s="16" t="str" cm="1">
        <f t="array" ref="N11">_xlfn.IFS(
   --MacReports!M11&lt;55,"Battery Defect",
  -- MacReports!M11&lt;=69,"Battery D",
  --MacReports!M11&lt;=80,"Battery C",
 --MacReports!M11&gt;80,""
)</f>
        <v>Battery Defect</v>
      </c>
      <c r="O11" s="16" t="str">
        <f>IF(MacReports!I11="Service","Battery Service","")</f>
        <v/>
      </c>
      <c r="P11" s="13">
        <f>MacReports!P11</f>
        <v>0</v>
      </c>
      <c r="Q11" s="13" t="str">
        <f>IF(MacReports!J11="Enabled","Apple ID Lock","")</f>
        <v/>
      </c>
      <c r="R11" s="13" t="str">
        <f>IF(MacReports!L11="y","Remote Locked","")</f>
        <v/>
      </c>
      <c r="S11" t="str">
        <f t="shared" si="2"/>
        <v>Battery Defect, 0</v>
      </c>
      <c r="T11" t="str">
        <f>_xlfn.XLOOKUP(B11,Disk_Pivot!G:G,Disk_Pivot!I:I)</f>
        <v>Yes</v>
      </c>
      <c r="U11" t="str">
        <f>_xlfn.XLOOKUP(B11,Disk_Pivot!G:G,Disk_Pivot!N:N)</f>
        <v>Fail</v>
      </c>
      <c r="V11">
        <f>IF(U11="Fail",MacReports!N11,"")</f>
        <v>0</v>
      </c>
      <c r="AB11" t="str">
        <f t="shared" si="1"/>
        <v/>
      </c>
    </row>
    <row r="12" spans="1:28">
      <c r="A12" t="str">
        <f>MacReports!A12</f>
        <v/>
      </c>
      <c r="B12">
        <f>MacReports!B12</f>
        <v>0</v>
      </c>
      <c r="C12">
        <f>MacReports!C12</f>
        <v>0</v>
      </c>
      <c r="E12" t="e">
        <f>_xlfn.XLOOKUP(G12,Models!A:A,Models!F:F)</f>
        <v>#N/A</v>
      </c>
      <c r="F12" t="str">
        <f>_xlfn.XLOOKUP(B12,MacReports!B:B,MacReports!D:D,"")</f>
        <v/>
      </c>
      <c r="G12" s="13">
        <f>MacReports!E12</f>
        <v>0</v>
      </c>
      <c r="H12" t="e">
        <f>_xlfn.XLOOKUP(G12,Models!A:A,Models!B:B)</f>
        <v>#N/A</v>
      </c>
      <c r="I12" t="e">
        <f>_xlfn.XLOOKUP(G12,Models!A:A,Models!E:E)</f>
        <v>#N/A</v>
      </c>
      <c r="J12" t="e">
        <f>_xlfn.XLOOKUP(G12,Models!A:A,Models!D:D)</f>
        <v>#N/A</v>
      </c>
      <c r="K12">
        <f>MacReports!F12</f>
        <v>0</v>
      </c>
      <c r="L12">
        <f>MacReports!G12</f>
        <v>0</v>
      </c>
      <c r="M12" s="15" t="e" cm="1">
        <f t="array" ref="M12">--_xlfn.LET(
    _xlpm.txt, MacReports!H12,
    _xlpm.chars, MID(_xlpm.txt, _xlfn.SEQUENCE(LEN(_xlpm.txt)), 1),
    _xlfn.TEXTJOIN("", TRUE, IF(ISNUMBER(--_xlpm.chars), _xlpm.chars, ""))
)</f>
        <v>#VALUE!</v>
      </c>
      <c r="N12" s="16" t="str" cm="1">
        <f t="array" ref="N12">_xlfn.IFS(
   --MacReports!M12&lt;55,"Battery Defect",
  -- MacReports!M12&lt;=69,"Battery D",
  --MacReports!M12&lt;=80,"Battery C",
 --MacReports!M12&gt;80,""
)</f>
        <v>Battery Defect</v>
      </c>
      <c r="O12" s="16" t="str">
        <f>IF(MacReports!I12="Service","Battery Service","")</f>
        <v/>
      </c>
      <c r="P12" s="13">
        <f>MacReports!P12</f>
        <v>0</v>
      </c>
      <c r="Q12" s="13" t="str">
        <f>IF(MacReports!J12="Enabled","Apple ID Lock","")</f>
        <v/>
      </c>
      <c r="R12" s="13" t="str">
        <f>IF(MacReports!L12="y","Remote Locked","")</f>
        <v/>
      </c>
      <c r="S12" t="str">
        <f t="shared" si="2"/>
        <v>Battery Defect, 0</v>
      </c>
      <c r="T12" t="str">
        <f>_xlfn.XLOOKUP(B12,Disk_Pivot!G:G,Disk_Pivot!I:I)</f>
        <v>Yes</v>
      </c>
      <c r="U12" t="str">
        <f>_xlfn.XLOOKUP(B12,Disk_Pivot!G:G,Disk_Pivot!N:N)</f>
        <v>Fail</v>
      </c>
      <c r="V12">
        <f>IF(U12="Fail",MacReports!N12,"")</f>
        <v>0</v>
      </c>
      <c r="AB12" t="str">
        <f t="shared" si="1"/>
        <v/>
      </c>
    </row>
    <row r="13" spans="1:28">
      <c r="A13" t="str">
        <f>MacReports!A13</f>
        <v/>
      </c>
      <c r="B13">
        <f>MacReports!B13</f>
        <v>0</v>
      </c>
      <c r="C13">
        <f>MacReports!C13</f>
        <v>0</v>
      </c>
      <c r="E13" t="e">
        <f>_xlfn.XLOOKUP(G13,Models!A:A,Models!F:F)</f>
        <v>#N/A</v>
      </c>
      <c r="F13" t="str">
        <f>_xlfn.XLOOKUP(B13,MacReports!B:B,MacReports!D:D,"")</f>
        <v/>
      </c>
      <c r="G13" s="13">
        <f>MacReports!E13</f>
        <v>0</v>
      </c>
      <c r="H13" t="e">
        <f>_xlfn.XLOOKUP(G13,Models!A:A,Models!B:B)</f>
        <v>#N/A</v>
      </c>
      <c r="I13" t="e">
        <f>_xlfn.XLOOKUP(G13,Models!A:A,Models!E:E)</f>
        <v>#N/A</v>
      </c>
      <c r="J13" t="e">
        <f>_xlfn.XLOOKUP(G13,Models!A:A,Models!D:D)</f>
        <v>#N/A</v>
      </c>
      <c r="K13">
        <f>MacReports!F13</f>
        <v>0</v>
      </c>
      <c r="L13">
        <f>MacReports!G13</f>
        <v>0</v>
      </c>
      <c r="M13" s="15" t="e" cm="1">
        <f t="array" ref="M13">--_xlfn.LET(
    _xlpm.txt, MacReports!H13,
    _xlpm.chars, MID(_xlpm.txt, _xlfn.SEQUENCE(LEN(_xlpm.txt)), 1),
    _xlfn.TEXTJOIN("", TRUE, IF(ISNUMBER(--_xlpm.chars), _xlpm.chars, ""))
)</f>
        <v>#VALUE!</v>
      </c>
      <c r="N13" s="16" t="str" cm="1">
        <f t="array" ref="N13">_xlfn.IFS(
   --MacReports!M13&lt;55,"Battery Defect",
  -- MacReports!M13&lt;=69,"Battery D",
  --MacReports!M13&lt;=80,"Battery C",
 --MacReports!M13&gt;80,""
)</f>
        <v>Battery Defect</v>
      </c>
      <c r="O13" s="16" t="str">
        <f>IF(MacReports!I13="Service","Battery Service","")</f>
        <v/>
      </c>
      <c r="P13" s="13">
        <f>MacReports!P13</f>
        <v>0</v>
      </c>
      <c r="Q13" s="13" t="str">
        <f>IF(MacReports!J13="Enabled","Apple ID Lock","")</f>
        <v/>
      </c>
      <c r="R13" s="13" t="str">
        <f>IF(MacReports!L13="y","Remote Locked","")</f>
        <v/>
      </c>
      <c r="S13" t="str">
        <f t="shared" si="2"/>
        <v>Battery Defect, 0</v>
      </c>
      <c r="T13" t="str">
        <f>_xlfn.XLOOKUP(B13,Disk_Pivot!G:G,Disk_Pivot!I:I)</f>
        <v>Yes</v>
      </c>
      <c r="U13" t="str">
        <f>_xlfn.XLOOKUP(B13,Disk_Pivot!G:G,Disk_Pivot!N:N)</f>
        <v>Fail</v>
      </c>
      <c r="V13">
        <f>IF(U13="Fail",MacReports!N13,"")</f>
        <v>0</v>
      </c>
      <c r="AB13" t="str">
        <f t="shared" si="1"/>
        <v/>
      </c>
    </row>
    <row r="14" spans="1:28">
      <c r="A14" t="str">
        <f>MacReports!A14</f>
        <v/>
      </c>
      <c r="B14">
        <f>MacReports!B14</f>
        <v>0</v>
      </c>
      <c r="C14">
        <f>MacReports!C14</f>
        <v>0</v>
      </c>
      <c r="E14" t="e">
        <f>_xlfn.XLOOKUP(G14,Models!A:A,Models!F:F)</f>
        <v>#N/A</v>
      </c>
      <c r="F14" t="str">
        <f>_xlfn.XLOOKUP(B14,MacReports!B:B,MacReports!D:D,"")</f>
        <v/>
      </c>
      <c r="G14" s="13">
        <f>MacReports!E14</f>
        <v>0</v>
      </c>
      <c r="H14" t="e">
        <f>_xlfn.XLOOKUP(G14,Models!A:A,Models!B:B)</f>
        <v>#N/A</v>
      </c>
      <c r="I14" t="e">
        <f>_xlfn.XLOOKUP(G14,Models!A:A,Models!E:E)</f>
        <v>#N/A</v>
      </c>
      <c r="J14" t="e">
        <f>_xlfn.XLOOKUP(G14,Models!A:A,Models!D:D)</f>
        <v>#N/A</v>
      </c>
      <c r="K14">
        <f>MacReports!F14</f>
        <v>0</v>
      </c>
      <c r="L14">
        <f>MacReports!G14</f>
        <v>0</v>
      </c>
      <c r="M14" s="15" t="e" cm="1">
        <f t="array" ref="M14">--_xlfn.LET(
    _xlpm.txt, MacReports!H14,
    _xlpm.chars, MID(_xlpm.txt, _xlfn.SEQUENCE(LEN(_xlpm.txt)), 1),
    _xlfn.TEXTJOIN("", TRUE, IF(ISNUMBER(--_xlpm.chars), _xlpm.chars, ""))
)</f>
        <v>#VALUE!</v>
      </c>
      <c r="N14" s="16" t="str" cm="1">
        <f t="array" ref="N14">_xlfn.IFS(
   --MacReports!M14&lt;55,"Battery Defect",
  -- MacReports!M14&lt;=69,"Battery D",
  --MacReports!M14&lt;=80,"Battery C",
 --MacReports!M14&gt;80,""
)</f>
        <v>Battery Defect</v>
      </c>
      <c r="O14" s="16" t="str">
        <f>IF(MacReports!I14="Service","Battery Service","")</f>
        <v/>
      </c>
      <c r="P14" s="13">
        <f>MacReports!P14</f>
        <v>0</v>
      </c>
      <c r="Q14" s="13" t="str">
        <f>IF(MacReports!J14="Enabled","Apple ID Lock","")</f>
        <v/>
      </c>
      <c r="R14" s="13" t="str">
        <f>IF(MacReports!L14="y","Remote Locked","")</f>
        <v/>
      </c>
      <c r="S14" t="str">
        <f t="shared" si="2"/>
        <v>Battery Defect, 0</v>
      </c>
      <c r="T14" t="str">
        <f>_xlfn.XLOOKUP(B14,Disk_Pivot!G:G,Disk_Pivot!I:I)</f>
        <v>Yes</v>
      </c>
      <c r="U14" t="str">
        <f>_xlfn.XLOOKUP(B14,Disk_Pivot!G:G,Disk_Pivot!N:N)</f>
        <v>Fail</v>
      </c>
      <c r="V14">
        <f>IF(U14="Fail",MacReports!N14,"")</f>
        <v>0</v>
      </c>
      <c r="AB14" t="str">
        <f t="shared" si="1"/>
        <v/>
      </c>
    </row>
    <row r="15" spans="1:28">
      <c r="A15" t="str">
        <f>MacReports!A15</f>
        <v/>
      </c>
      <c r="B15">
        <f>MacReports!B15</f>
        <v>0</v>
      </c>
      <c r="C15">
        <f>MacReports!C15</f>
        <v>0</v>
      </c>
      <c r="E15" t="e">
        <f>_xlfn.XLOOKUP(G15,Models!A:A,Models!F:F)</f>
        <v>#N/A</v>
      </c>
      <c r="F15" t="str">
        <f>_xlfn.XLOOKUP(B15,MacReports!B:B,MacReports!D:D,"")</f>
        <v/>
      </c>
      <c r="G15" s="13">
        <f>MacReports!E15</f>
        <v>0</v>
      </c>
      <c r="H15" t="e">
        <f>_xlfn.XLOOKUP(G15,Models!A:A,Models!B:B)</f>
        <v>#N/A</v>
      </c>
      <c r="I15" t="e">
        <f>_xlfn.XLOOKUP(G15,Models!A:A,Models!E:E)</f>
        <v>#N/A</v>
      </c>
      <c r="J15" t="e">
        <f>_xlfn.XLOOKUP(G15,Models!A:A,Models!D:D)</f>
        <v>#N/A</v>
      </c>
      <c r="K15">
        <f>MacReports!F15</f>
        <v>0</v>
      </c>
      <c r="L15">
        <f>MacReports!G15</f>
        <v>0</v>
      </c>
      <c r="M15" s="15" t="e" cm="1">
        <f t="array" ref="M15">--_xlfn.LET(
    _xlpm.txt, MacReports!H15,
    _xlpm.chars, MID(_xlpm.txt, _xlfn.SEQUENCE(LEN(_xlpm.txt)), 1),
    _xlfn.TEXTJOIN("", TRUE, IF(ISNUMBER(--_xlpm.chars), _xlpm.chars, ""))
)</f>
        <v>#VALUE!</v>
      </c>
      <c r="N15" s="16" t="str" cm="1">
        <f t="array" ref="N15">_xlfn.IFS(
   --MacReports!M15&lt;55,"Battery Defect",
  -- MacReports!M15&lt;=69,"Battery D",
  --MacReports!M15&lt;=80,"Battery C",
 --MacReports!M15&gt;80,""
)</f>
        <v>Battery Defect</v>
      </c>
      <c r="O15" s="16" t="str">
        <f>IF(MacReports!I15="Service","Battery Service","")</f>
        <v/>
      </c>
      <c r="P15" s="13">
        <f>MacReports!P15</f>
        <v>0</v>
      </c>
      <c r="Q15" s="13" t="str">
        <f>IF(MacReports!J15="Enabled","Apple ID Lock","")</f>
        <v/>
      </c>
      <c r="R15" s="13" t="str">
        <f>IF(MacReports!L15="y","Remote Locked","")</f>
        <v/>
      </c>
      <c r="S15" t="str">
        <f t="shared" si="2"/>
        <v>Battery Defect, 0</v>
      </c>
      <c r="T15" t="str">
        <f>_xlfn.XLOOKUP(B15,Disk_Pivot!G:G,Disk_Pivot!I:I)</f>
        <v>Yes</v>
      </c>
      <c r="U15" t="str">
        <f>_xlfn.XLOOKUP(B15,Disk_Pivot!G:G,Disk_Pivot!N:N)</f>
        <v>Fail</v>
      </c>
      <c r="V15">
        <f>IF(U15="Fail",MacReports!N15,"")</f>
        <v>0</v>
      </c>
      <c r="AB15" t="str">
        <f t="shared" si="1"/>
        <v/>
      </c>
    </row>
    <row r="16" spans="1:28">
      <c r="A16" t="str">
        <f>MacReports!A16</f>
        <v/>
      </c>
      <c r="B16">
        <f>MacReports!B16</f>
        <v>0</v>
      </c>
      <c r="C16">
        <f>MacReports!C16</f>
        <v>0</v>
      </c>
      <c r="E16" t="e">
        <f>_xlfn.XLOOKUP(G16,Models!A:A,Models!F:F)</f>
        <v>#N/A</v>
      </c>
      <c r="F16" t="str">
        <f>_xlfn.XLOOKUP(B16,MacReports!B:B,MacReports!D:D,"")</f>
        <v/>
      </c>
      <c r="G16" s="13">
        <f>MacReports!E16</f>
        <v>0</v>
      </c>
      <c r="H16" t="e">
        <f>_xlfn.XLOOKUP(G16,Models!A:A,Models!B:B)</f>
        <v>#N/A</v>
      </c>
      <c r="I16" t="e">
        <f>_xlfn.XLOOKUP(G16,Models!A:A,Models!E:E)</f>
        <v>#N/A</v>
      </c>
      <c r="J16" t="e">
        <f>_xlfn.XLOOKUP(G16,Models!A:A,Models!D:D)</f>
        <v>#N/A</v>
      </c>
      <c r="K16">
        <f>MacReports!F16</f>
        <v>0</v>
      </c>
      <c r="L16">
        <f>MacReports!G16</f>
        <v>0</v>
      </c>
      <c r="M16" s="15" t="e" cm="1">
        <f t="array" ref="M16">--_xlfn.LET(
    _xlpm.txt, MacReports!H16,
    _xlpm.chars, MID(_xlpm.txt, _xlfn.SEQUENCE(LEN(_xlpm.txt)), 1),
    _xlfn.TEXTJOIN("", TRUE, IF(ISNUMBER(--_xlpm.chars), _xlpm.chars, ""))
)</f>
        <v>#VALUE!</v>
      </c>
      <c r="N16" s="16" t="str" cm="1">
        <f t="array" ref="N16">_xlfn.IFS(
   --MacReports!M16&lt;55,"Battery Defect",
  -- MacReports!M16&lt;=69,"Battery D",
  --MacReports!M16&lt;=80,"Battery C",
 --MacReports!M16&gt;80,""
)</f>
        <v>Battery Defect</v>
      </c>
      <c r="O16" s="16" t="str">
        <f>IF(MacReports!I16="Service","Battery Service","")</f>
        <v/>
      </c>
      <c r="P16" s="13">
        <f>MacReports!P16</f>
        <v>0</v>
      </c>
      <c r="Q16" s="13" t="str">
        <f>IF(MacReports!J16="Enabled","Apple ID Lock","")</f>
        <v/>
      </c>
      <c r="R16" s="13" t="str">
        <f>IF(MacReports!L16="y","Remote Locked","")</f>
        <v/>
      </c>
      <c r="S16" t="str">
        <f t="shared" si="2"/>
        <v>Battery Defect, 0</v>
      </c>
      <c r="T16" t="str">
        <f>_xlfn.XLOOKUP(B16,Disk_Pivot!G:G,Disk_Pivot!I:I)</f>
        <v>Yes</v>
      </c>
      <c r="U16" t="str">
        <f>_xlfn.XLOOKUP(B16,Disk_Pivot!G:G,Disk_Pivot!N:N)</f>
        <v>Fail</v>
      </c>
      <c r="V16">
        <f>IF(U16="Fail",MacReports!N16,"")</f>
        <v>0</v>
      </c>
      <c r="AB16" t="str">
        <f t="shared" si="1"/>
        <v/>
      </c>
    </row>
    <row r="17" spans="1:28">
      <c r="A17" t="str">
        <f>MacReports!A17</f>
        <v/>
      </c>
      <c r="B17">
        <f>MacReports!B17</f>
        <v>0</v>
      </c>
      <c r="C17">
        <f>MacReports!C17</f>
        <v>0</v>
      </c>
      <c r="E17" t="e">
        <f>_xlfn.XLOOKUP(G17,Models!A:A,Models!F:F)</f>
        <v>#N/A</v>
      </c>
      <c r="F17" t="str">
        <f>_xlfn.XLOOKUP(B17,MacReports!B:B,MacReports!D:D,"")</f>
        <v/>
      </c>
      <c r="G17" s="13">
        <f>MacReports!E17</f>
        <v>0</v>
      </c>
      <c r="H17" t="e">
        <f>_xlfn.XLOOKUP(G17,Models!A:A,Models!B:B)</f>
        <v>#N/A</v>
      </c>
      <c r="I17" t="e">
        <f>_xlfn.XLOOKUP(G17,Models!A:A,Models!E:E)</f>
        <v>#N/A</v>
      </c>
      <c r="J17" t="e">
        <f>_xlfn.XLOOKUP(G17,Models!A:A,Models!D:D)</f>
        <v>#N/A</v>
      </c>
      <c r="K17">
        <f>MacReports!F17</f>
        <v>0</v>
      </c>
      <c r="L17">
        <f>MacReports!G17</f>
        <v>0</v>
      </c>
      <c r="M17" s="15" t="e" cm="1">
        <f t="array" ref="M17">--_xlfn.LET(
    _xlpm.txt, MacReports!H17,
    _xlpm.chars, MID(_xlpm.txt, _xlfn.SEQUENCE(LEN(_xlpm.txt)), 1),
    _xlfn.TEXTJOIN("", TRUE, IF(ISNUMBER(--_xlpm.chars), _xlpm.chars, ""))
)</f>
        <v>#VALUE!</v>
      </c>
      <c r="N17" s="16" t="str" cm="1">
        <f t="array" ref="N17">_xlfn.IFS(
   --MacReports!M17&lt;55,"Battery Defect",
  -- MacReports!M17&lt;=69,"Battery D",
  --MacReports!M17&lt;=80,"Battery C",
 --MacReports!M17&gt;80,""
)</f>
        <v>Battery Defect</v>
      </c>
      <c r="O17" s="16" t="str">
        <f>IF(MacReports!I17="Service","Battery Service","")</f>
        <v/>
      </c>
      <c r="P17" s="13">
        <f>MacReports!P17</f>
        <v>0</v>
      </c>
      <c r="Q17" s="13" t="str">
        <f>IF(MacReports!J17="Enabled","Apple ID Lock","")</f>
        <v/>
      </c>
      <c r="R17" s="13" t="str">
        <f>IF(MacReports!L17="y","Remote Locked","")</f>
        <v/>
      </c>
      <c r="S17" t="str">
        <f t="shared" si="2"/>
        <v>Battery Defect, 0</v>
      </c>
      <c r="T17" t="str">
        <f>_xlfn.XLOOKUP(B17,Disk_Pivot!G:G,Disk_Pivot!I:I)</f>
        <v>Yes</v>
      </c>
      <c r="U17" t="str">
        <f>_xlfn.XLOOKUP(B17,Disk_Pivot!G:G,Disk_Pivot!N:N)</f>
        <v>Fail</v>
      </c>
      <c r="V17">
        <f>IF(U17="Fail",MacReports!N17,"")</f>
        <v>0</v>
      </c>
      <c r="AB17" t="str">
        <f t="shared" si="1"/>
        <v/>
      </c>
    </row>
    <row r="18" spans="1:28">
      <c r="A18" t="str">
        <f>MacReports!A18</f>
        <v/>
      </c>
      <c r="B18">
        <f>MacReports!B18</f>
        <v>0</v>
      </c>
      <c r="C18">
        <f>MacReports!C18</f>
        <v>0</v>
      </c>
      <c r="E18" t="e">
        <f>_xlfn.XLOOKUP(G18,Models!A:A,Models!F:F)</f>
        <v>#N/A</v>
      </c>
      <c r="F18" t="str">
        <f>_xlfn.XLOOKUP(B18,MacReports!B:B,MacReports!D:D,"")</f>
        <v/>
      </c>
      <c r="G18" s="13">
        <f>MacReports!E18</f>
        <v>0</v>
      </c>
      <c r="H18" t="e">
        <f>_xlfn.XLOOKUP(G18,Models!A:A,Models!B:B)</f>
        <v>#N/A</v>
      </c>
      <c r="I18" t="e">
        <f>_xlfn.XLOOKUP(G18,Models!A:A,Models!E:E)</f>
        <v>#N/A</v>
      </c>
      <c r="J18" t="e">
        <f>_xlfn.XLOOKUP(G18,Models!A:A,Models!D:D)</f>
        <v>#N/A</v>
      </c>
      <c r="K18">
        <f>MacReports!F18</f>
        <v>0</v>
      </c>
      <c r="L18">
        <f>MacReports!G18</f>
        <v>0</v>
      </c>
      <c r="M18" s="15" t="e" cm="1">
        <f t="array" ref="M18">--_xlfn.LET(
    _xlpm.txt, MacReports!H18,
    _xlpm.chars, MID(_xlpm.txt, _xlfn.SEQUENCE(LEN(_xlpm.txt)), 1),
    _xlfn.TEXTJOIN("", TRUE, IF(ISNUMBER(--_xlpm.chars), _xlpm.chars, ""))
)</f>
        <v>#VALUE!</v>
      </c>
      <c r="N18" s="16" t="str" cm="1">
        <f t="array" ref="N18">_xlfn.IFS(
   --MacReports!M18&lt;55,"Battery Defect",
  -- MacReports!M18&lt;=69,"Battery D",
  --MacReports!M18&lt;=80,"Battery C",
 --MacReports!M18&gt;80,""
)</f>
        <v>Battery Defect</v>
      </c>
      <c r="O18" s="16" t="str">
        <f>IF(MacReports!I18="Service","Battery Service","")</f>
        <v/>
      </c>
      <c r="P18" s="13">
        <f>MacReports!P18</f>
        <v>0</v>
      </c>
      <c r="Q18" s="13" t="str">
        <f>IF(MacReports!J18="Enabled","Apple ID Lock","")</f>
        <v/>
      </c>
      <c r="R18" s="13" t="str">
        <f>IF(MacReports!L18="y","Remote Locked","")</f>
        <v/>
      </c>
      <c r="S18" t="str">
        <f t="shared" si="2"/>
        <v>Battery Defect, 0</v>
      </c>
      <c r="T18" t="str">
        <f>_xlfn.XLOOKUP(B18,Disk_Pivot!G:G,Disk_Pivot!I:I)</f>
        <v>Yes</v>
      </c>
      <c r="U18" t="str">
        <f>_xlfn.XLOOKUP(B18,Disk_Pivot!G:G,Disk_Pivot!N:N)</f>
        <v>Fail</v>
      </c>
      <c r="V18">
        <f>IF(U18="Fail",MacReports!N18,"")</f>
        <v>0</v>
      </c>
      <c r="AB18" t="str">
        <f t="shared" si="1"/>
        <v/>
      </c>
    </row>
    <row r="19" spans="1:28">
      <c r="A19" t="str">
        <f>MacReports!A19</f>
        <v/>
      </c>
      <c r="B19">
        <f>MacReports!B19</f>
        <v>0</v>
      </c>
      <c r="C19">
        <f>MacReports!C19</f>
        <v>0</v>
      </c>
      <c r="E19" t="e">
        <f>_xlfn.XLOOKUP(G19,Models!A:A,Models!F:F)</f>
        <v>#N/A</v>
      </c>
      <c r="F19" t="str">
        <f>_xlfn.XLOOKUP(B19,MacReports!B:B,MacReports!D:D,"")</f>
        <v/>
      </c>
      <c r="G19" s="13">
        <f>MacReports!E19</f>
        <v>0</v>
      </c>
      <c r="H19" t="e">
        <f>_xlfn.XLOOKUP(G19,Models!A:A,Models!B:B)</f>
        <v>#N/A</v>
      </c>
      <c r="I19" t="e">
        <f>_xlfn.XLOOKUP(G19,Models!A:A,Models!E:E)</f>
        <v>#N/A</v>
      </c>
      <c r="J19" t="e">
        <f>_xlfn.XLOOKUP(G19,Models!A:A,Models!D:D)</f>
        <v>#N/A</v>
      </c>
      <c r="K19">
        <f>MacReports!F19</f>
        <v>0</v>
      </c>
      <c r="L19">
        <f>MacReports!G19</f>
        <v>0</v>
      </c>
      <c r="M19" s="15" t="e" cm="1">
        <f t="array" ref="M19">--_xlfn.LET(
    _xlpm.txt, MacReports!H19,
    _xlpm.chars, MID(_xlpm.txt, _xlfn.SEQUENCE(LEN(_xlpm.txt)), 1),
    _xlfn.TEXTJOIN("", TRUE, IF(ISNUMBER(--_xlpm.chars), _xlpm.chars, ""))
)</f>
        <v>#VALUE!</v>
      </c>
      <c r="N19" s="16" t="str" cm="1">
        <f t="array" ref="N19">_xlfn.IFS(
   --MacReports!M19&lt;55,"Battery Defect",
  -- MacReports!M19&lt;=69,"Battery D",
  --MacReports!M19&lt;=80,"Battery C",
 --MacReports!M19&gt;80,""
)</f>
        <v>Battery Defect</v>
      </c>
      <c r="O19" s="16" t="str">
        <f>IF(MacReports!I19="Service","Battery Service","")</f>
        <v/>
      </c>
      <c r="P19" s="13">
        <f>MacReports!P19</f>
        <v>0</v>
      </c>
      <c r="Q19" s="13" t="str">
        <f>IF(MacReports!J19="Enabled","Apple ID Lock","")</f>
        <v/>
      </c>
      <c r="R19" s="13" t="str">
        <f>IF(MacReports!L19="y","Remote Locked","")</f>
        <v/>
      </c>
      <c r="S19" t="str">
        <f t="shared" si="2"/>
        <v>Battery Defect, 0</v>
      </c>
      <c r="T19" t="str">
        <f>_xlfn.XLOOKUP(B19,Disk_Pivot!G:G,Disk_Pivot!I:I)</f>
        <v>Yes</v>
      </c>
      <c r="U19" t="str">
        <f>_xlfn.XLOOKUP(B19,Disk_Pivot!G:G,Disk_Pivot!N:N)</f>
        <v>Fail</v>
      </c>
      <c r="V19">
        <f>IF(U19="Fail",MacReports!N19,"")</f>
        <v>0</v>
      </c>
      <c r="AB19" t="str">
        <f t="shared" si="1"/>
        <v/>
      </c>
    </row>
    <row r="20" spans="1:28">
      <c r="A20" t="str">
        <f>MacReports!A20</f>
        <v/>
      </c>
      <c r="B20">
        <f>MacReports!B20</f>
        <v>0</v>
      </c>
      <c r="C20">
        <f>MacReports!C20</f>
        <v>0</v>
      </c>
      <c r="E20" t="e">
        <f>_xlfn.XLOOKUP(G20,Models!A:A,Models!F:F)</f>
        <v>#N/A</v>
      </c>
      <c r="F20" t="str">
        <f>_xlfn.XLOOKUP(B20,MacReports!B:B,MacReports!D:D,"")</f>
        <v/>
      </c>
      <c r="G20" s="13">
        <f>MacReports!E20</f>
        <v>0</v>
      </c>
      <c r="H20" t="e">
        <f>_xlfn.XLOOKUP(G20,Models!A:A,Models!B:B)</f>
        <v>#N/A</v>
      </c>
      <c r="I20" t="e">
        <f>_xlfn.XLOOKUP(G20,Models!A:A,Models!E:E)</f>
        <v>#N/A</v>
      </c>
      <c r="J20" t="e">
        <f>_xlfn.XLOOKUP(G20,Models!A:A,Models!D:D)</f>
        <v>#N/A</v>
      </c>
      <c r="K20">
        <f>MacReports!F20</f>
        <v>0</v>
      </c>
      <c r="L20">
        <f>MacReports!G20</f>
        <v>0</v>
      </c>
      <c r="M20" s="15" t="e" cm="1">
        <f t="array" ref="M20">--_xlfn.LET(
    _xlpm.txt, MacReports!H20,
    _xlpm.chars, MID(_xlpm.txt, _xlfn.SEQUENCE(LEN(_xlpm.txt)), 1),
    _xlfn.TEXTJOIN("", TRUE, IF(ISNUMBER(--_xlpm.chars), _xlpm.chars, ""))
)</f>
        <v>#VALUE!</v>
      </c>
      <c r="N20" s="16" t="str" cm="1">
        <f t="array" ref="N20">_xlfn.IFS(
   --MacReports!M20&lt;55,"Battery Defect",
  -- MacReports!M20&lt;=69,"Battery D",
  --MacReports!M20&lt;=80,"Battery C",
 --MacReports!M20&gt;80,""
)</f>
        <v>Battery Defect</v>
      </c>
      <c r="O20" s="16" t="str">
        <f>IF(MacReports!I20="Service","Battery Service","")</f>
        <v/>
      </c>
      <c r="P20" s="13">
        <f>MacReports!P20</f>
        <v>0</v>
      </c>
      <c r="Q20" s="13" t="str">
        <f>IF(MacReports!J20="Enabled","Apple ID Lock","")</f>
        <v/>
      </c>
      <c r="R20" s="13" t="str">
        <f>IF(MacReports!L20="y","Remote Locked","")</f>
        <v/>
      </c>
      <c r="S20" t="str">
        <f t="shared" si="2"/>
        <v>Battery Defect, 0</v>
      </c>
      <c r="T20" t="str">
        <f>_xlfn.XLOOKUP(B20,Disk_Pivot!G:G,Disk_Pivot!I:I)</f>
        <v>Yes</v>
      </c>
      <c r="U20" t="str">
        <f>_xlfn.XLOOKUP(B20,Disk_Pivot!G:G,Disk_Pivot!N:N)</f>
        <v>Fail</v>
      </c>
      <c r="V20">
        <f>IF(U20="Fail",MacReports!N20,"")</f>
        <v>0</v>
      </c>
      <c r="AB20" t="str">
        <f t="shared" si="1"/>
        <v/>
      </c>
    </row>
    <row r="21" spans="1:28">
      <c r="A21" t="str">
        <f>MacReports!A21</f>
        <v/>
      </c>
      <c r="B21">
        <f>MacReports!B21</f>
        <v>0</v>
      </c>
      <c r="C21">
        <f>MacReports!C21</f>
        <v>0</v>
      </c>
      <c r="E21" t="e">
        <f>_xlfn.XLOOKUP(G21,Models!A:A,Models!F:F)</f>
        <v>#N/A</v>
      </c>
      <c r="F21" t="str">
        <f>_xlfn.XLOOKUP(B21,MacReports!B:B,MacReports!D:D,"")</f>
        <v/>
      </c>
      <c r="G21" s="13">
        <f>MacReports!E21</f>
        <v>0</v>
      </c>
      <c r="H21" t="e">
        <f>_xlfn.XLOOKUP(G21,Models!A:A,Models!B:B)</f>
        <v>#N/A</v>
      </c>
      <c r="I21" t="e">
        <f>_xlfn.XLOOKUP(G21,Models!A:A,Models!E:E)</f>
        <v>#N/A</v>
      </c>
      <c r="J21" t="e">
        <f>_xlfn.XLOOKUP(G21,Models!A:A,Models!D:D)</f>
        <v>#N/A</v>
      </c>
      <c r="K21">
        <f>MacReports!F21</f>
        <v>0</v>
      </c>
      <c r="L21">
        <f>MacReports!G21</f>
        <v>0</v>
      </c>
      <c r="M21" s="15" t="e" cm="1">
        <f t="array" ref="M21">--_xlfn.LET(
    _xlpm.txt, MacReports!H21,
    _xlpm.chars, MID(_xlpm.txt, _xlfn.SEQUENCE(LEN(_xlpm.txt)), 1),
    _xlfn.TEXTJOIN("", TRUE, IF(ISNUMBER(--_xlpm.chars), _xlpm.chars, ""))
)</f>
        <v>#VALUE!</v>
      </c>
      <c r="N21" s="16" t="str" cm="1">
        <f t="array" ref="N21">_xlfn.IFS(
   --MacReports!M21&lt;55,"Battery Defect",
  -- MacReports!M21&lt;=69,"Battery D",
  --MacReports!M21&lt;=80,"Battery C",
 --MacReports!M21&gt;80,""
)</f>
        <v>Battery Defect</v>
      </c>
      <c r="O21" s="16" t="str">
        <f>IF(MacReports!I21="Service","Battery Service","")</f>
        <v/>
      </c>
      <c r="P21" s="13">
        <f>MacReports!P21</f>
        <v>0</v>
      </c>
      <c r="Q21" s="13" t="str">
        <f>IF(MacReports!J21="Enabled","Apple ID Lock","")</f>
        <v/>
      </c>
      <c r="R21" s="13" t="str">
        <f>IF(MacReports!L21="y","Remote Locked","")</f>
        <v/>
      </c>
      <c r="S21" t="str">
        <f t="shared" si="2"/>
        <v>Battery Defect, 0</v>
      </c>
      <c r="T21" t="str">
        <f>_xlfn.XLOOKUP(B21,Disk_Pivot!G:G,Disk_Pivot!I:I)</f>
        <v>Yes</v>
      </c>
      <c r="U21" t="str">
        <f>_xlfn.XLOOKUP(B21,Disk_Pivot!G:G,Disk_Pivot!N:N)</f>
        <v>Fail</v>
      </c>
      <c r="V21">
        <f>IF(U21="Fail",MacReports!N21,"")</f>
        <v>0</v>
      </c>
      <c r="AB21" t="str">
        <f t="shared" si="1"/>
        <v/>
      </c>
    </row>
    <row r="22" spans="1:28">
      <c r="A22" t="str">
        <f>MacReports!A22</f>
        <v/>
      </c>
      <c r="B22">
        <f>MacReports!B22</f>
        <v>0</v>
      </c>
      <c r="C22">
        <f>MacReports!C22</f>
        <v>0</v>
      </c>
      <c r="E22" t="e">
        <f>_xlfn.XLOOKUP(G22,Models!A:A,Models!F:F)</f>
        <v>#N/A</v>
      </c>
      <c r="F22" t="str">
        <f>_xlfn.XLOOKUP(B22,MacReports!B:B,MacReports!D:D,"")</f>
        <v/>
      </c>
      <c r="G22" s="13">
        <f>MacReports!E22</f>
        <v>0</v>
      </c>
      <c r="H22" t="e">
        <f>_xlfn.XLOOKUP(G22,Models!A:A,Models!B:B)</f>
        <v>#N/A</v>
      </c>
      <c r="I22" t="e">
        <f>_xlfn.XLOOKUP(G22,Models!A:A,Models!E:E)</f>
        <v>#N/A</v>
      </c>
      <c r="J22" t="e">
        <f>_xlfn.XLOOKUP(G22,Models!A:A,Models!D:D)</f>
        <v>#N/A</v>
      </c>
      <c r="K22">
        <f>MacReports!F22</f>
        <v>0</v>
      </c>
      <c r="L22">
        <f>MacReports!G22</f>
        <v>0</v>
      </c>
      <c r="M22" s="15" t="e" cm="1">
        <f t="array" ref="M22">--_xlfn.LET(
    _xlpm.txt, MacReports!H22,
    _xlpm.chars, MID(_xlpm.txt, _xlfn.SEQUENCE(LEN(_xlpm.txt)), 1),
    _xlfn.TEXTJOIN("", TRUE, IF(ISNUMBER(--_xlpm.chars), _xlpm.chars, ""))
)</f>
        <v>#VALUE!</v>
      </c>
      <c r="N22" s="16" t="str" cm="1">
        <f t="array" ref="N22">_xlfn.IFS(
   --MacReports!M22&lt;55,"Battery Defect",
  -- MacReports!M22&lt;=69,"Battery D",
  --MacReports!M22&lt;=80,"Battery C",
 --MacReports!M22&gt;80,""
)</f>
        <v>Battery Defect</v>
      </c>
      <c r="O22" s="16" t="str">
        <f>IF(MacReports!I22="Service","Battery Service","")</f>
        <v/>
      </c>
      <c r="P22" s="13">
        <f>MacReports!P22</f>
        <v>0</v>
      </c>
      <c r="Q22" s="13" t="str">
        <f>IF(MacReports!J22="Enabled","Apple ID Lock","")</f>
        <v/>
      </c>
      <c r="R22" s="13" t="str">
        <f>IF(MacReports!L22="y","Remote Locked","")</f>
        <v/>
      </c>
      <c r="S22" t="str">
        <f t="shared" si="2"/>
        <v>Battery Defect, 0</v>
      </c>
      <c r="T22" t="str">
        <f>_xlfn.XLOOKUP(B22,Disk_Pivot!G:G,Disk_Pivot!I:I)</f>
        <v>Yes</v>
      </c>
      <c r="U22" t="str">
        <f>_xlfn.XLOOKUP(B22,Disk_Pivot!G:G,Disk_Pivot!N:N)</f>
        <v>Fail</v>
      </c>
      <c r="V22">
        <f>IF(U22="Fail",MacReports!N22,"")</f>
        <v>0</v>
      </c>
      <c r="AB22" t="str">
        <f t="shared" si="1"/>
        <v/>
      </c>
    </row>
    <row r="23" spans="1:28">
      <c r="A23" t="str">
        <f>MacReports!A23</f>
        <v/>
      </c>
      <c r="B23">
        <f>MacReports!B23</f>
        <v>0</v>
      </c>
      <c r="C23">
        <f>MacReports!C23</f>
        <v>0</v>
      </c>
      <c r="E23" t="e">
        <f>_xlfn.XLOOKUP(G23,Models!A:A,Models!F:F)</f>
        <v>#N/A</v>
      </c>
      <c r="F23" t="str">
        <f>_xlfn.XLOOKUP(B23,MacReports!B:B,MacReports!D:D,"")</f>
        <v/>
      </c>
      <c r="G23" s="13">
        <f>MacReports!E23</f>
        <v>0</v>
      </c>
      <c r="H23" t="e">
        <f>_xlfn.XLOOKUP(G23,Models!A:A,Models!B:B)</f>
        <v>#N/A</v>
      </c>
      <c r="I23" t="e">
        <f>_xlfn.XLOOKUP(G23,Models!A:A,Models!E:E)</f>
        <v>#N/A</v>
      </c>
      <c r="J23" t="e">
        <f>_xlfn.XLOOKUP(G23,Models!A:A,Models!D:D)</f>
        <v>#N/A</v>
      </c>
      <c r="K23">
        <f>MacReports!F23</f>
        <v>0</v>
      </c>
      <c r="L23">
        <f>MacReports!G23</f>
        <v>0</v>
      </c>
      <c r="M23" s="15" t="e" cm="1">
        <f t="array" ref="M23">--_xlfn.LET(
    _xlpm.txt, MacReports!H23,
    _xlpm.chars, MID(_xlpm.txt, _xlfn.SEQUENCE(LEN(_xlpm.txt)), 1),
    _xlfn.TEXTJOIN("", TRUE, IF(ISNUMBER(--_xlpm.chars), _xlpm.chars, ""))
)</f>
        <v>#VALUE!</v>
      </c>
      <c r="N23" s="16" t="str" cm="1">
        <f t="array" ref="N23">_xlfn.IFS(
   --MacReports!M23&lt;55,"Battery Defect",
  -- MacReports!M23&lt;=69,"Battery D",
  --MacReports!M23&lt;=80,"Battery C",
 --MacReports!M23&gt;80,""
)</f>
        <v>Battery Defect</v>
      </c>
      <c r="O23" s="16" t="str">
        <f>IF(MacReports!I23="Service","Battery Service","")</f>
        <v/>
      </c>
      <c r="P23" s="13">
        <f>MacReports!P23</f>
        <v>0</v>
      </c>
      <c r="Q23" s="13" t="str">
        <f>IF(MacReports!J23="Enabled","Apple ID Lock","")</f>
        <v/>
      </c>
      <c r="R23" s="13" t="str">
        <f>IF(MacReports!L23="y","Remote Locked","")</f>
        <v/>
      </c>
      <c r="S23" t="str">
        <f t="shared" si="2"/>
        <v>Battery Defect, 0</v>
      </c>
      <c r="T23" t="str">
        <f>_xlfn.XLOOKUP(B23,Disk_Pivot!G:G,Disk_Pivot!I:I)</f>
        <v>Yes</v>
      </c>
      <c r="U23" t="str">
        <f>_xlfn.XLOOKUP(B23,Disk_Pivot!G:G,Disk_Pivot!N:N)</f>
        <v>Fail</v>
      </c>
      <c r="V23">
        <f>IF(U23="Fail",MacReports!N23,"")</f>
        <v>0</v>
      </c>
      <c r="AB23" t="str">
        <f t="shared" si="1"/>
        <v/>
      </c>
    </row>
    <row r="24" spans="1:28">
      <c r="A24" t="str">
        <f>MacReports!A24</f>
        <v/>
      </c>
      <c r="B24">
        <f>MacReports!B24</f>
        <v>0</v>
      </c>
      <c r="C24">
        <f>MacReports!C24</f>
        <v>0</v>
      </c>
      <c r="E24" t="e">
        <f>_xlfn.XLOOKUP(G24,Models!A:A,Models!F:F)</f>
        <v>#N/A</v>
      </c>
      <c r="F24" t="str">
        <f>_xlfn.XLOOKUP(B24,MacReports!B:B,MacReports!D:D,"")</f>
        <v/>
      </c>
      <c r="G24" s="13">
        <f>MacReports!E24</f>
        <v>0</v>
      </c>
      <c r="H24" t="e">
        <f>_xlfn.XLOOKUP(G24,Models!A:A,Models!B:B)</f>
        <v>#N/A</v>
      </c>
      <c r="I24" t="e">
        <f>_xlfn.XLOOKUP(G24,Models!A:A,Models!E:E)</f>
        <v>#N/A</v>
      </c>
      <c r="J24" t="e">
        <f>_xlfn.XLOOKUP(G24,Models!A:A,Models!D:D)</f>
        <v>#N/A</v>
      </c>
      <c r="K24">
        <f>MacReports!F24</f>
        <v>0</v>
      </c>
      <c r="L24">
        <f>MacReports!G24</f>
        <v>0</v>
      </c>
      <c r="M24" s="15" t="e" cm="1">
        <f t="array" ref="M24">--_xlfn.LET(
    _xlpm.txt, MacReports!H24,
    _xlpm.chars, MID(_xlpm.txt, _xlfn.SEQUENCE(LEN(_xlpm.txt)), 1),
    _xlfn.TEXTJOIN("", TRUE, IF(ISNUMBER(--_xlpm.chars), _xlpm.chars, ""))
)</f>
        <v>#VALUE!</v>
      </c>
      <c r="N24" s="16" t="str" cm="1">
        <f t="array" ref="N24">_xlfn.IFS(
   --MacReports!M24&lt;55,"Battery Defect",
  -- MacReports!M24&lt;=69,"Battery D",
  --MacReports!M24&lt;=80,"Battery C",
 --MacReports!M24&gt;80,""
)</f>
        <v>Battery Defect</v>
      </c>
      <c r="O24" s="16" t="str">
        <f>IF(MacReports!I24="Service","Battery Service","")</f>
        <v/>
      </c>
      <c r="P24" s="13">
        <f>MacReports!P24</f>
        <v>0</v>
      </c>
      <c r="Q24" s="13" t="str">
        <f>IF(MacReports!J24="Enabled","Apple ID Lock","")</f>
        <v/>
      </c>
      <c r="R24" s="13" t="str">
        <f>IF(MacReports!L24="y","Remote Locked","")</f>
        <v/>
      </c>
      <c r="S24" t="str">
        <f t="shared" si="2"/>
        <v>Battery Defect, 0</v>
      </c>
      <c r="T24" t="str">
        <f>_xlfn.XLOOKUP(B24,Disk_Pivot!G:G,Disk_Pivot!I:I)</f>
        <v>Yes</v>
      </c>
      <c r="U24" t="str">
        <f>_xlfn.XLOOKUP(B24,Disk_Pivot!G:G,Disk_Pivot!N:N)</f>
        <v>Fail</v>
      </c>
      <c r="V24">
        <f>IF(U24="Fail",MacReports!N24,"")</f>
        <v>0</v>
      </c>
      <c r="AB24" t="str">
        <f t="shared" si="1"/>
        <v/>
      </c>
    </row>
    <row r="25" spans="1:28">
      <c r="A25" t="str">
        <f>MacReports!A25</f>
        <v/>
      </c>
      <c r="B25">
        <f>MacReports!B25</f>
        <v>0</v>
      </c>
      <c r="C25">
        <f>MacReports!C25</f>
        <v>0</v>
      </c>
      <c r="E25" t="e">
        <f>_xlfn.XLOOKUP(G25,Models!A:A,Models!F:F)</f>
        <v>#N/A</v>
      </c>
      <c r="F25" t="str">
        <f>_xlfn.XLOOKUP(B25,MacReports!B:B,MacReports!D:D,"")</f>
        <v/>
      </c>
      <c r="G25" s="13">
        <f>MacReports!E25</f>
        <v>0</v>
      </c>
      <c r="H25" t="e">
        <f>_xlfn.XLOOKUP(G25,Models!A:A,Models!B:B)</f>
        <v>#N/A</v>
      </c>
      <c r="I25" t="e">
        <f>_xlfn.XLOOKUP(G25,Models!A:A,Models!E:E)</f>
        <v>#N/A</v>
      </c>
      <c r="J25" t="e">
        <f>_xlfn.XLOOKUP(G25,Models!A:A,Models!D:D)</f>
        <v>#N/A</v>
      </c>
      <c r="K25">
        <f>MacReports!F25</f>
        <v>0</v>
      </c>
      <c r="L25">
        <f>MacReports!G25</f>
        <v>0</v>
      </c>
      <c r="M25" s="15" t="e" cm="1">
        <f t="array" ref="M25">--_xlfn.LET(
    _xlpm.txt, MacReports!H25,
    _xlpm.chars, MID(_xlpm.txt, _xlfn.SEQUENCE(LEN(_xlpm.txt)), 1),
    _xlfn.TEXTJOIN("", TRUE, IF(ISNUMBER(--_xlpm.chars), _xlpm.chars, ""))
)</f>
        <v>#VALUE!</v>
      </c>
      <c r="N25" s="16" t="str" cm="1">
        <f t="array" ref="N25">_xlfn.IFS(
   --MacReports!M25&lt;55,"Battery Defect",
  -- MacReports!M25&lt;=69,"Battery D",
  --MacReports!M25&lt;=80,"Battery C",
 --MacReports!M25&gt;80,""
)</f>
        <v>Battery Defect</v>
      </c>
      <c r="O25" s="16" t="str">
        <f>IF(MacReports!I25="Service","Battery Service","")</f>
        <v/>
      </c>
      <c r="P25" s="13">
        <f>MacReports!P25</f>
        <v>0</v>
      </c>
      <c r="Q25" s="13" t="str">
        <f>IF(MacReports!J25="Enabled","Apple ID Lock","")</f>
        <v/>
      </c>
      <c r="R25" s="13" t="str">
        <f>IF(MacReports!L25="y","Remote Locked","")</f>
        <v/>
      </c>
      <c r="S25" t="str">
        <f t="shared" si="2"/>
        <v>Battery Defect, 0</v>
      </c>
      <c r="T25" t="str">
        <f>_xlfn.XLOOKUP(B25,Disk_Pivot!G:G,Disk_Pivot!I:I)</f>
        <v>Yes</v>
      </c>
      <c r="U25" t="str">
        <f>_xlfn.XLOOKUP(B25,Disk_Pivot!G:G,Disk_Pivot!N:N)</f>
        <v>Fail</v>
      </c>
      <c r="V25">
        <f>IF(U25="Fail",MacReports!N25,"")</f>
        <v>0</v>
      </c>
      <c r="AB25" t="str">
        <f t="shared" si="1"/>
        <v/>
      </c>
    </row>
    <row r="26" spans="1:28">
      <c r="A26" t="str">
        <f>MacReports!A26</f>
        <v/>
      </c>
      <c r="B26">
        <f>MacReports!B26</f>
        <v>0</v>
      </c>
      <c r="C26">
        <f>MacReports!C26</f>
        <v>0</v>
      </c>
      <c r="E26" t="e">
        <f>_xlfn.XLOOKUP(G26,Models!A:A,Models!F:F)</f>
        <v>#N/A</v>
      </c>
      <c r="F26" t="str">
        <f>_xlfn.XLOOKUP(B26,MacReports!B:B,MacReports!D:D,"")</f>
        <v/>
      </c>
      <c r="G26" s="13">
        <f>MacReports!E26</f>
        <v>0</v>
      </c>
      <c r="H26" t="e">
        <f>_xlfn.XLOOKUP(G26,Models!A:A,Models!B:B)</f>
        <v>#N/A</v>
      </c>
      <c r="I26" t="e">
        <f>_xlfn.XLOOKUP(G26,Models!A:A,Models!E:E)</f>
        <v>#N/A</v>
      </c>
      <c r="J26" t="e">
        <f>_xlfn.XLOOKUP(G26,Models!A:A,Models!D:D)</f>
        <v>#N/A</v>
      </c>
      <c r="K26">
        <f>MacReports!F26</f>
        <v>0</v>
      </c>
      <c r="L26">
        <f>MacReports!G26</f>
        <v>0</v>
      </c>
      <c r="M26" s="15" t="e" cm="1">
        <f t="array" ref="M26">--_xlfn.LET(
    _xlpm.txt, MacReports!H26,
    _xlpm.chars, MID(_xlpm.txt, _xlfn.SEQUENCE(LEN(_xlpm.txt)), 1),
    _xlfn.TEXTJOIN("", TRUE, IF(ISNUMBER(--_xlpm.chars), _xlpm.chars, ""))
)</f>
        <v>#VALUE!</v>
      </c>
      <c r="N26" s="16" t="str" cm="1">
        <f t="array" ref="N26">_xlfn.IFS(
   --MacReports!M26&lt;55,"Battery Defect",
  -- MacReports!M26&lt;=69,"Battery D",
  --MacReports!M26&lt;=80,"Battery C",
 --MacReports!M26&gt;80,""
)</f>
        <v>Battery Defect</v>
      </c>
      <c r="O26" s="16" t="str">
        <f>IF(MacReports!I26="Service","Battery Service","")</f>
        <v/>
      </c>
      <c r="P26" s="13">
        <f>MacReports!P26</f>
        <v>0</v>
      </c>
      <c r="Q26" s="13" t="str">
        <f>IF(MacReports!J26="Enabled","Apple ID Lock","")</f>
        <v/>
      </c>
      <c r="R26" s="13" t="str">
        <f>IF(MacReports!L26="y","Remote Locked","")</f>
        <v/>
      </c>
      <c r="S26" t="str">
        <f t="shared" si="2"/>
        <v>Battery Defect, 0</v>
      </c>
      <c r="T26" t="str">
        <f>_xlfn.XLOOKUP(B26,Disk_Pivot!G:G,Disk_Pivot!I:I)</f>
        <v>Yes</v>
      </c>
      <c r="U26" t="str">
        <f>_xlfn.XLOOKUP(B26,Disk_Pivot!G:G,Disk_Pivot!N:N)</f>
        <v>Fail</v>
      </c>
      <c r="V26">
        <f>IF(U26="Fail",MacReports!N26,"")</f>
        <v>0</v>
      </c>
      <c r="AB26" t="str">
        <f t="shared" si="1"/>
        <v/>
      </c>
    </row>
    <row r="27" spans="1:28">
      <c r="A27" t="str">
        <f>MacReports!A27</f>
        <v/>
      </c>
      <c r="B27">
        <f>MacReports!B27</f>
        <v>0</v>
      </c>
      <c r="C27">
        <f>MacReports!C27</f>
        <v>0</v>
      </c>
      <c r="E27" t="e">
        <f>_xlfn.XLOOKUP(G27,Models!A:A,Models!F:F)</f>
        <v>#N/A</v>
      </c>
      <c r="F27" t="str">
        <f>_xlfn.XLOOKUP(B27,MacReports!B:B,MacReports!D:D,"")</f>
        <v/>
      </c>
      <c r="G27" s="13">
        <f>MacReports!E27</f>
        <v>0</v>
      </c>
      <c r="H27" t="e">
        <f>_xlfn.XLOOKUP(G27,Models!A:A,Models!B:B)</f>
        <v>#N/A</v>
      </c>
      <c r="I27" t="e">
        <f>_xlfn.XLOOKUP(G27,Models!A:A,Models!E:E)</f>
        <v>#N/A</v>
      </c>
      <c r="J27" t="e">
        <f>_xlfn.XLOOKUP(G27,Models!A:A,Models!D:D)</f>
        <v>#N/A</v>
      </c>
      <c r="K27">
        <f>MacReports!F27</f>
        <v>0</v>
      </c>
      <c r="L27">
        <f>MacReports!G27</f>
        <v>0</v>
      </c>
      <c r="M27" s="15" t="e" cm="1">
        <f t="array" ref="M27">--_xlfn.LET(
    _xlpm.txt, MacReports!H27,
    _xlpm.chars, MID(_xlpm.txt, _xlfn.SEQUENCE(LEN(_xlpm.txt)), 1),
    _xlfn.TEXTJOIN("", TRUE, IF(ISNUMBER(--_xlpm.chars), _xlpm.chars, ""))
)</f>
        <v>#VALUE!</v>
      </c>
      <c r="N27" s="16" t="str" cm="1">
        <f t="array" ref="N27">_xlfn.IFS(
   --MacReports!M27&lt;55,"Battery Defect",
  -- MacReports!M27&lt;=69,"Battery D",
  --MacReports!M27&lt;=80,"Battery C",
 --MacReports!M27&gt;80,""
)</f>
        <v>Battery Defect</v>
      </c>
      <c r="O27" s="16" t="str">
        <f>IF(MacReports!I27="Service","Battery Service","")</f>
        <v/>
      </c>
      <c r="P27" s="13">
        <f>MacReports!P27</f>
        <v>0</v>
      </c>
      <c r="Q27" s="13" t="str">
        <f>IF(MacReports!J27="Enabled","Apple ID Lock","")</f>
        <v/>
      </c>
      <c r="R27" s="13" t="str">
        <f>IF(MacReports!L27="y","Remote Locked","")</f>
        <v/>
      </c>
      <c r="S27" t="str">
        <f t="shared" si="2"/>
        <v>Battery Defect, 0</v>
      </c>
      <c r="T27" t="str">
        <f>_xlfn.XLOOKUP(B27,Disk_Pivot!G:G,Disk_Pivot!I:I)</f>
        <v>Yes</v>
      </c>
      <c r="U27" t="str">
        <f>_xlfn.XLOOKUP(B27,Disk_Pivot!G:G,Disk_Pivot!N:N)</f>
        <v>Fail</v>
      </c>
      <c r="V27">
        <f>IF(U27="Fail",MacReports!N27,"")</f>
        <v>0</v>
      </c>
      <c r="AB27" t="str">
        <f t="shared" si="1"/>
        <v/>
      </c>
    </row>
    <row r="28" spans="1:28">
      <c r="A28" t="str">
        <f>MacReports!A28</f>
        <v/>
      </c>
      <c r="B28">
        <f>MacReports!B28</f>
        <v>0</v>
      </c>
      <c r="C28">
        <f>MacReports!C28</f>
        <v>0</v>
      </c>
      <c r="E28" t="e">
        <f>_xlfn.XLOOKUP(G28,Models!A:A,Models!F:F)</f>
        <v>#N/A</v>
      </c>
      <c r="F28" t="str">
        <f>_xlfn.XLOOKUP(B28,MacReports!B:B,MacReports!D:D,"")</f>
        <v/>
      </c>
      <c r="G28" s="13">
        <f>MacReports!E28</f>
        <v>0</v>
      </c>
      <c r="H28" t="e">
        <f>_xlfn.XLOOKUP(G28,Models!A:A,Models!B:B)</f>
        <v>#N/A</v>
      </c>
      <c r="I28" t="e">
        <f>_xlfn.XLOOKUP(G28,Models!A:A,Models!E:E)</f>
        <v>#N/A</v>
      </c>
      <c r="J28" t="e">
        <f>_xlfn.XLOOKUP(G28,Models!A:A,Models!D:D)</f>
        <v>#N/A</v>
      </c>
      <c r="K28">
        <f>MacReports!F28</f>
        <v>0</v>
      </c>
      <c r="L28">
        <f>MacReports!G28</f>
        <v>0</v>
      </c>
      <c r="M28" s="15" t="e" cm="1">
        <f t="array" ref="M28">--_xlfn.LET(
    _xlpm.txt, MacReports!H28,
    _xlpm.chars, MID(_xlpm.txt, _xlfn.SEQUENCE(LEN(_xlpm.txt)), 1),
    _xlfn.TEXTJOIN("", TRUE, IF(ISNUMBER(--_xlpm.chars), _xlpm.chars, ""))
)</f>
        <v>#VALUE!</v>
      </c>
      <c r="N28" s="16" t="str" cm="1">
        <f t="array" ref="N28">_xlfn.IFS(
   --MacReports!M28&lt;55,"Battery Defect",
  -- MacReports!M28&lt;=69,"Battery D",
  --MacReports!M28&lt;=80,"Battery C",
 --MacReports!M28&gt;80,""
)</f>
        <v>Battery Defect</v>
      </c>
      <c r="O28" s="16" t="str">
        <f>IF(MacReports!I28="Service","Battery Service","")</f>
        <v/>
      </c>
      <c r="P28" s="13">
        <f>MacReports!P28</f>
        <v>0</v>
      </c>
      <c r="Q28" s="13" t="str">
        <f>IF(MacReports!J28="Enabled","Apple ID Lock","")</f>
        <v/>
      </c>
      <c r="R28" s="13" t="str">
        <f>IF(MacReports!L28="y","Remote Locked","")</f>
        <v/>
      </c>
      <c r="S28" t="str">
        <f t="shared" si="2"/>
        <v>Battery Defect, 0</v>
      </c>
      <c r="T28" t="str">
        <f>_xlfn.XLOOKUP(B28,Disk_Pivot!G:G,Disk_Pivot!I:I)</f>
        <v>Yes</v>
      </c>
      <c r="U28" t="str">
        <f>_xlfn.XLOOKUP(B28,Disk_Pivot!G:G,Disk_Pivot!N:N)</f>
        <v>Fail</v>
      </c>
      <c r="V28">
        <f>IF(U28="Fail",MacReports!N28,"")</f>
        <v>0</v>
      </c>
      <c r="AB28" t="str">
        <f t="shared" si="1"/>
        <v/>
      </c>
    </row>
    <row r="29" spans="1:28">
      <c r="A29" t="str">
        <f>MacReports!A29</f>
        <v/>
      </c>
      <c r="B29">
        <f>MacReports!B29</f>
        <v>0</v>
      </c>
      <c r="C29">
        <f>MacReports!C29</f>
        <v>0</v>
      </c>
      <c r="E29" t="e">
        <f>_xlfn.XLOOKUP(G29,Models!A:A,Models!F:F)</f>
        <v>#N/A</v>
      </c>
      <c r="F29" t="str">
        <f>_xlfn.XLOOKUP(B29,MacReports!B:B,MacReports!D:D,"")</f>
        <v/>
      </c>
      <c r="G29" s="13">
        <f>MacReports!E29</f>
        <v>0</v>
      </c>
      <c r="H29" t="e">
        <f>_xlfn.XLOOKUP(G29,Models!A:A,Models!B:B)</f>
        <v>#N/A</v>
      </c>
      <c r="I29" t="e">
        <f>_xlfn.XLOOKUP(G29,Models!A:A,Models!E:E)</f>
        <v>#N/A</v>
      </c>
      <c r="J29" t="e">
        <f>_xlfn.XLOOKUP(G29,Models!A:A,Models!D:D)</f>
        <v>#N/A</v>
      </c>
      <c r="K29">
        <f>MacReports!F29</f>
        <v>0</v>
      </c>
      <c r="L29">
        <f>MacReports!G29</f>
        <v>0</v>
      </c>
      <c r="M29" s="15" t="e" cm="1">
        <f t="array" ref="M29">--_xlfn.LET(
    _xlpm.txt, MacReports!H29,
    _xlpm.chars, MID(_xlpm.txt, _xlfn.SEQUENCE(LEN(_xlpm.txt)), 1),
    _xlfn.TEXTJOIN("", TRUE, IF(ISNUMBER(--_xlpm.chars), _xlpm.chars, ""))
)</f>
        <v>#VALUE!</v>
      </c>
      <c r="N29" s="16" t="str" cm="1">
        <f t="array" ref="N29">_xlfn.IFS(
   --MacReports!M29&lt;55,"Battery Defect",
  -- MacReports!M29&lt;=69,"Battery D",
  --MacReports!M29&lt;=80,"Battery C",
 --MacReports!M29&gt;80,""
)</f>
        <v>Battery Defect</v>
      </c>
      <c r="O29" s="16" t="str">
        <f>IF(MacReports!I29="Service","Battery Service","")</f>
        <v/>
      </c>
      <c r="P29" s="13">
        <f>MacReports!P29</f>
        <v>0</v>
      </c>
      <c r="Q29" s="13" t="str">
        <f>IF(MacReports!J29="Enabled","Apple ID Lock","")</f>
        <v/>
      </c>
      <c r="R29" s="13" t="str">
        <f>IF(MacReports!L29="y","Remote Locked","")</f>
        <v/>
      </c>
      <c r="S29" t="str">
        <f t="shared" si="2"/>
        <v>Battery Defect, 0</v>
      </c>
      <c r="T29" t="str">
        <f>_xlfn.XLOOKUP(B29,Disk_Pivot!G:G,Disk_Pivot!I:I)</f>
        <v>Yes</v>
      </c>
      <c r="U29" t="str">
        <f>_xlfn.XLOOKUP(B29,Disk_Pivot!G:G,Disk_Pivot!N:N)</f>
        <v>Fail</v>
      </c>
      <c r="V29">
        <f>IF(U29="Fail",MacReports!N29,"")</f>
        <v>0</v>
      </c>
      <c r="AB29" t="str">
        <f t="shared" si="1"/>
        <v/>
      </c>
    </row>
    <row r="30" spans="1:28">
      <c r="A30" t="str">
        <f>MacReports!A30</f>
        <v/>
      </c>
      <c r="B30">
        <f>MacReports!B30</f>
        <v>0</v>
      </c>
      <c r="C30">
        <f>MacReports!C30</f>
        <v>0</v>
      </c>
      <c r="E30" t="e">
        <f>_xlfn.XLOOKUP(G30,Models!A:A,Models!F:F)</f>
        <v>#N/A</v>
      </c>
      <c r="F30" t="str">
        <f>_xlfn.XLOOKUP(B30,MacReports!B:B,MacReports!D:D,"")</f>
        <v/>
      </c>
      <c r="G30" s="13">
        <f>MacReports!E30</f>
        <v>0</v>
      </c>
      <c r="H30" t="e">
        <f>_xlfn.XLOOKUP(G30,Models!A:A,Models!B:B)</f>
        <v>#N/A</v>
      </c>
      <c r="I30" t="e">
        <f>_xlfn.XLOOKUP(G30,Models!A:A,Models!E:E)</f>
        <v>#N/A</v>
      </c>
      <c r="J30" t="e">
        <f>_xlfn.XLOOKUP(G30,Models!A:A,Models!D:D)</f>
        <v>#N/A</v>
      </c>
      <c r="K30">
        <f>MacReports!F30</f>
        <v>0</v>
      </c>
      <c r="L30">
        <f>MacReports!G30</f>
        <v>0</v>
      </c>
      <c r="M30" s="15" t="e" cm="1">
        <f t="array" ref="M30">--_xlfn.LET(
    _xlpm.txt, MacReports!H30,
    _xlpm.chars, MID(_xlpm.txt, _xlfn.SEQUENCE(LEN(_xlpm.txt)), 1),
    _xlfn.TEXTJOIN("", TRUE, IF(ISNUMBER(--_xlpm.chars), _xlpm.chars, ""))
)</f>
        <v>#VALUE!</v>
      </c>
      <c r="N30" s="16" t="str" cm="1">
        <f t="array" ref="N30">_xlfn.IFS(
   --MacReports!M30&lt;55,"Battery Defect",
  -- MacReports!M30&lt;=69,"Battery D",
  --MacReports!M30&lt;=80,"Battery C",
 --MacReports!M30&gt;80,""
)</f>
        <v>Battery Defect</v>
      </c>
      <c r="O30" s="16" t="str">
        <f>IF(MacReports!I30="Service","Battery Service","")</f>
        <v/>
      </c>
      <c r="P30" s="13">
        <f>MacReports!P30</f>
        <v>0</v>
      </c>
      <c r="Q30" s="13" t="str">
        <f>IF(MacReports!J30="Enabled","Apple ID Lock","")</f>
        <v/>
      </c>
      <c r="R30" s="13" t="str">
        <f>IF(MacReports!L30="y","Remote Locked","")</f>
        <v/>
      </c>
      <c r="S30" t="str">
        <f t="shared" si="2"/>
        <v>Battery Defect, 0</v>
      </c>
      <c r="T30" t="str">
        <f>_xlfn.XLOOKUP(B30,Disk_Pivot!G:G,Disk_Pivot!I:I)</f>
        <v>Yes</v>
      </c>
      <c r="U30" t="str">
        <f>_xlfn.XLOOKUP(B30,Disk_Pivot!G:G,Disk_Pivot!N:N)</f>
        <v>Fail</v>
      </c>
      <c r="V30">
        <f>IF(U30="Fail",MacReports!N30,"")</f>
        <v>0</v>
      </c>
      <c r="AB30" t="str">
        <f t="shared" si="1"/>
        <v/>
      </c>
    </row>
    <row r="31" spans="1:28">
      <c r="A31" t="str">
        <f>MacReports!A31</f>
        <v/>
      </c>
      <c r="B31">
        <f>MacReports!B31</f>
        <v>0</v>
      </c>
      <c r="C31">
        <f>MacReports!C31</f>
        <v>0</v>
      </c>
      <c r="E31" t="e">
        <f>_xlfn.XLOOKUP(G31,Models!A:A,Models!F:F)</f>
        <v>#N/A</v>
      </c>
      <c r="F31" t="str">
        <f>_xlfn.XLOOKUP(B31,MacReports!B:B,MacReports!D:D,"")</f>
        <v/>
      </c>
      <c r="G31" s="13">
        <f>MacReports!E31</f>
        <v>0</v>
      </c>
      <c r="H31" t="e">
        <f>_xlfn.XLOOKUP(G31,Models!A:A,Models!B:B)</f>
        <v>#N/A</v>
      </c>
      <c r="I31" t="e">
        <f>_xlfn.XLOOKUP(G31,Models!A:A,Models!E:E)</f>
        <v>#N/A</v>
      </c>
      <c r="J31" t="e">
        <f>_xlfn.XLOOKUP(G31,Models!A:A,Models!D:D)</f>
        <v>#N/A</v>
      </c>
      <c r="K31">
        <f>MacReports!F31</f>
        <v>0</v>
      </c>
      <c r="L31">
        <f>MacReports!G31</f>
        <v>0</v>
      </c>
      <c r="M31" s="15" t="e" cm="1">
        <f t="array" ref="M31">--_xlfn.LET(
    _xlpm.txt, MacReports!H31,
    _xlpm.chars, MID(_xlpm.txt, _xlfn.SEQUENCE(LEN(_xlpm.txt)), 1),
    _xlfn.TEXTJOIN("", TRUE, IF(ISNUMBER(--_xlpm.chars), _xlpm.chars, ""))
)</f>
        <v>#VALUE!</v>
      </c>
      <c r="N31" s="16" t="str" cm="1">
        <f t="array" ref="N31">_xlfn.IFS(
   --MacReports!M31&lt;55,"Battery Defect",
  -- MacReports!M31&lt;=69,"Battery D",
  --MacReports!M31&lt;=80,"Battery C",
 --MacReports!M31&gt;80,""
)</f>
        <v>Battery Defect</v>
      </c>
      <c r="O31" s="16" t="str">
        <f>IF(MacReports!I31="Service","Battery Service","")</f>
        <v/>
      </c>
      <c r="P31" s="13">
        <f>MacReports!P31</f>
        <v>0</v>
      </c>
      <c r="Q31" s="13" t="str">
        <f>IF(MacReports!J31="Enabled","Apple ID Lock","")</f>
        <v/>
      </c>
      <c r="R31" s="13" t="str">
        <f>IF(MacReports!L31="y","Remote Locked","")</f>
        <v/>
      </c>
      <c r="S31" t="str">
        <f t="shared" si="2"/>
        <v>Battery Defect, 0</v>
      </c>
      <c r="T31" t="str">
        <f>_xlfn.XLOOKUP(B31,Disk_Pivot!G:G,Disk_Pivot!I:I)</f>
        <v>Yes</v>
      </c>
      <c r="U31" t="str">
        <f>_xlfn.XLOOKUP(B31,Disk_Pivot!G:G,Disk_Pivot!N:N)</f>
        <v>Fail</v>
      </c>
      <c r="V31">
        <f>IF(U31="Fail",MacReports!N31,"")</f>
        <v>0</v>
      </c>
      <c r="AB31" t="str">
        <f t="shared" si="1"/>
        <v/>
      </c>
    </row>
    <row r="32" spans="1:28">
      <c r="A32" t="str">
        <f>MacReports!A32</f>
        <v/>
      </c>
      <c r="B32">
        <f>MacReports!B32</f>
        <v>0</v>
      </c>
      <c r="C32">
        <f>MacReports!C32</f>
        <v>0</v>
      </c>
      <c r="E32" t="e">
        <f>_xlfn.XLOOKUP(G32,Models!A:A,Models!F:F)</f>
        <v>#N/A</v>
      </c>
      <c r="F32" t="str">
        <f>_xlfn.XLOOKUP(B32,MacReports!B:B,MacReports!D:D,"")</f>
        <v/>
      </c>
      <c r="G32" s="13">
        <f>MacReports!E32</f>
        <v>0</v>
      </c>
      <c r="H32" t="e">
        <f>_xlfn.XLOOKUP(G32,Models!A:A,Models!B:B)</f>
        <v>#N/A</v>
      </c>
      <c r="I32" t="e">
        <f>_xlfn.XLOOKUP(G32,Models!A:A,Models!E:E)</f>
        <v>#N/A</v>
      </c>
      <c r="J32" t="e">
        <f>_xlfn.XLOOKUP(G32,Models!A:A,Models!D:D)</f>
        <v>#N/A</v>
      </c>
      <c r="K32">
        <f>MacReports!F32</f>
        <v>0</v>
      </c>
      <c r="L32">
        <f>MacReports!G32</f>
        <v>0</v>
      </c>
      <c r="M32" s="15" t="e" cm="1">
        <f t="array" ref="M32">--_xlfn.LET(
    _xlpm.txt, MacReports!H32,
    _xlpm.chars, MID(_xlpm.txt, _xlfn.SEQUENCE(LEN(_xlpm.txt)), 1),
    _xlfn.TEXTJOIN("", TRUE, IF(ISNUMBER(--_xlpm.chars), _xlpm.chars, ""))
)</f>
        <v>#VALUE!</v>
      </c>
      <c r="N32" s="16" t="str" cm="1">
        <f t="array" ref="N32">_xlfn.IFS(
   --MacReports!M32&lt;55,"Battery Defect",
  -- MacReports!M32&lt;=69,"Battery D",
  --MacReports!M32&lt;=80,"Battery C",
 --MacReports!M32&gt;80,""
)</f>
        <v>Battery Defect</v>
      </c>
      <c r="O32" s="16" t="str">
        <f>IF(MacReports!I32="Service","Battery Service","")</f>
        <v/>
      </c>
      <c r="P32" s="13">
        <f>MacReports!P32</f>
        <v>0</v>
      </c>
      <c r="Q32" s="13" t="str">
        <f>IF(MacReports!J32="Enabled","Apple ID Lock","")</f>
        <v/>
      </c>
      <c r="R32" s="13" t="str">
        <f>IF(MacReports!L32="y","Remote Locked","")</f>
        <v/>
      </c>
      <c r="S32" t="str">
        <f t="shared" si="2"/>
        <v>Battery Defect, 0</v>
      </c>
      <c r="T32" t="str">
        <f>_xlfn.XLOOKUP(B32,Disk_Pivot!G:G,Disk_Pivot!I:I)</f>
        <v>Yes</v>
      </c>
      <c r="U32" t="str">
        <f>_xlfn.XLOOKUP(B32,Disk_Pivot!G:G,Disk_Pivot!N:N)</f>
        <v>Fail</v>
      </c>
      <c r="V32">
        <f>IF(U32="Fail",MacReports!N32,"")</f>
        <v>0</v>
      </c>
      <c r="AB32" t="str">
        <f t="shared" si="1"/>
        <v/>
      </c>
    </row>
    <row r="33" spans="1:28">
      <c r="A33" t="str">
        <f>MacReports!A33</f>
        <v/>
      </c>
      <c r="B33">
        <f>MacReports!B33</f>
        <v>0</v>
      </c>
      <c r="C33">
        <f>MacReports!C33</f>
        <v>0</v>
      </c>
      <c r="E33" t="e">
        <f>_xlfn.XLOOKUP(G33,Models!A:A,Models!F:F)</f>
        <v>#N/A</v>
      </c>
      <c r="F33" t="str">
        <f>_xlfn.XLOOKUP(B33,MacReports!B:B,MacReports!D:D,"")</f>
        <v/>
      </c>
      <c r="G33" s="13">
        <f>MacReports!E33</f>
        <v>0</v>
      </c>
      <c r="H33" t="e">
        <f>_xlfn.XLOOKUP(G33,Models!A:A,Models!B:B)</f>
        <v>#N/A</v>
      </c>
      <c r="I33" t="e">
        <f>_xlfn.XLOOKUP(G33,Models!A:A,Models!E:E)</f>
        <v>#N/A</v>
      </c>
      <c r="J33" t="e">
        <f>_xlfn.XLOOKUP(G33,Models!A:A,Models!D:D)</f>
        <v>#N/A</v>
      </c>
      <c r="K33">
        <f>MacReports!F33</f>
        <v>0</v>
      </c>
      <c r="L33">
        <f>MacReports!G33</f>
        <v>0</v>
      </c>
      <c r="M33" s="15" t="e" cm="1">
        <f t="array" ref="M33">--_xlfn.LET(
    _xlpm.txt, MacReports!H33,
    _xlpm.chars, MID(_xlpm.txt, _xlfn.SEQUENCE(LEN(_xlpm.txt)), 1),
    _xlfn.TEXTJOIN("", TRUE, IF(ISNUMBER(--_xlpm.chars), _xlpm.chars, ""))
)</f>
        <v>#VALUE!</v>
      </c>
      <c r="N33" s="16" t="str" cm="1">
        <f t="array" ref="N33">_xlfn.IFS(
   --MacReports!M33&lt;55,"Battery Defect",
  -- MacReports!M33&lt;=69,"Battery D",
  --MacReports!M33&lt;=80,"Battery C",
 --MacReports!M33&gt;80,""
)</f>
        <v>Battery Defect</v>
      </c>
      <c r="O33" s="16" t="str">
        <f>IF(MacReports!I33="Service","Battery Service","")</f>
        <v/>
      </c>
      <c r="P33" s="13">
        <f>MacReports!P33</f>
        <v>0</v>
      </c>
      <c r="Q33" s="13" t="str">
        <f>IF(MacReports!J33="Enabled","Apple ID Lock","")</f>
        <v/>
      </c>
      <c r="R33" s="13" t="str">
        <f>IF(MacReports!L33="y","Remote Locked","")</f>
        <v/>
      </c>
      <c r="S33" t="str">
        <f t="shared" si="2"/>
        <v>Battery Defect, 0</v>
      </c>
      <c r="T33" t="str">
        <f>_xlfn.XLOOKUP(B33,Disk_Pivot!G:G,Disk_Pivot!I:I)</f>
        <v>Yes</v>
      </c>
      <c r="U33" t="str">
        <f>_xlfn.XLOOKUP(B33,Disk_Pivot!G:G,Disk_Pivot!N:N)</f>
        <v>Fail</v>
      </c>
      <c r="V33">
        <f>IF(U33="Fail",MacReports!N33,"")</f>
        <v>0</v>
      </c>
      <c r="AB33" t="str">
        <f t="shared" si="1"/>
        <v/>
      </c>
    </row>
    <row r="34" spans="1:28">
      <c r="A34" t="str">
        <f>MacReports!A34</f>
        <v/>
      </c>
      <c r="B34">
        <f>MacReports!B34</f>
        <v>0</v>
      </c>
      <c r="C34">
        <f>MacReports!C34</f>
        <v>0</v>
      </c>
      <c r="E34" t="e">
        <f>_xlfn.XLOOKUP(G34,Models!A:A,Models!F:F)</f>
        <v>#N/A</v>
      </c>
      <c r="F34" t="str">
        <f>_xlfn.XLOOKUP(B34,MacReports!B:B,MacReports!D:D,"")</f>
        <v/>
      </c>
      <c r="G34" s="13">
        <f>MacReports!E34</f>
        <v>0</v>
      </c>
      <c r="H34" t="e">
        <f>_xlfn.XLOOKUP(G34,Models!A:A,Models!B:B)</f>
        <v>#N/A</v>
      </c>
      <c r="I34" t="e">
        <f>_xlfn.XLOOKUP(G34,Models!A:A,Models!E:E)</f>
        <v>#N/A</v>
      </c>
      <c r="J34" t="e">
        <f>_xlfn.XLOOKUP(G34,Models!A:A,Models!D:D)</f>
        <v>#N/A</v>
      </c>
      <c r="K34">
        <f>MacReports!F34</f>
        <v>0</v>
      </c>
      <c r="L34">
        <f>MacReports!G34</f>
        <v>0</v>
      </c>
      <c r="M34" s="15" t="e" cm="1">
        <f t="array" ref="M34">--_xlfn.LET(
    _xlpm.txt, MacReports!H34,
    _xlpm.chars, MID(_xlpm.txt, _xlfn.SEQUENCE(LEN(_xlpm.txt)), 1),
    _xlfn.TEXTJOIN("", TRUE, IF(ISNUMBER(--_xlpm.chars), _xlpm.chars, ""))
)</f>
        <v>#VALUE!</v>
      </c>
      <c r="N34" s="16" t="str" cm="1">
        <f t="array" ref="N34">_xlfn.IFS(
   --MacReports!M34&lt;55,"Battery Defect",
  -- MacReports!M34&lt;=69,"Battery D",
  --MacReports!M34&lt;=80,"Battery C",
 --MacReports!M34&gt;80,""
)</f>
        <v>Battery Defect</v>
      </c>
      <c r="O34" s="16" t="str">
        <f>IF(MacReports!I34="Service","Battery Service","")</f>
        <v/>
      </c>
      <c r="P34" s="13">
        <f>MacReports!P34</f>
        <v>0</v>
      </c>
      <c r="Q34" s="13" t="str">
        <f>IF(MacReports!J34="Enabled","Apple ID Lock","")</f>
        <v/>
      </c>
      <c r="R34" s="13" t="str">
        <f>IF(MacReports!L34="y","Remote Locked","")</f>
        <v/>
      </c>
      <c r="S34" t="str">
        <f t="shared" si="2"/>
        <v>Battery Defect, 0</v>
      </c>
      <c r="T34" t="str">
        <f>_xlfn.XLOOKUP(B34,Disk_Pivot!G:G,Disk_Pivot!I:I)</f>
        <v>Yes</v>
      </c>
      <c r="U34" t="str">
        <f>_xlfn.XLOOKUP(B34,Disk_Pivot!G:G,Disk_Pivot!N:N)</f>
        <v>Fail</v>
      </c>
      <c r="V34">
        <f>IF(U34="Fail",MacReports!N34,"")</f>
        <v>0</v>
      </c>
      <c r="AB34" t="str">
        <f t="shared" si="1"/>
        <v/>
      </c>
    </row>
    <row r="35" spans="1:28">
      <c r="A35" t="str">
        <f>MacReports!A35</f>
        <v/>
      </c>
      <c r="B35">
        <f>MacReports!B35</f>
        <v>0</v>
      </c>
      <c r="C35">
        <f>MacReports!C35</f>
        <v>0</v>
      </c>
      <c r="E35" t="e">
        <f>_xlfn.XLOOKUP(G35,Models!A:A,Models!F:F)</f>
        <v>#N/A</v>
      </c>
      <c r="F35" t="str">
        <f>_xlfn.XLOOKUP(B35,MacReports!B:B,MacReports!D:D,"")</f>
        <v/>
      </c>
      <c r="G35" s="13">
        <f>MacReports!E35</f>
        <v>0</v>
      </c>
      <c r="H35" t="e">
        <f>_xlfn.XLOOKUP(G35,Models!A:A,Models!B:B)</f>
        <v>#N/A</v>
      </c>
      <c r="I35" t="e">
        <f>_xlfn.XLOOKUP(G35,Models!A:A,Models!E:E)</f>
        <v>#N/A</v>
      </c>
      <c r="J35" t="e">
        <f>_xlfn.XLOOKUP(G35,Models!A:A,Models!D:D)</f>
        <v>#N/A</v>
      </c>
      <c r="K35">
        <f>MacReports!F35</f>
        <v>0</v>
      </c>
      <c r="L35">
        <f>MacReports!G35</f>
        <v>0</v>
      </c>
      <c r="M35" s="15" t="e" cm="1">
        <f t="array" ref="M35">--_xlfn.LET(
    _xlpm.txt, MacReports!H35,
    _xlpm.chars, MID(_xlpm.txt, _xlfn.SEQUENCE(LEN(_xlpm.txt)), 1),
    _xlfn.TEXTJOIN("", TRUE, IF(ISNUMBER(--_xlpm.chars), _xlpm.chars, ""))
)</f>
        <v>#VALUE!</v>
      </c>
      <c r="N35" s="16" t="str" cm="1">
        <f t="array" ref="N35">_xlfn.IFS(
   --MacReports!M35&lt;55,"Battery Defect",
  -- MacReports!M35&lt;=69,"Battery D",
  --MacReports!M35&lt;=80,"Battery C",
 --MacReports!M35&gt;80,""
)</f>
        <v>Battery Defect</v>
      </c>
      <c r="O35" s="16" t="str">
        <f>IF(MacReports!I35="Service","Battery Service","")</f>
        <v/>
      </c>
      <c r="P35" s="13">
        <f>MacReports!P35</f>
        <v>0</v>
      </c>
      <c r="Q35" s="13" t="str">
        <f>IF(MacReports!J35="Enabled","Apple ID Lock","")</f>
        <v/>
      </c>
      <c r="R35" s="13" t="str">
        <f>IF(MacReports!L35="y","Remote Locked","")</f>
        <v/>
      </c>
      <c r="S35" t="str">
        <f t="shared" ref="S35:S98" si="3">_xlfn.TEXTJOIN(", ",TRUE,Q35,R35,N35,O35,P35)</f>
        <v>Battery Defect, 0</v>
      </c>
      <c r="T35" t="str">
        <f>_xlfn.XLOOKUP(B35,Disk_Pivot!G:G,Disk_Pivot!I:I)</f>
        <v>Yes</v>
      </c>
      <c r="U35" t="str">
        <f>_xlfn.XLOOKUP(B35,Disk_Pivot!G:G,Disk_Pivot!N:N)</f>
        <v>Fail</v>
      </c>
      <c r="V35">
        <f>IF(U35="Fail",MacReports!N35,"")</f>
        <v>0</v>
      </c>
      <c r="AB35" t="str">
        <f t="shared" ref="AB35:AB98" si="4">_xlfn.TEXTJOIN(", ",TRUE,Q35,R35)</f>
        <v/>
      </c>
    </row>
    <row r="36" spans="1:28">
      <c r="A36" t="str">
        <f>MacReports!A36</f>
        <v/>
      </c>
      <c r="B36">
        <f>MacReports!B36</f>
        <v>0</v>
      </c>
      <c r="C36">
        <f>MacReports!C36</f>
        <v>0</v>
      </c>
      <c r="E36" t="e">
        <f>_xlfn.XLOOKUP(G36,Models!A:A,Models!F:F)</f>
        <v>#N/A</v>
      </c>
      <c r="F36" t="str">
        <f>_xlfn.XLOOKUP(B36,MacReports!B:B,MacReports!D:D,"")</f>
        <v/>
      </c>
      <c r="G36" s="13">
        <f>MacReports!E36</f>
        <v>0</v>
      </c>
      <c r="H36" t="e">
        <f>_xlfn.XLOOKUP(G36,Models!A:A,Models!B:B)</f>
        <v>#N/A</v>
      </c>
      <c r="I36" t="e">
        <f>_xlfn.XLOOKUP(G36,Models!A:A,Models!E:E)</f>
        <v>#N/A</v>
      </c>
      <c r="J36" t="e">
        <f>_xlfn.XLOOKUP(G36,Models!A:A,Models!D:D)</f>
        <v>#N/A</v>
      </c>
      <c r="K36">
        <f>MacReports!F36</f>
        <v>0</v>
      </c>
      <c r="L36">
        <f>MacReports!G36</f>
        <v>0</v>
      </c>
      <c r="M36" s="15" t="e" cm="1">
        <f t="array" ref="M36">--_xlfn.LET(
    _xlpm.txt, MacReports!H36,
    _xlpm.chars, MID(_xlpm.txt, _xlfn.SEQUENCE(LEN(_xlpm.txt)), 1),
    _xlfn.TEXTJOIN("", TRUE, IF(ISNUMBER(--_xlpm.chars), _xlpm.chars, ""))
)</f>
        <v>#VALUE!</v>
      </c>
      <c r="N36" s="16" t="str" cm="1">
        <f t="array" ref="N36">_xlfn.IFS(
   --MacReports!M36&lt;55,"Battery Defect",
  -- MacReports!M36&lt;=69,"Battery D",
  --MacReports!M36&lt;=80,"Battery C",
 --MacReports!M36&gt;80,""
)</f>
        <v>Battery Defect</v>
      </c>
      <c r="O36" s="16" t="str">
        <f>IF(MacReports!I36="Service","Battery Service","")</f>
        <v/>
      </c>
      <c r="P36" s="13">
        <f>MacReports!P36</f>
        <v>0</v>
      </c>
      <c r="Q36" s="13" t="str">
        <f>IF(MacReports!J36="Enabled","Apple ID Lock","")</f>
        <v/>
      </c>
      <c r="R36" s="13" t="str">
        <f>IF(MacReports!L36="y","Remote Locked","")</f>
        <v/>
      </c>
      <c r="S36" t="str">
        <f t="shared" si="3"/>
        <v>Battery Defect, 0</v>
      </c>
      <c r="T36" t="str">
        <f>_xlfn.XLOOKUP(B36,Disk_Pivot!G:G,Disk_Pivot!I:I)</f>
        <v>Yes</v>
      </c>
      <c r="U36" t="str">
        <f>_xlfn.XLOOKUP(B36,Disk_Pivot!G:G,Disk_Pivot!N:N)</f>
        <v>Fail</v>
      </c>
      <c r="V36">
        <f>IF(U36="Fail",MacReports!N36,"")</f>
        <v>0</v>
      </c>
      <c r="AB36" t="str">
        <f t="shared" si="4"/>
        <v/>
      </c>
    </row>
    <row r="37" spans="1:28">
      <c r="A37" t="str">
        <f>MacReports!A37</f>
        <v/>
      </c>
      <c r="B37">
        <f>MacReports!B37</f>
        <v>0</v>
      </c>
      <c r="C37">
        <f>MacReports!C37</f>
        <v>0</v>
      </c>
      <c r="E37" t="e">
        <f>_xlfn.XLOOKUP(G37,Models!A:A,Models!F:F)</f>
        <v>#N/A</v>
      </c>
      <c r="F37" t="str">
        <f>_xlfn.XLOOKUP(B37,MacReports!B:B,MacReports!D:D,"")</f>
        <v/>
      </c>
      <c r="G37" s="13">
        <f>MacReports!E37</f>
        <v>0</v>
      </c>
      <c r="H37" t="e">
        <f>_xlfn.XLOOKUP(G37,Models!A:A,Models!B:B)</f>
        <v>#N/A</v>
      </c>
      <c r="I37" t="e">
        <f>_xlfn.XLOOKUP(G37,Models!A:A,Models!E:E)</f>
        <v>#N/A</v>
      </c>
      <c r="J37" t="e">
        <f>_xlfn.XLOOKUP(G37,Models!A:A,Models!D:D)</f>
        <v>#N/A</v>
      </c>
      <c r="K37">
        <f>MacReports!F37</f>
        <v>0</v>
      </c>
      <c r="L37">
        <f>MacReports!G37</f>
        <v>0</v>
      </c>
      <c r="M37" s="15" t="e" cm="1">
        <f t="array" ref="M37">--_xlfn.LET(
    _xlpm.txt, MacReports!H37,
    _xlpm.chars, MID(_xlpm.txt, _xlfn.SEQUENCE(LEN(_xlpm.txt)), 1),
    _xlfn.TEXTJOIN("", TRUE, IF(ISNUMBER(--_xlpm.chars), _xlpm.chars, ""))
)</f>
        <v>#VALUE!</v>
      </c>
      <c r="N37" s="16" t="str" cm="1">
        <f t="array" ref="N37">_xlfn.IFS(
   --MacReports!M37&lt;55,"Battery Defect",
  -- MacReports!M37&lt;=69,"Battery D",
  --MacReports!M37&lt;=80,"Battery C",
 --MacReports!M37&gt;80,""
)</f>
        <v>Battery Defect</v>
      </c>
      <c r="O37" s="16" t="str">
        <f>IF(MacReports!I37="Service","Battery Service","")</f>
        <v/>
      </c>
      <c r="P37" s="13">
        <f>MacReports!P37</f>
        <v>0</v>
      </c>
      <c r="Q37" s="13" t="str">
        <f>IF(MacReports!J37="Enabled","Apple ID Lock","")</f>
        <v/>
      </c>
      <c r="R37" s="13" t="str">
        <f>IF(MacReports!L37="y","Remote Locked","")</f>
        <v/>
      </c>
      <c r="S37" t="str">
        <f t="shared" si="3"/>
        <v>Battery Defect, 0</v>
      </c>
      <c r="T37" t="str">
        <f>_xlfn.XLOOKUP(B37,Disk_Pivot!G:G,Disk_Pivot!I:I)</f>
        <v>Yes</v>
      </c>
      <c r="U37" t="str">
        <f>_xlfn.XLOOKUP(B37,Disk_Pivot!G:G,Disk_Pivot!N:N)</f>
        <v>Fail</v>
      </c>
      <c r="V37">
        <f>IF(U37="Fail",MacReports!N37,"")</f>
        <v>0</v>
      </c>
      <c r="AB37" t="str">
        <f t="shared" si="4"/>
        <v/>
      </c>
    </row>
    <row r="38" spans="1:28">
      <c r="A38" t="str">
        <f>MacReports!A38</f>
        <v/>
      </c>
      <c r="B38">
        <f>MacReports!B38</f>
        <v>0</v>
      </c>
      <c r="C38">
        <f>MacReports!C38</f>
        <v>0</v>
      </c>
      <c r="E38" t="e">
        <f>_xlfn.XLOOKUP(G38,Models!A:A,Models!F:F)</f>
        <v>#N/A</v>
      </c>
      <c r="F38" t="str">
        <f>_xlfn.XLOOKUP(B38,MacReports!B:B,MacReports!D:D,"")</f>
        <v/>
      </c>
      <c r="G38" s="13">
        <f>MacReports!E38</f>
        <v>0</v>
      </c>
      <c r="H38" t="e">
        <f>_xlfn.XLOOKUP(G38,Models!A:A,Models!B:B)</f>
        <v>#N/A</v>
      </c>
      <c r="I38" t="e">
        <f>_xlfn.XLOOKUP(G38,Models!A:A,Models!E:E)</f>
        <v>#N/A</v>
      </c>
      <c r="J38" t="e">
        <f>_xlfn.XLOOKUP(G38,Models!A:A,Models!D:D)</f>
        <v>#N/A</v>
      </c>
      <c r="K38">
        <f>MacReports!F38</f>
        <v>0</v>
      </c>
      <c r="L38">
        <f>MacReports!G38</f>
        <v>0</v>
      </c>
      <c r="M38" s="15" t="e" cm="1">
        <f t="array" ref="M38">--_xlfn.LET(
    _xlpm.txt, MacReports!H38,
    _xlpm.chars, MID(_xlpm.txt, _xlfn.SEQUENCE(LEN(_xlpm.txt)), 1),
    _xlfn.TEXTJOIN("", TRUE, IF(ISNUMBER(--_xlpm.chars), _xlpm.chars, ""))
)</f>
        <v>#VALUE!</v>
      </c>
      <c r="N38" s="16" t="str" cm="1">
        <f t="array" ref="N38">_xlfn.IFS(
   --MacReports!M38&lt;55,"Battery Defect",
  -- MacReports!M38&lt;=69,"Battery D",
  --MacReports!M38&lt;=80,"Battery C",
 --MacReports!M38&gt;80,""
)</f>
        <v>Battery Defect</v>
      </c>
      <c r="O38" s="16" t="str">
        <f>IF(MacReports!I38="Service","Battery Service","")</f>
        <v/>
      </c>
      <c r="P38" s="13">
        <f>MacReports!P38</f>
        <v>0</v>
      </c>
      <c r="Q38" s="13" t="str">
        <f>IF(MacReports!J38="Enabled","Apple ID Lock","")</f>
        <v/>
      </c>
      <c r="R38" s="13" t="str">
        <f>IF(MacReports!L38="y","Remote Locked","")</f>
        <v/>
      </c>
      <c r="S38" t="str">
        <f t="shared" si="3"/>
        <v>Battery Defect, 0</v>
      </c>
      <c r="T38" t="str">
        <f>_xlfn.XLOOKUP(B38,Disk_Pivot!G:G,Disk_Pivot!I:I)</f>
        <v>Yes</v>
      </c>
      <c r="U38" t="str">
        <f>_xlfn.XLOOKUP(B38,Disk_Pivot!G:G,Disk_Pivot!N:N)</f>
        <v>Fail</v>
      </c>
      <c r="V38">
        <f>IF(U38="Fail",MacReports!N38,"")</f>
        <v>0</v>
      </c>
      <c r="AB38" t="str">
        <f t="shared" si="4"/>
        <v/>
      </c>
    </row>
    <row r="39" spans="1:28">
      <c r="A39" t="str">
        <f>MacReports!A39</f>
        <v/>
      </c>
      <c r="B39">
        <f>MacReports!B39</f>
        <v>0</v>
      </c>
      <c r="C39">
        <f>MacReports!C39</f>
        <v>0</v>
      </c>
      <c r="E39" t="e">
        <f>_xlfn.XLOOKUP(G39,Models!A:A,Models!F:F)</f>
        <v>#N/A</v>
      </c>
      <c r="F39" t="str">
        <f>_xlfn.XLOOKUP(B39,MacReports!B:B,MacReports!D:D,"")</f>
        <v/>
      </c>
      <c r="G39" s="13">
        <f>MacReports!E39</f>
        <v>0</v>
      </c>
      <c r="H39" t="e">
        <f>_xlfn.XLOOKUP(G39,Models!A:A,Models!B:B)</f>
        <v>#N/A</v>
      </c>
      <c r="I39" t="e">
        <f>_xlfn.XLOOKUP(G39,Models!A:A,Models!E:E)</f>
        <v>#N/A</v>
      </c>
      <c r="J39" t="e">
        <f>_xlfn.XLOOKUP(G39,Models!A:A,Models!D:D)</f>
        <v>#N/A</v>
      </c>
      <c r="K39">
        <f>MacReports!F39</f>
        <v>0</v>
      </c>
      <c r="L39">
        <f>MacReports!G39</f>
        <v>0</v>
      </c>
      <c r="M39" s="15" t="e" cm="1">
        <f t="array" ref="M39">--_xlfn.LET(
    _xlpm.txt, MacReports!H39,
    _xlpm.chars, MID(_xlpm.txt, _xlfn.SEQUENCE(LEN(_xlpm.txt)), 1),
    _xlfn.TEXTJOIN("", TRUE, IF(ISNUMBER(--_xlpm.chars), _xlpm.chars, ""))
)</f>
        <v>#VALUE!</v>
      </c>
      <c r="N39" s="16" t="str" cm="1">
        <f t="array" ref="N39">_xlfn.IFS(
   --MacReports!M39&lt;55,"Battery Defect",
  -- MacReports!M39&lt;=69,"Battery D",
  --MacReports!M39&lt;=80,"Battery C",
 --MacReports!M39&gt;80,""
)</f>
        <v>Battery Defect</v>
      </c>
      <c r="O39" s="16" t="str">
        <f>IF(MacReports!I39="Service","Battery Service","")</f>
        <v/>
      </c>
      <c r="P39" s="13">
        <f>MacReports!P39</f>
        <v>0</v>
      </c>
      <c r="Q39" s="13" t="str">
        <f>IF(MacReports!J39="Enabled","Apple ID Lock","")</f>
        <v/>
      </c>
      <c r="R39" s="13" t="str">
        <f>IF(MacReports!L39="y","Remote Locked","")</f>
        <v/>
      </c>
      <c r="S39" t="str">
        <f t="shared" si="3"/>
        <v>Battery Defect, 0</v>
      </c>
      <c r="T39" t="str">
        <f>_xlfn.XLOOKUP(B39,Disk_Pivot!G:G,Disk_Pivot!I:I)</f>
        <v>Yes</v>
      </c>
      <c r="U39" t="str">
        <f>_xlfn.XLOOKUP(B39,Disk_Pivot!G:G,Disk_Pivot!N:N)</f>
        <v>Fail</v>
      </c>
      <c r="V39">
        <f>IF(U39="Fail",MacReports!N39,"")</f>
        <v>0</v>
      </c>
      <c r="AB39" t="str">
        <f t="shared" si="4"/>
        <v/>
      </c>
    </row>
    <row r="40" spans="1:28">
      <c r="A40" t="str">
        <f>MacReports!A40</f>
        <v/>
      </c>
      <c r="B40">
        <f>MacReports!B40</f>
        <v>0</v>
      </c>
      <c r="C40">
        <f>MacReports!C40</f>
        <v>0</v>
      </c>
      <c r="E40" t="e">
        <f>_xlfn.XLOOKUP(G40,Models!A:A,Models!F:F)</f>
        <v>#N/A</v>
      </c>
      <c r="F40" t="str">
        <f>_xlfn.XLOOKUP(B40,MacReports!B:B,MacReports!D:D,"")</f>
        <v/>
      </c>
      <c r="G40" s="13">
        <f>MacReports!E40</f>
        <v>0</v>
      </c>
      <c r="H40" t="e">
        <f>_xlfn.XLOOKUP(G40,Models!A:A,Models!B:B)</f>
        <v>#N/A</v>
      </c>
      <c r="I40" t="e">
        <f>_xlfn.XLOOKUP(G40,Models!A:A,Models!E:E)</f>
        <v>#N/A</v>
      </c>
      <c r="J40" t="e">
        <f>_xlfn.XLOOKUP(G40,Models!A:A,Models!D:D)</f>
        <v>#N/A</v>
      </c>
      <c r="K40">
        <f>MacReports!F40</f>
        <v>0</v>
      </c>
      <c r="L40">
        <f>MacReports!G40</f>
        <v>0</v>
      </c>
      <c r="M40" s="15" t="e" cm="1">
        <f t="array" ref="M40">--_xlfn.LET(
    _xlpm.txt, MacReports!H40,
    _xlpm.chars, MID(_xlpm.txt, _xlfn.SEQUENCE(LEN(_xlpm.txt)), 1),
    _xlfn.TEXTJOIN("", TRUE, IF(ISNUMBER(--_xlpm.chars), _xlpm.chars, ""))
)</f>
        <v>#VALUE!</v>
      </c>
      <c r="N40" s="16" t="str" cm="1">
        <f t="array" ref="N40">_xlfn.IFS(
   --MacReports!M40&lt;55,"Battery Defect",
  -- MacReports!M40&lt;=69,"Battery D",
  --MacReports!M40&lt;=80,"Battery C",
 --MacReports!M40&gt;80,""
)</f>
        <v>Battery Defect</v>
      </c>
      <c r="O40" s="16" t="str">
        <f>IF(MacReports!I40="Service","Battery Service","")</f>
        <v/>
      </c>
      <c r="P40" s="13">
        <f>MacReports!P40</f>
        <v>0</v>
      </c>
      <c r="Q40" s="13" t="str">
        <f>IF(MacReports!J40="Enabled","Apple ID Lock","")</f>
        <v/>
      </c>
      <c r="R40" s="13" t="str">
        <f>IF(MacReports!L40="y","Remote Locked","")</f>
        <v/>
      </c>
      <c r="S40" t="str">
        <f t="shared" si="3"/>
        <v>Battery Defect, 0</v>
      </c>
      <c r="T40" t="str">
        <f>_xlfn.XLOOKUP(B40,Disk_Pivot!G:G,Disk_Pivot!I:I)</f>
        <v>Yes</v>
      </c>
      <c r="U40" t="str">
        <f>_xlfn.XLOOKUP(B40,Disk_Pivot!G:G,Disk_Pivot!N:N)</f>
        <v>Fail</v>
      </c>
      <c r="V40">
        <f>IF(U40="Fail",MacReports!N40,"")</f>
        <v>0</v>
      </c>
      <c r="AB40" t="str">
        <f t="shared" si="4"/>
        <v/>
      </c>
    </row>
    <row r="41" spans="1:28">
      <c r="A41" t="str">
        <f>MacReports!A41</f>
        <v/>
      </c>
      <c r="B41">
        <f>MacReports!B41</f>
        <v>0</v>
      </c>
      <c r="C41">
        <f>MacReports!C41</f>
        <v>0</v>
      </c>
      <c r="E41" t="e">
        <f>_xlfn.XLOOKUP(G41,Models!A:A,Models!F:F)</f>
        <v>#N/A</v>
      </c>
      <c r="F41" t="str">
        <f>_xlfn.XLOOKUP(B41,MacReports!B:B,MacReports!D:D,"")</f>
        <v/>
      </c>
      <c r="G41" s="13">
        <f>MacReports!E41</f>
        <v>0</v>
      </c>
      <c r="H41" t="e">
        <f>_xlfn.XLOOKUP(G41,Models!A:A,Models!B:B)</f>
        <v>#N/A</v>
      </c>
      <c r="I41" t="e">
        <f>_xlfn.XLOOKUP(G41,Models!A:A,Models!E:E)</f>
        <v>#N/A</v>
      </c>
      <c r="J41" t="e">
        <f>_xlfn.XLOOKUP(G41,Models!A:A,Models!D:D)</f>
        <v>#N/A</v>
      </c>
      <c r="K41">
        <f>MacReports!F41</f>
        <v>0</v>
      </c>
      <c r="L41">
        <f>MacReports!G41</f>
        <v>0</v>
      </c>
      <c r="M41" s="15" t="e" cm="1">
        <f t="array" ref="M41">--_xlfn.LET(
    _xlpm.txt, MacReports!H41,
    _xlpm.chars, MID(_xlpm.txt, _xlfn.SEQUENCE(LEN(_xlpm.txt)), 1),
    _xlfn.TEXTJOIN("", TRUE, IF(ISNUMBER(--_xlpm.chars), _xlpm.chars, ""))
)</f>
        <v>#VALUE!</v>
      </c>
      <c r="N41" s="16" t="str" cm="1">
        <f t="array" ref="N41">_xlfn.IFS(
   --MacReports!M41&lt;55,"Battery Defect",
  -- MacReports!M41&lt;=69,"Battery D",
  --MacReports!M41&lt;=80,"Battery C",
 --MacReports!M41&gt;80,""
)</f>
        <v>Battery Defect</v>
      </c>
      <c r="O41" s="16" t="str">
        <f>IF(MacReports!I41="Service","Battery Service","")</f>
        <v/>
      </c>
      <c r="P41" s="13">
        <f>MacReports!P41</f>
        <v>0</v>
      </c>
      <c r="Q41" s="13" t="str">
        <f>IF(MacReports!J41="Enabled","Apple ID Lock","")</f>
        <v/>
      </c>
      <c r="R41" s="13" t="str">
        <f>IF(MacReports!L41="y","Remote Locked","")</f>
        <v/>
      </c>
      <c r="S41" t="str">
        <f t="shared" si="3"/>
        <v>Battery Defect, 0</v>
      </c>
      <c r="T41" t="str">
        <f>_xlfn.XLOOKUP(B41,Disk_Pivot!G:G,Disk_Pivot!I:I)</f>
        <v>Yes</v>
      </c>
      <c r="U41" t="str">
        <f>_xlfn.XLOOKUP(B41,Disk_Pivot!G:G,Disk_Pivot!N:N)</f>
        <v>Fail</v>
      </c>
      <c r="V41">
        <f>IF(U41="Fail",MacReports!N41,"")</f>
        <v>0</v>
      </c>
      <c r="AB41" t="str">
        <f t="shared" si="4"/>
        <v/>
      </c>
    </row>
    <row r="42" spans="1:28">
      <c r="A42" t="str">
        <f>MacReports!A42</f>
        <v/>
      </c>
      <c r="B42">
        <f>MacReports!B42</f>
        <v>0</v>
      </c>
      <c r="C42">
        <f>MacReports!C42</f>
        <v>0</v>
      </c>
      <c r="E42" t="e">
        <f>_xlfn.XLOOKUP(G42,Models!A:A,Models!F:F)</f>
        <v>#N/A</v>
      </c>
      <c r="F42" t="str">
        <f>_xlfn.XLOOKUP(B42,MacReports!B:B,MacReports!D:D,"")</f>
        <v/>
      </c>
      <c r="G42" s="13">
        <f>MacReports!E42</f>
        <v>0</v>
      </c>
      <c r="H42" t="e">
        <f>_xlfn.XLOOKUP(G42,Models!A:A,Models!B:B)</f>
        <v>#N/A</v>
      </c>
      <c r="I42" t="e">
        <f>_xlfn.XLOOKUP(G42,Models!A:A,Models!E:E)</f>
        <v>#N/A</v>
      </c>
      <c r="J42" t="e">
        <f>_xlfn.XLOOKUP(G42,Models!A:A,Models!D:D)</f>
        <v>#N/A</v>
      </c>
      <c r="K42">
        <f>MacReports!F42</f>
        <v>0</v>
      </c>
      <c r="L42">
        <f>MacReports!G42</f>
        <v>0</v>
      </c>
      <c r="M42" s="15" t="e" cm="1">
        <f t="array" ref="M42">--_xlfn.LET(
    _xlpm.txt, MacReports!H42,
    _xlpm.chars, MID(_xlpm.txt, _xlfn.SEQUENCE(LEN(_xlpm.txt)), 1),
    _xlfn.TEXTJOIN("", TRUE, IF(ISNUMBER(--_xlpm.chars), _xlpm.chars, ""))
)</f>
        <v>#VALUE!</v>
      </c>
      <c r="N42" s="16" t="str" cm="1">
        <f t="array" ref="N42">_xlfn.IFS(
   --MacReports!M42&lt;55,"Battery Defect",
  -- MacReports!M42&lt;=69,"Battery D",
  --MacReports!M42&lt;=80,"Battery C",
 --MacReports!M42&gt;80,""
)</f>
        <v>Battery Defect</v>
      </c>
      <c r="O42" s="16" t="str">
        <f>IF(MacReports!I42="Service","Battery Service","")</f>
        <v/>
      </c>
      <c r="P42" s="13">
        <f>MacReports!P42</f>
        <v>0</v>
      </c>
      <c r="Q42" s="13" t="str">
        <f>IF(MacReports!J42="Enabled","Apple ID Lock","")</f>
        <v/>
      </c>
      <c r="R42" s="13" t="str">
        <f>IF(MacReports!L42="y","Remote Locked","")</f>
        <v/>
      </c>
      <c r="S42" t="str">
        <f t="shared" si="3"/>
        <v>Battery Defect, 0</v>
      </c>
      <c r="T42" t="str">
        <f>_xlfn.XLOOKUP(B42,Disk_Pivot!G:G,Disk_Pivot!I:I)</f>
        <v>Yes</v>
      </c>
      <c r="U42" t="str">
        <f>_xlfn.XLOOKUP(B42,Disk_Pivot!G:G,Disk_Pivot!N:N)</f>
        <v>Fail</v>
      </c>
      <c r="V42">
        <f>IF(U42="Fail",MacReports!N42,"")</f>
        <v>0</v>
      </c>
      <c r="AB42" t="str">
        <f t="shared" si="4"/>
        <v/>
      </c>
    </row>
    <row r="43" spans="1:28">
      <c r="A43" t="str">
        <f>MacReports!A43</f>
        <v/>
      </c>
      <c r="B43">
        <f>MacReports!B43</f>
        <v>0</v>
      </c>
      <c r="C43">
        <f>MacReports!C43</f>
        <v>0</v>
      </c>
      <c r="E43" t="e">
        <f>_xlfn.XLOOKUP(G43,Models!A:A,Models!F:F)</f>
        <v>#N/A</v>
      </c>
      <c r="F43" t="str">
        <f>_xlfn.XLOOKUP(B43,MacReports!B:B,MacReports!D:D,"")</f>
        <v/>
      </c>
      <c r="G43" s="13">
        <f>MacReports!E43</f>
        <v>0</v>
      </c>
      <c r="H43" t="e">
        <f>_xlfn.XLOOKUP(G43,Models!A:A,Models!B:B)</f>
        <v>#N/A</v>
      </c>
      <c r="I43" t="e">
        <f>_xlfn.XLOOKUP(G43,Models!A:A,Models!E:E)</f>
        <v>#N/A</v>
      </c>
      <c r="J43" t="e">
        <f>_xlfn.XLOOKUP(G43,Models!A:A,Models!D:D)</f>
        <v>#N/A</v>
      </c>
      <c r="K43">
        <f>MacReports!F43</f>
        <v>0</v>
      </c>
      <c r="L43">
        <f>MacReports!G43</f>
        <v>0</v>
      </c>
      <c r="M43" s="15" t="e" cm="1">
        <f t="array" ref="M43">--_xlfn.LET(
    _xlpm.txt, MacReports!H43,
    _xlpm.chars, MID(_xlpm.txt, _xlfn.SEQUENCE(LEN(_xlpm.txt)), 1),
    _xlfn.TEXTJOIN("", TRUE, IF(ISNUMBER(--_xlpm.chars), _xlpm.chars, ""))
)</f>
        <v>#VALUE!</v>
      </c>
      <c r="N43" s="16" t="str" cm="1">
        <f t="array" ref="N43">_xlfn.IFS(
   --MacReports!M43&lt;55,"Battery Defect",
  -- MacReports!M43&lt;=69,"Battery D",
  --MacReports!M43&lt;=80,"Battery C",
 --MacReports!M43&gt;80,""
)</f>
        <v>Battery Defect</v>
      </c>
      <c r="O43" s="16" t="str">
        <f>IF(MacReports!I43="Service","Battery Service","")</f>
        <v/>
      </c>
      <c r="P43" s="13">
        <f>MacReports!P43</f>
        <v>0</v>
      </c>
      <c r="Q43" s="13" t="str">
        <f>IF(MacReports!J43="Enabled","Apple ID Lock","")</f>
        <v/>
      </c>
      <c r="R43" s="13" t="str">
        <f>IF(MacReports!L43="y","Remote Locked","")</f>
        <v/>
      </c>
      <c r="S43" t="str">
        <f t="shared" si="3"/>
        <v>Battery Defect, 0</v>
      </c>
      <c r="T43" t="str">
        <f>_xlfn.XLOOKUP(B43,Disk_Pivot!G:G,Disk_Pivot!I:I)</f>
        <v>Yes</v>
      </c>
      <c r="U43" t="str">
        <f>_xlfn.XLOOKUP(B43,Disk_Pivot!G:G,Disk_Pivot!N:N)</f>
        <v>Fail</v>
      </c>
      <c r="V43">
        <f>IF(U43="Fail",MacReports!N43,"")</f>
        <v>0</v>
      </c>
      <c r="AB43" t="str">
        <f t="shared" si="4"/>
        <v/>
      </c>
    </row>
    <row r="44" spans="1:28">
      <c r="A44" t="str">
        <f>MacReports!A44</f>
        <v/>
      </c>
      <c r="B44">
        <f>MacReports!B44</f>
        <v>0</v>
      </c>
      <c r="C44">
        <f>MacReports!C44</f>
        <v>0</v>
      </c>
      <c r="E44" t="e">
        <f>_xlfn.XLOOKUP(G44,Models!A:A,Models!F:F)</f>
        <v>#N/A</v>
      </c>
      <c r="F44" t="str">
        <f>_xlfn.XLOOKUP(B44,MacReports!B:B,MacReports!D:D,"")</f>
        <v/>
      </c>
      <c r="G44" s="13">
        <f>MacReports!E44</f>
        <v>0</v>
      </c>
      <c r="H44" t="e">
        <f>_xlfn.XLOOKUP(G44,Models!A:A,Models!B:B)</f>
        <v>#N/A</v>
      </c>
      <c r="I44" t="e">
        <f>_xlfn.XLOOKUP(G44,Models!A:A,Models!E:E)</f>
        <v>#N/A</v>
      </c>
      <c r="J44" t="e">
        <f>_xlfn.XLOOKUP(G44,Models!A:A,Models!D:D)</f>
        <v>#N/A</v>
      </c>
      <c r="K44">
        <f>MacReports!F44</f>
        <v>0</v>
      </c>
      <c r="L44">
        <f>MacReports!G44</f>
        <v>0</v>
      </c>
      <c r="M44" s="15" t="e" cm="1">
        <f t="array" ref="M44">--_xlfn.LET(
    _xlpm.txt, MacReports!H44,
    _xlpm.chars, MID(_xlpm.txt, _xlfn.SEQUENCE(LEN(_xlpm.txt)), 1),
    _xlfn.TEXTJOIN("", TRUE, IF(ISNUMBER(--_xlpm.chars), _xlpm.chars, ""))
)</f>
        <v>#VALUE!</v>
      </c>
      <c r="N44" s="16" t="str" cm="1">
        <f t="array" ref="N44">_xlfn.IFS(
   --MacReports!M44&lt;55,"Battery Defect",
  -- MacReports!M44&lt;=69,"Battery D",
  --MacReports!M44&lt;=80,"Battery C",
 --MacReports!M44&gt;80,""
)</f>
        <v>Battery Defect</v>
      </c>
      <c r="O44" s="16" t="str">
        <f>IF(MacReports!I44="Service","Battery Service","")</f>
        <v/>
      </c>
      <c r="P44" s="13">
        <f>MacReports!P44</f>
        <v>0</v>
      </c>
      <c r="Q44" s="13" t="str">
        <f>IF(MacReports!J44="Enabled","Apple ID Lock","")</f>
        <v/>
      </c>
      <c r="R44" s="13" t="str">
        <f>IF(MacReports!L44="y","Remote Locked","")</f>
        <v/>
      </c>
      <c r="S44" t="str">
        <f t="shared" si="3"/>
        <v>Battery Defect, 0</v>
      </c>
      <c r="T44" t="str">
        <f>_xlfn.XLOOKUP(B44,Disk_Pivot!G:G,Disk_Pivot!I:I)</f>
        <v>Yes</v>
      </c>
      <c r="U44" t="str">
        <f>_xlfn.XLOOKUP(B44,Disk_Pivot!G:G,Disk_Pivot!N:N)</f>
        <v>Fail</v>
      </c>
      <c r="V44">
        <f>IF(U44="Fail",MacReports!N44,"")</f>
        <v>0</v>
      </c>
      <c r="AB44" t="str">
        <f t="shared" si="4"/>
        <v/>
      </c>
    </row>
    <row r="45" spans="1:28">
      <c r="A45" t="str">
        <f>MacReports!A45</f>
        <v/>
      </c>
      <c r="B45">
        <f>MacReports!B45</f>
        <v>0</v>
      </c>
      <c r="C45">
        <f>MacReports!C45</f>
        <v>0</v>
      </c>
      <c r="E45" t="e">
        <f>_xlfn.XLOOKUP(G45,Models!A:A,Models!F:F)</f>
        <v>#N/A</v>
      </c>
      <c r="F45" t="str">
        <f>_xlfn.XLOOKUP(B45,MacReports!B:B,MacReports!D:D,"")</f>
        <v/>
      </c>
      <c r="G45" s="13">
        <f>MacReports!E45</f>
        <v>0</v>
      </c>
      <c r="H45" t="e">
        <f>_xlfn.XLOOKUP(G45,Models!A:A,Models!B:B)</f>
        <v>#N/A</v>
      </c>
      <c r="I45" t="e">
        <f>_xlfn.XLOOKUP(G45,Models!A:A,Models!E:E)</f>
        <v>#N/A</v>
      </c>
      <c r="J45" t="e">
        <f>_xlfn.XLOOKUP(G45,Models!A:A,Models!D:D)</f>
        <v>#N/A</v>
      </c>
      <c r="K45">
        <f>MacReports!F45</f>
        <v>0</v>
      </c>
      <c r="L45">
        <f>MacReports!G45</f>
        <v>0</v>
      </c>
      <c r="M45" s="15" t="e" cm="1">
        <f t="array" ref="M45">--_xlfn.LET(
    _xlpm.txt, MacReports!H45,
    _xlpm.chars, MID(_xlpm.txt, _xlfn.SEQUENCE(LEN(_xlpm.txt)), 1),
    _xlfn.TEXTJOIN("", TRUE, IF(ISNUMBER(--_xlpm.chars), _xlpm.chars, ""))
)</f>
        <v>#VALUE!</v>
      </c>
      <c r="N45" s="16" t="str" cm="1">
        <f t="array" ref="N45">_xlfn.IFS(
   --MacReports!M45&lt;55,"Battery Defect",
  -- MacReports!M45&lt;=69,"Battery D",
  --MacReports!M45&lt;=80,"Battery C",
 --MacReports!M45&gt;80,""
)</f>
        <v>Battery Defect</v>
      </c>
      <c r="O45" s="16" t="str">
        <f>IF(MacReports!I45="Service","Battery Service","")</f>
        <v/>
      </c>
      <c r="P45" s="13">
        <f>MacReports!P45</f>
        <v>0</v>
      </c>
      <c r="Q45" s="13" t="str">
        <f>IF(MacReports!J45="Enabled","Apple ID Lock","")</f>
        <v/>
      </c>
      <c r="R45" s="13" t="str">
        <f>IF(MacReports!L45="y","Remote Locked","")</f>
        <v/>
      </c>
      <c r="S45" t="str">
        <f t="shared" si="3"/>
        <v>Battery Defect, 0</v>
      </c>
      <c r="T45" t="str">
        <f>_xlfn.XLOOKUP(B45,Disk_Pivot!G:G,Disk_Pivot!I:I)</f>
        <v>Yes</v>
      </c>
      <c r="U45" t="str">
        <f>_xlfn.XLOOKUP(B45,Disk_Pivot!G:G,Disk_Pivot!N:N)</f>
        <v>Fail</v>
      </c>
      <c r="V45">
        <f>IF(U45="Fail",MacReports!N45,"")</f>
        <v>0</v>
      </c>
      <c r="AB45" t="str">
        <f t="shared" si="4"/>
        <v/>
      </c>
    </row>
    <row r="46" spans="1:28">
      <c r="A46" t="str">
        <f>MacReports!A46</f>
        <v/>
      </c>
      <c r="B46">
        <f>MacReports!B46</f>
        <v>0</v>
      </c>
      <c r="C46">
        <f>MacReports!C46</f>
        <v>0</v>
      </c>
      <c r="E46" t="e">
        <f>_xlfn.XLOOKUP(G46,Models!A:A,Models!F:F)</f>
        <v>#N/A</v>
      </c>
      <c r="F46" t="str">
        <f>_xlfn.XLOOKUP(B46,MacReports!B:B,MacReports!D:D,"")</f>
        <v/>
      </c>
      <c r="G46" s="13">
        <f>MacReports!E46</f>
        <v>0</v>
      </c>
      <c r="H46" t="e">
        <f>_xlfn.XLOOKUP(G46,Models!A:A,Models!B:B)</f>
        <v>#N/A</v>
      </c>
      <c r="I46" t="e">
        <f>_xlfn.XLOOKUP(G46,Models!A:A,Models!E:E)</f>
        <v>#N/A</v>
      </c>
      <c r="J46" t="e">
        <f>_xlfn.XLOOKUP(G46,Models!A:A,Models!D:D)</f>
        <v>#N/A</v>
      </c>
      <c r="K46">
        <f>MacReports!F46</f>
        <v>0</v>
      </c>
      <c r="L46">
        <f>MacReports!G46</f>
        <v>0</v>
      </c>
      <c r="M46" s="15" t="e" cm="1">
        <f t="array" ref="M46">--_xlfn.LET(
    _xlpm.txt, MacReports!H46,
    _xlpm.chars, MID(_xlpm.txt, _xlfn.SEQUENCE(LEN(_xlpm.txt)), 1),
    _xlfn.TEXTJOIN("", TRUE, IF(ISNUMBER(--_xlpm.chars), _xlpm.chars, ""))
)</f>
        <v>#VALUE!</v>
      </c>
      <c r="N46" s="16" t="str" cm="1">
        <f t="array" ref="N46">_xlfn.IFS(
   --MacReports!M46&lt;55,"Battery Defect",
  -- MacReports!M46&lt;=69,"Battery D",
  --MacReports!M46&lt;=80,"Battery C",
 --MacReports!M46&gt;80,""
)</f>
        <v>Battery Defect</v>
      </c>
      <c r="O46" s="16" t="str">
        <f>IF(MacReports!I46="Service","Battery Service","")</f>
        <v/>
      </c>
      <c r="P46" s="13">
        <f>MacReports!P46</f>
        <v>0</v>
      </c>
      <c r="Q46" s="13" t="str">
        <f>IF(MacReports!J46="Enabled","Apple ID Lock","")</f>
        <v/>
      </c>
      <c r="R46" s="13" t="str">
        <f>IF(MacReports!L46="y","Remote Locked","")</f>
        <v/>
      </c>
      <c r="S46" t="str">
        <f t="shared" si="3"/>
        <v>Battery Defect, 0</v>
      </c>
      <c r="T46" t="str">
        <f>_xlfn.XLOOKUP(B46,Disk_Pivot!G:G,Disk_Pivot!I:I)</f>
        <v>Yes</v>
      </c>
      <c r="U46" t="str">
        <f>_xlfn.XLOOKUP(B46,Disk_Pivot!G:G,Disk_Pivot!N:N)</f>
        <v>Fail</v>
      </c>
      <c r="V46">
        <f>IF(U46="Fail",MacReports!N46,"")</f>
        <v>0</v>
      </c>
      <c r="AB46" t="str">
        <f t="shared" si="4"/>
        <v/>
      </c>
    </row>
    <row r="47" spans="1:28">
      <c r="A47" t="str">
        <f>MacReports!A47</f>
        <v/>
      </c>
      <c r="B47">
        <f>MacReports!B47</f>
        <v>0</v>
      </c>
      <c r="C47">
        <f>MacReports!C47</f>
        <v>0</v>
      </c>
      <c r="E47" t="e">
        <f>_xlfn.XLOOKUP(G47,Models!A:A,Models!F:F)</f>
        <v>#N/A</v>
      </c>
      <c r="F47" t="str">
        <f>_xlfn.XLOOKUP(B47,MacReports!B:B,MacReports!D:D,"")</f>
        <v/>
      </c>
      <c r="G47" s="13">
        <f>MacReports!E47</f>
        <v>0</v>
      </c>
      <c r="H47" t="e">
        <f>_xlfn.XLOOKUP(G47,Models!A:A,Models!B:B)</f>
        <v>#N/A</v>
      </c>
      <c r="I47" t="e">
        <f>_xlfn.XLOOKUP(G47,Models!A:A,Models!E:E)</f>
        <v>#N/A</v>
      </c>
      <c r="J47" t="e">
        <f>_xlfn.XLOOKUP(G47,Models!A:A,Models!D:D)</f>
        <v>#N/A</v>
      </c>
      <c r="K47">
        <f>MacReports!F47</f>
        <v>0</v>
      </c>
      <c r="L47">
        <f>MacReports!G47</f>
        <v>0</v>
      </c>
      <c r="M47" s="15" t="e" cm="1">
        <f t="array" ref="M47">--_xlfn.LET(
    _xlpm.txt, MacReports!H47,
    _xlpm.chars, MID(_xlpm.txt, _xlfn.SEQUENCE(LEN(_xlpm.txt)), 1),
    _xlfn.TEXTJOIN("", TRUE, IF(ISNUMBER(--_xlpm.chars), _xlpm.chars, ""))
)</f>
        <v>#VALUE!</v>
      </c>
      <c r="N47" s="16" t="str" cm="1">
        <f t="array" ref="N47">_xlfn.IFS(
   --MacReports!M47&lt;55,"Battery Defect",
  -- MacReports!M47&lt;=69,"Battery D",
  --MacReports!M47&lt;=80,"Battery C",
 --MacReports!M47&gt;80,""
)</f>
        <v>Battery Defect</v>
      </c>
      <c r="O47" s="16" t="str">
        <f>IF(MacReports!I47="Service","Battery Service","")</f>
        <v/>
      </c>
      <c r="P47" s="13">
        <f>MacReports!P47</f>
        <v>0</v>
      </c>
      <c r="Q47" s="13" t="str">
        <f>IF(MacReports!J47="Enabled","Apple ID Lock","")</f>
        <v/>
      </c>
      <c r="R47" s="13" t="str">
        <f>IF(MacReports!L47="y","Remote Locked","")</f>
        <v/>
      </c>
      <c r="S47" t="str">
        <f t="shared" si="3"/>
        <v>Battery Defect, 0</v>
      </c>
      <c r="T47" t="str">
        <f>_xlfn.XLOOKUP(B47,Disk_Pivot!G:G,Disk_Pivot!I:I)</f>
        <v>Yes</v>
      </c>
      <c r="U47" t="str">
        <f>_xlfn.XLOOKUP(B47,Disk_Pivot!G:G,Disk_Pivot!N:N)</f>
        <v>Fail</v>
      </c>
      <c r="V47">
        <f>IF(U47="Fail",MacReports!N47,"")</f>
        <v>0</v>
      </c>
      <c r="AB47" t="str">
        <f t="shared" si="4"/>
        <v/>
      </c>
    </row>
    <row r="48" spans="1:28">
      <c r="A48" t="str">
        <f>MacReports!A48</f>
        <v/>
      </c>
      <c r="B48">
        <f>MacReports!B48</f>
        <v>0</v>
      </c>
      <c r="C48">
        <f>MacReports!C48</f>
        <v>0</v>
      </c>
      <c r="E48" t="e">
        <f>_xlfn.XLOOKUP(G48,Models!A:A,Models!F:F)</f>
        <v>#N/A</v>
      </c>
      <c r="F48" t="str">
        <f>_xlfn.XLOOKUP(B48,MacReports!B:B,MacReports!D:D,"")</f>
        <v/>
      </c>
      <c r="G48" s="13">
        <f>MacReports!E48</f>
        <v>0</v>
      </c>
      <c r="H48" t="e">
        <f>_xlfn.XLOOKUP(G48,Models!A:A,Models!B:B)</f>
        <v>#N/A</v>
      </c>
      <c r="I48" t="e">
        <f>_xlfn.XLOOKUP(G48,Models!A:A,Models!E:E)</f>
        <v>#N/A</v>
      </c>
      <c r="J48" t="e">
        <f>_xlfn.XLOOKUP(G48,Models!A:A,Models!D:D)</f>
        <v>#N/A</v>
      </c>
      <c r="K48">
        <f>MacReports!F48</f>
        <v>0</v>
      </c>
      <c r="L48">
        <f>MacReports!G48</f>
        <v>0</v>
      </c>
      <c r="M48" s="15" t="e" cm="1">
        <f t="array" ref="M48">--_xlfn.LET(
    _xlpm.txt, MacReports!H48,
    _xlpm.chars, MID(_xlpm.txt, _xlfn.SEQUENCE(LEN(_xlpm.txt)), 1),
    _xlfn.TEXTJOIN("", TRUE, IF(ISNUMBER(--_xlpm.chars), _xlpm.chars, ""))
)</f>
        <v>#VALUE!</v>
      </c>
      <c r="N48" s="16" t="str" cm="1">
        <f t="array" ref="N48">_xlfn.IFS(
   --MacReports!M48&lt;55,"Battery Defect",
  -- MacReports!M48&lt;=69,"Battery D",
  --MacReports!M48&lt;=80,"Battery C",
 --MacReports!M48&gt;80,""
)</f>
        <v>Battery Defect</v>
      </c>
      <c r="O48" s="16" t="str">
        <f>IF(MacReports!I48="Service","Battery Service","")</f>
        <v/>
      </c>
      <c r="P48" s="13">
        <f>MacReports!P48</f>
        <v>0</v>
      </c>
      <c r="Q48" s="13" t="str">
        <f>IF(MacReports!J48="Enabled","Apple ID Lock","")</f>
        <v/>
      </c>
      <c r="R48" s="13" t="str">
        <f>IF(MacReports!L48="y","Remote Locked","")</f>
        <v/>
      </c>
      <c r="S48" t="str">
        <f t="shared" si="3"/>
        <v>Battery Defect, 0</v>
      </c>
      <c r="T48" t="str">
        <f>_xlfn.XLOOKUP(B48,Disk_Pivot!G:G,Disk_Pivot!I:I)</f>
        <v>Yes</v>
      </c>
      <c r="U48" t="str">
        <f>_xlfn.XLOOKUP(B48,Disk_Pivot!G:G,Disk_Pivot!N:N)</f>
        <v>Fail</v>
      </c>
      <c r="V48">
        <f>IF(U48="Fail",MacReports!N48,"")</f>
        <v>0</v>
      </c>
      <c r="AB48" t="str">
        <f t="shared" si="4"/>
        <v/>
      </c>
    </row>
    <row r="49" spans="1:28">
      <c r="A49" t="str">
        <f>MacReports!A49</f>
        <v/>
      </c>
      <c r="B49">
        <f>MacReports!B49</f>
        <v>0</v>
      </c>
      <c r="C49">
        <f>MacReports!C49</f>
        <v>0</v>
      </c>
      <c r="E49" t="e">
        <f>_xlfn.XLOOKUP(G49,Models!A:A,Models!F:F)</f>
        <v>#N/A</v>
      </c>
      <c r="F49" t="str">
        <f>_xlfn.XLOOKUP(B49,MacReports!B:B,MacReports!D:D,"")</f>
        <v/>
      </c>
      <c r="G49" s="13">
        <f>MacReports!E49</f>
        <v>0</v>
      </c>
      <c r="H49" t="e">
        <f>_xlfn.XLOOKUP(G49,Models!A:A,Models!B:B)</f>
        <v>#N/A</v>
      </c>
      <c r="I49" t="e">
        <f>_xlfn.XLOOKUP(G49,Models!A:A,Models!E:E)</f>
        <v>#N/A</v>
      </c>
      <c r="J49" t="e">
        <f>_xlfn.XLOOKUP(G49,Models!A:A,Models!D:D)</f>
        <v>#N/A</v>
      </c>
      <c r="K49">
        <f>MacReports!F49</f>
        <v>0</v>
      </c>
      <c r="L49">
        <f>MacReports!G49</f>
        <v>0</v>
      </c>
      <c r="M49" s="15" t="e" cm="1">
        <f t="array" ref="M49">--_xlfn.LET(
    _xlpm.txt, MacReports!H49,
    _xlpm.chars, MID(_xlpm.txt, _xlfn.SEQUENCE(LEN(_xlpm.txt)), 1),
    _xlfn.TEXTJOIN("", TRUE, IF(ISNUMBER(--_xlpm.chars), _xlpm.chars, ""))
)</f>
        <v>#VALUE!</v>
      </c>
      <c r="N49" s="16" t="str" cm="1">
        <f t="array" ref="N49">_xlfn.IFS(
   --MacReports!M49&lt;55,"Battery Defect",
  -- MacReports!M49&lt;=69,"Battery D",
  --MacReports!M49&lt;=80,"Battery C",
 --MacReports!M49&gt;80,""
)</f>
        <v>Battery Defect</v>
      </c>
      <c r="O49" s="16" t="str">
        <f>IF(MacReports!I49="Service","Battery Service","")</f>
        <v/>
      </c>
      <c r="P49" s="13">
        <f>MacReports!P49</f>
        <v>0</v>
      </c>
      <c r="Q49" s="13" t="str">
        <f>IF(MacReports!J49="Enabled","Apple ID Lock","")</f>
        <v/>
      </c>
      <c r="R49" s="13" t="str">
        <f>IF(MacReports!L49="y","Remote Locked","")</f>
        <v/>
      </c>
      <c r="S49" t="str">
        <f t="shared" si="3"/>
        <v>Battery Defect, 0</v>
      </c>
      <c r="T49" t="str">
        <f>_xlfn.XLOOKUP(B49,Disk_Pivot!G:G,Disk_Pivot!I:I)</f>
        <v>Yes</v>
      </c>
      <c r="U49" t="str">
        <f>_xlfn.XLOOKUP(B49,Disk_Pivot!G:G,Disk_Pivot!N:N)</f>
        <v>Fail</v>
      </c>
      <c r="V49">
        <f>IF(U49="Fail",MacReports!N49,"")</f>
        <v>0</v>
      </c>
      <c r="AB49" t="str">
        <f t="shared" si="4"/>
        <v/>
      </c>
    </row>
    <row r="50" spans="1:28">
      <c r="A50" t="str">
        <f>MacReports!A50</f>
        <v/>
      </c>
      <c r="B50">
        <f>MacReports!B50</f>
        <v>0</v>
      </c>
      <c r="C50">
        <f>MacReports!C50</f>
        <v>0</v>
      </c>
      <c r="E50" t="e">
        <f>_xlfn.XLOOKUP(G50,Models!A:A,Models!F:F)</f>
        <v>#N/A</v>
      </c>
      <c r="F50" t="str">
        <f>_xlfn.XLOOKUP(B50,MacReports!B:B,MacReports!D:D,"")</f>
        <v/>
      </c>
      <c r="G50" s="13">
        <f>MacReports!E50</f>
        <v>0</v>
      </c>
      <c r="H50" t="e">
        <f>_xlfn.XLOOKUP(G50,Models!A:A,Models!B:B)</f>
        <v>#N/A</v>
      </c>
      <c r="I50" t="e">
        <f>_xlfn.XLOOKUP(G50,Models!A:A,Models!E:E)</f>
        <v>#N/A</v>
      </c>
      <c r="J50" t="e">
        <f>_xlfn.XLOOKUP(G50,Models!A:A,Models!D:D)</f>
        <v>#N/A</v>
      </c>
      <c r="K50">
        <f>MacReports!F50</f>
        <v>0</v>
      </c>
      <c r="L50">
        <f>MacReports!G50</f>
        <v>0</v>
      </c>
      <c r="M50" s="15" t="e" cm="1">
        <f t="array" ref="M50">--_xlfn.LET(
    _xlpm.txt, MacReports!H50,
    _xlpm.chars, MID(_xlpm.txt, _xlfn.SEQUENCE(LEN(_xlpm.txt)), 1),
    _xlfn.TEXTJOIN("", TRUE, IF(ISNUMBER(--_xlpm.chars), _xlpm.chars, ""))
)</f>
        <v>#VALUE!</v>
      </c>
      <c r="N50" s="16" t="str" cm="1">
        <f t="array" ref="N50">_xlfn.IFS(
   --MacReports!M50&lt;55,"Battery Defect",
  -- MacReports!M50&lt;=69,"Battery D",
  --MacReports!M50&lt;=80,"Battery C",
 --MacReports!M50&gt;80,""
)</f>
        <v>Battery Defect</v>
      </c>
      <c r="O50" s="16" t="str">
        <f>IF(MacReports!I50="Service","Battery Service","")</f>
        <v/>
      </c>
      <c r="P50" s="13">
        <f>MacReports!P50</f>
        <v>0</v>
      </c>
      <c r="Q50" s="13" t="str">
        <f>IF(MacReports!J50="Enabled","Apple ID Lock","")</f>
        <v/>
      </c>
      <c r="R50" s="13" t="str">
        <f>IF(MacReports!L50="y","Remote Locked","")</f>
        <v/>
      </c>
      <c r="S50" t="str">
        <f t="shared" si="3"/>
        <v>Battery Defect, 0</v>
      </c>
      <c r="T50" t="str">
        <f>_xlfn.XLOOKUP(B50,Disk_Pivot!G:G,Disk_Pivot!I:I)</f>
        <v>Yes</v>
      </c>
      <c r="U50" t="str">
        <f>_xlfn.XLOOKUP(B50,Disk_Pivot!G:G,Disk_Pivot!N:N)</f>
        <v>Fail</v>
      </c>
      <c r="V50">
        <f>IF(U50="Fail",MacReports!N50,"")</f>
        <v>0</v>
      </c>
      <c r="AB50" t="str">
        <f t="shared" si="4"/>
        <v/>
      </c>
    </row>
    <row r="51" spans="1:28">
      <c r="A51" t="str">
        <f>MacReports!A51</f>
        <v/>
      </c>
      <c r="B51">
        <f>MacReports!B51</f>
        <v>0</v>
      </c>
      <c r="C51">
        <f>MacReports!C51</f>
        <v>0</v>
      </c>
      <c r="E51" t="e">
        <f>_xlfn.XLOOKUP(G51,Models!A:A,Models!F:F)</f>
        <v>#N/A</v>
      </c>
      <c r="F51" t="str">
        <f>_xlfn.XLOOKUP(B51,MacReports!B:B,MacReports!D:D,"")</f>
        <v/>
      </c>
      <c r="G51" s="13">
        <f>MacReports!E51</f>
        <v>0</v>
      </c>
      <c r="H51" t="e">
        <f>_xlfn.XLOOKUP(G51,Models!A:A,Models!B:B)</f>
        <v>#N/A</v>
      </c>
      <c r="I51" t="e">
        <f>_xlfn.XLOOKUP(G51,Models!A:A,Models!E:E)</f>
        <v>#N/A</v>
      </c>
      <c r="J51" t="e">
        <f>_xlfn.XLOOKUP(G51,Models!A:A,Models!D:D)</f>
        <v>#N/A</v>
      </c>
      <c r="K51">
        <f>MacReports!F51</f>
        <v>0</v>
      </c>
      <c r="L51">
        <f>MacReports!G51</f>
        <v>0</v>
      </c>
      <c r="M51" s="15" t="e" cm="1">
        <f t="array" ref="M51">--_xlfn.LET(
    _xlpm.txt, MacReports!H51,
    _xlpm.chars, MID(_xlpm.txt, _xlfn.SEQUENCE(LEN(_xlpm.txt)), 1),
    _xlfn.TEXTJOIN("", TRUE, IF(ISNUMBER(--_xlpm.chars), _xlpm.chars, ""))
)</f>
        <v>#VALUE!</v>
      </c>
      <c r="N51" s="16" t="str" cm="1">
        <f t="array" ref="N51">_xlfn.IFS(
   --MacReports!M51&lt;55,"Battery Defect",
  -- MacReports!M51&lt;=69,"Battery D",
  --MacReports!M51&lt;=80,"Battery C",
 --MacReports!M51&gt;80,""
)</f>
        <v>Battery Defect</v>
      </c>
      <c r="O51" s="16" t="str">
        <f>IF(MacReports!I51="Service","Battery Service","")</f>
        <v/>
      </c>
      <c r="P51" s="13">
        <f>MacReports!P51</f>
        <v>0</v>
      </c>
      <c r="Q51" s="13" t="str">
        <f>IF(MacReports!J51="Enabled","Apple ID Lock","")</f>
        <v/>
      </c>
      <c r="R51" s="13" t="str">
        <f>IF(MacReports!L51="y","Remote Locked","")</f>
        <v/>
      </c>
      <c r="S51" t="str">
        <f t="shared" si="3"/>
        <v>Battery Defect, 0</v>
      </c>
      <c r="T51" t="str">
        <f>_xlfn.XLOOKUP(B51,Disk_Pivot!G:G,Disk_Pivot!I:I)</f>
        <v>Yes</v>
      </c>
      <c r="U51" t="str">
        <f>_xlfn.XLOOKUP(B51,Disk_Pivot!G:G,Disk_Pivot!N:N)</f>
        <v>Fail</v>
      </c>
      <c r="V51">
        <f>IF(U51="Fail",MacReports!N51,"")</f>
        <v>0</v>
      </c>
      <c r="AB51" t="str">
        <f t="shared" si="4"/>
        <v/>
      </c>
    </row>
    <row r="52" spans="1:28">
      <c r="A52" t="str">
        <f>MacReports!A52</f>
        <v/>
      </c>
      <c r="B52">
        <f>MacReports!B52</f>
        <v>0</v>
      </c>
      <c r="C52">
        <f>MacReports!C52</f>
        <v>0</v>
      </c>
      <c r="E52" t="e">
        <f>_xlfn.XLOOKUP(G52,Models!A:A,Models!F:F)</f>
        <v>#N/A</v>
      </c>
      <c r="F52" t="str">
        <f>_xlfn.XLOOKUP(B52,MacReports!B:B,MacReports!D:D,"")</f>
        <v/>
      </c>
      <c r="G52" s="13">
        <f>MacReports!E52</f>
        <v>0</v>
      </c>
      <c r="H52" t="e">
        <f>_xlfn.XLOOKUP(G52,Models!A:A,Models!B:B)</f>
        <v>#N/A</v>
      </c>
      <c r="I52" t="e">
        <f>_xlfn.XLOOKUP(G52,Models!A:A,Models!E:E)</f>
        <v>#N/A</v>
      </c>
      <c r="J52" t="e">
        <f>_xlfn.XLOOKUP(G52,Models!A:A,Models!D:D)</f>
        <v>#N/A</v>
      </c>
      <c r="K52">
        <f>MacReports!F52</f>
        <v>0</v>
      </c>
      <c r="L52">
        <f>MacReports!G52</f>
        <v>0</v>
      </c>
      <c r="M52" s="15" t="e" cm="1">
        <f t="array" ref="M52">--_xlfn.LET(
    _xlpm.txt, MacReports!H52,
    _xlpm.chars, MID(_xlpm.txt, _xlfn.SEQUENCE(LEN(_xlpm.txt)), 1),
    _xlfn.TEXTJOIN("", TRUE, IF(ISNUMBER(--_xlpm.chars), _xlpm.chars, ""))
)</f>
        <v>#VALUE!</v>
      </c>
      <c r="N52" s="16" t="str" cm="1">
        <f t="array" ref="N52">_xlfn.IFS(
   --MacReports!M52&lt;55,"Battery Defect",
  -- MacReports!M52&lt;=69,"Battery D",
  --MacReports!M52&lt;=80,"Battery C",
 --MacReports!M52&gt;80,""
)</f>
        <v>Battery Defect</v>
      </c>
      <c r="O52" s="16" t="str">
        <f>IF(MacReports!I52="Service","Battery Service","")</f>
        <v/>
      </c>
      <c r="P52" s="13">
        <f>MacReports!P52</f>
        <v>0</v>
      </c>
      <c r="Q52" s="13" t="str">
        <f>IF(MacReports!J52="Enabled","Apple ID Lock","")</f>
        <v/>
      </c>
      <c r="R52" s="13" t="str">
        <f>IF(MacReports!L52="y","Remote Locked","")</f>
        <v/>
      </c>
      <c r="S52" t="str">
        <f t="shared" si="3"/>
        <v>Battery Defect, 0</v>
      </c>
      <c r="T52" t="str">
        <f>_xlfn.XLOOKUP(B52,Disk_Pivot!G:G,Disk_Pivot!I:I)</f>
        <v>Yes</v>
      </c>
      <c r="U52" t="str">
        <f>_xlfn.XLOOKUP(B52,Disk_Pivot!G:G,Disk_Pivot!N:N)</f>
        <v>Fail</v>
      </c>
      <c r="V52">
        <f>IF(U52="Fail",MacReports!N52,"")</f>
        <v>0</v>
      </c>
      <c r="AB52" t="str">
        <f t="shared" si="4"/>
        <v/>
      </c>
    </row>
    <row r="53" spans="1:28">
      <c r="A53" t="str">
        <f>MacReports!A53</f>
        <v/>
      </c>
      <c r="B53">
        <f>MacReports!B53</f>
        <v>0</v>
      </c>
      <c r="C53">
        <f>MacReports!C53</f>
        <v>0</v>
      </c>
      <c r="E53" t="e">
        <f>_xlfn.XLOOKUP(G53,Models!A:A,Models!F:F)</f>
        <v>#N/A</v>
      </c>
      <c r="F53" t="str">
        <f>_xlfn.XLOOKUP(B53,MacReports!B:B,MacReports!D:D,"")</f>
        <v/>
      </c>
      <c r="G53" s="13">
        <f>MacReports!E53</f>
        <v>0</v>
      </c>
      <c r="H53" t="e">
        <f>_xlfn.XLOOKUP(G53,Models!A:A,Models!B:B)</f>
        <v>#N/A</v>
      </c>
      <c r="I53" t="e">
        <f>_xlfn.XLOOKUP(G53,Models!A:A,Models!E:E)</f>
        <v>#N/A</v>
      </c>
      <c r="J53" t="e">
        <f>_xlfn.XLOOKUP(G53,Models!A:A,Models!D:D)</f>
        <v>#N/A</v>
      </c>
      <c r="K53">
        <f>MacReports!F53</f>
        <v>0</v>
      </c>
      <c r="L53">
        <f>MacReports!G53</f>
        <v>0</v>
      </c>
      <c r="M53" s="15" t="e" cm="1">
        <f t="array" ref="M53">--_xlfn.LET(
    _xlpm.txt, MacReports!H53,
    _xlpm.chars, MID(_xlpm.txt, _xlfn.SEQUENCE(LEN(_xlpm.txt)), 1),
    _xlfn.TEXTJOIN("", TRUE, IF(ISNUMBER(--_xlpm.chars), _xlpm.chars, ""))
)</f>
        <v>#VALUE!</v>
      </c>
      <c r="N53" s="16" t="str" cm="1">
        <f t="array" ref="N53">_xlfn.IFS(
   --MacReports!M53&lt;55,"Battery Defect",
  -- MacReports!M53&lt;=69,"Battery D",
  --MacReports!M53&lt;=80,"Battery C",
 --MacReports!M53&gt;80,""
)</f>
        <v>Battery Defect</v>
      </c>
      <c r="O53" s="16" t="str">
        <f>IF(MacReports!I53="Service","Battery Service","")</f>
        <v/>
      </c>
      <c r="P53" s="13">
        <f>MacReports!P53</f>
        <v>0</v>
      </c>
      <c r="Q53" s="13" t="str">
        <f>IF(MacReports!J53="Enabled","Apple ID Lock","")</f>
        <v/>
      </c>
      <c r="R53" s="13" t="str">
        <f>IF(MacReports!L53="y","Remote Locked","")</f>
        <v/>
      </c>
      <c r="S53" t="str">
        <f t="shared" si="3"/>
        <v>Battery Defect, 0</v>
      </c>
      <c r="T53" t="str">
        <f>_xlfn.XLOOKUP(B53,Disk_Pivot!G:G,Disk_Pivot!I:I)</f>
        <v>Yes</v>
      </c>
      <c r="U53" t="str">
        <f>_xlfn.XLOOKUP(B53,Disk_Pivot!G:G,Disk_Pivot!N:N)</f>
        <v>Fail</v>
      </c>
      <c r="V53">
        <f>IF(U53="Fail",MacReports!N53,"")</f>
        <v>0</v>
      </c>
      <c r="AB53" t="str">
        <f t="shared" si="4"/>
        <v/>
      </c>
    </row>
    <row r="54" spans="1:28">
      <c r="A54" t="str">
        <f>MacReports!A54</f>
        <v/>
      </c>
      <c r="B54">
        <f>MacReports!B54</f>
        <v>0</v>
      </c>
      <c r="C54">
        <f>MacReports!C54</f>
        <v>0</v>
      </c>
      <c r="E54" t="e">
        <f>_xlfn.XLOOKUP(G54,Models!A:A,Models!F:F)</f>
        <v>#N/A</v>
      </c>
      <c r="F54" t="str">
        <f>_xlfn.XLOOKUP(B54,MacReports!B:B,MacReports!D:D,"")</f>
        <v/>
      </c>
      <c r="G54" s="13">
        <f>MacReports!E54</f>
        <v>0</v>
      </c>
      <c r="H54" t="e">
        <f>_xlfn.XLOOKUP(G54,Models!A:A,Models!B:B)</f>
        <v>#N/A</v>
      </c>
      <c r="I54" t="e">
        <f>_xlfn.XLOOKUP(G54,Models!A:A,Models!E:E)</f>
        <v>#N/A</v>
      </c>
      <c r="J54" t="e">
        <f>_xlfn.XLOOKUP(G54,Models!A:A,Models!D:D)</f>
        <v>#N/A</v>
      </c>
      <c r="K54">
        <f>MacReports!F54</f>
        <v>0</v>
      </c>
      <c r="L54">
        <f>MacReports!G54</f>
        <v>0</v>
      </c>
      <c r="M54" s="15" t="e" cm="1">
        <f t="array" ref="M54">--_xlfn.LET(
    _xlpm.txt, MacReports!H54,
    _xlpm.chars, MID(_xlpm.txt, _xlfn.SEQUENCE(LEN(_xlpm.txt)), 1),
    _xlfn.TEXTJOIN("", TRUE, IF(ISNUMBER(--_xlpm.chars), _xlpm.chars, ""))
)</f>
        <v>#VALUE!</v>
      </c>
      <c r="N54" s="16" t="str" cm="1">
        <f t="array" ref="N54">_xlfn.IFS(
   --MacReports!M54&lt;55,"Battery Defect",
  -- MacReports!M54&lt;=69,"Battery D",
  --MacReports!M54&lt;=80,"Battery C",
 --MacReports!M54&gt;80,""
)</f>
        <v>Battery Defect</v>
      </c>
      <c r="O54" s="16" t="str">
        <f>IF(MacReports!I54="Service","Battery Service","")</f>
        <v/>
      </c>
      <c r="P54" s="13">
        <f>MacReports!P54</f>
        <v>0</v>
      </c>
      <c r="Q54" s="13" t="str">
        <f>IF(MacReports!J54="Enabled","Apple ID Lock","")</f>
        <v/>
      </c>
      <c r="R54" s="13" t="str">
        <f>IF(MacReports!L54="y","Remote Locked","")</f>
        <v/>
      </c>
      <c r="S54" t="str">
        <f t="shared" si="3"/>
        <v>Battery Defect, 0</v>
      </c>
      <c r="T54" t="str">
        <f>_xlfn.XLOOKUP(B54,Disk_Pivot!G:G,Disk_Pivot!I:I)</f>
        <v>Yes</v>
      </c>
      <c r="U54" t="str">
        <f>_xlfn.XLOOKUP(B54,Disk_Pivot!G:G,Disk_Pivot!N:N)</f>
        <v>Fail</v>
      </c>
      <c r="V54">
        <f>IF(U54="Fail",MacReports!N54,"")</f>
        <v>0</v>
      </c>
      <c r="AB54" t="str">
        <f t="shared" si="4"/>
        <v/>
      </c>
    </row>
    <row r="55" spans="1:28">
      <c r="A55" t="str">
        <f>MacReports!A55</f>
        <v/>
      </c>
      <c r="B55">
        <f>MacReports!B55</f>
        <v>0</v>
      </c>
      <c r="C55">
        <f>MacReports!C55</f>
        <v>0</v>
      </c>
      <c r="E55" t="e">
        <f>_xlfn.XLOOKUP(G55,Models!A:A,Models!F:F)</f>
        <v>#N/A</v>
      </c>
      <c r="F55" t="str">
        <f>_xlfn.XLOOKUP(B55,MacReports!B:B,MacReports!D:D,"")</f>
        <v/>
      </c>
      <c r="G55" s="13">
        <f>MacReports!E55</f>
        <v>0</v>
      </c>
      <c r="H55" t="e">
        <f>_xlfn.XLOOKUP(G55,Models!A:A,Models!B:B)</f>
        <v>#N/A</v>
      </c>
      <c r="I55" t="e">
        <f>_xlfn.XLOOKUP(G55,Models!A:A,Models!E:E)</f>
        <v>#N/A</v>
      </c>
      <c r="J55" t="e">
        <f>_xlfn.XLOOKUP(G55,Models!A:A,Models!D:D)</f>
        <v>#N/A</v>
      </c>
      <c r="K55">
        <f>MacReports!F55</f>
        <v>0</v>
      </c>
      <c r="L55">
        <f>MacReports!G55</f>
        <v>0</v>
      </c>
      <c r="M55" s="15" t="e" cm="1">
        <f t="array" ref="M55">--_xlfn.LET(
    _xlpm.txt, MacReports!H55,
    _xlpm.chars, MID(_xlpm.txt, _xlfn.SEQUENCE(LEN(_xlpm.txt)), 1),
    _xlfn.TEXTJOIN("", TRUE, IF(ISNUMBER(--_xlpm.chars), _xlpm.chars, ""))
)</f>
        <v>#VALUE!</v>
      </c>
      <c r="N55" s="16" t="str" cm="1">
        <f t="array" ref="N55">_xlfn.IFS(
   --MacReports!M55&lt;55,"Battery Defect",
  -- MacReports!M55&lt;=69,"Battery D",
  --MacReports!M55&lt;=80,"Battery C",
 --MacReports!M55&gt;80,""
)</f>
        <v>Battery Defect</v>
      </c>
      <c r="O55" s="16" t="str">
        <f>IF(MacReports!I55="Service","Battery Service","")</f>
        <v/>
      </c>
      <c r="P55" s="13">
        <f>MacReports!P55</f>
        <v>0</v>
      </c>
      <c r="Q55" s="13" t="str">
        <f>IF(MacReports!J55="Enabled","Apple ID Lock","")</f>
        <v/>
      </c>
      <c r="R55" s="13" t="str">
        <f>IF(MacReports!L55="y","Remote Locked","")</f>
        <v/>
      </c>
      <c r="S55" t="str">
        <f t="shared" si="3"/>
        <v>Battery Defect, 0</v>
      </c>
      <c r="T55" t="str">
        <f>_xlfn.XLOOKUP(B55,Disk_Pivot!G:G,Disk_Pivot!I:I)</f>
        <v>Yes</v>
      </c>
      <c r="U55" t="str">
        <f>_xlfn.XLOOKUP(B55,Disk_Pivot!G:G,Disk_Pivot!N:N)</f>
        <v>Fail</v>
      </c>
      <c r="V55">
        <f>IF(U55="Fail",MacReports!N55,"")</f>
        <v>0</v>
      </c>
      <c r="AB55" t="str">
        <f t="shared" si="4"/>
        <v/>
      </c>
    </row>
    <row r="56" spans="1:28">
      <c r="A56" t="str">
        <f>MacReports!A56</f>
        <v/>
      </c>
      <c r="B56">
        <f>MacReports!B56</f>
        <v>0</v>
      </c>
      <c r="C56">
        <f>MacReports!C56</f>
        <v>0</v>
      </c>
      <c r="E56" t="e">
        <f>_xlfn.XLOOKUP(G56,Models!A:A,Models!F:F)</f>
        <v>#N/A</v>
      </c>
      <c r="F56" t="str">
        <f>_xlfn.XLOOKUP(B56,MacReports!B:B,MacReports!D:D,"")</f>
        <v/>
      </c>
      <c r="G56" s="13">
        <f>MacReports!E56</f>
        <v>0</v>
      </c>
      <c r="H56" t="e">
        <f>_xlfn.XLOOKUP(G56,Models!A:A,Models!B:B)</f>
        <v>#N/A</v>
      </c>
      <c r="I56" t="e">
        <f>_xlfn.XLOOKUP(G56,Models!A:A,Models!E:E)</f>
        <v>#N/A</v>
      </c>
      <c r="J56" t="e">
        <f>_xlfn.XLOOKUP(G56,Models!A:A,Models!D:D)</f>
        <v>#N/A</v>
      </c>
      <c r="K56">
        <f>MacReports!F56</f>
        <v>0</v>
      </c>
      <c r="L56">
        <f>MacReports!G56</f>
        <v>0</v>
      </c>
      <c r="M56" s="15" t="e" cm="1">
        <f t="array" ref="M56">--_xlfn.LET(
    _xlpm.txt, MacReports!H56,
    _xlpm.chars, MID(_xlpm.txt, _xlfn.SEQUENCE(LEN(_xlpm.txt)), 1),
    _xlfn.TEXTJOIN("", TRUE, IF(ISNUMBER(--_xlpm.chars), _xlpm.chars, ""))
)</f>
        <v>#VALUE!</v>
      </c>
      <c r="N56" s="16" t="str" cm="1">
        <f t="array" ref="N56">_xlfn.IFS(
   --MacReports!M56&lt;55,"Battery Defect",
  -- MacReports!M56&lt;=69,"Battery D",
  --MacReports!M56&lt;=80,"Battery C",
 --MacReports!M56&gt;80,""
)</f>
        <v>Battery Defect</v>
      </c>
      <c r="O56" s="16" t="str">
        <f>IF(MacReports!I56="Service","Battery Service","")</f>
        <v/>
      </c>
      <c r="P56" s="13">
        <f>MacReports!P56</f>
        <v>0</v>
      </c>
      <c r="Q56" s="13" t="str">
        <f>IF(MacReports!J56="Enabled","Apple ID Lock","")</f>
        <v/>
      </c>
      <c r="R56" s="13" t="str">
        <f>IF(MacReports!L56="y","Remote Locked","")</f>
        <v/>
      </c>
      <c r="S56" t="str">
        <f t="shared" si="3"/>
        <v>Battery Defect, 0</v>
      </c>
      <c r="T56" t="str">
        <f>_xlfn.XLOOKUP(B56,Disk_Pivot!G:G,Disk_Pivot!I:I)</f>
        <v>Yes</v>
      </c>
      <c r="U56" t="str">
        <f>_xlfn.XLOOKUP(B56,Disk_Pivot!G:G,Disk_Pivot!N:N)</f>
        <v>Fail</v>
      </c>
      <c r="V56">
        <f>IF(U56="Fail",MacReports!N56,"")</f>
        <v>0</v>
      </c>
      <c r="AB56" t="str">
        <f t="shared" si="4"/>
        <v/>
      </c>
    </row>
    <row r="57" spans="1:28">
      <c r="A57" t="str">
        <f>MacReports!A57</f>
        <v/>
      </c>
      <c r="B57">
        <f>MacReports!B57</f>
        <v>0</v>
      </c>
      <c r="C57">
        <f>MacReports!C57</f>
        <v>0</v>
      </c>
      <c r="E57" t="e">
        <f>_xlfn.XLOOKUP(G57,Models!A:A,Models!F:F)</f>
        <v>#N/A</v>
      </c>
      <c r="F57" t="str">
        <f>_xlfn.XLOOKUP(B57,MacReports!B:B,MacReports!D:D,"")</f>
        <v/>
      </c>
      <c r="G57" s="13">
        <f>MacReports!E57</f>
        <v>0</v>
      </c>
      <c r="H57" t="e">
        <f>_xlfn.XLOOKUP(G57,Models!A:A,Models!B:B)</f>
        <v>#N/A</v>
      </c>
      <c r="I57" t="e">
        <f>_xlfn.XLOOKUP(G57,Models!A:A,Models!E:E)</f>
        <v>#N/A</v>
      </c>
      <c r="J57" t="e">
        <f>_xlfn.XLOOKUP(G57,Models!A:A,Models!D:D)</f>
        <v>#N/A</v>
      </c>
      <c r="K57">
        <f>MacReports!F57</f>
        <v>0</v>
      </c>
      <c r="L57">
        <f>MacReports!G57</f>
        <v>0</v>
      </c>
      <c r="M57" s="15" t="e" cm="1">
        <f t="array" ref="M57">--_xlfn.LET(
    _xlpm.txt, MacReports!H57,
    _xlpm.chars, MID(_xlpm.txt, _xlfn.SEQUENCE(LEN(_xlpm.txt)), 1),
    _xlfn.TEXTJOIN("", TRUE, IF(ISNUMBER(--_xlpm.chars), _xlpm.chars, ""))
)</f>
        <v>#VALUE!</v>
      </c>
      <c r="N57" s="16" t="str" cm="1">
        <f t="array" ref="N57">_xlfn.IFS(
   --MacReports!M57&lt;55,"Battery Defect",
  -- MacReports!M57&lt;=69,"Battery D",
  --MacReports!M57&lt;=80,"Battery C",
 --MacReports!M57&gt;80,""
)</f>
        <v>Battery Defect</v>
      </c>
      <c r="O57" s="16" t="str">
        <f>IF(MacReports!I57="Service","Battery Service","")</f>
        <v/>
      </c>
      <c r="P57" s="13">
        <f>MacReports!P57</f>
        <v>0</v>
      </c>
      <c r="Q57" s="13" t="str">
        <f>IF(MacReports!J57="Enabled","Apple ID Lock","")</f>
        <v/>
      </c>
      <c r="R57" s="13" t="str">
        <f>IF(MacReports!L57="y","Remote Locked","")</f>
        <v/>
      </c>
      <c r="S57" t="str">
        <f t="shared" si="3"/>
        <v>Battery Defect, 0</v>
      </c>
      <c r="T57" t="str">
        <f>_xlfn.XLOOKUP(B57,Disk_Pivot!G:G,Disk_Pivot!I:I)</f>
        <v>Yes</v>
      </c>
      <c r="U57" t="str">
        <f>_xlfn.XLOOKUP(B57,Disk_Pivot!G:G,Disk_Pivot!N:N)</f>
        <v>Fail</v>
      </c>
      <c r="V57">
        <f>IF(U57="Fail",MacReports!N57,"")</f>
        <v>0</v>
      </c>
      <c r="AB57" t="str">
        <f t="shared" si="4"/>
        <v/>
      </c>
    </row>
    <row r="58" spans="1:28">
      <c r="A58" t="str">
        <f>MacReports!A58</f>
        <v/>
      </c>
      <c r="B58">
        <f>MacReports!B58</f>
        <v>0</v>
      </c>
      <c r="C58">
        <f>MacReports!C58</f>
        <v>0</v>
      </c>
      <c r="E58" t="e">
        <f>_xlfn.XLOOKUP(G58,Models!A:A,Models!F:F)</f>
        <v>#N/A</v>
      </c>
      <c r="F58" t="str">
        <f>_xlfn.XLOOKUP(B58,MacReports!B:B,MacReports!D:D,"")</f>
        <v/>
      </c>
      <c r="G58" s="13">
        <f>MacReports!E58</f>
        <v>0</v>
      </c>
      <c r="H58" t="e">
        <f>_xlfn.XLOOKUP(G58,Models!A:A,Models!B:B)</f>
        <v>#N/A</v>
      </c>
      <c r="I58" t="e">
        <f>_xlfn.XLOOKUP(G58,Models!A:A,Models!E:E)</f>
        <v>#N/A</v>
      </c>
      <c r="J58" t="e">
        <f>_xlfn.XLOOKUP(G58,Models!A:A,Models!D:D)</f>
        <v>#N/A</v>
      </c>
      <c r="K58">
        <f>MacReports!F58</f>
        <v>0</v>
      </c>
      <c r="L58">
        <f>MacReports!G58</f>
        <v>0</v>
      </c>
      <c r="M58" s="15" t="e" cm="1">
        <f t="array" ref="M58">--_xlfn.LET(
    _xlpm.txt, MacReports!H58,
    _xlpm.chars, MID(_xlpm.txt, _xlfn.SEQUENCE(LEN(_xlpm.txt)), 1),
    _xlfn.TEXTJOIN("", TRUE, IF(ISNUMBER(--_xlpm.chars), _xlpm.chars, ""))
)</f>
        <v>#VALUE!</v>
      </c>
      <c r="N58" s="16" t="str" cm="1">
        <f t="array" ref="N58">_xlfn.IFS(
   --MacReports!M58&lt;55,"Battery Defect",
  -- MacReports!M58&lt;=69,"Battery D",
  --MacReports!M58&lt;=80,"Battery C",
 --MacReports!M58&gt;80,""
)</f>
        <v>Battery Defect</v>
      </c>
      <c r="O58" s="16" t="str">
        <f>IF(MacReports!I58="Service","Battery Service","")</f>
        <v/>
      </c>
      <c r="P58" s="13">
        <f>MacReports!P58</f>
        <v>0</v>
      </c>
      <c r="Q58" s="13" t="str">
        <f>IF(MacReports!J58="Enabled","Apple ID Lock","")</f>
        <v/>
      </c>
      <c r="R58" s="13" t="str">
        <f>IF(MacReports!L58="y","Remote Locked","")</f>
        <v/>
      </c>
      <c r="S58" t="str">
        <f t="shared" si="3"/>
        <v>Battery Defect, 0</v>
      </c>
      <c r="T58" t="str">
        <f>_xlfn.XLOOKUP(B58,Disk_Pivot!G:G,Disk_Pivot!I:I)</f>
        <v>Yes</v>
      </c>
      <c r="U58" t="str">
        <f>_xlfn.XLOOKUP(B58,Disk_Pivot!G:G,Disk_Pivot!N:N)</f>
        <v>Fail</v>
      </c>
      <c r="V58">
        <f>IF(U58="Fail",MacReports!N58,"")</f>
        <v>0</v>
      </c>
      <c r="AB58" t="str">
        <f t="shared" si="4"/>
        <v/>
      </c>
    </row>
    <row r="59" spans="1:28">
      <c r="A59" t="str">
        <f>MacReports!A59</f>
        <v/>
      </c>
      <c r="B59">
        <f>MacReports!B59</f>
        <v>0</v>
      </c>
      <c r="C59">
        <f>MacReports!C59</f>
        <v>0</v>
      </c>
      <c r="E59" t="e">
        <f>_xlfn.XLOOKUP(G59,Models!A:A,Models!F:F)</f>
        <v>#N/A</v>
      </c>
      <c r="F59" t="str">
        <f>_xlfn.XLOOKUP(B59,MacReports!B:B,MacReports!D:D,"")</f>
        <v/>
      </c>
      <c r="G59" s="13">
        <f>MacReports!E59</f>
        <v>0</v>
      </c>
      <c r="H59" t="e">
        <f>_xlfn.XLOOKUP(G59,Models!A:A,Models!B:B)</f>
        <v>#N/A</v>
      </c>
      <c r="I59" t="e">
        <f>_xlfn.XLOOKUP(G59,Models!A:A,Models!E:E)</f>
        <v>#N/A</v>
      </c>
      <c r="J59" t="e">
        <f>_xlfn.XLOOKUP(G59,Models!A:A,Models!D:D)</f>
        <v>#N/A</v>
      </c>
      <c r="K59">
        <f>MacReports!F59</f>
        <v>0</v>
      </c>
      <c r="L59">
        <f>MacReports!G59</f>
        <v>0</v>
      </c>
      <c r="M59" s="15" t="e" cm="1">
        <f t="array" ref="M59">--_xlfn.LET(
    _xlpm.txt, MacReports!H59,
    _xlpm.chars, MID(_xlpm.txt, _xlfn.SEQUENCE(LEN(_xlpm.txt)), 1),
    _xlfn.TEXTJOIN("", TRUE, IF(ISNUMBER(--_xlpm.chars), _xlpm.chars, ""))
)</f>
        <v>#VALUE!</v>
      </c>
      <c r="N59" s="16" t="str" cm="1">
        <f t="array" ref="N59">_xlfn.IFS(
   --MacReports!M59&lt;55,"Battery Defect",
  -- MacReports!M59&lt;=69,"Battery D",
  --MacReports!M59&lt;=80,"Battery C",
 --MacReports!M59&gt;80,""
)</f>
        <v>Battery Defect</v>
      </c>
      <c r="O59" s="16" t="str">
        <f>IF(MacReports!I59="Service","Battery Service","")</f>
        <v/>
      </c>
      <c r="P59" s="13">
        <f>MacReports!P59</f>
        <v>0</v>
      </c>
      <c r="Q59" s="13" t="str">
        <f>IF(MacReports!J59="Enabled","Apple ID Lock","")</f>
        <v/>
      </c>
      <c r="R59" s="13" t="str">
        <f>IF(MacReports!L59="y","Remote Locked","")</f>
        <v/>
      </c>
      <c r="S59" t="str">
        <f t="shared" si="3"/>
        <v>Battery Defect, 0</v>
      </c>
      <c r="T59" t="str">
        <f>_xlfn.XLOOKUP(B59,Disk_Pivot!G:G,Disk_Pivot!I:I)</f>
        <v>Yes</v>
      </c>
      <c r="U59" t="str">
        <f>_xlfn.XLOOKUP(B59,Disk_Pivot!G:G,Disk_Pivot!N:N)</f>
        <v>Fail</v>
      </c>
      <c r="V59">
        <f>IF(U59="Fail",MacReports!N59,"")</f>
        <v>0</v>
      </c>
      <c r="AB59" t="str">
        <f t="shared" si="4"/>
        <v/>
      </c>
    </row>
    <row r="60" spans="1:28">
      <c r="A60" t="str">
        <f>MacReports!A60</f>
        <v/>
      </c>
      <c r="B60">
        <f>MacReports!B60</f>
        <v>0</v>
      </c>
      <c r="C60">
        <f>MacReports!C60</f>
        <v>0</v>
      </c>
      <c r="E60" t="e">
        <f>_xlfn.XLOOKUP(G60,Models!A:A,Models!F:F)</f>
        <v>#N/A</v>
      </c>
      <c r="F60" t="str">
        <f>_xlfn.XLOOKUP(B60,MacReports!B:B,MacReports!D:D,"")</f>
        <v/>
      </c>
      <c r="G60" s="13">
        <f>MacReports!E60</f>
        <v>0</v>
      </c>
      <c r="H60" t="e">
        <f>_xlfn.XLOOKUP(G60,Models!A:A,Models!B:B)</f>
        <v>#N/A</v>
      </c>
      <c r="I60" t="e">
        <f>_xlfn.XLOOKUP(G60,Models!A:A,Models!E:E)</f>
        <v>#N/A</v>
      </c>
      <c r="J60" t="e">
        <f>_xlfn.XLOOKUP(G60,Models!A:A,Models!D:D)</f>
        <v>#N/A</v>
      </c>
      <c r="K60">
        <f>MacReports!F60</f>
        <v>0</v>
      </c>
      <c r="L60">
        <f>MacReports!G60</f>
        <v>0</v>
      </c>
      <c r="M60" s="15" t="e" cm="1">
        <f t="array" ref="M60">--_xlfn.LET(
    _xlpm.txt, MacReports!H60,
    _xlpm.chars, MID(_xlpm.txt, _xlfn.SEQUENCE(LEN(_xlpm.txt)), 1),
    _xlfn.TEXTJOIN("", TRUE, IF(ISNUMBER(--_xlpm.chars), _xlpm.chars, ""))
)</f>
        <v>#VALUE!</v>
      </c>
      <c r="N60" s="16" t="str" cm="1">
        <f t="array" ref="N60">_xlfn.IFS(
   --MacReports!M60&lt;55,"Battery Defect",
  -- MacReports!M60&lt;=69,"Battery D",
  --MacReports!M60&lt;=80,"Battery C",
 --MacReports!M60&gt;80,""
)</f>
        <v>Battery Defect</v>
      </c>
      <c r="O60" s="16" t="str">
        <f>IF(MacReports!I60="Service","Battery Service","")</f>
        <v/>
      </c>
      <c r="P60" s="13">
        <f>MacReports!P60</f>
        <v>0</v>
      </c>
      <c r="Q60" s="13" t="str">
        <f>IF(MacReports!J60="Enabled","Apple ID Lock","")</f>
        <v/>
      </c>
      <c r="R60" s="13" t="str">
        <f>IF(MacReports!L60="y","Remote Locked","")</f>
        <v/>
      </c>
      <c r="S60" t="str">
        <f t="shared" si="3"/>
        <v>Battery Defect, 0</v>
      </c>
      <c r="T60" t="str">
        <f>_xlfn.XLOOKUP(B60,Disk_Pivot!G:G,Disk_Pivot!I:I)</f>
        <v>Yes</v>
      </c>
      <c r="U60" t="str">
        <f>_xlfn.XLOOKUP(B60,Disk_Pivot!G:G,Disk_Pivot!N:N)</f>
        <v>Fail</v>
      </c>
      <c r="V60">
        <f>IF(U60="Fail",MacReports!N60,"")</f>
        <v>0</v>
      </c>
      <c r="AB60" t="str">
        <f t="shared" si="4"/>
        <v/>
      </c>
    </row>
    <row r="61" spans="1:28">
      <c r="A61" t="str">
        <f>MacReports!A61</f>
        <v/>
      </c>
      <c r="B61">
        <f>MacReports!B61</f>
        <v>0</v>
      </c>
      <c r="C61">
        <f>MacReports!C61</f>
        <v>0</v>
      </c>
      <c r="E61" t="e">
        <f>_xlfn.XLOOKUP(G61,Models!A:A,Models!F:F)</f>
        <v>#N/A</v>
      </c>
      <c r="F61" t="str">
        <f>_xlfn.XLOOKUP(B61,MacReports!B:B,MacReports!D:D,"")</f>
        <v/>
      </c>
      <c r="G61" s="13">
        <f>MacReports!E61</f>
        <v>0</v>
      </c>
      <c r="H61" t="e">
        <f>_xlfn.XLOOKUP(G61,Models!A:A,Models!B:B)</f>
        <v>#N/A</v>
      </c>
      <c r="I61" t="e">
        <f>_xlfn.XLOOKUP(G61,Models!A:A,Models!E:E)</f>
        <v>#N/A</v>
      </c>
      <c r="J61" t="e">
        <f>_xlfn.XLOOKUP(G61,Models!A:A,Models!D:D)</f>
        <v>#N/A</v>
      </c>
      <c r="K61">
        <f>MacReports!F61</f>
        <v>0</v>
      </c>
      <c r="L61">
        <f>MacReports!G61</f>
        <v>0</v>
      </c>
      <c r="M61" s="15" t="e" cm="1">
        <f t="array" ref="M61">--_xlfn.LET(
    _xlpm.txt, MacReports!H61,
    _xlpm.chars, MID(_xlpm.txt, _xlfn.SEQUENCE(LEN(_xlpm.txt)), 1),
    _xlfn.TEXTJOIN("", TRUE, IF(ISNUMBER(--_xlpm.chars), _xlpm.chars, ""))
)</f>
        <v>#VALUE!</v>
      </c>
      <c r="N61" s="16" t="str" cm="1">
        <f t="array" ref="N61">_xlfn.IFS(
   --MacReports!M61&lt;55,"Battery Defect",
  -- MacReports!M61&lt;=69,"Battery D",
  --MacReports!M61&lt;=80,"Battery C",
 --MacReports!M61&gt;80,""
)</f>
        <v>Battery Defect</v>
      </c>
      <c r="O61" s="16" t="str">
        <f>IF(MacReports!I61="Service","Battery Service","")</f>
        <v/>
      </c>
      <c r="P61" s="13">
        <f>MacReports!P61</f>
        <v>0</v>
      </c>
      <c r="Q61" s="13" t="str">
        <f>IF(MacReports!J61="Enabled","Apple ID Lock","")</f>
        <v/>
      </c>
      <c r="R61" s="13" t="str">
        <f>IF(MacReports!L61="y","Remote Locked","")</f>
        <v/>
      </c>
      <c r="S61" t="str">
        <f t="shared" si="3"/>
        <v>Battery Defect, 0</v>
      </c>
      <c r="T61" t="str">
        <f>_xlfn.XLOOKUP(B61,Disk_Pivot!G:G,Disk_Pivot!I:I)</f>
        <v>Yes</v>
      </c>
      <c r="U61" t="str">
        <f>_xlfn.XLOOKUP(B61,Disk_Pivot!G:G,Disk_Pivot!N:N)</f>
        <v>Fail</v>
      </c>
      <c r="V61">
        <f>IF(U61="Fail",MacReports!N61,"")</f>
        <v>0</v>
      </c>
      <c r="AB61" t="str">
        <f t="shared" si="4"/>
        <v/>
      </c>
    </row>
    <row r="62" spans="1:28">
      <c r="A62" t="str">
        <f>MacReports!A62</f>
        <v/>
      </c>
      <c r="B62">
        <f>MacReports!B62</f>
        <v>0</v>
      </c>
      <c r="C62">
        <f>MacReports!C62</f>
        <v>0</v>
      </c>
      <c r="E62" t="e">
        <f>_xlfn.XLOOKUP(G62,Models!A:A,Models!F:F)</f>
        <v>#N/A</v>
      </c>
      <c r="F62" t="str">
        <f>_xlfn.XLOOKUP(B62,MacReports!B:B,MacReports!D:D,"")</f>
        <v/>
      </c>
      <c r="G62" s="13">
        <f>MacReports!E62</f>
        <v>0</v>
      </c>
      <c r="H62" t="e">
        <f>_xlfn.XLOOKUP(G62,Models!A:A,Models!B:B)</f>
        <v>#N/A</v>
      </c>
      <c r="I62" t="e">
        <f>_xlfn.XLOOKUP(G62,Models!A:A,Models!E:E)</f>
        <v>#N/A</v>
      </c>
      <c r="J62" t="e">
        <f>_xlfn.XLOOKUP(G62,Models!A:A,Models!D:D)</f>
        <v>#N/A</v>
      </c>
      <c r="K62">
        <f>MacReports!F62</f>
        <v>0</v>
      </c>
      <c r="L62">
        <f>MacReports!G62</f>
        <v>0</v>
      </c>
      <c r="M62" s="15" t="e" cm="1">
        <f t="array" ref="M62">--_xlfn.LET(
    _xlpm.txt, MacReports!H62,
    _xlpm.chars, MID(_xlpm.txt, _xlfn.SEQUENCE(LEN(_xlpm.txt)), 1),
    _xlfn.TEXTJOIN("", TRUE, IF(ISNUMBER(--_xlpm.chars), _xlpm.chars, ""))
)</f>
        <v>#VALUE!</v>
      </c>
      <c r="N62" s="16" t="str" cm="1">
        <f t="array" ref="N62">_xlfn.IFS(
   --MacReports!M62&lt;55,"Battery Defect",
  -- MacReports!M62&lt;=69,"Battery D",
  --MacReports!M62&lt;=80,"Battery C",
 --MacReports!M62&gt;80,""
)</f>
        <v>Battery Defect</v>
      </c>
      <c r="O62" s="16" t="str">
        <f>IF(MacReports!I62="Service","Battery Service","")</f>
        <v/>
      </c>
      <c r="P62" s="13">
        <f>MacReports!P62</f>
        <v>0</v>
      </c>
      <c r="Q62" s="13" t="str">
        <f>IF(MacReports!J62="Enabled","Apple ID Lock","")</f>
        <v/>
      </c>
      <c r="R62" s="13" t="str">
        <f>IF(MacReports!L62="y","Remote Locked","")</f>
        <v/>
      </c>
      <c r="S62" t="str">
        <f t="shared" si="3"/>
        <v>Battery Defect, 0</v>
      </c>
      <c r="T62" t="str">
        <f>_xlfn.XLOOKUP(B62,Disk_Pivot!G:G,Disk_Pivot!I:I)</f>
        <v>Yes</v>
      </c>
      <c r="U62" t="str">
        <f>_xlfn.XLOOKUP(B62,Disk_Pivot!G:G,Disk_Pivot!N:N)</f>
        <v>Fail</v>
      </c>
      <c r="V62">
        <f>IF(U62="Fail",MacReports!N62,"")</f>
        <v>0</v>
      </c>
      <c r="AB62" t="str">
        <f t="shared" si="4"/>
        <v/>
      </c>
    </row>
    <row r="63" spans="1:28">
      <c r="A63" t="str">
        <f>MacReports!A63</f>
        <v/>
      </c>
      <c r="B63">
        <f>MacReports!B63</f>
        <v>0</v>
      </c>
      <c r="C63">
        <f>MacReports!C63</f>
        <v>0</v>
      </c>
      <c r="E63" t="e">
        <f>_xlfn.XLOOKUP(G63,Models!A:A,Models!F:F)</f>
        <v>#N/A</v>
      </c>
      <c r="F63" t="str">
        <f>_xlfn.XLOOKUP(B63,MacReports!B:B,MacReports!D:D,"")</f>
        <v/>
      </c>
      <c r="G63" s="13">
        <f>MacReports!E63</f>
        <v>0</v>
      </c>
      <c r="H63" t="e">
        <f>_xlfn.XLOOKUP(G63,Models!A:A,Models!B:B)</f>
        <v>#N/A</v>
      </c>
      <c r="I63" t="e">
        <f>_xlfn.XLOOKUP(G63,Models!A:A,Models!E:E)</f>
        <v>#N/A</v>
      </c>
      <c r="J63" t="e">
        <f>_xlfn.XLOOKUP(G63,Models!A:A,Models!D:D)</f>
        <v>#N/A</v>
      </c>
      <c r="K63">
        <f>MacReports!F63</f>
        <v>0</v>
      </c>
      <c r="L63">
        <f>MacReports!G63</f>
        <v>0</v>
      </c>
      <c r="M63" s="15" t="e" cm="1">
        <f t="array" ref="M63">--_xlfn.LET(
    _xlpm.txt, MacReports!H63,
    _xlpm.chars, MID(_xlpm.txt, _xlfn.SEQUENCE(LEN(_xlpm.txt)), 1),
    _xlfn.TEXTJOIN("", TRUE, IF(ISNUMBER(--_xlpm.chars), _xlpm.chars, ""))
)</f>
        <v>#VALUE!</v>
      </c>
      <c r="N63" s="16" t="str" cm="1">
        <f t="array" ref="N63">_xlfn.IFS(
   --MacReports!M63&lt;55,"Battery Defect",
  -- MacReports!M63&lt;=69,"Battery D",
  --MacReports!M63&lt;=80,"Battery C",
 --MacReports!M63&gt;80,""
)</f>
        <v>Battery Defect</v>
      </c>
      <c r="O63" s="16" t="str">
        <f>IF(MacReports!I63="Service","Battery Service","")</f>
        <v/>
      </c>
      <c r="P63" s="13">
        <f>MacReports!P63</f>
        <v>0</v>
      </c>
      <c r="Q63" s="13" t="str">
        <f>IF(MacReports!J63="Enabled","Apple ID Lock","")</f>
        <v/>
      </c>
      <c r="R63" s="13" t="str">
        <f>IF(MacReports!L63="y","Remote Locked","")</f>
        <v/>
      </c>
      <c r="S63" t="str">
        <f t="shared" si="3"/>
        <v>Battery Defect, 0</v>
      </c>
      <c r="T63" t="str">
        <f>_xlfn.XLOOKUP(B63,Disk_Pivot!G:G,Disk_Pivot!I:I)</f>
        <v>Yes</v>
      </c>
      <c r="U63" t="str">
        <f>_xlfn.XLOOKUP(B63,Disk_Pivot!G:G,Disk_Pivot!N:N)</f>
        <v>Fail</v>
      </c>
      <c r="V63">
        <f>IF(U63="Fail",MacReports!N63,"")</f>
        <v>0</v>
      </c>
      <c r="AB63" t="str">
        <f t="shared" si="4"/>
        <v/>
      </c>
    </row>
    <row r="64" spans="1:28">
      <c r="A64" t="str">
        <f>MacReports!A64</f>
        <v/>
      </c>
      <c r="B64">
        <f>MacReports!B64</f>
        <v>0</v>
      </c>
      <c r="C64">
        <f>MacReports!C64</f>
        <v>0</v>
      </c>
      <c r="E64" t="e">
        <f>_xlfn.XLOOKUP(G64,Models!A:A,Models!F:F)</f>
        <v>#N/A</v>
      </c>
      <c r="F64" t="str">
        <f>_xlfn.XLOOKUP(B64,MacReports!B:B,MacReports!D:D,"")</f>
        <v/>
      </c>
      <c r="G64" s="13">
        <f>MacReports!E64</f>
        <v>0</v>
      </c>
      <c r="H64" t="e">
        <f>_xlfn.XLOOKUP(G64,Models!A:A,Models!B:B)</f>
        <v>#N/A</v>
      </c>
      <c r="I64" t="e">
        <f>_xlfn.XLOOKUP(G64,Models!A:A,Models!E:E)</f>
        <v>#N/A</v>
      </c>
      <c r="J64" t="e">
        <f>_xlfn.XLOOKUP(G64,Models!A:A,Models!D:D)</f>
        <v>#N/A</v>
      </c>
      <c r="K64">
        <f>MacReports!F64</f>
        <v>0</v>
      </c>
      <c r="L64">
        <f>MacReports!G64</f>
        <v>0</v>
      </c>
      <c r="M64" s="15" t="e" cm="1">
        <f t="array" ref="M64">--_xlfn.LET(
    _xlpm.txt, MacReports!H64,
    _xlpm.chars, MID(_xlpm.txt, _xlfn.SEQUENCE(LEN(_xlpm.txt)), 1),
    _xlfn.TEXTJOIN("", TRUE, IF(ISNUMBER(--_xlpm.chars), _xlpm.chars, ""))
)</f>
        <v>#VALUE!</v>
      </c>
      <c r="N64" s="16" t="str" cm="1">
        <f t="array" ref="N64">_xlfn.IFS(
   --MacReports!M64&lt;55,"Battery Defect",
  -- MacReports!M64&lt;=69,"Battery D",
  --MacReports!M64&lt;=80,"Battery C",
 --MacReports!M64&gt;80,""
)</f>
        <v>Battery Defect</v>
      </c>
      <c r="O64" s="16" t="str">
        <f>IF(MacReports!I64="Service","Battery Service","")</f>
        <v/>
      </c>
      <c r="P64" s="13">
        <f>MacReports!P64</f>
        <v>0</v>
      </c>
      <c r="Q64" s="13" t="str">
        <f>IF(MacReports!J64="Enabled","Apple ID Lock","")</f>
        <v/>
      </c>
      <c r="R64" s="13" t="str">
        <f>IF(MacReports!L64="y","Remote Locked","")</f>
        <v/>
      </c>
      <c r="S64" t="str">
        <f t="shared" si="3"/>
        <v>Battery Defect, 0</v>
      </c>
      <c r="T64" t="str">
        <f>_xlfn.XLOOKUP(B64,Disk_Pivot!G:G,Disk_Pivot!I:I)</f>
        <v>Yes</v>
      </c>
      <c r="U64" t="str">
        <f>_xlfn.XLOOKUP(B64,Disk_Pivot!G:G,Disk_Pivot!N:N)</f>
        <v>Fail</v>
      </c>
      <c r="V64">
        <f>IF(U64="Fail",MacReports!N64,"")</f>
        <v>0</v>
      </c>
      <c r="AB64" t="str">
        <f t="shared" si="4"/>
        <v/>
      </c>
    </row>
    <row r="65" spans="1:28">
      <c r="A65" t="str">
        <f>MacReports!A65</f>
        <v/>
      </c>
      <c r="B65">
        <f>MacReports!B65</f>
        <v>0</v>
      </c>
      <c r="C65">
        <f>MacReports!C65</f>
        <v>0</v>
      </c>
      <c r="E65" t="e">
        <f>_xlfn.XLOOKUP(G65,Models!A:A,Models!F:F)</f>
        <v>#N/A</v>
      </c>
      <c r="F65" t="str">
        <f>_xlfn.XLOOKUP(B65,MacReports!B:B,MacReports!D:D,"")</f>
        <v/>
      </c>
      <c r="G65" s="13">
        <f>MacReports!E65</f>
        <v>0</v>
      </c>
      <c r="H65" t="e">
        <f>_xlfn.XLOOKUP(G65,Models!A:A,Models!B:B)</f>
        <v>#N/A</v>
      </c>
      <c r="I65" t="e">
        <f>_xlfn.XLOOKUP(G65,Models!A:A,Models!E:E)</f>
        <v>#N/A</v>
      </c>
      <c r="J65" t="e">
        <f>_xlfn.XLOOKUP(G65,Models!A:A,Models!D:D)</f>
        <v>#N/A</v>
      </c>
      <c r="K65">
        <f>MacReports!F65</f>
        <v>0</v>
      </c>
      <c r="L65">
        <f>MacReports!G65</f>
        <v>0</v>
      </c>
      <c r="M65" s="15" t="e" cm="1">
        <f t="array" ref="M65">--_xlfn.LET(
    _xlpm.txt, MacReports!H65,
    _xlpm.chars, MID(_xlpm.txt, _xlfn.SEQUENCE(LEN(_xlpm.txt)), 1),
    _xlfn.TEXTJOIN("", TRUE, IF(ISNUMBER(--_xlpm.chars), _xlpm.chars, ""))
)</f>
        <v>#VALUE!</v>
      </c>
      <c r="N65" s="16" t="str" cm="1">
        <f t="array" ref="N65">_xlfn.IFS(
   --MacReports!M65&lt;55,"Battery Defect",
  -- MacReports!M65&lt;=69,"Battery D",
  --MacReports!M65&lt;=80,"Battery C",
 --MacReports!M65&gt;80,""
)</f>
        <v>Battery Defect</v>
      </c>
      <c r="O65" s="16" t="str">
        <f>IF(MacReports!I65="Service","Battery Service","")</f>
        <v/>
      </c>
      <c r="P65" s="13">
        <f>MacReports!P65</f>
        <v>0</v>
      </c>
      <c r="Q65" s="13" t="str">
        <f>IF(MacReports!J65="Enabled","Apple ID Lock","")</f>
        <v/>
      </c>
      <c r="R65" s="13" t="str">
        <f>IF(MacReports!L65="y","Remote Locked","")</f>
        <v/>
      </c>
      <c r="S65" t="str">
        <f t="shared" si="3"/>
        <v>Battery Defect, 0</v>
      </c>
      <c r="T65" t="str">
        <f>_xlfn.XLOOKUP(B65,Disk_Pivot!G:G,Disk_Pivot!I:I)</f>
        <v>Yes</v>
      </c>
      <c r="U65" t="str">
        <f>_xlfn.XLOOKUP(B65,Disk_Pivot!G:G,Disk_Pivot!N:N)</f>
        <v>Fail</v>
      </c>
      <c r="V65">
        <f>IF(U65="Fail",MacReports!N65,"")</f>
        <v>0</v>
      </c>
      <c r="AB65" t="str">
        <f t="shared" si="4"/>
        <v/>
      </c>
    </row>
    <row r="66" spans="1:28">
      <c r="A66" t="str">
        <f>MacReports!A66</f>
        <v/>
      </c>
      <c r="B66">
        <f>MacReports!B66</f>
        <v>0</v>
      </c>
      <c r="C66">
        <f>MacReports!C66</f>
        <v>0</v>
      </c>
      <c r="E66" t="e">
        <f>_xlfn.XLOOKUP(G66,Models!A:A,Models!F:F)</f>
        <v>#N/A</v>
      </c>
      <c r="F66" t="str">
        <f>_xlfn.XLOOKUP(B66,MacReports!B:B,MacReports!D:D,"")</f>
        <v/>
      </c>
      <c r="G66" s="13">
        <f>MacReports!E66</f>
        <v>0</v>
      </c>
      <c r="H66" t="e">
        <f>_xlfn.XLOOKUP(G66,Models!A:A,Models!B:B)</f>
        <v>#N/A</v>
      </c>
      <c r="I66" t="e">
        <f>_xlfn.XLOOKUP(G66,Models!A:A,Models!E:E)</f>
        <v>#N/A</v>
      </c>
      <c r="J66" t="e">
        <f>_xlfn.XLOOKUP(G66,Models!A:A,Models!D:D)</f>
        <v>#N/A</v>
      </c>
      <c r="K66">
        <f>MacReports!F66</f>
        <v>0</v>
      </c>
      <c r="L66">
        <f>MacReports!G66</f>
        <v>0</v>
      </c>
      <c r="M66" s="15" t="e" cm="1">
        <f t="array" ref="M66">--_xlfn.LET(
    _xlpm.txt, MacReports!H66,
    _xlpm.chars, MID(_xlpm.txt, _xlfn.SEQUENCE(LEN(_xlpm.txt)), 1),
    _xlfn.TEXTJOIN("", TRUE, IF(ISNUMBER(--_xlpm.chars), _xlpm.chars, ""))
)</f>
        <v>#VALUE!</v>
      </c>
      <c r="N66" s="16" t="str" cm="1">
        <f t="array" ref="N66">_xlfn.IFS(
   --MacReports!M66&lt;55,"Battery Defect",
  -- MacReports!M66&lt;=69,"Battery D",
  --MacReports!M66&lt;=80,"Battery C",
 --MacReports!M66&gt;80,""
)</f>
        <v>Battery Defect</v>
      </c>
      <c r="O66" s="16" t="str">
        <f>IF(MacReports!I66="Service","Battery Service","")</f>
        <v/>
      </c>
      <c r="P66" s="13">
        <f>MacReports!P66</f>
        <v>0</v>
      </c>
      <c r="Q66" s="13" t="str">
        <f>IF(MacReports!J66="Enabled","Apple ID Lock","")</f>
        <v/>
      </c>
      <c r="R66" s="13" t="str">
        <f>IF(MacReports!L66="y","Remote Locked","")</f>
        <v/>
      </c>
      <c r="S66" t="str">
        <f t="shared" si="3"/>
        <v>Battery Defect, 0</v>
      </c>
      <c r="T66" t="str">
        <f>_xlfn.XLOOKUP(B66,Disk_Pivot!G:G,Disk_Pivot!I:I)</f>
        <v>Yes</v>
      </c>
      <c r="U66" t="str">
        <f>_xlfn.XLOOKUP(B66,Disk_Pivot!G:G,Disk_Pivot!N:N)</f>
        <v>Fail</v>
      </c>
      <c r="V66">
        <f>IF(U66="Fail",MacReports!N66,"")</f>
        <v>0</v>
      </c>
      <c r="AB66" t="str">
        <f t="shared" si="4"/>
        <v/>
      </c>
    </row>
    <row r="67" spans="1:28">
      <c r="A67" t="str">
        <f>MacReports!A67</f>
        <v/>
      </c>
      <c r="B67">
        <f>MacReports!B67</f>
        <v>0</v>
      </c>
      <c r="C67">
        <f>MacReports!C67</f>
        <v>0</v>
      </c>
      <c r="E67" t="e">
        <f>_xlfn.XLOOKUP(G67,Models!A:A,Models!F:F)</f>
        <v>#N/A</v>
      </c>
      <c r="F67" t="str">
        <f>_xlfn.XLOOKUP(B67,MacReports!B:B,MacReports!D:D,"")</f>
        <v/>
      </c>
      <c r="G67" s="13">
        <f>MacReports!E67</f>
        <v>0</v>
      </c>
      <c r="H67" t="e">
        <f>_xlfn.XLOOKUP(G67,Models!A:A,Models!B:B)</f>
        <v>#N/A</v>
      </c>
      <c r="I67" t="e">
        <f>_xlfn.XLOOKUP(G67,Models!A:A,Models!E:E)</f>
        <v>#N/A</v>
      </c>
      <c r="J67" t="e">
        <f>_xlfn.XLOOKUP(G67,Models!A:A,Models!D:D)</f>
        <v>#N/A</v>
      </c>
      <c r="K67">
        <f>MacReports!F67</f>
        <v>0</v>
      </c>
      <c r="L67">
        <f>MacReports!G67</f>
        <v>0</v>
      </c>
      <c r="M67" s="15" t="e" cm="1">
        <f t="array" ref="M67">--_xlfn.LET(
    _xlpm.txt, MacReports!H67,
    _xlpm.chars, MID(_xlpm.txt, _xlfn.SEQUENCE(LEN(_xlpm.txt)), 1),
    _xlfn.TEXTJOIN("", TRUE, IF(ISNUMBER(--_xlpm.chars), _xlpm.chars, ""))
)</f>
        <v>#VALUE!</v>
      </c>
      <c r="N67" s="16" t="str" cm="1">
        <f t="array" ref="N67">_xlfn.IFS(
   --MacReports!M67&lt;55,"Battery Defect",
  -- MacReports!M67&lt;=69,"Battery D",
  --MacReports!M67&lt;=80,"Battery C",
 --MacReports!M67&gt;80,""
)</f>
        <v>Battery Defect</v>
      </c>
      <c r="O67" s="16" t="str">
        <f>IF(MacReports!I67="Service","Battery Service","")</f>
        <v/>
      </c>
      <c r="P67" s="13">
        <f>MacReports!P67</f>
        <v>0</v>
      </c>
      <c r="Q67" s="13" t="str">
        <f>IF(MacReports!J67="Enabled","Apple ID Lock","")</f>
        <v/>
      </c>
      <c r="R67" s="13" t="str">
        <f>IF(MacReports!L67="y","Remote Locked","")</f>
        <v/>
      </c>
      <c r="S67" t="str">
        <f t="shared" si="3"/>
        <v>Battery Defect, 0</v>
      </c>
      <c r="T67" t="str">
        <f>_xlfn.XLOOKUP(B67,Disk_Pivot!G:G,Disk_Pivot!I:I)</f>
        <v>Yes</v>
      </c>
      <c r="U67" t="str">
        <f>_xlfn.XLOOKUP(B67,Disk_Pivot!G:G,Disk_Pivot!N:N)</f>
        <v>Fail</v>
      </c>
      <c r="V67">
        <f>IF(U67="Fail",MacReports!N67,"")</f>
        <v>0</v>
      </c>
      <c r="AB67" t="str">
        <f t="shared" si="4"/>
        <v/>
      </c>
    </row>
    <row r="68" spans="1:28">
      <c r="A68" t="str">
        <f>MacReports!A68</f>
        <v/>
      </c>
      <c r="B68">
        <f>MacReports!B68</f>
        <v>0</v>
      </c>
      <c r="C68">
        <f>MacReports!C68</f>
        <v>0</v>
      </c>
      <c r="E68" t="e">
        <f>_xlfn.XLOOKUP(G68,Models!A:A,Models!F:F)</f>
        <v>#N/A</v>
      </c>
      <c r="F68" t="str">
        <f>_xlfn.XLOOKUP(B68,MacReports!B:B,MacReports!D:D,"")</f>
        <v/>
      </c>
      <c r="G68" s="13">
        <f>MacReports!E68</f>
        <v>0</v>
      </c>
      <c r="H68" t="e">
        <f>_xlfn.XLOOKUP(G68,Models!A:A,Models!B:B)</f>
        <v>#N/A</v>
      </c>
      <c r="I68" t="e">
        <f>_xlfn.XLOOKUP(G68,Models!A:A,Models!E:E)</f>
        <v>#N/A</v>
      </c>
      <c r="J68" t="e">
        <f>_xlfn.XLOOKUP(G68,Models!A:A,Models!D:D)</f>
        <v>#N/A</v>
      </c>
      <c r="K68">
        <f>MacReports!F68</f>
        <v>0</v>
      </c>
      <c r="L68">
        <f>MacReports!G68</f>
        <v>0</v>
      </c>
      <c r="M68" s="15" t="e" cm="1">
        <f t="array" ref="M68">--_xlfn.LET(
    _xlpm.txt, MacReports!H68,
    _xlpm.chars, MID(_xlpm.txt, _xlfn.SEQUENCE(LEN(_xlpm.txt)), 1),
    _xlfn.TEXTJOIN("", TRUE, IF(ISNUMBER(--_xlpm.chars), _xlpm.chars, ""))
)</f>
        <v>#VALUE!</v>
      </c>
      <c r="N68" s="16" t="str" cm="1">
        <f t="array" ref="N68">_xlfn.IFS(
   --MacReports!M68&lt;55,"Battery Defect",
  -- MacReports!M68&lt;=69,"Battery D",
  --MacReports!M68&lt;=80,"Battery C",
 --MacReports!M68&gt;80,""
)</f>
        <v>Battery Defect</v>
      </c>
      <c r="O68" s="16" t="str">
        <f>IF(MacReports!I68="Service","Battery Service","")</f>
        <v/>
      </c>
      <c r="P68" s="13">
        <f>MacReports!P68</f>
        <v>0</v>
      </c>
      <c r="Q68" s="13" t="str">
        <f>IF(MacReports!J68="Enabled","Apple ID Lock","")</f>
        <v/>
      </c>
      <c r="R68" s="13" t="str">
        <f>IF(MacReports!L68="y","Remote Locked","")</f>
        <v/>
      </c>
      <c r="S68" t="str">
        <f t="shared" si="3"/>
        <v>Battery Defect, 0</v>
      </c>
      <c r="T68" t="str">
        <f>_xlfn.XLOOKUP(B68,Disk_Pivot!G:G,Disk_Pivot!I:I)</f>
        <v>Yes</v>
      </c>
      <c r="U68" t="str">
        <f>_xlfn.XLOOKUP(B68,Disk_Pivot!G:G,Disk_Pivot!N:N)</f>
        <v>Fail</v>
      </c>
      <c r="V68">
        <f>IF(U68="Fail",MacReports!N68,"")</f>
        <v>0</v>
      </c>
      <c r="AB68" t="str">
        <f t="shared" si="4"/>
        <v/>
      </c>
    </row>
    <row r="69" spans="1:28">
      <c r="A69" t="str">
        <f>MacReports!A69</f>
        <v/>
      </c>
      <c r="B69">
        <f>MacReports!B69</f>
        <v>0</v>
      </c>
      <c r="C69">
        <f>MacReports!C69</f>
        <v>0</v>
      </c>
      <c r="E69" t="e">
        <f>_xlfn.XLOOKUP(G69,Models!A:A,Models!F:F)</f>
        <v>#N/A</v>
      </c>
      <c r="F69" t="str">
        <f>_xlfn.XLOOKUP(B69,MacReports!B:B,MacReports!D:D,"")</f>
        <v/>
      </c>
      <c r="G69" s="13">
        <f>MacReports!E69</f>
        <v>0</v>
      </c>
      <c r="H69" t="e">
        <f>_xlfn.XLOOKUP(G69,Models!A:A,Models!B:B)</f>
        <v>#N/A</v>
      </c>
      <c r="I69" t="e">
        <f>_xlfn.XLOOKUP(G69,Models!A:A,Models!E:E)</f>
        <v>#N/A</v>
      </c>
      <c r="J69" t="e">
        <f>_xlfn.XLOOKUP(G69,Models!A:A,Models!D:D)</f>
        <v>#N/A</v>
      </c>
      <c r="K69">
        <f>MacReports!F69</f>
        <v>0</v>
      </c>
      <c r="L69">
        <f>MacReports!G69</f>
        <v>0</v>
      </c>
      <c r="M69" s="15" t="e" cm="1">
        <f t="array" ref="M69">--_xlfn.LET(
    _xlpm.txt, MacReports!H69,
    _xlpm.chars, MID(_xlpm.txt, _xlfn.SEQUENCE(LEN(_xlpm.txt)), 1),
    _xlfn.TEXTJOIN("", TRUE, IF(ISNUMBER(--_xlpm.chars), _xlpm.chars, ""))
)</f>
        <v>#VALUE!</v>
      </c>
      <c r="N69" s="16" t="str" cm="1">
        <f t="array" ref="N69">_xlfn.IFS(
   --MacReports!M69&lt;55,"Battery Defect",
  -- MacReports!M69&lt;=69,"Battery D",
  --MacReports!M69&lt;=80,"Battery C",
 --MacReports!M69&gt;80,""
)</f>
        <v>Battery Defect</v>
      </c>
      <c r="O69" s="16" t="str">
        <f>IF(MacReports!I69="Service","Battery Service","")</f>
        <v/>
      </c>
      <c r="P69" s="13">
        <f>MacReports!P69</f>
        <v>0</v>
      </c>
      <c r="Q69" s="13" t="str">
        <f>IF(MacReports!J69="Enabled","Apple ID Lock","")</f>
        <v/>
      </c>
      <c r="R69" s="13" t="str">
        <f>IF(MacReports!L69="y","Remote Locked","")</f>
        <v/>
      </c>
      <c r="S69" t="str">
        <f t="shared" si="3"/>
        <v>Battery Defect, 0</v>
      </c>
      <c r="T69" t="str">
        <f>_xlfn.XLOOKUP(B69,Disk_Pivot!G:G,Disk_Pivot!I:I)</f>
        <v>Yes</v>
      </c>
      <c r="U69" t="str">
        <f>_xlfn.XLOOKUP(B69,Disk_Pivot!G:G,Disk_Pivot!N:N)</f>
        <v>Fail</v>
      </c>
      <c r="V69">
        <f>IF(U69="Fail",MacReports!N69,"")</f>
        <v>0</v>
      </c>
      <c r="AB69" t="str">
        <f t="shared" si="4"/>
        <v/>
      </c>
    </row>
    <row r="70" spans="1:28">
      <c r="A70" t="str">
        <f>MacReports!A70</f>
        <v/>
      </c>
      <c r="B70">
        <f>MacReports!B70</f>
        <v>0</v>
      </c>
      <c r="C70">
        <f>MacReports!C70</f>
        <v>0</v>
      </c>
      <c r="E70" t="e">
        <f>_xlfn.XLOOKUP(G70,Models!A:A,Models!F:F)</f>
        <v>#N/A</v>
      </c>
      <c r="F70" t="str">
        <f>_xlfn.XLOOKUP(B70,MacReports!B:B,MacReports!D:D,"")</f>
        <v/>
      </c>
      <c r="G70" s="13">
        <f>MacReports!E70</f>
        <v>0</v>
      </c>
      <c r="H70" t="e">
        <f>_xlfn.XLOOKUP(G70,Models!A:A,Models!B:B)</f>
        <v>#N/A</v>
      </c>
      <c r="I70" t="e">
        <f>_xlfn.XLOOKUP(G70,Models!A:A,Models!E:E)</f>
        <v>#N/A</v>
      </c>
      <c r="J70" t="e">
        <f>_xlfn.XLOOKUP(G70,Models!A:A,Models!D:D)</f>
        <v>#N/A</v>
      </c>
      <c r="K70">
        <f>MacReports!F70</f>
        <v>0</v>
      </c>
      <c r="L70">
        <f>MacReports!G70</f>
        <v>0</v>
      </c>
      <c r="M70" s="15" t="e" cm="1">
        <f t="array" ref="M70">--_xlfn.LET(
    _xlpm.txt, MacReports!H70,
    _xlpm.chars, MID(_xlpm.txt, _xlfn.SEQUENCE(LEN(_xlpm.txt)), 1),
    _xlfn.TEXTJOIN("", TRUE, IF(ISNUMBER(--_xlpm.chars), _xlpm.chars, ""))
)</f>
        <v>#VALUE!</v>
      </c>
      <c r="N70" s="16" t="str" cm="1">
        <f t="array" ref="N70">_xlfn.IFS(
   --MacReports!M70&lt;55,"Battery Defect",
  -- MacReports!M70&lt;=69,"Battery D",
  --MacReports!M70&lt;=80,"Battery C",
 --MacReports!M70&gt;80,""
)</f>
        <v>Battery Defect</v>
      </c>
      <c r="O70" s="16" t="str">
        <f>IF(MacReports!I70="Service","Battery Service","")</f>
        <v/>
      </c>
      <c r="P70" s="13">
        <f>MacReports!P70</f>
        <v>0</v>
      </c>
      <c r="Q70" s="13" t="str">
        <f>IF(MacReports!J70="Enabled","Apple ID Lock","")</f>
        <v/>
      </c>
      <c r="R70" s="13" t="str">
        <f>IF(MacReports!L70="y","Remote Locked","")</f>
        <v/>
      </c>
      <c r="S70" t="str">
        <f t="shared" si="3"/>
        <v>Battery Defect, 0</v>
      </c>
      <c r="T70" t="str">
        <f>_xlfn.XLOOKUP(B70,Disk_Pivot!G:G,Disk_Pivot!I:I)</f>
        <v>Yes</v>
      </c>
      <c r="U70" t="str">
        <f>_xlfn.XLOOKUP(B70,Disk_Pivot!G:G,Disk_Pivot!N:N)</f>
        <v>Fail</v>
      </c>
      <c r="V70">
        <f>IF(U70="Fail",MacReports!N70,"")</f>
        <v>0</v>
      </c>
      <c r="AB70" t="str">
        <f t="shared" si="4"/>
        <v/>
      </c>
    </row>
    <row r="71" spans="1:28">
      <c r="A71" t="str">
        <f>MacReports!A71</f>
        <v/>
      </c>
      <c r="B71">
        <f>MacReports!B71</f>
        <v>0</v>
      </c>
      <c r="C71">
        <f>MacReports!C71</f>
        <v>0</v>
      </c>
      <c r="E71" t="e">
        <f>_xlfn.XLOOKUP(G71,Models!A:A,Models!F:F)</f>
        <v>#N/A</v>
      </c>
      <c r="F71" t="str">
        <f>_xlfn.XLOOKUP(B71,MacReports!B:B,MacReports!D:D,"")</f>
        <v/>
      </c>
      <c r="G71" s="13">
        <f>MacReports!E71</f>
        <v>0</v>
      </c>
      <c r="H71" t="e">
        <f>_xlfn.XLOOKUP(G71,Models!A:A,Models!B:B)</f>
        <v>#N/A</v>
      </c>
      <c r="I71" t="e">
        <f>_xlfn.XLOOKUP(G71,Models!A:A,Models!E:E)</f>
        <v>#N/A</v>
      </c>
      <c r="J71" t="e">
        <f>_xlfn.XLOOKUP(G71,Models!A:A,Models!D:D)</f>
        <v>#N/A</v>
      </c>
      <c r="K71">
        <f>MacReports!F71</f>
        <v>0</v>
      </c>
      <c r="L71">
        <f>MacReports!G71</f>
        <v>0</v>
      </c>
      <c r="M71" s="15" t="e" cm="1">
        <f t="array" ref="M71">--_xlfn.LET(
    _xlpm.txt, MacReports!H71,
    _xlpm.chars, MID(_xlpm.txt, _xlfn.SEQUENCE(LEN(_xlpm.txt)), 1),
    _xlfn.TEXTJOIN("", TRUE, IF(ISNUMBER(--_xlpm.chars), _xlpm.chars, ""))
)</f>
        <v>#VALUE!</v>
      </c>
      <c r="N71" s="16" t="str" cm="1">
        <f t="array" ref="N71">_xlfn.IFS(
   --MacReports!M71&lt;55,"Battery Defect",
  -- MacReports!M71&lt;=69,"Battery D",
  --MacReports!M71&lt;=80,"Battery C",
 --MacReports!M71&gt;80,""
)</f>
        <v>Battery Defect</v>
      </c>
      <c r="O71" s="16" t="str">
        <f>IF(MacReports!I71="Service","Battery Service","")</f>
        <v/>
      </c>
      <c r="P71" s="13">
        <f>MacReports!P71</f>
        <v>0</v>
      </c>
      <c r="Q71" s="13" t="str">
        <f>IF(MacReports!J71="Enabled","Apple ID Lock","")</f>
        <v/>
      </c>
      <c r="R71" s="13" t="str">
        <f>IF(MacReports!L71="y","Remote Locked","")</f>
        <v/>
      </c>
      <c r="S71" t="str">
        <f t="shared" si="3"/>
        <v>Battery Defect, 0</v>
      </c>
      <c r="T71" t="str">
        <f>_xlfn.XLOOKUP(B71,Disk_Pivot!G:G,Disk_Pivot!I:I)</f>
        <v>Yes</v>
      </c>
      <c r="U71" t="str">
        <f>_xlfn.XLOOKUP(B71,Disk_Pivot!G:G,Disk_Pivot!N:N)</f>
        <v>Fail</v>
      </c>
      <c r="V71">
        <f>IF(U71="Fail",MacReports!N71,"")</f>
        <v>0</v>
      </c>
      <c r="AB71" t="str">
        <f t="shared" si="4"/>
        <v/>
      </c>
    </row>
    <row r="72" spans="1:28">
      <c r="A72" t="str">
        <f>MacReports!A72</f>
        <v/>
      </c>
      <c r="B72">
        <f>MacReports!B72</f>
        <v>0</v>
      </c>
      <c r="C72">
        <f>MacReports!C72</f>
        <v>0</v>
      </c>
      <c r="E72" t="e">
        <f>_xlfn.XLOOKUP(G72,Models!A:A,Models!F:F)</f>
        <v>#N/A</v>
      </c>
      <c r="F72" t="str">
        <f>_xlfn.XLOOKUP(B72,MacReports!B:B,MacReports!D:D,"")</f>
        <v/>
      </c>
      <c r="G72" s="13">
        <f>MacReports!E72</f>
        <v>0</v>
      </c>
      <c r="H72" t="e">
        <f>_xlfn.XLOOKUP(G72,Models!A:A,Models!B:B)</f>
        <v>#N/A</v>
      </c>
      <c r="I72" t="e">
        <f>_xlfn.XLOOKUP(G72,Models!A:A,Models!E:E)</f>
        <v>#N/A</v>
      </c>
      <c r="J72" t="e">
        <f>_xlfn.XLOOKUP(G72,Models!A:A,Models!D:D)</f>
        <v>#N/A</v>
      </c>
      <c r="K72">
        <f>MacReports!F72</f>
        <v>0</v>
      </c>
      <c r="L72">
        <f>MacReports!G72</f>
        <v>0</v>
      </c>
      <c r="M72" s="15" t="e" cm="1">
        <f t="array" ref="M72">--_xlfn.LET(
    _xlpm.txt, MacReports!H72,
    _xlpm.chars, MID(_xlpm.txt, _xlfn.SEQUENCE(LEN(_xlpm.txt)), 1),
    _xlfn.TEXTJOIN("", TRUE, IF(ISNUMBER(--_xlpm.chars), _xlpm.chars, ""))
)</f>
        <v>#VALUE!</v>
      </c>
      <c r="N72" s="16" t="str" cm="1">
        <f t="array" ref="N72">_xlfn.IFS(
   --MacReports!M72&lt;55,"Battery Defect",
  -- MacReports!M72&lt;=69,"Battery D",
  --MacReports!M72&lt;=80,"Battery C",
 --MacReports!M72&gt;80,""
)</f>
        <v>Battery Defect</v>
      </c>
      <c r="O72" s="16" t="str">
        <f>IF(MacReports!I72="Service","Battery Service","")</f>
        <v/>
      </c>
      <c r="P72" s="13">
        <f>MacReports!P72</f>
        <v>0</v>
      </c>
      <c r="Q72" s="13" t="str">
        <f>IF(MacReports!J72="Enabled","Apple ID Lock","")</f>
        <v/>
      </c>
      <c r="R72" s="13" t="str">
        <f>IF(MacReports!L72="y","Remote Locked","")</f>
        <v/>
      </c>
      <c r="S72" t="str">
        <f t="shared" si="3"/>
        <v>Battery Defect, 0</v>
      </c>
      <c r="T72" t="str">
        <f>_xlfn.XLOOKUP(B72,Disk_Pivot!G:G,Disk_Pivot!I:I)</f>
        <v>Yes</v>
      </c>
      <c r="U72" t="str">
        <f>_xlfn.XLOOKUP(B72,Disk_Pivot!G:G,Disk_Pivot!N:N)</f>
        <v>Fail</v>
      </c>
      <c r="V72">
        <f>IF(U72="Fail",MacReports!N72,"")</f>
        <v>0</v>
      </c>
      <c r="AB72" t="str">
        <f t="shared" si="4"/>
        <v/>
      </c>
    </row>
    <row r="73" spans="1:28">
      <c r="A73" t="str">
        <f>MacReports!A73</f>
        <v/>
      </c>
      <c r="B73">
        <f>MacReports!B73</f>
        <v>0</v>
      </c>
      <c r="C73">
        <f>MacReports!C73</f>
        <v>0</v>
      </c>
      <c r="E73" t="e">
        <f>_xlfn.XLOOKUP(G73,Models!A:A,Models!F:F)</f>
        <v>#N/A</v>
      </c>
      <c r="F73" t="str">
        <f>_xlfn.XLOOKUP(B73,MacReports!B:B,MacReports!D:D,"")</f>
        <v/>
      </c>
      <c r="G73" s="13">
        <f>MacReports!E73</f>
        <v>0</v>
      </c>
      <c r="H73" t="e">
        <f>_xlfn.XLOOKUP(G73,Models!A:A,Models!B:B)</f>
        <v>#N/A</v>
      </c>
      <c r="I73" t="e">
        <f>_xlfn.XLOOKUP(G73,Models!A:A,Models!E:E)</f>
        <v>#N/A</v>
      </c>
      <c r="J73" t="e">
        <f>_xlfn.XLOOKUP(G73,Models!A:A,Models!D:D)</f>
        <v>#N/A</v>
      </c>
      <c r="K73">
        <f>MacReports!F73</f>
        <v>0</v>
      </c>
      <c r="L73">
        <f>MacReports!G73</f>
        <v>0</v>
      </c>
      <c r="M73" s="15" t="e" cm="1">
        <f t="array" ref="M73">--_xlfn.LET(
    _xlpm.txt, MacReports!H73,
    _xlpm.chars, MID(_xlpm.txt, _xlfn.SEQUENCE(LEN(_xlpm.txt)), 1),
    _xlfn.TEXTJOIN("", TRUE, IF(ISNUMBER(--_xlpm.chars), _xlpm.chars, ""))
)</f>
        <v>#VALUE!</v>
      </c>
      <c r="N73" s="16" t="str" cm="1">
        <f t="array" ref="N73">_xlfn.IFS(
   --MacReports!M73&lt;55,"Battery Defect",
  -- MacReports!M73&lt;=69,"Battery D",
  --MacReports!M73&lt;=80,"Battery C",
 --MacReports!M73&gt;80,""
)</f>
        <v>Battery Defect</v>
      </c>
      <c r="O73" s="16" t="str">
        <f>IF(MacReports!I73="Service","Battery Service","")</f>
        <v/>
      </c>
      <c r="P73" s="13">
        <f>MacReports!P73</f>
        <v>0</v>
      </c>
      <c r="Q73" s="13" t="str">
        <f>IF(MacReports!J73="Enabled","Apple ID Lock","")</f>
        <v/>
      </c>
      <c r="R73" s="13" t="str">
        <f>IF(MacReports!L73="y","Remote Locked","")</f>
        <v/>
      </c>
      <c r="S73" t="str">
        <f t="shared" si="3"/>
        <v>Battery Defect, 0</v>
      </c>
      <c r="T73" t="str">
        <f>_xlfn.XLOOKUP(B73,Disk_Pivot!G:G,Disk_Pivot!I:I)</f>
        <v>Yes</v>
      </c>
      <c r="U73" t="str">
        <f>_xlfn.XLOOKUP(B73,Disk_Pivot!G:G,Disk_Pivot!N:N)</f>
        <v>Fail</v>
      </c>
      <c r="V73">
        <f>IF(U73="Fail",MacReports!N73,"")</f>
        <v>0</v>
      </c>
      <c r="AB73" t="str">
        <f t="shared" si="4"/>
        <v/>
      </c>
    </row>
    <row r="74" spans="1:28">
      <c r="A74" t="str">
        <f>MacReports!A74</f>
        <v/>
      </c>
      <c r="B74">
        <f>MacReports!B74</f>
        <v>0</v>
      </c>
      <c r="C74">
        <f>MacReports!C74</f>
        <v>0</v>
      </c>
      <c r="E74" t="e">
        <f>_xlfn.XLOOKUP(G74,Models!A:A,Models!F:F)</f>
        <v>#N/A</v>
      </c>
      <c r="F74" t="str">
        <f>_xlfn.XLOOKUP(B74,MacReports!B:B,MacReports!D:D,"")</f>
        <v/>
      </c>
      <c r="G74" s="13">
        <f>MacReports!E74</f>
        <v>0</v>
      </c>
      <c r="H74" t="e">
        <f>_xlfn.XLOOKUP(G74,Models!A:A,Models!B:B)</f>
        <v>#N/A</v>
      </c>
      <c r="I74" t="e">
        <f>_xlfn.XLOOKUP(G74,Models!A:A,Models!E:E)</f>
        <v>#N/A</v>
      </c>
      <c r="J74" t="e">
        <f>_xlfn.XLOOKUP(G74,Models!A:A,Models!D:D)</f>
        <v>#N/A</v>
      </c>
      <c r="K74">
        <f>MacReports!F74</f>
        <v>0</v>
      </c>
      <c r="L74">
        <f>MacReports!G74</f>
        <v>0</v>
      </c>
      <c r="M74" s="15" t="e" cm="1">
        <f t="array" ref="M74">--_xlfn.LET(
    _xlpm.txt, MacReports!H74,
    _xlpm.chars, MID(_xlpm.txt, _xlfn.SEQUENCE(LEN(_xlpm.txt)), 1),
    _xlfn.TEXTJOIN("", TRUE, IF(ISNUMBER(--_xlpm.chars), _xlpm.chars, ""))
)</f>
        <v>#VALUE!</v>
      </c>
      <c r="N74" s="16" t="str" cm="1">
        <f t="array" ref="N74">_xlfn.IFS(
   --MacReports!M74&lt;55,"Battery Defect",
  -- MacReports!M74&lt;=69,"Battery D",
  --MacReports!M74&lt;=80,"Battery C",
 --MacReports!M74&gt;80,""
)</f>
        <v>Battery Defect</v>
      </c>
      <c r="O74" s="16" t="str">
        <f>IF(MacReports!I74="Service","Battery Service","")</f>
        <v/>
      </c>
      <c r="P74" s="13">
        <f>MacReports!P74</f>
        <v>0</v>
      </c>
      <c r="Q74" s="13" t="str">
        <f>IF(MacReports!J74="Enabled","Apple ID Lock","")</f>
        <v/>
      </c>
      <c r="R74" s="13" t="str">
        <f>IF(MacReports!L74="y","Remote Locked","")</f>
        <v/>
      </c>
      <c r="S74" t="str">
        <f t="shared" si="3"/>
        <v>Battery Defect, 0</v>
      </c>
      <c r="T74" t="str">
        <f>_xlfn.XLOOKUP(B74,Disk_Pivot!G:G,Disk_Pivot!I:I)</f>
        <v>Yes</v>
      </c>
      <c r="U74" t="str">
        <f>_xlfn.XLOOKUP(B74,Disk_Pivot!G:G,Disk_Pivot!N:N)</f>
        <v>Fail</v>
      </c>
      <c r="V74">
        <f>IF(U74="Fail",MacReports!N74,"")</f>
        <v>0</v>
      </c>
      <c r="AB74" t="str">
        <f t="shared" si="4"/>
        <v/>
      </c>
    </row>
    <row r="75" spans="1:28">
      <c r="A75" t="str">
        <f>MacReports!A75</f>
        <v/>
      </c>
      <c r="B75">
        <f>MacReports!B75</f>
        <v>0</v>
      </c>
      <c r="C75">
        <f>MacReports!C75</f>
        <v>0</v>
      </c>
      <c r="E75" t="e">
        <f>_xlfn.XLOOKUP(G75,Models!A:A,Models!F:F)</f>
        <v>#N/A</v>
      </c>
      <c r="F75" t="str">
        <f>_xlfn.XLOOKUP(B75,MacReports!B:B,MacReports!D:D,"")</f>
        <v/>
      </c>
      <c r="G75" s="13">
        <f>MacReports!E75</f>
        <v>0</v>
      </c>
      <c r="H75" t="e">
        <f>_xlfn.XLOOKUP(G75,Models!A:A,Models!B:B)</f>
        <v>#N/A</v>
      </c>
      <c r="I75" t="e">
        <f>_xlfn.XLOOKUP(G75,Models!A:A,Models!E:E)</f>
        <v>#N/A</v>
      </c>
      <c r="J75" t="e">
        <f>_xlfn.XLOOKUP(G75,Models!A:A,Models!D:D)</f>
        <v>#N/A</v>
      </c>
      <c r="K75">
        <f>MacReports!F75</f>
        <v>0</v>
      </c>
      <c r="L75">
        <f>MacReports!G75</f>
        <v>0</v>
      </c>
      <c r="M75" s="15" t="e" cm="1">
        <f t="array" ref="M75">--_xlfn.LET(
    _xlpm.txt, MacReports!H75,
    _xlpm.chars, MID(_xlpm.txt, _xlfn.SEQUENCE(LEN(_xlpm.txt)), 1),
    _xlfn.TEXTJOIN("", TRUE, IF(ISNUMBER(--_xlpm.chars), _xlpm.chars, ""))
)</f>
        <v>#VALUE!</v>
      </c>
      <c r="N75" s="16" t="str" cm="1">
        <f t="array" ref="N75">_xlfn.IFS(
   --MacReports!M75&lt;55,"Battery Defect",
  -- MacReports!M75&lt;=69,"Battery D",
  --MacReports!M75&lt;=80,"Battery C",
 --MacReports!M75&gt;80,""
)</f>
        <v>Battery Defect</v>
      </c>
      <c r="O75" s="16" t="str">
        <f>IF(MacReports!I75="Service","Battery Service","")</f>
        <v/>
      </c>
      <c r="P75" s="13">
        <f>MacReports!P75</f>
        <v>0</v>
      </c>
      <c r="Q75" s="13" t="str">
        <f>IF(MacReports!J75="Enabled","Apple ID Lock","")</f>
        <v/>
      </c>
      <c r="R75" s="13" t="str">
        <f>IF(MacReports!L75="y","Remote Locked","")</f>
        <v/>
      </c>
      <c r="S75" t="str">
        <f t="shared" si="3"/>
        <v>Battery Defect, 0</v>
      </c>
      <c r="T75" t="str">
        <f>_xlfn.XLOOKUP(B75,Disk_Pivot!G:G,Disk_Pivot!I:I)</f>
        <v>Yes</v>
      </c>
      <c r="U75" t="str">
        <f>_xlfn.XLOOKUP(B75,Disk_Pivot!G:G,Disk_Pivot!N:N)</f>
        <v>Fail</v>
      </c>
      <c r="V75">
        <f>IF(U75="Fail",MacReports!N75,"")</f>
        <v>0</v>
      </c>
      <c r="AB75" t="str">
        <f t="shared" si="4"/>
        <v/>
      </c>
    </row>
    <row r="76" spans="1:28">
      <c r="A76" t="str">
        <f>MacReports!A76</f>
        <v/>
      </c>
      <c r="B76">
        <f>MacReports!B76</f>
        <v>0</v>
      </c>
      <c r="C76">
        <f>MacReports!C76</f>
        <v>0</v>
      </c>
      <c r="E76" t="e">
        <f>_xlfn.XLOOKUP(G76,Models!A:A,Models!F:F)</f>
        <v>#N/A</v>
      </c>
      <c r="F76" t="str">
        <f>_xlfn.XLOOKUP(B76,MacReports!B:B,MacReports!D:D,"")</f>
        <v/>
      </c>
      <c r="G76" s="13">
        <f>MacReports!E76</f>
        <v>0</v>
      </c>
      <c r="H76" t="e">
        <f>_xlfn.XLOOKUP(G76,Models!A:A,Models!B:B)</f>
        <v>#N/A</v>
      </c>
      <c r="I76" t="e">
        <f>_xlfn.XLOOKUP(G76,Models!A:A,Models!E:E)</f>
        <v>#N/A</v>
      </c>
      <c r="J76" t="e">
        <f>_xlfn.XLOOKUP(G76,Models!A:A,Models!D:D)</f>
        <v>#N/A</v>
      </c>
      <c r="K76">
        <f>MacReports!F76</f>
        <v>0</v>
      </c>
      <c r="L76">
        <f>MacReports!G76</f>
        <v>0</v>
      </c>
      <c r="M76" s="15" t="e" cm="1">
        <f t="array" ref="M76">--_xlfn.LET(
    _xlpm.txt, MacReports!H76,
    _xlpm.chars, MID(_xlpm.txt, _xlfn.SEQUENCE(LEN(_xlpm.txt)), 1),
    _xlfn.TEXTJOIN("", TRUE, IF(ISNUMBER(--_xlpm.chars), _xlpm.chars, ""))
)</f>
        <v>#VALUE!</v>
      </c>
      <c r="N76" s="16" t="str" cm="1">
        <f t="array" ref="N76">_xlfn.IFS(
   --MacReports!M76&lt;55,"Battery Defect",
  -- MacReports!M76&lt;=69,"Battery D",
  --MacReports!M76&lt;=80,"Battery C",
 --MacReports!M76&gt;80,""
)</f>
        <v>Battery Defect</v>
      </c>
      <c r="O76" s="16" t="str">
        <f>IF(MacReports!I76="Service","Battery Service","")</f>
        <v/>
      </c>
      <c r="P76" s="13">
        <f>MacReports!P76</f>
        <v>0</v>
      </c>
      <c r="Q76" s="13" t="str">
        <f>IF(MacReports!J76="Enabled","Apple ID Lock","")</f>
        <v/>
      </c>
      <c r="R76" s="13" t="str">
        <f>IF(MacReports!L76="y","Remote Locked","")</f>
        <v/>
      </c>
      <c r="S76" t="str">
        <f t="shared" si="3"/>
        <v>Battery Defect, 0</v>
      </c>
      <c r="T76" t="str">
        <f>_xlfn.XLOOKUP(B76,Disk_Pivot!G:G,Disk_Pivot!I:I)</f>
        <v>Yes</v>
      </c>
      <c r="U76" t="str">
        <f>_xlfn.XLOOKUP(B76,Disk_Pivot!G:G,Disk_Pivot!N:N)</f>
        <v>Fail</v>
      </c>
      <c r="V76">
        <f>IF(U76="Fail",MacReports!N76,"")</f>
        <v>0</v>
      </c>
      <c r="AB76" t="str">
        <f t="shared" si="4"/>
        <v/>
      </c>
    </row>
    <row r="77" spans="1:28">
      <c r="A77" t="str">
        <f>MacReports!A77</f>
        <v/>
      </c>
      <c r="B77">
        <f>MacReports!B77</f>
        <v>0</v>
      </c>
      <c r="C77">
        <f>MacReports!C77</f>
        <v>0</v>
      </c>
      <c r="E77" t="e">
        <f>_xlfn.XLOOKUP(G77,Models!A:A,Models!F:F)</f>
        <v>#N/A</v>
      </c>
      <c r="F77" t="str">
        <f>_xlfn.XLOOKUP(B77,MacReports!B:B,MacReports!D:D,"")</f>
        <v/>
      </c>
      <c r="G77" s="13">
        <f>MacReports!E77</f>
        <v>0</v>
      </c>
      <c r="H77" t="e">
        <f>_xlfn.XLOOKUP(G77,Models!A:A,Models!B:B)</f>
        <v>#N/A</v>
      </c>
      <c r="I77" t="e">
        <f>_xlfn.XLOOKUP(G77,Models!A:A,Models!E:E)</f>
        <v>#N/A</v>
      </c>
      <c r="J77" t="e">
        <f>_xlfn.XLOOKUP(G77,Models!A:A,Models!D:D)</f>
        <v>#N/A</v>
      </c>
      <c r="K77">
        <f>MacReports!F77</f>
        <v>0</v>
      </c>
      <c r="L77">
        <f>MacReports!G77</f>
        <v>0</v>
      </c>
      <c r="M77" s="15" t="e" cm="1">
        <f t="array" ref="M77">--_xlfn.LET(
    _xlpm.txt, MacReports!H77,
    _xlpm.chars, MID(_xlpm.txt, _xlfn.SEQUENCE(LEN(_xlpm.txt)), 1),
    _xlfn.TEXTJOIN("", TRUE, IF(ISNUMBER(--_xlpm.chars), _xlpm.chars, ""))
)</f>
        <v>#VALUE!</v>
      </c>
      <c r="N77" s="16" t="str" cm="1">
        <f t="array" ref="N77">_xlfn.IFS(
   --MacReports!M77&lt;55,"Battery Defect",
  -- MacReports!M77&lt;=69,"Battery D",
  --MacReports!M77&lt;=80,"Battery C",
 --MacReports!M77&gt;80,""
)</f>
        <v>Battery Defect</v>
      </c>
      <c r="O77" s="16" t="str">
        <f>IF(MacReports!I77="Service","Battery Service","")</f>
        <v/>
      </c>
      <c r="P77" s="13">
        <f>MacReports!P77</f>
        <v>0</v>
      </c>
      <c r="Q77" s="13" t="str">
        <f>IF(MacReports!J77="Enabled","Apple ID Lock","")</f>
        <v/>
      </c>
      <c r="R77" s="13" t="str">
        <f>IF(MacReports!L77="y","Remote Locked","")</f>
        <v/>
      </c>
      <c r="S77" t="str">
        <f t="shared" si="3"/>
        <v>Battery Defect, 0</v>
      </c>
      <c r="T77" t="str">
        <f>_xlfn.XLOOKUP(B77,Disk_Pivot!G:G,Disk_Pivot!I:I)</f>
        <v>Yes</v>
      </c>
      <c r="U77" t="str">
        <f>_xlfn.XLOOKUP(B77,Disk_Pivot!G:G,Disk_Pivot!N:N)</f>
        <v>Fail</v>
      </c>
      <c r="V77">
        <f>IF(U77="Fail",MacReports!N77,"")</f>
        <v>0</v>
      </c>
      <c r="AB77" t="str">
        <f t="shared" si="4"/>
        <v/>
      </c>
    </row>
    <row r="78" spans="1:28">
      <c r="A78" t="str">
        <f>MacReports!A78</f>
        <v/>
      </c>
      <c r="B78">
        <f>MacReports!B78</f>
        <v>0</v>
      </c>
      <c r="C78">
        <f>MacReports!C78</f>
        <v>0</v>
      </c>
      <c r="E78" t="e">
        <f>_xlfn.XLOOKUP(G78,Models!A:A,Models!F:F)</f>
        <v>#N/A</v>
      </c>
      <c r="F78" t="str">
        <f>_xlfn.XLOOKUP(B78,MacReports!B:B,MacReports!D:D,"")</f>
        <v/>
      </c>
      <c r="G78" s="13">
        <f>MacReports!E78</f>
        <v>0</v>
      </c>
      <c r="H78" t="e">
        <f>_xlfn.XLOOKUP(G78,Models!A:A,Models!B:B)</f>
        <v>#N/A</v>
      </c>
      <c r="I78" t="e">
        <f>_xlfn.XLOOKUP(G78,Models!A:A,Models!E:E)</f>
        <v>#N/A</v>
      </c>
      <c r="J78" t="e">
        <f>_xlfn.XLOOKUP(G78,Models!A:A,Models!D:D)</f>
        <v>#N/A</v>
      </c>
      <c r="K78">
        <f>MacReports!F78</f>
        <v>0</v>
      </c>
      <c r="L78">
        <f>MacReports!G78</f>
        <v>0</v>
      </c>
      <c r="M78" s="15" t="e" cm="1">
        <f t="array" ref="M78">--_xlfn.LET(
    _xlpm.txt, MacReports!H78,
    _xlpm.chars, MID(_xlpm.txt, _xlfn.SEQUENCE(LEN(_xlpm.txt)), 1),
    _xlfn.TEXTJOIN("", TRUE, IF(ISNUMBER(--_xlpm.chars), _xlpm.chars, ""))
)</f>
        <v>#VALUE!</v>
      </c>
      <c r="N78" s="16" t="str" cm="1">
        <f t="array" ref="N78">_xlfn.IFS(
   --MacReports!M78&lt;55,"Battery Defect",
  -- MacReports!M78&lt;=69,"Battery D",
  --MacReports!M78&lt;=80,"Battery C",
 --MacReports!M78&gt;80,""
)</f>
        <v>Battery Defect</v>
      </c>
      <c r="O78" s="16" t="str">
        <f>IF(MacReports!I78="Service","Battery Service","")</f>
        <v/>
      </c>
      <c r="P78" s="13">
        <f>MacReports!P78</f>
        <v>0</v>
      </c>
      <c r="Q78" s="13" t="str">
        <f>IF(MacReports!J78="Enabled","Apple ID Lock","")</f>
        <v/>
      </c>
      <c r="R78" s="13" t="str">
        <f>IF(MacReports!L78="y","Remote Locked","")</f>
        <v/>
      </c>
      <c r="S78" t="str">
        <f t="shared" si="3"/>
        <v>Battery Defect, 0</v>
      </c>
      <c r="T78" t="str">
        <f>_xlfn.XLOOKUP(B78,Disk_Pivot!G:G,Disk_Pivot!I:I)</f>
        <v>Yes</v>
      </c>
      <c r="U78" t="str">
        <f>_xlfn.XLOOKUP(B78,Disk_Pivot!G:G,Disk_Pivot!N:N)</f>
        <v>Fail</v>
      </c>
      <c r="V78">
        <f>IF(U78="Fail",MacReports!N78,"")</f>
        <v>0</v>
      </c>
      <c r="AB78" t="str">
        <f t="shared" si="4"/>
        <v/>
      </c>
    </row>
    <row r="79" spans="1:28">
      <c r="A79" t="str">
        <f>MacReports!A79</f>
        <v/>
      </c>
      <c r="B79">
        <f>MacReports!B79</f>
        <v>0</v>
      </c>
      <c r="C79">
        <f>MacReports!C79</f>
        <v>0</v>
      </c>
      <c r="E79" t="e">
        <f>_xlfn.XLOOKUP(G79,Models!A:A,Models!F:F)</f>
        <v>#N/A</v>
      </c>
      <c r="F79" t="str">
        <f>_xlfn.XLOOKUP(B79,MacReports!B:B,MacReports!D:D,"")</f>
        <v/>
      </c>
      <c r="G79" s="13">
        <f>MacReports!E79</f>
        <v>0</v>
      </c>
      <c r="H79" t="e">
        <f>_xlfn.XLOOKUP(G79,Models!A:A,Models!B:B)</f>
        <v>#N/A</v>
      </c>
      <c r="I79" t="e">
        <f>_xlfn.XLOOKUP(G79,Models!A:A,Models!E:E)</f>
        <v>#N/A</v>
      </c>
      <c r="J79" t="e">
        <f>_xlfn.XLOOKUP(G79,Models!A:A,Models!D:D)</f>
        <v>#N/A</v>
      </c>
      <c r="K79">
        <f>MacReports!F79</f>
        <v>0</v>
      </c>
      <c r="L79">
        <f>MacReports!G79</f>
        <v>0</v>
      </c>
      <c r="M79" s="15" t="e" cm="1">
        <f t="array" ref="M79">--_xlfn.LET(
    _xlpm.txt, MacReports!H79,
    _xlpm.chars, MID(_xlpm.txt, _xlfn.SEQUENCE(LEN(_xlpm.txt)), 1),
    _xlfn.TEXTJOIN("", TRUE, IF(ISNUMBER(--_xlpm.chars), _xlpm.chars, ""))
)</f>
        <v>#VALUE!</v>
      </c>
      <c r="N79" s="16" t="str" cm="1">
        <f t="array" ref="N79">_xlfn.IFS(
   --MacReports!M79&lt;55,"Battery Defect",
  -- MacReports!M79&lt;=69,"Battery D",
  --MacReports!M79&lt;=80,"Battery C",
 --MacReports!M79&gt;80,""
)</f>
        <v>Battery Defect</v>
      </c>
      <c r="O79" s="16" t="str">
        <f>IF(MacReports!I79="Service","Battery Service","")</f>
        <v/>
      </c>
      <c r="P79" s="13">
        <f>MacReports!P79</f>
        <v>0</v>
      </c>
      <c r="Q79" s="13" t="str">
        <f>IF(MacReports!J79="Enabled","Apple ID Lock","")</f>
        <v/>
      </c>
      <c r="R79" s="13" t="str">
        <f>IF(MacReports!L79="y","Remote Locked","")</f>
        <v/>
      </c>
      <c r="S79" t="str">
        <f t="shared" si="3"/>
        <v>Battery Defect, 0</v>
      </c>
      <c r="T79" t="str">
        <f>_xlfn.XLOOKUP(B79,Disk_Pivot!G:G,Disk_Pivot!I:I)</f>
        <v>Yes</v>
      </c>
      <c r="U79" t="str">
        <f>_xlfn.XLOOKUP(B79,Disk_Pivot!G:G,Disk_Pivot!N:N)</f>
        <v>Fail</v>
      </c>
      <c r="V79">
        <f>IF(U79="Fail",MacReports!N79,"")</f>
        <v>0</v>
      </c>
      <c r="AB79" t="str">
        <f t="shared" si="4"/>
        <v/>
      </c>
    </row>
    <row r="80" spans="1:28">
      <c r="A80" t="str">
        <f>MacReports!A80</f>
        <v/>
      </c>
      <c r="B80">
        <f>MacReports!B80</f>
        <v>0</v>
      </c>
      <c r="C80">
        <f>MacReports!C80</f>
        <v>0</v>
      </c>
      <c r="E80" t="e">
        <f>_xlfn.XLOOKUP(G80,Models!A:A,Models!F:F)</f>
        <v>#N/A</v>
      </c>
      <c r="F80" t="str">
        <f>_xlfn.XLOOKUP(B80,MacReports!B:B,MacReports!D:D,"")</f>
        <v/>
      </c>
      <c r="G80" s="13">
        <f>MacReports!E80</f>
        <v>0</v>
      </c>
      <c r="H80" t="e">
        <f>_xlfn.XLOOKUP(G80,Models!A:A,Models!B:B)</f>
        <v>#N/A</v>
      </c>
      <c r="I80" t="e">
        <f>_xlfn.XLOOKUP(G80,Models!A:A,Models!E:E)</f>
        <v>#N/A</v>
      </c>
      <c r="J80" t="e">
        <f>_xlfn.XLOOKUP(G80,Models!A:A,Models!D:D)</f>
        <v>#N/A</v>
      </c>
      <c r="K80">
        <f>MacReports!F80</f>
        <v>0</v>
      </c>
      <c r="L80">
        <f>MacReports!G80</f>
        <v>0</v>
      </c>
      <c r="M80" s="15" t="e" cm="1">
        <f t="array" ref="M80">--_xlfn.LET(
    _xlpm.txt, MacReports!H80,
    _xlpm.chars, MID(_xlpm.txt, _xlfn.SEQUENCE(LEN(_xlpm.txt)), 1),
    _xlfn.TEXTJOIN("", TRUE, IF(ISNUMBER(--_xlpm.chars), _xlpm.chars, ""))
)</f>
        <v>#VALUE!</v>
      </c>
      <c r="N80" s="16" t="str" cm="1">
        <f t="array" ref="N80">_xlfn.IFS(
   --MacReports!M80&lt;55,"Battery Defect",
  -- MacReports!M80&lt;=69,"Battery D",
  --MacReports!M80&lt;=80,"Battery C",
 --MacReports!M80&gt;80,""
)</f>
        <v>Battery Defect</v>
      </c>
      <c r="O80" s="16" t="str">
        <f>IF(MacReports!I80="Service","Battery Service","")</f>
        <v/>
      </c>
      <c r="P80" s="13">
        <f>MacReports!P80</f>
        <v>0</v>
      </c>
      <c r="Q80" s="13" t="str">
        <f>IF(MacReports!J80="Enabled","Apple ID Lock","")</f>
        <v/>
      </c>
      <c r="R80" s="13" t="str">
        <f>IF(MacReports!L80="y","Remote Locked","")</f>
        <v/>
      </c>
      <c r="S80" t="str">
        <f t="shared" si="3"/>
        <v>Battery Defect, 0</v>
      </c>
      <c r="T80" t="str">
        <f>_xlfn.XLOOKUP(B80,Disk_Pivot!G:G,Disk_Pivot!I:I)</f>
        <v>Yes</v>
      </c>
      <c r="U80" t="str">
        <f>_xlfn.XLOOKUP(B80,Disk_Pivot!G:G,Disk_Pivot!N:N)</f>
        <v>Fail</v>
      </c>
      <c r="V80">
        <f>IF(U80="Fail",MacReports!N80,"")</f>
        <v>0</v>
      </c>
      <c r="AB80" t="str">
        <f t="shared" si="4"/>
        <v/>
      </c>
    </row>
    <row r="81" spans="1:28">
      <c r="A81" t="str">
        <f>MacReports!A81</f>
        <v/>
      </c>
      <c r="B81">
        <f>MacReports!B81</f>
        <v>0</v>
      </c>
      <c r="C81">
        <f>MacReports!C81</f>
        <v>0</v>
      </c>
      <c r="E81" t="e">
        <f>_xlfn.XLOOKUP(G81,Models!A:A,Models!F:F)</f>
        <v>#N/A</v>
      </c>
      <c r="F81" t="str">
        <f>_xlfn.XLOOKUP(B81,MacReports!B:B,MacReports!D:D,"")</f>
        <v/>
      </c>
      <c r="G81" s="13">
        <f>MacReports!E81</f>
        <v>0</v>
      </c>
      <c r="H81" t="e">
        <f>_xlfn.XLOOKUP(G81,Models!A:A,Models!B:B)</f>
        <v>#N/A</v>
      </c>
      <c r="I81" t="e">
        <f>_xlfn.XLOOKUP(G81,Models!A:A,Models!E:E)</f>
        <v>#N/A</v>
      </c>
      <c r="J81" t="e">
        <f>_xlfn.XLOOKUP(G81,Models!A:A,Models!D:D)</f>
        <v>#N/A</v>
      </c>
      <c r="K81">
        <f>MacReports!F81</f>
        <v>0</v>
      </c>
      <c r="L81">
        <f>MacReports!G81</f>
        <v>0</v>
      </c>
      <c r="M81" s="15" t="e" cm="1">
        <f t="array" ref="M81">--_xlfn.LET(
    _xlpm.txt, MacReports!H81,
    _xlpm.chars, MID(_xlpm.txt, _xlfn.SEQUENCE(LEN(_xlpm.txt)), 1),
    _xlfn.TEXTJOIN("", TRUE, IF(ISNUMBER(--_xlpm.chars), _xlpm.chars, ""))
)</f>
        <v>#VALUE!</v>
      </c>
      <c r="N81" s="16" t="str" cm="1">
        <f t="array" ref="N81">_xlfn.IFS(
   --MacReports!M81&lt;55,"Battery Defect",
  -- MacReports!M81&lt;=69,"Battery D",
  --MacReports!M81&lt;=80,"Battery C",
 --MacReports!M81&gt;80,""
)</f>
        <v>Battery Defect</v>
      </c>
      <c r="O81" s="16" t="str">
        <f>IF(MacReports!I81="Service","Battery Service","")</f>
        <v/>
      </c>
      <c r="P81" s="13">
        <f>MacReports!P81</f>
        <v>0</v>
      </c>
      <c r="Q81" s="13" t="str">
        <f>IF(MacReports!J81="Enabled","Apple ID Lock","")</f>
        <v/>
      </c>
      <c r="R81" s="13" t="str">
        <f>IF(MacReports!L81="y","Remote Locked","")</f>
        <v/>
      </c>
      <c r="S81" t="str">
        <f t="shared" si="3"/>
        <v>Battery Defect, 0</v>
      </c>
      <c r="T81" t="str">
        <f>_xlfn.XLOOKUP(B81,Disk_Pivot!G:G,Disk_Pivot!I:I)</f>
        <v>Yes</v>
      </c>
      <c r="U81" t="str">
        <f>_xlfn.XLOOKUP(B81,Disk_Pivot!G:G,Disk_Pivot!N:N)</f>
        <v>Fail</v>
      </c>
      <c r="V81">
        <f>IF(U81="Fail",MacReports!N81,"")</f>
        <v>0</v>
      </c>
      <c r="AB81" t="str">
        <f t="shared" si="4"/>
        <v/>
      </c>
    </row>
    <row r="82" spans="1:28">
      <c r="A82" t="str">
        <f>MacReports!A82</f>
        <v/>
      </c>
      <c r="B82">
        <f>MacReports!B82</f>
        <v>0</v>
      </c>
      <c r="C82">
        <f>MacReports!C82</f>
        <v>0</v>
      </c>
      <c r="E82" t="e">
        <f>_xlfn.XLOOKUP(G82,Models!A:A,Models!F:F)</f>
        <v>#N/A</v>
      </c>
      <c r="F82" t="str">
        <f>_xlfn.XLOOKUP(B82,MacReports!B:B,MacReports!D:D,"")</f>
        <v/>
      </c>
      <c r="G82" s="13">
        <f>MacReports!E82</f>
        <v>0</v>
      </c>
      <c r="H82" t="e">
        <f>_xlfn.XLOOKUP(G82,Models!A:A,Models!B:B)</f>
        <v>#N/A</v>
      </c>
      <c r="I82" t="e">
        <f>_xlfn.XLOOKUP(G82,Models!A:A,Models!E:E)</f>
        <v>#N/A</v>
      </c>
      <c r="J82" t="e">
        <f>_xlfn.XLOOKUP(G82,Models!A:A,Models!D:D)</f>
        <v>#N/A</v>
      </c>
      <c r="K82">
        <f>MacReports!F82</f>
        <v>0</v>
      </c>
      <c r="L82">
        <f>MacReports!G82</f>
        <v>0</v>
      </c>
      <c r="M82" s="15" t="e" cm="1">
        <f t="array" ref="M82">--_xlfn.LET(
    _xlpm.txt, MacReports!H82,
    _xlpm.chars, MID(_xlpm.txt, _xlfn.SEQUENCE(LEN(_xlpm.txt)), 1),
    _xlfn.TEXTJOIN("", TRUE, IF(ISNUMBER(--_xlpm.chars), _xlpm.chars, ""))
)</f>
        <v>#VALUE!</v>
      </c>
      <c r="N82" s="16" t="str" cm="1">
        <f t="array" ref="N82">_xlfn.IFS(
   --MacReports!M82&lt;55,"Battery Defect",
  -- MacReports!M82&lt;=69,"Battery D",
  --MacReports!M82&lt;=80,"Battery C",
 --MacReports!M82&gt;80,""
)</f>
        <v>Battery Defect</v>
      </c>
      <c r="O82" s="16" t="str">
        <f>IF(MacReports!I82="Service","Battery Service","")</f>
        <v/>
      </c>
      <c r="P82" s="13">
        <f>MacReports!P82</f>
        <v>0</v>
      </c>
      <c r="Q82" s="13" t="str">
        <f>IF(MacReports!J82="Enabled","Apple ID Lock","")</f>
        <v/>
      </c>
      <c r="R82" s="13" t="str">
        <f>IF(MacReports!L82="y","Remote Locked","")</f>
        <v/>
      </c>
      <c r="S82" t="str">
        <f t="shared" si="3"/>
        <v>Battery Defect, 0</v>
      </c>
      <c r="T82" t="str">
        <f>_xlfn.XLOOKUP(B82,Disk_Pivot!G:G,Disk_Pivot!I:I)</f>
        <v>Yes</v>
      </c>
      <c r="U82" t="str">
        <f>_xlfn.XLOOKUP(B82,Disk_Pivot!G:G,Disk_Pivot!N:N)</f>
        <v>Fail</v>
      </c>
      <c r="V82">
        <f>IF(U82="Fail",MacReports!N82,"")</f>
        <v>0</v>
      </c>
      <c r="AB82" t="str">
        <f t="shared" si="4"/>
        <v/>
      </c>
    </row>
    <row r="83" spans="1:28">
      <c r="A83" t="str">
        <f>MacReports!A83</f>
        <v/>
      </c>
      <c r="B83">
        <f>MacReports!B83</f>
        <v>0</v>
      </c>
      <c r="C83">
        <f>MacReports!C83</f>
        <v>0</v>
      </c>
      <c r="E83" t="e">
        <f>_xlfn.XLOOKUP(G83,Models!A:A,Models!F:F)</f>
        <v>#N/A</v>
      </c>
      <c r="F83" t="str">
        <f>_xlfn.XLOOKUP(B83,MacReports!B:B,MacReports!D:D,"")</f>
        <v/>
      </c>
      <c r="G83" s="13">
        <f>MacReports!E83</f>
        <v>0</v>
      </c>
      <c r="H83" t="e">
        <f>_xlfn.XLOOKUP(G83,Models!A:A,Models!B:B)</f>
        <v>#N/A</v>
      </c>
      <c r="I83" t="e">
        <f>_xlfn.XLOOKUP(G83,Models!A:A,Models!E:E)</f>
        <v>#N/A</v>
      </c>
      <c r="J83" t="e">
        <f>_xlfn.XLOOKUP(G83,Models!A:A,Models!D:D)</f>
        <v>#N/A</v>
      </c>
      <c r="K83">
        <f>MacReports!F83</f>
        <v>0</v>
      </c>
      <c r="L83">
        <f>MacReports!G83</f>
        <v>0</v>
      </c>
      <c r="M83" s="15" t="e" cm="1">
        <f t="array" ref="M83">--_xlfn.LET(
    _xlpm.txt, MacReports!H83,
    _xlpm.chars, MID(_xlpm.txt, _xlfn.SEQUENCE(LEN(_xlpm.txt)), 1),
    _xlfn.TEXTJOIN("", TRUE, IF(ISNUMBER(--_xlpm.chars), _xlpm.chars, ""))
)</f>
        <v>#VALUE!</v>
      </c>
      <c r="N83" s="16" t="str" cm="1">
        <f t="array" ref="N83">_xlfn.IFS(
   --MacReports!M83&lt;55,"Battery Defect",
  -- MacReports!M83&lt;=69,"Battery D",
  --MacReports!M83&lt;=80,"Battery C",
 --MacReports!M83&gt;80,""
)</f>
        <v>Battery Defect</v>
      </c>
      <c r="O83" s="16" t="str">
        <f>IF(MacReports!I83="Service","Battery Service","")</f>
        <v/>
      </c>
      <c r="P83" s="13">
        <f>MacReports!P83</f>
        <v>0</v>
      </c>
      <c r="Q83" s="13" t="str">
        <f>IF(MacReports!J83="Enabled","Apple ID Lock","")</f>
        <v/>
      </c>
      <c r="R83" s="13" t="str">
        <f>IF(MacReports!L83="y","Remote Locked","")</f>
        <v/>
      </c>
      <c r="S83" t="str">
        <f t="shared" si="3"/>
        <v>Battery Defect, 0</v>
      </c>
      <c r="T83" t="str">
        <f>_xlfn.XLOOKUP(B83,Disk_Pivot!G:G,Disk_Pivot!I:I)</f>
        <v>Yes</v>
      </c>
      <c r="U83" t="str">
        <f>_xlfn.XLOOKUP(B83,Disk_Pivot!G:G,Disk_Pivot!N:N)</f>
        <v>Fail</v>
      </c>
      <c r="V83">
        <f>IF(U83="Fail",MacReports!N83,"")</f>
        <v>0</v>
      </c>
      <c r="AB83" t="str">
        <f t="shared" si="4"/>
        <v/>
      </c>
    </row>
    <row r="84" spans="1:28">
      <c r="A84" t="str">
        <f>MacReports!A84</f>
        <v/>
      </c>
      <c r="B84">
        <f>MacReports!B84</f>
        <v>0</v>
      </c>
      <c r="C84">
        <f>MacReports!C84</f>
        <v>0</v>
      </c>
      <c r="E84" t="e">
        <f>_xlfn.XLOOKUP(G84,Models!A:A,Models!F:F)</f>
        <v>#N/A</v>
      </c>
      <c r="F84" t="str">
        <f>_xlfn.XLOOKUP(B84,MacReports!B:B,MacReports!D:D,"")</f>
        <v/>
      </c>
      <c r="G84" s="13">
        <f>MacReports!E84</f>
        <v>0</v>
      </c>
      <c r="H84" t="e">
        <f>_xlfn.XLOOKUP(G84,Models!A:A,Models!B:B)</f>
        <v>#N/A</v>
      </c>
      <c r="I84" t="e">
        <f>_xlfn.XLOOKUP(G84,Models!A:A,Models!E:E)</f>
        <v>#N/A</v>
      </c>
      <c r="J84" t="e">
        <f>_xlfn.XLOOKUP(G84,Models!A:A,Models!D:D)</f>
        <v>#N/A</v>
      </c>
      <c r="K84">
        <f>MacReports!F84</f>
        <v>0</v>
      </c>
      <c r="L84">
        <f>MacReports!G84</f>
        <v>0</v>
      </c>
      <c r="M84" s="15" t="e" cm="1">
        <f t="array" ref="M84">--_xlfn.LET(
    _xlpm.txt, MacReports!H84,
    _xlpm.chars, MID(_xlpm.txt, _xlfn.SEQUENCE(LEN(_xlpm.txt)), 1),
    _xlfn.TEXTJOIN("", TRUE, IF(ISNUMBER(--_xlpm.chars), _xlpm.chars, ""))
)</f>
        <v>#VALUE!</v>
      </c>
      <c r="N84" s="16" t="str" cm="1">
        <f t="array" ref="N84">_xlfn.IFS(
   --MacReports!M84&lt;55,"Battery Defect",
  -- MacReports!M84&lt;=69,"Battery D",
  --MacReports!M84&lt;=80,"Battery C",
 --MacReports!M84&gt;80,""
)</f>
        <v>Battery Defect</v>
      </c>
      <c r="O84" s="16" t="str">
        <f>IF(MacReports!I84="Service","Battery Service","")</f>
        <v/>
      </c>
      <c r="P84" s="13">
        <f>MacReports!P84</f>
        <v>0</v>
      </c>
      <c r="Q84" s="13" t="str">
        <f>IF(MacReports!J84="Enabled","Apple ID Lock","")</f>
        <v/>
      </c>
      <c r="R84" s="13" t="str">
        <f>IF(MacReports!L84="y","Remote Locked","")</f>
        <v/>
      </c>
      <c r="S84" t="str">
        <f t="shared" si="3"/>
        <v>Battery Defect, 0</v>
      </c>
      <c r="T84" t="str">
        <f>_xlfn.XLOOKUP(B84,Disk_Pivot!G:G,Disk_Pivot!I:I)</f>
        <v>Yes</v>
      </c>
      <c r="U84" t="str">
        <f>_xlfn.XLOOKUP(B84,Disk_Pivot!G:G,Disk_Pivot!N:N)</f>
        <v>Fail</v>
      </c>
      <c r="V84">
        <f>IF(U84="Fail",MacReports!N84,"")</f>
        <v>0</v>
      </c>
      <c r="AB84" t="str">
        <f t="shared" si="4"/>
        <v/>
      </c>
    </row>
    <row r="85" spans="1:28">
      <c r="A85" t="str">
        <f>MacReports!A85</f>
        <v/>
      </c>
      <c r="B85">
        <f>MacReports!B85</f>
        <v>0</v>
      </c>
      <c r="C85">
        <f>MacReports!C85</f>
        <v>0</v>
      </c>
      <c r="E85" t="e">
        <f>_xlfn.XLOOKUP(G85,Models!A:A,Models!F:F)</f>
        <v>#N/A</v>
      </c>
      <c r="F85" t="str">
        <f>_xlfn.XLOOKUP(B85,MacReports!B:B,MacReports!D:D,"")</f>
        <v/>
      </c>
      <c r="G85" s="13">
        <f>MacReports!E85</f>
        <v>0</v>
      </c>
      <c r="H85" t="e">
        <f>_xlfn.XLOOKUP(G85,Models!A:A,Models!B:B)</f>
        <v>#N/A</v>
      </c>
      <c r="I85" t="e">
        <f>_xlfn.XLOOKUP(G85,Models!A:A,Models!E:E)</f>
        <v>#N/A</v>
      </c>
      <c r="J85" t="e">
        <f>_xlfn.XLOOKUP(G85,Models!A:A,Models!D:D)</f>
        <v>#N/A</v>
      </c>
      <c r="K85">
        <f>MacReports!F85</f>
        <v>0</v>
      </c>
      <c r="L85">
        <f>MacReports!G85</f>
        <v>0</v>
      </c>
      <c r="M85" s="15" t="e" cm="1">
        <f t="array" ref="M85">--_xlfn.LET(
    _xlpm.txt, MacReports!H85,
    _xlpm.chars, MID(_xlpm.txt, _xlfn.SEQUENCE(LEN(_xlpm.txt)), 1),
    _xlfn.TEXTJOIN("", TRUE, IF(ISNUMBER(--_xlpm.chars), _xlpm.chars, ""))
)</f>
        <v>#VALUE!</v>
      </c>
      <c r="N85" s="16" t="str" cm="1">
        <f t="array" ref="N85">_xlfn.IFS(
   --MacReports!M85&lt;55,"Battery Defect",
  -- MacReports!M85&lt;=69,"Battery D",
  --MacReports!M85&lt;=80,"Battery C",
 --MacReports!M85&gt;80,""
)</f>
        <v>Battery Defect</v>
      </c>
      <c r="O85" s="16" t="str">
        <f>IF(MacReports!I85="Service","Battery Service","")</f>
        <v/>
      </c>
      <c r="P85" s="13">
        <f>MacReports!P85</f>
        <v>0</v>
      </c>
      <c r="Q85" s="13" t="str">
        <f>IF(MacReports!J85="Enabled","Apple ID Lock","")</f>
        <v/>
      </c>
      <c r="R85" s="13" t="str">
        <f>IF(MacReports!L85="y","Remote Locked","")</f>
        <v/>
      </c>
      <c r="S85" t="str">
        <f t="shared" si="3"/>
        <v>Battery Defect, 0</v>
      </c>
      <c r="T85" t="str">
        <f>_xlfn.XLOOKUP(B85,Disk_Pivot!G:G,Disk_Pivot!I:I)</f>
        <v>Yes</v>
      </c>
      <c r="U85" t="str">
        <f>_xlfn.XLOOKUP(B85,Disk_Pivot!G:G,Disk_Pivot!N:N)</f>
        <v>Fail</v>
      </c>
      <c r="V85">
        <f>IF(U85="Fail",MacReports!N85,"")</f>
        <v>0</v>
      </c>
      <c r="AB85" t="str">
        <f t="shared" si="4"/>
        <v/>
      </c>
    </row>
    <row r="86" spans="1:28">
      <c r="A86" t="str">
        <f>MacReports!A86</f>
        <v/>
      </c>
      <c r="B86">
        <f>MacReports!B86</f>
        <v>0</v>
      </c>
      <c r="C86">
        <f>MacReports!C86</f>
        <v>0</v>
      </c>
      <c r="E86" t="e">
        <f>_xlfn.XLOOKUP(G86,Models!A:A,Models!F:F)</f>
        <v>#N/A</v>
      </c>
      <c r="F86" t="str">
        <f>_xlfn.XLOOKUP(B86,MacReports!B:B,MacReports!D:D,"")</f>
        <v/>
      </c>
      <c r="G86" s="13">
        <f>MacReports!E86</f>
        <v>0</v>
      </c>
      <c r="H86" t="e">
        <f>_xlfn.XLOOKUP(G86,Models!A:A,Models!B:B)</f>
        <v>#N/A</v>
      </c>
      <c r="I86" t="e">
        <f>_xlfn.XLOOKUP(G86,Models!A:A,Models!E:E)</f>
        <v>#N/A</v>
      </c>
      <c r="J86" t="e">
        <f>_xlfn.XLOOKUP(G86,Models!A:A,Models!D:D)</f>
        <v>#N/A</v>
      </c>
      <c r="K86">
        <f>MacReports!F86</f>
        <v>0</v>
      </c>
      <c r="L86">
        <f>MacReports!G86</f>
        <v>0</v>
      </c>
      <c r="M86" s="15" t="e" cm="1">
        <f t="array" ref="M86">--_xlfn.LET(
    _xlpm.txt, MacReports!H86,
    _xlpm.chars, MID(_xlpm.txt, _xlfn.SEQUENCE(LEN(_xlpm.txt)), 1),
    _xlfn.TEXTJOIN("", TRUE, IF(ISNUMBER(--_xlpm.chars), _xlpm.chars, ""))
)</f>
        <v>#VALUE!</v>
      </c>
      <c r="N86" s="16" t="str" cm="1">
        <f t="array" ref="N86">_xlfn.IFS(
   --MacReports!M86&lt;55,"Battery Defect",
  -- MacReports!M86&lt;=69,"Battery D",
  --MacReports!M86&lt;=80,"Battery C",
 --MacReports!M86&gt;80,""
)</f>
        <v>Battery Defect</v>
      </c>
      <c r="O86" s="16" t="str">
        <f>IF(MacReports!I86="Service","Battery Service","")</f>
        <v/>
      </c>
      <c r="P86" s="13">
        <f>MacReports!P86</f>
        <v>0</v>
      </c>
      <c r="Q86" s="13" t="str">
        <f>IF(MacReports!J86="Enabled","Apple ID Lock","")</f>
        <v/>
      </c>
      <c r="R86" s="13" t="str">
        <f>IF(MacReports!L86="y","Remote Locked","")</f>
        <v/>
      </c>
      <c r="S86" t="str">
        <f t="shared" si="3"/>
        <v>Battery Defect, 0</v>
      </c>
      <c r="T86" t="str">
        <f>_xlfn.XLOOKUP(B86,Disk_Pivot!G:G,Disk_Pivot!I:I)</f>
        <v>Yes</v>
      </c>
      <c r="U86" t="str">
        <f>_xlfn.XLOOKUP(B86,Disk_Pivot!G:G,Disk_Pivot!N:N)</f>
        <v>Fail</v>
      </c>
      <c r="V86">
        <f>IF(U86="Fail",MacReports!N86,"")</f>
        <v>0</v>
      </c>
      <c r="AB86" t="str">
        <f t="shared" si="4"/>
        <v/>
      </c>
    </row>
    <row r="87" spans="1:28">
      <c r="A87" t="str">
        <f>MacReports!A87</f>
        <v/>
      </c>
      <c r="B87">
        <f>MacReports!B87</f>
        <v>0</v>
      </c>
      <c r="C87">
        <f>MacReports!C87</f>
        <v>0</v>
      </c>
      <c r="E87" t="e">
        <f>_xlfn.XLOOKUP(G87,Models!A:A,Models!F:F)</f>
        <v>#N/A</v>
      </c>
      <c r="F87" t="str">
        <f>_xlfn.XLOOKUP(B87,MacReports!B:B,MacReports!D:D,"")</f>
        <v/>
      </c>
      <c r="G87" s="13">
        <f>MacReports!E87</f>
        <v>0</v>
      </c>
      <c r="H87" t="e">
        <f>_xlfn.XLOOKUP(G87,Models!A:A,Models!B:B)</f>
        <v>#N/A</v>
      </c>
      <c r="I87" t="e">
        <f>_xlfn.XLOOKUP(G87,Models!A:A,Models!E:E)</f>
        <v>#N/A</v>
      </c>
      <c r="J87" t="e">
        <f>_xlfn.XLOOKUP(G87,Models!A:A,Models!D:D)</f>
        <v>#N/A</v>
      </c>
      <c r="K87">
        <f>MacReports!F87</f>
        <v>0</v>
      </c>
      <c r="L87">
        <f>MacReports!G87</f>
        <v>0</v>
      </c>
      <c r="M87" s="15" t="e" cm="1">
        <f t="array" ref="M87">--_xlfn.LET(
    _xlpm.txt, MacReports!H87,
    _xlpm.chars, MID(_xlpm.txt, _xlfn.SEQUENCE(LEN(_xlpm.txt)), 1),
    _xlfn.TEXTJOIN("", TRUE, IF(ISNUMBER(--_xlpm.chars), _xlpm.chars, ""))
)</f>
        <v>#VALUE!</v>
      </c>
      <c r="N87" s="16" t="str" cm="1">
        <f t="array" ref="N87">_xlfn.IFS(
   --MacReports!M87&lt;55,"Battery Defect",
  -- MacReports!M87&lt;=69,"Battery D",
  --MacReports!M87&lt;=80,"Battery C",
 --MacReports!M87&gt;80,""
)</f>
        <v>Battery Defect</v>
      </c>
      <c r="O87" s="16" t="str">
        <f>IF(MacReports!I87="Service","Battery Service","")</f>
        <v/>
      </c>
      <c r="P87" s="13">
        <f>MacReports!P87</f>
        <v>0</v>
      </c>
      <c r="Q87" s="13" t="str">
        <f>IF(MacReports!J87="Enabled","Apple ID Lock","")</f>
        <v/>
      </c>
      <c r="R87" s="13" t="str">
        <f>IF(MacReports!L87="y","Remote Locked","")</f>
        <v/>
      </c>
      <c r="S87" t="str">
        <f t="shared" si="3"/>
        <v>Battery Defect, 0</v>
      </c>
      <c r="T87" t="str">
        <f>_xlfn.XLOOKUP(B87,Disk_Pivot!G:G,Disk_Pivot!I:I)</f>
        <v>Yes</v>
      </c>
      <c r="U87" t="str">
        <f>_xlfn.XLOOKUP(B87,Disk_Pivot!G:G,Disk_Pivot!N:N)</f>
        <v>Fail</v>
      </c>
      <c r="V87">
        <f>IF(U87="Fail",MacReports!N87,"")</f>
        <v>0</v>
      </c>
      <c r="AB87" t="str">
        <f t="shared" si="4"/>
        <v/>
      </c>
    </row>
    <row r="88" spans="1:28">
      <c r="A88" t="str">
        <f>MacReports!A88</f>
        <v/>
      </c>
      <c r="B88">
        <f>MacReports!B88</f>
        <v>0</v>
      </c>
      <c r="C88">
        <f>MacReports!C88</f>
        <v>0</v>
      </c>
      <c r="E88" t="e">
        <f>_xlfn.XLOOKUP(G88,Models!A:A,Models!F:F)</f>
        <v>#N/A</v>
      </c>
      <c r="F88" t="str">
        <f>_xlfn.XLOOKUP(B88,MacReports!B:B,MacReports!D:D,"")</f>
        <v/>
      </c>
      <c r="G88" s="13">
        <f>MacReports!E88</f>
        <v>0</v>
      </c>
      <c r="H88" t="e">
        <f>_xlfn.XLOOKUP(G88,Models!A:A,Models!B:B)</f>
        <v>#N/A</v>
      </c>
      <c r="I88" t="e">
        <f>_xlfn.XLOOKUP(G88,Models!A:A,Models!E:E)</f>
        <v>#N/A</v>
      </c>
      <c r="J88" t="e">
        <f>_xlfn.XLOOKUP(G88,Models!A:A,Models!D:D)</f>
        <v>#N/A</v>
      </c>
      <c r="K88">
        <f>MacReports!F88</f>
        <v>0</v>
      </c>
      <c r="L88">
        <f>MacReports!G88</f>
        <v>0</v>
      </c>
      <c r="M88" s="15" t="e" cm="1">
        <f t="array" ref="M88">--_xlfn.LET(
    _xlpm.txt, MacReports!H88,
    _xlpm.chars, MID(_xlpm.txt, _xlfn.SEQUENCE(LEN(_xlpm.txt)), 1),
    _xlfn.TEXTJOIN("", TRUE, IF(ISNUMBER(--_xlpm.chars), _xlpm.chars, ""))
)</f>
        <v>#VALUE!</v>
      </c>
      <c r="N88" s="16" t="str" cm="1">
        <f t="array" ref="N88">_xlfn.IFS(
   --MacReports!M88&lt;55,"Battery Defect",
  -- MacReports!M88&lt;=69,"Battery D",
  --MacReports!M88&lt;=80,"Battery C",
 --MacReports!M88&gt;80,""
)</f>
        <v>Battery Defect</v>
      </c>
      <c r="O88" s="16" t="str">
        <f>IF(MacReports!I88="Service","Battery Service","")</f>
        <v/>
      </c>
      <c r="P88" s="13">
        <f>MacReports!P88</f>
        <v>0</v>
      </c>
      <c r="Q88" s="13" t="str">
        <f>IF(MacReports!J88="Enabled","Apple ID Lock","")</f>
        <v/>
      </c>
      <c r="R88" s="13" t="str">
        <f>IF(MacReports!L88="y","Remote Locked","")</f>
        <v/>
      </c>
      <c r="S88" t="str">
        <f t="shared" si="3"/>
        <v>Battery Defect, 0</v>
      </c>
      <c r="T88" t="str">
        <f>_xlfn.XLOOKUP(B88,Disk_Pivot!G:G,Disk_Pivot!I:I)</f>
        <v>Yes</v>
      </c>
      <c r="U88" t="str">
        <f>_xlfn.XLOOKUP(B88,Disk_Pivot!G:G,Disk_Pivot!N:N)</f>
        <v>Fail</v>
      </c>
      <c r="V88">
        <f>IF(U88="Fail",MacReports!N88,"")</f>
        <v>0</v>
      </c>
      <c r="AB88" t="str">
        <f t="shared" si="4"/>
        <v/>
      </c>
    </row>
    <row r="89" spans="1:28">
      <c r="A89" t="str">
        <f>MacReports!A89</f>
        <v/>
      </c>
      <c r="B89">
        <f>MacReports!B89</f>
        <v>0</v>
      </c>
      <c r="C89">
        <f>MacReports!C89</f>
        <v>0</v>
      </c>
      <c r="E89" t="e">
        <f>_xlfn.XLOOKUP(G89,Models!A:A,Models!F:F)</f>
        <v>#N/A</v>
      </c>
      <c r="F89" t="str">
        <f>_xlfn.XLOOKUP(B89,MacReports!B:B,MacReports!D:D,"")</f>
        <v/>
      </c>
      <c r="G89" s="13">
        <f>MacReports!E89</f>
        <v>0</v>
      </c>
      <c r="H89" t="e">
        <f>_xlfn.XLOOKUP(G89,Models!A:A,Models!B:B)</f>
        <v>#N/A</v>
      </c>
      <c r="I89" t="e">
        <f>_xlfn.XLOOKUP(G89,Models!A:A,Models!E:E)</f>
        <v>#N/A</v>
      </c>
      <c r="J89" t="e">
        <f>_xlfn.XLOOKUP(G89,Models!A:A,Models!D:D)</f>
        <v>#N/A</v>
      </c>
      <c r="K89">
        <f>MacReports!F89</f>
        <v>0</v>
      </c>
      <c r="L89">
        <f>MacReports!G89</f>
        <v>0</v>
      </c>
      <c r="M89" s="15" t="e" cm="1">
        <f t="array" ref="M89">--_xlfn.LET(
    _xlpm.txt, MacReports!H89,
    _xlpm.chars, MID(_xlpm.txt, _xlfn.SEQUENCE(LEN(_xlpm.txt)), 1),
    _xlfn.TEXTJOIN("", TRUE, IF(ISNUMBER(--_xlpm.chars), _xlpm.chars, ""))
)</f>
        <v>#VALUE!</v>
      </c>
      <c r="N89" s="16" t="str" cm="1">
        <f t="array" ref="N89">_xlfn.IFS(
   --MacReports!M89&lt;55,"Battery Defect",
  -- MacReports!M89&lt;=69,"Battery D",
  --MacReports!M89&lt;=80,"Battery C",
 --MacReports!M89&gt;80,""
)</f>
        <v>Battery Defect</v>
      </c>
      <c r="O89" s="16" t="str">
        <f>IF(MacReports!I89="Service","Battery Service","")</f>
        <v/>
      </c>
      <c r="P89" s="13">
        <f>MacReports!P89</f>
        <v>0</v>
      </c>
      <c r="Q89" s="13" t="str">
        <f>IF(MacReports!J89="Enabled","Apple ID Lock","")</f>
        <v/>
      </c>
      <c r="R89" s="13" t="str">
        <f>IF(MacReports!L89="y","Remote Locked","")</f>
        <v/>
      </c>
      <c r="S89" t="str">
        <f t="shared" si="3"/>
        <v>Battery Defect, 0</v>
      </c>
      <c r="T89" t="str">
        <f>_xlfn.XLOOKUP(B89,Disk_Pivot!G:G,Disk_Pivot!I:I)</f>
        <v>Yes</v>
      </c>
      <c r="U89" t="str">
        <f>_xlfn.XLOOKUP(B89,Disk_Pivot!G:G,Disk_Pivot!N:N)</f>
        <v>Fail</v>
      </c>
      <c r="V89">
        <f>IF(U89="Fail",MacReports!N89,"")</f>
        <v>0</v>
      </c>
      <c r="AB89" t="str">
        <f t="shared" si="4"/>
        <v/>
      </c>
    </row>
    <row r="90" spans="1:28">
      <c r="A90" t="str">
        <f>MacReports!A90</f>
        <v/>
      </c>
      <c r="B90">
        <f>MacReports!B90</f>
        <v>0</v>
      </c>
      <c r="C90">
        <f>MacReports!C90</f>
        <v>0</v>
      </c>
      <c r="E90" t="e">
        <f>_xlfn.XLOOKUP(G90,Models!A:A,Models!F:F)</f>
        <v>#N/A</v>
      </c>
      <c r="F90" t="str">
        <f>_xlfn.XLOOKUP(B90,MacReports!B:B,MacReports!D:D,"")</f>
        <v/>
      </c>
      <c r="G90" s="13">
        <f>MacReports!E90</f>
        <v>0</v>
      </c>
      <c r="H90" t="e">
        <f>_xlfn.XLOOKUP(G90,Models!A:A,Models!B:B)</f>
        <v>#N/A</v>
      </c>
      <c r="I90" t="e">
        <f>_xlfn.XLOOKUP(G90,Models!A:A,Models!E:E)</f>
        <v>#N/A</v>
      </c>
      <c r="J90" t="e">
        <f>_xlfn.XLOOKUP(G90,Models!A:A,Models!D:D)</f>
        <v>#N/A</v>
      </c>
      <c r="K90">
        <f>MacReports!F90</f>
        <v>0</v>
      </c>
      <c r="L90">
        <f>MacReports!G90</f>
        <v>0</v>
      </c>
      <c r="M90" s="15" t="e" cm="1">
        <f t="array" ref="M90">--_xlfn.LET(
    _xlpm.txt, MacReports!H90,
    _xlpm.chars, MID(_xlpm.txt, _xlfn.SEQUENCE(LEN(_xlpm.txt)), 1),
    _xlfn.TEXTJOIN("", TRUE, IF(ISNUMBER(--_xlpm.chars), _xlpm.chars, ""))
)</f>
        <v>#VALUE!</v>
      </c>
      <c r="N90" s="16" t="str" cm="1">
        <f t="array" ref="N90">_xlfn.IFS(
   --MacReports!M90&lt;55,"Battery Defect",
  -- MacReports!M90&lt;=69,"Battery D",
  --MacReports!M90&lt;=80,"Battery C",
 --MacReports!M90&gt;80,""
)</f>
        <v>Battery Defect</v>
      </c>
      <c r="O90" s="16" t="str">
        <f>IF(MacReports!I90="Service","Battery Service","")</f>
        <v/>
      </c>
      <c r="P90" s="13">
        <f>MacReports!P90</f>
        <v>0</v>
      </c>
      <c r="Q90" s="13" t="str">
        <f>IF(MacReports!J90="Enabled","Apple ID Lock","")</f>
        <v/>
      </c>
      <c r="R90" s="13" t="str">
        <f>IF(MacReports!L90="y","Remote Locked","")</f>
        <v/>
      </c>
      <c r="S90" t="str">
        <f t="shared" si="3"/>
        <v>Battery Defect, 0</v>
      </c>
      <c r="T90" t="str">
        <f>_xlfn.XLOOKUP(B90,Disk_Pivot!G:G,Disk_Pivot!I:I)</f>
        <v>Yes</v>
      </c>
      <c r="U90" t="str">
        <f>_xlfn.XLOOKUP(B90,Disk_Pivot!G:G,Disk_Pivot!N:N)</f>
        <v>Fail</v>
      </c>
      <c r="V90">
        <f>IF(U90="Fail",MacReports!N90,"")</f>
        <v>0</v>
      </c>
      <c r="AB90" t="str">
        <f t="shared" si="4"/>
        <v/>
      </c>
    </row>
    <row r="91" spans="1:28">
      <c r="A91" t="str">
        <f>MacReports!A91</f>
        <v/>
      </c>
      <c r="B91">
        <f>MacReports!B91</f>
        <v>0</v>
      </c>
      <c r="C91">
        <f>MacReports!C91</f>
        <v>0</v>
      </c>
      <c r="E91" t="e">
        <f>_xlfn.XLOOKUP(G91,Models!A:A,Models!F:F)</f>
        <v>#N/A</v>
      </c>
      <c r="F91" t="str">
        <f>_xlfn.XLOOKUP(B91,MacReports!B:B,MacReports!D:D,"")</f>
        <v/>
      </c>
      <c r="G91" s="13">
        <f>MacReports!E91</f>
        <v>0</v>
      </c>
      <c r="H91" t="e">
        <f>_xlfn.XLOOKUP(G91,Models!A:A,Models!B:B)</f>
        <v>#N/A</v>
      </c>
      <c r="I91" t="e">
        <f>_xlfn.XLOOKUP(G91,Models!A:A,Models!E:E)</f>
        <v>#N/A</v>
      </c>
      <c r="J91" t="e">
        <f>_xlfn.XLOOKUP(G91,Models!A:A,Models!D:D)</f>
        <v>#N/A</v>
      </c>
      <c r="K91">
        <f>MacReports!F91</f>
        <v>0</v>
      </c>
      <c r="L91">
        <f>MacReports!G91</f>
        <v>0</v>
      </c>
      <c r="M91" s="15" t="e" cm="1">
        <f t="array" ref="M91">--_xlfn.LET(
    _xlpm.txt, MacReports!H91,
    _xlpm.chars, MID(_xlpm.txt, _xlfn.SEQUENCE(LEN(_xlpm.txt)), 1),
    _xlfn.TEXTJOIN("", TRUE, IF(ISNUMBER(--_xlpm.chars), _xlpm.chars, ""))
)</f>
        <v>#VALUE!</v>
      </c>
      <c r="N91" s="16" t="str" cm="1">
        <f t="array" ref="N91">_xlfn.IFS(
   --MacReports!M91&lt;55,"Battery Defect",
  -- MacReports!M91&lt;=69,"Battery D",
  --MacReports!M91&lt;=80,"Battery C",
 --MacReports!M91&gt;80,""
)</f>
        <v>Battery Defect</v>
      </c>
      <c r="O91" s="16" t="str">
        <f>IF(MacReports!I91="Service","Battery Service","")</f>
        <v/>
      </c>
      <c r="P91" s="13">
        <f>MacReports!P91</f>
        <v>0</v>
      </c>
      <c r="Q91" s="13" t="str">
        <f>IF(MacReports!J91="Enabled","Apple ID Lock","")</f>
        <v/>
      </c>
      <c r="R91" s="13" t="str">
        <f>IF(MacReports!L91="y","Remote Locked","")</f>
        <v/>
      </c>
      <c r="S91" t="str">
        <f t="shared" si="3"/>
        <v>Battery Defect, 0</v>
      </c>
      <c r="T91" t="str">
        <f>_xlfn.XLOOKUP(B91,Disk_Pivot!G:G,Disk_Pivot!I:I)</f>
        <v>Yes</v>
      </c>
      <c r="U91" t="str">
        <f>_xlfn.XLOOKUP(B91,Disk_Pivot!G:G,Disk_Pivot!N:N)</f>
        <v>Fail</v>
      </c>
      <c r="V91">
        <f>IF(U91="Fail",MacReports!N91,"")</f>
        <v>0</v>
      </c>
      <c r="AB91" t="str">
        <f t="shared" si="4"/>
        <v/>
      </c>
    </row>
    <row r="92" spans="1:28">
      <c r="A92" t="str">
        <f>MacReports!A92</f>
        <v/>
      </c>
      <c r="B92">
        <f>MacReports!B92</f>
        <v>0</v>
      </c>
      <c r="C92">
        <f>MacReports!C92</f>
        <v>0</v>
      </c>
      <c r="E92" t="e">
        <f>_xlfn.XLOOKUP(G92,Models!A:A,Models!F:F)</f>
        <v>#N/A</v>
      </c>
      <c r="F92" t="str">
        <f>_xlfn.XLOOKUP(B92,MacReports!B:B,MacReports!D:D,"")</f>
        <v/>
      </c>
      <c r="G92" s="13">
        <f>MacReports!E92</f>
        <v>0</v>
      </c>
      <c r="H92" t="e">
        <f>_xlfn.XLOOKUP(G92,Models!A:A,Models!B:B)</f>
        <v>#N/A</v>
      </c>
      <c r="I92" t="e">
        <f>_xlfn.XLOOKUP(G92,Models!A:A,Models!E:E)</f>
        <v>#N/A</v>
      </c>
      <c r="J92" t="e">
        <f>_xlfn.XLOOKUP(G92,Models!A:A,Models!D:D)</f>
        <v>#N/A</v>
      </c>
      <c r="K92">
        <f>MacReports!F92</f>
        <v>0</v>
      </c>
      <c r="L92">
        <f>MacReports!G92</f>
        <v>0</v>
      </c>
      <c r="M92" s="15" t="e" cm="1">
        <f t="array" ref="M92">--_xlfn.LET(
    _xlpm.txt, MacReports!H92,
    _xlpm.chars, MID(_xlpm.txt, _xlfn.SEQUENCE(LEN(_xlpm.txt)), 1),
    _xlfn.TEXTJOIN("", TRUE, IF(ISNUMBER(--_xlpm.chars), _xlpm.chars, ""))
)</f>
        <v>#VALUE!</v>
      </c>
      <c r="N92" s="16" t="str" cm="1">
        <f t="array" ref="N92">_xlfn.IFS(
   --MacReports!M92&lt;55,"Battery Defect",
  -- MacReports!M92&lt;=69,"Battery D",
  --MacReports!M92&lt;=80,"Battery C",
 --MacReports!M92&gt;80,""
)</f>
        <v>Battery Defect</v>
      </c>
      <c r="O92" s="16" t="str">
        <f>IF(MacReports!I92="Service","Battery Service","")</f>
        <v/>
      </c>
      <c r="P92" s="13">
        <f>MacReports!P92</f>
        <v>0</v>
      </c>
      <c r="Q92" s="13" t="str">
        <f>IF(MacReports!J92="Enabled","Apple ID Lock","")</f>
        <v/>
      </c>
      <c r="R92" s="13" t="str">
        <f>IF(MacReports!L92="y","Remote Locked","")</f>
        <v/>
      </c>
      <c r="S92" t="str">
        <f t="shared" si="3"/>
        <v>Battery Defect, 0</v>
      </c>
      <c r="T92" t="str">
        <f>_xlfn.XLOOKUP(B92,Disk_Pivot!G:G,Disk_Pivot!I:I)</f>
        <v>Yes</v>
      </c>
      <c r="U92" t="str">
        <f>_xlfn.XLOOKUP(B92,Disk_Pivot!G:G,Disk_Pivot!N:N)</f>
        <v>Fail</v>
      </c>
      <c r="V92">
        <f>IF(U92="Fail",MacReports!N92,"")</f>
        <v>0</v>
      </c>
      <c r="AB92" t="str">
        <f t="shared" si="4"/>
        <v/>
      </c>
    </row>
    <row r="93" spans="1:28">
      <c r="A93" t="str">
        <f>MacReports!A93</f>
        <v/>
      </c>
      <c r="B93">
        <f>MacReports!B93</f>
        <v>0</v>
      </c>
      <c r="C93">
        <f>MacReports!C93</f>
        <v>0</v>
      </c>
      <c r="E93" t="e">
        <f>_xlfn.XLOOKUP(G93,Models!A:A,Models!F:F)</f>
        <v>#N/A</v>
      </c>
      <c r="F93" t="str">
        <f>_xlfn.XLOOKUP(B93,MacReports!B:B,MacReports!D:D,"")</f>
        <v/>
      </c>
      <c r="G93" s="13">
        <f>MacReports!E93</f>
        <v>0</v>
      </c>
      <c r="H93" t="e">
        <f>_xlfn.XLOOKUP(G93,Models!A:A,Models!B:B)</f>
        <v>#N/A</v>
      </c>
      <c r="I93" t="e">
        <f>_xlfn.XLOOKUP(G93,Models!A:A,Models!E:E)</f>
        <v>#N/A</v>
      </c>
      <c r="J93" t="e">
        <f>_xlfn.XLOOKUP(G93,Models!A:A,Models!D:D)</f>
        <v>#N/A</v>
      </c>
      <c r="K93">
        <f>MacReports!F93</f>
        <v>0</v>
      </c>
      <c r="L93">
        <f>MacReports!G93</f>
        <v>0</v>
      </c>
      <c r="M93" s="15" t="e" cm="1">
        <f t="array" ref="M93">--_xlfn.LET(
    _xlpm.txt, MacReports!H93,
    _xlpm.chars, MID(_xlpm.txt, _xlfn.SEQUENCE(LEN(_xlpm.txt)), 1),
    _xlfn.TEXTJOIN("", TRUE, IF(ISNUMBER(--_xlpm.chars), _xlpm.chars, ""))
)</f>
        <v>#VALUE!</v>
      </c>
      <c r="N93" s="16" t="str" cm="1">
        <f t="array" ref="N93">_xlfn.IFS(
   --MacReports!M93&lt;55,"Battery Defect",
  -- MacReports!M93&lt;=69,"Battery D",
  --MacReports!M93&lt;=80,"Battery C",
 --MacReports!M93&gt;80,""
)</f>
        <v>Battery Defect</v>
      </c>
      <c r="O93" s="16" t="str">
        <f>IF(MacReports!I93="Service","Battery Service","")</f>
        <v/>
      </c>
      <c r="P93" s="13">
        <f>MacReports!P93</f>
        <v>0</v>
      </c>
      <c r="Q93" s="13" t="str">
        <f>IF(MacReports!J93="Enabled","Apple ID Lock","")</f>
        <v/>
      </c>
      <c r="R93" s="13" t="str">
        <f>IF(MacReports!L93="y","Remote Locked","")</f>
        <v/>
      </c>
      <c r="S93" t="str">
        <f t="shared" si="3"/>
        <v>Battery Defect, 0</v>
      </c>
      <c r="T93" t="str">
        <f>_xlfn.XLOOKUP(B93,Disk_Pivot!G:G,Disk_Pivot!I:I)</f>
        <v>Yes</v>
      </c>
      <c r="U93" t="str">
        <f>_xlfn.XLOOKUP(B93,Disk_Pivot!G:G,Disk_Pivot!N:N)</f>
        <v>Fail</v>
      </c>
      <c r="V93">
        <f>IF(U93="Fail",MacReports!N93,"")</f>
        <v>0</v>
      </c>
      <c r="AB93" t="str">
        <f t="shared" si="4"/>
        <v/>
      </c>
    </row>
    <row r="94" spans="1:28">
      <c r="A94" t="str">
        <f>MacReports!A94</f>
        <v/>
      </c>
      <c r="B94">
        <f>MacReports!B94</f>
        <v>0</v>
      </c>
      <c r="C94">
        <f>MacReports!C94</f>
        <v>0</v>
      </c>
      <c r="E94" t="e">
        <f>_xlfn.XLOOKUP(G94,Models!A:A,Models!F:F)</f>
        <v>#N/A</v>
      </c>
      <c r="F94" t="str">
        <f>_xlfn.XLOOKUP(B94,MacReports!B:B,MacReports!D:D,"")</f>
        <v/>
      </c>
      <c r="G94" s="13">
        <f>MacReports!E94</f>
        <v>0</v>
      </c>
      <c r="H94" t="e">
        <f>_xlfn.XLOOKUP(G94,Models!A:A,Models!B:B)</f>
        <v>#N/A</v>
      </c>
      <c r="I94" t="e">
        <f>_xlfn.XLOOKUP(G94,Models!A:A,Models!E:E)</f>
        <v>#N/A</v>
      </c>
      <c r="J94" t="e">
        <f>_xlfn.XLOOKUP(G94,Models!A:A,Models!D:D)</f>
        <v>#N/A</v>
      </c>
      <c r="K94">
        <f>MacReports!F94</f>
        <v>0</v>
      </c>
      <c r="L94">
        <f>MacReports!G94</f>
        <v>0</v>
      </c>
      <c r="M94" s="15" t="e" cm="1">
        <f t="array" ref="M94">--_xlfn.LET(
    _xlpm.txt, MacReports!H94,
    _xlpm.chars, MID(_xlpm.txt, _xlfn.SEQUENCE(LEN(_xlpm.txt)), 1),
    _xlfn.TEXTJOIN("", TRUE, IF(ISNUMBER(--_xlpm.chars), _xlpm.chars, ""))
)</f>
        <v>#VALUE!</v>
      </c>
      <c r="N94" s="16" t="str" cm="1">
        <f t="array" ref="N94">_xlfn.IFS(
   --MacReports!M94&lt;55,"Battery Defect",
  -- MacReports!M94&lt;=69,"Battery D",
  --MacReports!M94&lt;=80,"Battery C",
 --MacReports!M94&gt;80,""
)</f>
        <v>Battery Defect</v>
      </c>
      <c r="O94" s="16" t="str">
        <f>IF(MacReports!I94="Service","Battery Service","")</f>
        <v/>
      </c>
      <c r="P94" s="13">
        <f>MacReports!P94</f>
        <v>0</v>
      </c>
      <c r="Q94" s="13" t="str">
        <f>IF(MacReports!J94="Enabled","Apple ID Lock","")</f>
        <v/>
      </c>
      <c r="R94" s="13" t="str">
        <f>IF(MacReports!L94="y","Remote Locked","")</f>
        <v/>
      </c>
      <c r="S94" t="str">
        <f t="shared" si="3"/>
        <v>Battery Defect, 0</v>
      </c>
      <c r="T94" t="str">
        <f>_xlfn.XLOOKUP(B94,Disk_Pivot!G:G,Disk_Pivot!I:I)</f>
        <v>Yes</v>
      </c>
      <c r="U94" t="str">
        <f>_xlfn.XLOOKUP(B94,Disk_Pivot!G:G,Disk_Pivot!N:N)</f>
        <v>Fail</v>
      </c>
      <c r="V94">
        <f>IF(U94="Fail",MacReports!N94,"")</f>
        <v>0</v>
      </c>
      <c r="AB94" t="str">
        <f t="shared" si="4"/>
        <v/>
      </c>
    </row>
    <row r="95" spans="1:28">
      <c r="A95" t="str">
        <f>MacReports!A95</f>
        <v/>
      </c>
      <c r="B95">
        <f>MacReports!B95</f>
        <v>0</v>
      </c>
      <c r="C95">
        <f>MacReports!C95</f>
        <v>0</v>
      </c>
      <c r="E95" t="e">
        <f>_xlfn.XLOOKUP(G95,Models!A:A,Models!F:F)</f>
        <v>#N/A</v>
      </c>
      <c r="F95" t="str">
        <f>_xlfn.XLOOKUP(B95,MacReports!B:B,MacReports!D:D,"")</f>
        <v/>
      </c>
      <c r="G95" s="13">
        <f>MacReports!E95</f>
        <v>0</v>
      </c>
      <c r="H95" t="e">
        <f>_xlfn.XLOOKUP(G95,Models!A:A,Models!B:B)</f>
        <v>#N/A</v>
      </c>
      <c r="I95" t="e">
        <f>_xlfn.XLOOKUP(G95,Models!A:A,Models!E:E)</f>
        <v>#N/A</v>
      </c>
      <c r="J95" t="e">
        <f>_xlfn.XLOOKUP(G95,Models!A:A,Models!D:D)</f>
        <v>#N/A</v>
      </c>
      <c r="K95">
        <f>MacReports!F95</f>
        <v>0</v>
      </c>
      <c r="L95">
        <f>MacReports!G95</f>
        <v>0</v>
      </c>
      <c r="M95" s="15" t="e" cm="1">
        <f t="array" ref="M95">--_xlfn.LET(
    _xlpm.txt, MacReports!H95,
    _xlpm.chars, MID(_xlpm.txt, _xlfn.SEQUENCE(LEN(_xlpm.txt)), 1),
    _xlfn.TEXTJOIN("", TRUE, IF(ISNUMBER(--_xlpm.chars), _xlpm.chars, ""))
)</f>
        <v>#VALUE!</v>
      </c>
      <c r="N95" s="16" t="str" cm="1">
        <f t="array" ref="N95">_xlfn.IFS(
   --MacReports!M95&lt;55,"Battery Defect",
  -- MacReports!M95&lt;=69,"Battery D",
  --MacReports!M95&lt;=80,"Battery C",
 --MacReports!M95&gt;80,""
)</f>
        <v>Battery Defect</v>
      </c>
      <c r="O95" s="16" t="str">
        <f>IF(MacReports!I95="Service","Battery Service","")</f>
        <v/>
      </c>
      <c r="P95" s="13">
        <f>MacReports!P95</f>
        <v>0</v>
      </c>
      <c r="Q95" s="13" t="str">
        <f>IF(MacReports!J95="Enabled","Apple ID Lock","")</f>
        <v/>
      </c>
      <c r="R95" s="13" t="str">
        <f>IF(MacReports!L95="y","Remote Locked","")</f>
        <v/>
      </c>
      <c r="S95" t="str">
        <f t="shared" si="3"/>
        <v>Battery Defect, 0</v>
      </c>
      <c r="T95" t="str">
        <f>_xlfn.XLOOKUP(B95,Disk_Pivot!G:G,Disk_Pivot!I:I)</f>
        <v>Yes</v>
      </c>
      <c r="U95" t="str">
        <f>_xlfn.XLOOKUP(B95,Disk_Pivot!G:G,Disk_Pivot!N:N)</f>
        <v>Fail</v>
      </c>
      <c r="V95">
        <f>IF(U95="Fail",MacReports!N95,"")</f>
        <v>0</v>
      </c>
      <c r="AB95" t="str">
        <f t="shared" si="4"/>
        <v/>
      </c>
    </row>
    <row r="96" spans="1:28">
      <c r="A96" t="str">
        <f>MacReports!A96</f>
        <v/>
      </c>
      <c r="B96">
        <f>MacReports!B96</f>
        <v>0</v>
      </c>
      <c r="C96">
        <f>MacReports!C96</f>
        <v>0</v>
      </c>
      <c r="E96" t="e">
        <f>_xlfn.XLOOKUP(G96,Models!A:A,Models!F:F)</f>
        <v>#N/A</v>
      </c>
      <c r="F96" t="str">
        <f>_xlfn.XLOOKUP(B96,MacReports!B:B,MacReports!D:D,"")</f>
        <v/>
      </c>
      <c r="G96" s="13">
        <f>MacReports!E96</f>
        <v>0</v>
      </c>
      <c r="H96" t="e">
        <f>_xlfn.XLOOKUP(G96,Models!A:A,Models!B:B)</f>
        <v>#N/A</v>
      </c>
      <c r="I96" t="e">
        <f>_xlfn.XLOOKUP(G96,Models!A:A,Models!E:E)</f>
        <v>#N/A</v>
      </c>
      <c r="J96" t="e">
        <f>_xlfn.XLOOKUP(G96,Models!A:A,Models!D:D)</f>
        <v>#N/A</v>
      </c>
      <c r="K96">
        <f>MacReports!F96</f>
        <v>0</v>
      </c>
      <c r="L96">
        <f>MacReports!G96</f>
        <v>0</v>
      </c>
      <c r="M96" s="15" t="e" cm="1">
        <f t="array" ref="M96">--_xlfn.LET(
    _xlpm.txt, MacReports!H96,
    _xlpm.chars, MID(_xlpm.txt, _xlfn.SEQUENCE(LEN(_xlpm.txt)), 1),
    _xlfn.TEXTJOIN("", TRUE, IF(ISNUMBER(--_xlpm.chars), _xlpm.chars, ""))
)</f>
        <v>#VALUE!</v>
      </c>
      <c r="N96" s="16" t="str" cm="1">
        <f t="array" ref="N96">_xlfn.IFS(
   --MacReports!M96&lt;55,"Battery Defect",
  -- MacReports!M96&lt;=69,"Battery D",
  --MacReports!M96&lt;=80,"Battery C",
 --MacReports!M96&gt;80,""
)</f>
        <v>Battery Defect</v>
      </c>
      <c r="O96" s="16" t="str">
        <f>IF(MacReports!I96="Service","Battery Service","")</f>
        <v/>
      </c>
      <c r="P96" s="13">
        <f>MacReports!P96</f>
        <v>0</v>
      </c>
      <c r="Q96" s="13" t="str">
        <f>IF(MacReports!J96="Enabled","Apple ID Lock","")</f>
        <v/>
      </c>
      <c r="R96" s="13" t="str">
        <f>IF(MacReports!L96="y","Remote Locked","")</f>
        <v/>
      </c>
      <c r="S96" t="str">
        <f t="shared" si="3"/>
        <v>Battery Defect, 0</v>
      </c>
      <c r="T96" t="str">
        <f>_xlfn.XLOOKUP(B96,Disk_Pivot!G:G,Disk_Pivot!I:I)</f>
        <v>Yes</v>
      </c>
      <c r="U96" t="str">
        <f>_xlfn.XLOOKUP(B96,Disk_Pivot!G:G,Disk_Pivot!N:N)</f>
        <v>Fail</v>
      </c>
      <c r="V96">
        <f>IF(U96="Fail",MacReports!N96,"")</f>
        <v>0</v>
      </c>
      <c r="AB96" t="str">
        <f t="shared" si="4"/>
        <v/>
      </c>
    </row>
    <row r="97" spans="1:28">
      <c r="A97" t="str">
        <f>MacReports!A97</f>
        <v/>
      </c>
      <c r="B97">
        <f>MacReports!B97</f>
        <v>0</v>
      </c>
      <c r="C97">
        <f>MacReports!C97</f>
        <v>0</v>
      </c>
      <c r="E97" t="e">
        <f>_xlfn.XLOOKUP(G97,Models!A:A,Models!F:F)</f>
        <v>#N/A</v>
      </c>
      <c r="F97" t="str">
        <f>_xlfn.XLOOKUP(B97,MacReports!B:B,MacReports!D:D,"")</f>
        <v/>
      </c>
      <c r="G97" s="13">
        <f>MacReports!E97</f>
        <v>0</v>
      </c>
      <c r="H97" t="e">
        <f>_xlfn.XLOOKUP(G97,Models!A:A,Models!B:B)</f>
        <v>#N/A</v>
      </c>
      <c r="I97" t="e">
        <f>_xlfn.XLOOKUP(G97,Models!A:A,Models!E:E)</f>
        <v>#N/A</v>
      </c>
      <c r="J97" t="e">
        <f>_xlfn.XLOOKUP(G97,Models!A:A,Models!D:D)</f>
        <v>#N/A</v>
      </c>
      <c r="K97">
        <f>MacReports!F97</f>
        <v>0</v>
      </c>
      <c r="L97">
        <f>MacReports!G97</f>
        <v>0</v>
      </c>
      <c r="M97" s="15" t="e" cm="1">
        <f t="array" ref="M97">--_xlfn.LET(
    _xlpm.txt, MacReports!H97,
    _xlpm.chars, MID(_xlpm.txt, _xlfn.SEQUENCE(LEN(_xlpm.txt)), 1),
    _xlfn.TEXTJOIN("", TRUE, IF(ISNUMBER(--_xlpm.chars), _xlpm.chars, ""))
)</f>
        <v>#VALUE!</v>
      </c>
      <c r="N97" s="16" t="str" cm="1">
        <f t="array" ref="N97">_xlfn.IFS(
   --MacReports!M97&lt;55,"Battery Defect",
  -- MacReports!M97&lt;=69,"Battery D",
  --MacReports!M97&lt;=80,"Battery C",
 --MacReports!M97&gt;80,""
)</f>
        <v>Battery Defect</v>
      </c>
      <c r="O97" s="16" t="str">
        <f>IF(MacReports!I97="Service","Battery Service","")</f>
        <v/>
      </c>
      <c r="P97" s="13">
        <f>MacReports!P97</f>
        <v>0</v>
      </c>
      <c r="Q97" s="13" t="str">
        <f>IF(MacReports!J97="Enabled","Apple ID Lock","")</f>
        <v/>
      </c>
      <c r="R97" s="13" t="str">
        <f>IF(MacReports!L97="y","Remote Locked","")</f>
        <v/>
      </c>
      <c r="S97" t="str">
        <f t="shared" si="3"/>
        <v>Battery Defect, 0</v>
      </c>
      <c r="T97" t="str">
        <f>_xlfn.XLOOKUP(B97,Disk_Pivot!G:G,Disk_Pivot!I:I)</f>
        <v>Yes</v>
      </c>
      <c r="U97" t="str">
        <f>_xlfn.XLOOKUP(B97,Disk_Pivot!G:G,Disk_Pivot!N:N)</f>
        <v>Fail</v>
      </c>
      <c r="V97">
        <f>IF(U97="Fail",MacReports!N97,"")</f>
        <v>0</v>
      </c>
      <c r="AB97" t="str">
        <f t="shared" si="4"/>
        <v/>
      </c>
    </row>
    <row r="98" spans="1:28">
      <c r="A98" t="str">
        <f>MacReports!A98</f>
        <v/>
      </c>
      <c r="B98">
        <f>MacReports!B98</f>
        <v>0</v>
      </c>
      <c r="C98">
        <f>MacReports!C98</f>
        <v>0</v>
      </c>
      <c r="E98" t="e">
        <f>_xlfn.XLOOKUP(G98,Models!A:A,Models!F:F)</f>
        <v>#N/A</v>
      </c>
      <c r="F98" t="str">
        <f>_xlfn.XLOOKUP(B98,MacReports!B:B,MacReports!D:D,"")</f>
        <v/>
      </c>
      <c r="G98" s="13">
        <f>MacReports!E98</f>
        <v>0</v>
      </c>
      <c r="H98" t="e">
        <f>_xlfn.XLOOKUP(G98,Models!A:A,Models!B:B)</f>
        <v>#N/A</v>
      </c>
      <c r="I98" t="e">
        <f>_xlfn.XLOOKUP(G98,Models!A:A,Models!E:E)</f>
        <v>#N/A</v>
      </c>
      <c r="J98" t="e">
        <f>_xlfn.XLOOKUP(G98,Models!A:A,Models!D:D)</f>
        <v>#N/A</v>
      </c>
      <c r="K98">
        <f>MacReports!F98</f>
        <v>0</v>
      </c>
      <c r="L98">
        <f>MacReports!G98</f>
        <v>0</v>
      </c>
      <c r="M98" s="15" t="e" cm="1">
        <f t="array" ref="M98">--_xlfn.LET(
    _xlpm.txt, MacReports!H98,
    _xlpm.chars, MID(_xlpm.txt, _xlfn.SEQUENCE(LEN(_xlpm.txt)), 1),
    _xlfn.TEXTJOIN("", TRUE, IF(ISNUMBER(--_xlpm.chars), _xlpm.chars, ""))
)</f>
        <v>#VALUE!</v>
      </c>
      <c r="N98" s="16" t="str" cm="1">
        <f t="array" ref="N98">_xlfn.IFS(
   --MacReports!M98&lt;55,"Battery Defect",
  -- MacReports!M98&lt;=69,"Battery D",
  --MacReports!M98&lt;=80,"Battery C",
 --MacReports!M98&gt;80,""
)</f>
        <v>Battery Defect</v>
      </c>
      <c r="O98" s="16" t="str">
        <f>IF(MacReports!I98="Service","Battery Service","")</f>
        <v/>
      </c>
      <c r="P98" s="13">
        <f>MacReports!P98</f>
        <v>0</v>
      </c>
      <c r="Q98" s="13" t="str">
        <f>IF(MacReports!J98="Enabled","Apple ID Lock","")</f>
        <v/>
      </c>
      <c r="R98" s="13" t="str">
        <f>IF(MacReports!L98="y","Remote Locked","")</f>
        <v/>
      </c>
      <c r="S98" t="str">
        <f t="shared" si="3"/>
        <v>Battery Defect, 0</v>
      </c>
      <c r="T98" t="str">
        <f>_xlfn.XLOOKUP(B98,Disk_Pivot!G:G,Disk_Pivot!I:I)</f>
        <v>Yes</v>
      </c>
      <c r="U98" t="str">
        <f>_xlfn.XLOOKUP(B98,Disk_Pivot!G:G,Disk_Pivot!N:N)</f>
        <v>Fail</v>
      </c>
      <c r="V98">
        <f>IF(U98="Fail",MacReports!N98,"")</f>
        <v>0</v>
      </c>
      <c r="AB98" t="str">
        <f t="shared" si="4"/>
        <v/>
      </c>
    </row>
    <row r="99" spans="1:28">
      <c r="A99" t="str">
        <f>MacReports!A99</f>
        <v/>
      </c>
      <c r="B99">
        <f>MacReports!B99</f>
        <v>0</v>
      </c>
      <c r="C99">
        <f>MacReports!C99</f>
        <v>0</v>
      </c>
      <c r="E99" t="e">
        <f>_xlfn.XLOOKUP(G99,Models!A:A,Models!F:F)</f>
        <v>#N/A</v>
      </c>
      <c r="F99" t="str">
        <f>_xlfn.XLOOKUP(B99,MacReports!B:B,MacReports!D:D,"")</f>
        <v/>
      </c>
      <c r="G99" s="13">
        <f>MacReports!E99</f>
        <v>0</v>
      </c>
      <c r="H99" t="e">
        <f>_xlfn.XLOOKUP(G99,Models!A:A,Models!B:B)</f>
        <v>#N/A</v>
      </c>
      <c r="I99" t="e">
        <f>_xlfn.XLOOKUP(G99,Models!A:A,Models!E:E)</f>
        <v>#N/A</v>
      </c>
      <c r="J99" t="e">
        <f>_xlfn.XLOOKUP(G99,Models!A:A,Models!D:D)</f>
        <v>#N/A</v>
      </c>
      <c r="K99">
        <f>MacReports!F99</f>
        <v>0</v>
      </c>
      <c r="L99">
        <f>MacReports!G99</f>
        <v>0</v>
      </c>
      <c r="M99" s="15" t="e" cm="1">
        <f t="array" ref="M99">--_xlfn.LET(
    _xlpm.txt, MacReports!H99,
    _xlpm.chars, MID(_xlpm.txt, _xlfn.SEQUENCE(LEN(_xlpm.txt)), 1),
    _xlfn.TEXTJOIN("", TRUE, IF(ISNUMBER(--_xlpm.chars), _xlpm.chars, ""))
)</f>
        <v>#VALUE!</v>
      </c>
      <c r="N99" s="16" t="str" cm="1">
        <f t="array" ref="N99">_xlfn.IFS(
   --MacReports!M99&lt;55,"Battery Defect",
  -- MacReports!M99&lt;=69,"Battery D",
  --MacReports!M99&lt;=80,"Battery C",
 --MacReports!M99&gt;80,""
)</f>
        <v>Battery Defect</v>
      </c>
      <c r="O99" s="16" t="str">
        <f>IF(MacReports!I99="Service","Battery Service","")</f>
        <v/>
      </c>
      <c r="P99" s="13">
        <f>MacReports!P99</f>
        <v>0</v>
      </c>
      <c r="Q99" s="13" t="str">
        <f>IF(MacReports!J99="Enabled","Apple ID Lock","")</f>
        <v/>
      </c>
      <c r="R99" s="13" t="str">
        <f>IF(MacReports!L99="y","Remote Locked","")</f>
        <v/>
      </c>
      <c r="S99" t="str">
        <f t="shared" ref="S99:S162" si="5">_xlfn.TEXTJOIN(", ",TRUE,Q99,R99,N99,O99,P99)</f>
        <v>Battery Defect, 0</v>
      </c>
      <c r="T99" t="str">
        <f>_xlfn.XLOOKUP(B99,Disk_Pivot!G:G,Disk_Pivot!I:I)</f>
        <v>Yes</v>
      </c>
      <c r="U99" t="str">
        <f>_xlfn.XLOOKUP(B99,Disk_Pivot!G:G,Disk_Pivot!N:N)</f>
        <v>Fail</v>
      </c>
      <c r="V99">
        <f>IF(U99="Fail",MacReports!N99,"")</f>
        <v>0</v>
      </c>
      <c r="AB99" t="str">
        <f t="shared" ref="AB99:AB162" si="6">_xlfn.TEXTJOIN(", ",TRUE,Q99,R99)</f>
        <v/>
      </c>
    </row>
    <row r="100" spans="1:28">
      <c r="A100" t="str">
        <f>MacReports!A100</f>
        <v/>
      </c>
      <c r="B100">
        <f>MacReports!B100</f>
        <v>0</v>
      </c>
      <c r="C100">
        <f>MacReports!C100</f>
        <v>0</v>
      </c>
      <c r="E100" t="e">
        <f>_xlfn.XLOOKUP(G100,Models!A:A,Models!F:F)</f>
        <v>#N/A</v>
      </c>
      <c r="F100" t="str">
        <f>_xlfn.XLOOKUP(B100,MacReports!B:B,MacReports!D:D,"")</f>
        <v/>
      </c>
      <c r="G100" s="13">
        <f>MacReports!E100</f>
        <v>0</v>
      </c>
      <c r="H100" t="e">
        <f>_xlfn.XLOOKUP(G100,Models!A:A,Models!B:B)</f>
        <v>#N/A</v>
      </c>
      <c r="I100" t="e">
        <f>_xlfn.XLOOKUP(G100,Models!A:A,Models!E:E)</f>
        <v>#N/A</v>
      </c>
      <c r="J100" t="e">
        <f>_xlfn.XLOOKUP(G100,Models!A:A,Models!D:D)</f>
        <v>#N/A</v>
      </c>
      <c r="K100">
        <f>MacReports!F100</f>
        <v>0</v>
      </c>
      <c r="L100">
        <f>MacReports!G100</f>
        <v>0</v>
      </c>
      <c r="M100" s="15" t="e" cm="1">
        <f t="array" ref="M100">--_xlfn.LET(
    _xlpm.txt, MacReports!H100,
    _xlpm.chars, MID(_xlpm.txt, _xlfn.SEQUENCE(LEN(_xlpm.txt)), 1),
    _xlfn.TEXTJOIN("", TRUE, IF(ISNUMBER(--_xlpm.chars), _xlpm.chars, ""))
)</f>
        <v>#VALUE!</v>
      </c>
      <c r="N100" s="16" t="str" cm="1">
        <f t="array" ref="N100">_xlfn.IFS(
   --MacReports!M100&lt;55,"Battery Defect",
  -- MacReports!M100&lt;=69,"Battery D",
  --MacReports!M100&lt;=80,"Battery C",
 --MacReports!M100&gt;80,""
)</f>
        <v>Battery Defect</v>
      </c>
      <c r="O100" s="16" t="str">
        <f>IF(MacReports!I100="Service","Battery Service","")</f>
        <v/>
      </c>
      <c r="P100" s="13">
        <f>MacReports!P100</f>
        <v>0</v>
      </c>
      <c r="Q100" s="13" t="str">
        <f>IF(MacReports!J100="Enabled","Apple ID Lock","")</f>
        <v/>
      </c>
      <c r="R100" s="13" t="str">
        <f>IF(MacReports!L100="y","Remote Locked","")</f>
        <v/>
      </c>
      <c r="S100" t="str">
        <f t="shared" si="5"/>
        <v>Battery Defect, 0</v>
      </c>
      <c r="T100" t="str">
        <f>_xlfn.XLOOKUP(B100,Disk_Pivot!G:G,Disk_Pivot!I:I)</f>
        <v>Yes</v>
      </c>
      <c r="U100" t="str">
        <f>_xlfn.XLOOKUP(B100,Disk_Pivot!G:G,Disk_Pivot!N:N)</f>
        <v>Fail</v>
      </c>
      <c r="V100">
        <f>IF(U100="Fail",MacReports!N100,"")</f>
        <v>0</v>
      </c>
      <c r="AB100" t="str">
        <f t="shared" si="6"/>
        <v/>
      </c>
    </row>
    <row r="101" spans="1:28">
      <c r="A101" t="str">
        <f>MacReports!A101</f>
        <v/>
      </c>
      <c r="B101">
        <f>MacReports!B101</f>
        <v>0</v>
      </c>
      <c r="C101">
        <f>MacReports!C101</f>
        <v>0</v>
      </c>
      <c r="E101" t="e">
        <f>_xlfn.XLOOKUP(G101,Models!A:A,Models!F:F)</f>
        <v>#N/A</v>
      </c>
      <c r="F101" t="str">
        <f>_xlfn.XLOOKUP(B101,MacReports!B:B,MacReports!D:D,"")</f>
        <v/>
      </c>
      <c r="G101" s="13">
        <f>MacReports!E101</f>
        <v>0</v>
      </c>
      <c r="H101" t="e">
        <f>_xlfn.XLOOKUP(G101,Models!A:A,Models!B:B)</f>
        <v>#N/A</v>
      </c>
      <c r="I101" t="e">
        <f>_xlfn.XLOOKUP(G101,Models!A:A,Models!E:E)</f>
        <v>#N/A</v>
      </c>
      <c r="J101" t="e">
        <f>_xlfn.XLOOKUP(G101,Models!A:A,Models!D:D)</f>
        <v>#N/A</v>
      </c>
      <c r="K101">
        <f>MacReports!F101</f>
        <v>0</v>
      </c>
      <c r="L101">
        <f>MacReports!G101</f>
        <v>0</v>
      </c>
      <c r="M101" s="15" t="e" cm="1">
        <f t="array" ref="M101">--_xlfn.LET(
    _xlpm.txt, MacReports!H101,
    _xlpm.chars, MID(_xlpm.txt, _xlfn.SEQUENCE(LEN(_xlpm.txt)), 1),
    _xlfn.TEXTJOIN("", TRUE, IF(ISNUMBER(--_xlpm.chars), _xlpm.chars, ""))
)</f>
        <v>#VALUE!</v>
      </c>
      <c r="N101" s="16" t="str" cm="1">
        <f t="array" ref="N101">_xlfn.IFS(
   --MacReports!M101&lt;55,"Battery Defect",
  -- MacReports!M101&lt;=69,"Battery D",
  --MacReports!M101&lt;=80,"Battery C",
 --MacReports!M101&gt;80,""
)</f>
        <v>Battery Defect</v>
      </c>
      <c r="O101" s="16" t="str">
        <f>IF(MacReports!I101="Service","Battery Service","")</f>
        <v/>
      </c>
      <c r="P101" s="13">
        <f>MacReports!P101</f>
        <v>0</v>
      </c>
      <c r="Q101" s="13" t="str">
        <f>IF(MacReports!J101="Enabled","Apple ID Lock","")</f>
        <v/>
      </c>
      <c r="R101" s="13" t="str">
        <f>IF(MacReports!L101="y","Remote Locked","")</f>
        <v/>
      </c>
      <c r="S101" t="str">
        <f t="shared" si="5"/>
        <v>Battery Defect, 0</v>
      </c>
      <c r="T101" t="str">
        <f>_xlfn.XLOOKUP(B101,Disk_Pivot!G:G,Disk_Pivot!I:I)</f>
        <v>Yes</v>
      </c>
      <c r="U101" t="str">
        <f>_xlfn.XLOOKUP(B101,Disk_Pivot!G:G,Disk_Pivot!N:N)</f>
        <v>Fail</v>
      </c>
      <c r="V101">
        <f>IF(U101="Fail",MacReports!N101,"")</f>
        <v>0</v>
      </c>
      <c r="AB101" t="str">
        <f t="shared" si="6"/>
        <v/>
      </c>
    </row>
    <row r="102" spans="1:28">
      <c r="A102" t="str">
        <f>MacReports!A102</f>
        <v/>
      </c>
      <c r="B102">
        <f>MacReports!B102</f>
        <v>0</v>
      </c>
      <c r="C102">
        <f>MacReports!C102</f>
        <v>0</v>
      </c>
      <c r="E102" t="e">
        <f>_xlfn.XLOOKUP(G102,Models!A:A,Models!F:F)</f>
        <v>#N/A</v>
      </c>
      <c r="F102" t="str">
        <f>_xlfn.XLOOKUP(B102,MacReports!B:B,MacReports!D:D,"")</f>
        <v/>
      </c>
      <c r="G102" s="13">
        <f>MacReports!E102</f>
        <v>0</v>
      </c>
      <c r="H102" t="e">
        <f>_xlfn.XLOOKUP(G102,Models!A:A,Models!B:B)</f>
        <v>#N/A</v>
      </c>
      <c r="I102" t="e">
        <f>_xlfn.XLOOKUP(G102,Models!A:A,Models!E:E)</f>
        <v>#N/A</v>
      </c>
      <c r="J102" t="e">
        <f>_xlfn.XLOOKUP(G102,Models!A:A,Models!D:D)</f>
        <v>#N/A</v>
      </c>
      <c r="K102">
        <f>MacReports!F102</f>
        <v>0</v>
      </c>
      <c r="L102">
        <f>MacReports!G102</f>
        <v>0</v>
      </c>
      <c r="M102" s="15" t="e" cm="1">
        <f t="array" ref="M102">--_xlfn.LET(
    _xlpm.txt, MacReports!H102,
    _xlpm.chars, MID(_xlpm.txt, _xlfn.SEQUENCE(LEN(_xlpm.txt)), 1),
    _xlfn.TEXTJOIN("", TRUE, IF(ISNUMBER(--_xlpm.chars), _xlpm.chars, ""))
)</f>
        <v>#VALUE!</v>
      </c>
      <c r="N102" s="16" t="str" cm="1">
        <f t="array" ref="N102">_xlfn.IFS(
   --MacReports!M102&lt;55,"Battery Defect",
  -- MacReports!M102&lt;=69,"Battery D",
  --MacReports!M102&lt;=80,"Battery C",
 --MacReports!M102&gt;80,""
)</f>
        <v>Battery Defect</v>
      </c>
      <c r="O102" s="16" t="str">
        <f>IF(MacReports!I102="Service","Battery Service","")</f>
        <v/>
      </c>
      <c r="P102" s="13">
        <f>MacReports!P102</f>
        <v>0</v>
      </c>
      <c r="Q102" s="13" t="str">
        <f>IF(MacReports!J102="Enabled","Apple ID Lock","")</f>
        <v/>
      </c>
      <c r="R102" s="13" t="str">
        <f>IF(MacReports!L102="y","Remote Locked","")</f>
        <v/>
      </c>
      <c r="S102" t="str">
        <f t="shared" si="5"/>
        <v>Battery Defect, 0</v>
      </c>
      <c r="T102" t="str">
        <f>_xlfn.XLOOKUP(B102,Disk_Pivot!G:G,Disk_Pivot!I:I)</f>
        <v>Yes</v>
      </c>
      <c r="U102" t="str">
        <f>_xlfn.XLOOKUP(B102,Disk_Pivot!G:G,Disk_Pivot!N:N)</f>
        <v>Fail</v>
      </c>
      <c r="V102">
        <f>IF(U102="Fail",MacReports!N102,"")</f>
        <v>0</v>
      </c>
      <c r="AB102" t="str">
        <f t="shared" si="6"/>
        <v/>
      </c>
    </row>
    <row r="103" spans="1:28">
      <c r="A103" t="str">
        <f>MacReports!A103</f>
        <v/>
      </c>
      <c r="B103">
        <f>MacReports!B103</f>
        <v>0</v>
      </c>
      <c r="C103">
        <f>MacReports!C103</f>
        <v>0</v>
      </c>
      <c r="E103" t="e">
        <f>_xlfn.XLOOKUP(G103,Models!A:A,Models!F:F)</f>
        <v>#N/A</v>
      </c>
      <c r="F103" t="str">
        <f>_xlfn.XLOOKUP(B103,MacReports!B:B,MacReports!D:D,"")</f>
        <v/>
      </c>
      <c r="G103" s="13">
        <f>MacReports!E103</f>
        <v>0</v>
      </c>
      <c r="H103" t="e">
        <f>_xlfn.XLOOKUP(G103,Models!A:A,Models!B:B)</f>
        <v>#N/A</v>
      </c>
      <c r="I103" t="e">
        <f>_xlfn.XLOOKUP(G103,Models!A:A,Models!E:E)</f>
        <v>#N/A</v>
      </c>
      <c r="J103" t="e">
        <f>_xlfn.XLOOKUP(G103,Models!A:A,Models!D:D)</f>
        <v>#N/A</v>
      </c>
      <c r="K103">
        <f>MacReports!F103</f>
        <v>0</v>
      </c>
      <c r="L103">
        <f>MacReports!G103</f>
        <v>0</v>
      </c>
      <c r="M103" s="15" t="e" cm="1">
        <f t="array" ref="M103">--_xlfn.LET(
    _xlpm.txt, MacReports!H103,
    _xlpm.chars, MID(_xlpm.txt, _xlfn.SEQUENCE(LEN(_xlpm.txt)), 1),
    _xlfn.TEXTJOIN("", TRUE, IF(ISNUMBER(--_xlpm.chars), _xlpm.chars, ""))
)</f>
        <v>#VALUE!</v>
      </c>
      <c r="N103" s="16" t="str" cm="1">
        <f t="array" ref="N103">_xlfn.IFS(
   --MacReports!M103&lt;55,"Battery Defect",
  -- MacReports!M103&lt;=69,"Battery D",
  --MacReports!M103&lt;=80,"Battery C",
 --MacReports!M103&gt;80,""
)</f>
        <v>Battery Defect</v>
      </c>
      <c r="O103" s="16" t="str">
        <f>IF(MacReports!I103="Service","Battery Service","")</f>
        <v/>
      </c>
      <c r="P103" s="13">
        <f>MacReports!P103</f>
        <v>0</v>
      </c>
      <c r="Q103" s="13" t="str">
        <f>IF(MacReports!J103="Enabled","Apple ID Lock","")</f>
        <v/>
      </c>
      <c r="R103" s="13" t="str">
        <f>IF(MacReports!L103="y","Remote Locked","")</f>
        <v/>
      </c>
      <c r="S103" t="str">
        <f t="shared" si="5"/>
        <v>Battery Defect, 0</v>
      </c>
      <c r="T103" t="str">
        <f>_xlfn.XLOOKUP(B103,Disk_Pivot!G:G,Disk_Pivot!I:I)</f>
        <v>Yes</v>
      </c>
      <c r="U103" t="str">
        <f>_xlfn.XLOOKUP(B103,Disk_Pivot!G:G,Disk_Pivot!N:N)</f>
        <v>Fail</v>
      </c>
      <c r="V103">
        <f>IF(U103="Fail",MacReports!N103,"")</f>
        <v>0</v>
      </c>
      <c r="AB103" t="str">
        <f t="shared" si="6"/>
        <v/>
      </c>
    </row>
    <row r="104" spans="1:28">
      <c r="A104" t="str">
        <f>MacReports!A104</f>
        <v/>
      </c>
      <c r="B104">
        <f>MacReports!B104</f>
        <v>0</v>
      </c>
      <c r="C104">
        <f>MacReports!C104</f>
        <v>0</v>
      </c>
      <c r="E104" t="e">
        <f>_xlfn.XLOOKUP(G104,Models!A:A,Models!F:F)</f>
        <v>#N/A</v>
      </c>
      <c r="F104" t="str">
        <f>_xlfn.XLOOKUP(B104,MacReports!B:B,MacReports!D:D,"")</f>
        <v/>
      </c>
      <c r="G104" s="13">
        <f>MacReports!E104</f>
        <v>0</v>
      </c>
      <c r="H104" t="e">
        <f>_xlfn.XLOOKUP(G104,Models!A:A,Models!B:B)</f>
        <v>#N/A</v>
      </c>
      <c r="I104" t="e">
        <f>_xlfn.XLOOKUP(G104,Models!A:A,Models!E:E)</f>
        <v>#N/A</v>
      </c>
      <c r="J104" t="e">
        <f>_xlfn.XLOOKUP(G104,Models!A:A,Models!D:D)</f>
        <v>#N/A</v>
      </c>
      <c r="K104">
        <f>MacReports!F104</f>
        <v>0</v>
      </c>
      <c r="L104">
        <f>MacReports!G104</f>
        <v>0</v>
      </c>
      <c r="M104" s="15" t="e" cm="1">
        <f t="array" ref="M104">--_xlfn.LET(
    _xlpm.txt, MacReports!H104,
    _xlpm.chars, MID(_xlpm.txt, _xlfn.SEQUENCE(LEN(_xlpm.txt)), 1),
    _xlfn.TEXTJOIN("", TRUE, IF(ISNUMBER(--_xlpm.chars), _xlpm.chars, ""))
)</f>
        <v>#VALUE!</v>
      </c>
      <c r="N104" s="16" t="str" cm="1">
        <f t="array" ref="N104">_xlfn.IFS(
   --MacReports!M104&lt;55,"Battery Defect",
  -- MacReports!M104&lt;=69,"Battery D",
  --MacReports!M104&lt;=80,"Battery C",
 --MacReports!M104&gt;80,""
)</f>
        <v>Battery Defect</v>
      </c>
      <c r="O104" s="16" t="str">
        <f>IF(MacReports!I104="Service","Battery Service","")</f>
        <v/>
      </c>
      <c r="P104" s="13">
        <f>MacReports!P104</f>
        <v>0</v>
      </c>
      <c r="Q104" s="13" t="str">
        <f>IF(MacReports!J104="Enabled","Apple ID Lock","")</f>
        <v/>
      </c>
      <c r="R104" s="13" t="str">
        <f>IF(MacReports!L104="y","Remote Locked","")</f>
        <v/>
      </c>
      <c r="S104" t="str">
        <f t="shared" si="5"/>
        <v>Battery Defect, 0</v>
      </c>
      <c r="T104" t="str">
        <f>_xlfn.XLOOKUP(B104,Disk_Pivot!G:G,Disk_Pivot!I:I)</f>
        <v>Yes</v>
      </c>
      <c r="U104" t="str">
        <f>_xlfn.XLOOKUP(B104,Disk_Pivot!G:G,Disk_Pivot!N:N)</f>
        <v>Fail</v>
      </c>
      <c r="V104">
        <f>IF(U104="Fail",MacReports!N104,"")</f>
        <v>0</v>
      </c>
      <c r="AB104" t="str">
        <f t="shared" si="6"/>
        <v/>
      </c>
    </row>
    <row r="105" spans="1:28">
      <c r="A105" t="str">
        <f>MacReports!A105</f>
        <v/>
      </c>
      <c r="B105">
        <f>MacReports!B105</f>
        <v>0</v>
      </c>
      <c r="C105">
        <f>MacReports!C105</f>
        <v>0</v>
      </c>
      <c r="E105" t="e">
        <f>_xlfn.XLOOKUP(G105,Models!A:A,Models!F:F)</f>
        <v>#N/A</v>
      </c>
      <c r="F105" t="str">
        <f>_xlfn.XLOOKUP(B105,MacReports!B:B,MacReports!D:D,"")</f>
        <v/>
      </c>
      <c r="G105" s="13">
        <f>MacReports!E105</f>
        <v>0</v>
      </c>
      <c r="H105" t="e">
        <f>_xlfn.XLOOKUP(G105,Models!A:A,Models!B:B)</f>
        <v>#N/A</v>
      </c>
      <c r="I105" t="e">
        <f>_xlfn.XLOOKUP(G105,Models!A:A,Models!E:E)</f>
        <v>#N/A</v>
      </c>
      <c r="J105" t="e">
        <f>_xlfn.XLOOKUP(G105,Models!A:A,Models!D:D)</f>
        <v>#N/A</v>
      </c>
      <c r="K105">
        <f>MacReports!F105</f>
        <v>0</v>
      </c>
      <c r="L105">
        <f>MacReports!G105</f>
        <v>0</v>
      </c>
      <c r="M105" s="15" t="e" cm="1">
        <f t="array" ref="M105">--_xlfn.LET(
    _xlpm.txt, MacReports!H105,
    _xlpm.chars, MID(_xlpm.txt, _xlfn.SEQUENCE(LEN(_xlpm.txt)), 1),
    _xlfn.TEXTJOIN("", TRUE, IF(ISNUMBER(--_xlpm.chars), _xlpm.chars, ""))
)</f>
        <v>#VALUE!</v>
      </c>
      <c r="N105" s="16" t="str" cm="1">
        <f t="array" ref="N105">_xlfn.IFS(
   --MacReports!M105&lt;55,"Battery Defect",
  -- MacReports!M105&lt;=69,"Battery D",
  --MacReports!M105&lt;=80,"Battery C",
 --MacReports!M105&gt;80,""
)</f>
        <v>Battery Defect</v>
      </c>
      <c r="O105" s="16" t="str">
        <f>IF(MacReports!I105="Service","Battery Service","")</f>
        <v/>
      </c>
      <c r="P105" s="13">
        <f>MacReports!P105</f>
        <v>0</v>
      </c>
      <c r="Q105" s="13" t="str">
        <f>IF(MacReports!J105="Enabled","Apple ID Lock","")</f>
        <v/>
      </c>
      <c r="R105" s="13" t="str">
        <f>IF(MacReports!L105="y","Remote Locked","")</f>
        <v/>
      </c>
      <c r="S105" t="str">
        <f t="shared" si="5"/>
        <v>Battery Defect, 0</v>
      </c>
      <c r="T105" t="str">
        <f>_xlfn.XLOOKUP(B105,Disk_Pivot!G:G,Disk_Pivot!I:I)</f>
        <v>Yes</v>
      </c>
      <c r="U105" t="str">
        <f>_xlfn.XLOOKUP(B105,Disk_Pivot!G:G,Disk_Pivot!N:N)</f>
        <v>Fail</v>
      </c>
      <c r="V105">
        <f>IF(U105="Fail",MacReports!N105,"")</f>
        <v>0</v>
      </c>
      <c r="AB105" t="str">
        <f t="shared" si="6"/>
        <v/>
      </c>
    </row>
    <row r="106" spans="1:28">
      <c r="A106" t="str">
        <f>MacReports!A106</f>
        <v/>
      </c>
      <c r="B106">
        <f>MacReports!B106</f>
        <v>0</v>
      </c>
      <c r="C106">
        <f>MacReports!C106</f>
        <v>0</v>
      </c>
      <c r="E106" t="e">
        <f>_xlfn.XLOOKUP(G106,Models!A:A,Models!F:F)</f>
        <v>#N/A</v>
      </c>
      <c r="F106" t="str">
        <f>_xlfn.XLOOKUP(B106,MacReports!B:B,MacReports!D:D,"")</f>
        <v/>
      </c>
      <c r="G106" s="13">
        <f>MacReports!E106</f>
        <v>0</v>
      </c>
      <c r="H106" t="e">
        <f>_xlfn.XLOOKUP(G106,Models!A:A,Models!B:B)</f>
        <v>#N/A</v>
      </c>
      <c r="I106" t="e">
        <f>_xlfn.XLOOKUP(G106,Models!A:A,Models!E:E)</f>
        <v>#N/A</v>
      </c>
      <c r="J106" t="e">
        <f>_xlfn.XLOOKUP(G106,Models!A:A,Models!D:D)</f>
        <v>#N/A</v>
      </c>
      <c r="K106">
        <f>MacReports!F106</f>
        <v>0</v>
      </c>
      <c r="L106">
        <f>MacReports!G106</f>
        <v>0</v>
      </c>
      <c r="M106" s="15" t="e" cm="1">
        <f t="array" ref="M106">--_xlfn.LET(
    _xlpm.txt, MacReports!H106,
    _xlpm.chars, MID(_xlpm.txt, _xlfn.SEQUENCE(LEN(_xlpm.txt)), 1),
    _xlfn.TEXTJOIN("", TRUE, IF(ISNUMBER(--_xlpm.chars), _xlpm.chars, ""))
)</f>
        <v>#VALUE!</v>
      </c>
      <c r="N106" s="16" t="str" cm="1">
        <f t="array" ref="N106">_xlfn.IFS(
   --MacReports!M106&lt;55,"Battery Defect",
  -- MacReports!M106&lt;=69,"Battery D",
  --MacReports!M106&lt;=80,"Battery C",
 --MacReports!M106&gt;80,""
)</f>
        <v>Battery Defect</v>
      </c>
      <c r="O106" s="16" t="str">
        <f>IF(MacReports!I106="Service","Battery Service","")</f>
        <v/>
      </c>
      <c r="P106" s="13">
        <f>MacReports!P106</f>
        <v>0</v>
      </c>
      <c r="Q106" s="13" t="str">
        <f>IF(MacReports!J106="Enabled","Apple ID Lock","")</f>
        <v/>
      </c>
      <c r="R106" s="13" t="str">
        <f>IF(MacReports!L106="y","Remote Locked","")</f>
        <v/>
      </c>
      <c r="S106" t="str">
        <f t="shared" si="5"/>
        <v>Battery Defect, 0</v>
      </c>
      <c r="T106" t="str">
        <f>_xlfn.XLOOKUP(B106,Disk_Pivot!G:G,Disk_Pivot!I:I)</f>
        <v>Yes</v>
      </c>
      <c r="U106" t="str">
        <f>_xlfn.XLOOKUP(B106,Disk_Pivot!G:G,Disk_Pivot!N:N)</f>
        <v>Fail</v>
      </c>
      <c r="V106">
        <f>IF(U106="Fail",MacReports!N106,"")</f>
        <v>0</v>
      </c>
      <c r="AB106" t="str">
        <f t="shared" si="6"/>
        <v/>
      </c>
    </row>
    <row r="107" spans="1:28">
      <c r="A107" t="str">
        <f>MacReports!A107</f>
        <v/>
      </c>
      <c r="B107">
        <f>MacReports!B107</f>
        <v>0</v>
      </c>
      <c r="C107">
        <f>MacReports!C107</f>
        <v>0</v>
      </c>
      <c r="E107" t="e">
        <f>_xlfn.XLOOKUP(G107,Models!A:A,Models!F:F)</f>
        <v>#N/A</v>
      </c>
      <c r="F107" t="str">
        <f>_xlfn.XLOOKUP(B107,MacReports!B:B,MacReports!D:D,"")</f>
        <v/>
      </c>
      <c r="G107" s="13">
        <f>MacReports!E107</f>
        <v>0</v>
      </c>
      <c r="H107" t="e">
        <f>_xlfn.XLOOKUP(G107,Models!A:A,Models!B:B)</f>
        <v>#N/A</v>
      </c>
      <c r="I107" t="e">
        <f>_xlfn.XLOOKUP(G107,Models!A:A,Models!E:E)</f>
        <v>#N/A</v>
      </c>
      <c r="J107" t="e">
        <f>_xlfn.XLOOKUP(G107,Models!A:A,Models!D:D)</f>
        <v>#N/A</v>
      </c>
      <c r="K107">
        <f>MacReports!F107</f>
        <v>0</v>
      </c>
      <c r="L107">
        <f>MacReports!G107</f>
        <v>0</v>
      </c>
      <c r="M107" s="15" t="e" cm="1">
        <f t="array" ref="M107">--_xlfn.LET(
    _xlpm.txt, MacReports!H107,
    _xlpm.chars, MID(_xlpm.txt, _xlfn.SEQUENCE(LEN(_xlpm.txt)), 1),
    _xlfn.TEXTJOIN("", TRUE, IF(ISNUMBER(--_xlpm.chars), _xlpm.chars, ""))
)</f>
        <v>#VALUE!</v>
      </c>
      <c r="N107" s="16" t="str" cm="1">
        <f t="array" ref="N107">_xlfn.IFS(
   --MacReports!M107&lt;55,"Battery Defect",
  -- MacReports!M107&lt;=69,"Battery D",
  --MacReports!M107&lt;=80,"Battery C",
 --MacReports!M107&gt;80,""
)</f>
        <v>Battery Defect</v>
      </c>
      <c r="O107" s="16" t="str">
        <f>IF(MacReports!I107="Service","Battery Service","")</f>
        <v/>
      </c>
      <c r="P107" s="13">
        <f>MacReports!P107</f>
        <v>0</v>
      </c>
      <c r="Q107" s="13" t="str">
        <f>IF(MacReports!J107="Enabled","Apple ID Lock","")</f>
        <v/>
      </c>
      <c r="R107" s="13" t="str">
        <f>IF(MacReports!L107="y","Remote Locked","")</f>
        <v/>
      </c>
      <c r="S107" t="str">
        <f t="shared" si="5"/>
        <v>Battery Defect, 0</v>
      </c>
      <c r="T107" t="str">
        <f>_xlfn.XLOOKUP(B107,Disk_Pivot!G:G,Disk_Pivot!I:I)</f>
        <v>Yes</v>
      </c>
      <c r="U107" t="str">
        <f>_xlfn.XLOOKUP(B107,Disk_Pivot!G:G,Disk_Pivot!N:N)</f>
        <v>Fail</v>
      </c>
      <c r="V107">
        <f>IF(U107="Fail",MacReports!N107,"")</f>
        <v>0</v>
      </c>
      <c r="AB107" t="str">
        <f t="shared" si="6"/>
        <v/>
      </c>
    </row>
    <row r="108" spans="1:28">
      <c r="A108" t="str">
        <f>MacReports!A108</f>
        <v/>
      </c>
      <c r="B108">
        <f>MacReports!B108</f>
        <v>0</v>
      </c>
      <c r="C108">
        <f>MacReports!C108</f>
        <v>0</v>
      </c>
      <c r="E108" t="e">
        <f>_xlfn.XLOOKUP(G108,Models!A:A,Models!F:F)</f>
        <v>#N/A</v>
      </c>
      <c r="F108" t="str">
        <f>_xlfn.XLOOKUP(B108,MacReports!B:B,MacReports!D:D,"")</f>
        <v/>
      </c>
      <c r="G108" s="13">
        <f>MacReports!E108</f>
        <v>0</v>
      </c>
      <c r="H108" t="e">
        <f>_xlfn.XLOOKUP(G108,Models!A:A,Models!B:B)</f>
        <v>#N/A</v>
      </c>
      <c r="I108" t="e">
        <f>_xlfn.XLOOKUP(G108,Models!A:A,Models!E:E)</f>
        <v>#N/A</v>
      </c>
      <c r="J108" t="e">
        <f>_xlfn.XLOOKUP(G108,Models!A:A,Models!D:D)</f>
        <v>#N/A</v>
      </c>
      <c r="K108">
        <f>MacReports!F108</f>
        <v>0</v>
      </c>
      <c r="L108">
        <f>MacReports!G108</f>
        <v>0</v>
      </c>
      <c r="M108" s="15" t="e" cm="1">
        <f t="array" ref="M108">--_xlfn.LET(
    _xlpm.txt, MacReports!H108,
    _xlpm.chars, MID(_xlpm.txt, _xlfn.SEQUENCE(LEN(_xlpm.txt)), 1),
    _xlfn.TEXTJOIN("", TRUE, IF(ISNUMBER(--_xlpm.chars), _xlpm.chars, ""))
)</f>
        <v>#VALUE!</v>
      </c>
      <c r="N108" s="16" t="str" cm="1">
        <f t="array" ref="N108">_xlfn.IFS(
   --MacReports!M108&lt;55,"Battery Defect",
  -- MacReports!M108&lt;=69,"Battery D",
  --MacReports!M108&lt;=80,"Battery C",
 --MacReports!M108&gt;80,""
)</f>
        <v>Battery Defect</v>
      </c>
      <c r="O108" s="16" t="str">
        <f>IF(MacReports!I108="Service","Battery Service","")</f>
        <v/>
      </c>
      <c r="P108" s="13">
        <f>MacReports!P108</f>
        <v>0</v>
      </c>
      <c r="Q108" s="13" t="str">
        <f>IF(MacReports!J108="Enabled","Apple ID Lock","")</f>
        <v/>
      </c>
      <c r="R108" s="13" t="str">
        <f>IF(MacReports!L108="y","Remote Locked","")</f>
        <v/>
      </c>
      <c r="S108" t="str">
        <f t="shared" si="5"/>
        <v>Battery Defect, 0</v>
      </c>
      <c r="T108" t="str">
        <f>_xlfn.XLOOKUP(B108,Disk_Pivot!G:G,Disk_Pivot!I:I)</f>
        <v>Yes</v>
      </c>
      <c r="U108" t="str">
        <f>_xlfn.XLOOKUP(B108,Disk_Pivot!G:G,Disk_Pivot!N:N)</f>
        <v>Fail</v>
      </c>
      <c r="V108">
        <f>IF(U108="Fail",MacReports!N108,"")</f>
        <v>0</v>
      </c>
      <c r="AB108" t="str">
        <f t="shared" si="6"/>
        <v/>
      </c>
    </row>
    <row r="109" spans="1:28">
      <c r="A109" t="str">
        <f>MacReports!A109</f>
        <v/>
      </c>
      <c r="B109">
        <f>MacReports!B109</f>
        <v>0</v>
      </c>
      <c r="C109">
        <f>MacReports!C109</f>
        <v>0</v>
      </c>
      <c r="E109" t="e">
        <f>_xlfn.XLOOKUP(G109,Models!A:A,Models!F:F)</f>
        <v>#N/A</v>
      </c>
      <c r="F109" t="str">
        <f>_xlfn.XLOOKUP(B109,MacReports!B:B,MacReports!D:D,"")</f>
        <v/>
      </c>
      <c r="G109" s="13">
        <f>MacReports!E109</f>
        <v>0</v>
      </c>
      <c r="H109" t="e">
        <f>_xlfn.XLOOKUP(G109,Models!A:A,Models!B:B)</f>
        <v>#N/A</v>
      </c>
      <c r="I109" t="e">
        <f>_xlfn.XLOOKUP(G109,Models!A:A,Models!E:E)</f>
        <v>#N/A</v>
      </c>
      <c r="J109" t="e">
        <f>_xlfn.XLOOKUP(G109,Models!A:A,Models!D:D)</f>
        <v>#N/A</v>
      </c>
      <c r="K109">
        <f>MacReports!F109</f>
        <v>0</v>
      </c>
      <c r="L109">
        <f>MacReports!G109</f>
        <v>0</v>
      </c>
      <c r="M109" s="15" t="e" cm="1">
        <f t="array" ref="M109">--_xlfn.LET(
    _xlpm.txt, MacReports!H109,
    _xlpm.chars, MID(_xlpm.txt, _xlfn.SEQUENCE(LEN(_xlpm.txt)), 1),
    _xlfn.TEXTJOIN("", TRUE, IF(ISNUMBER(--_xlpm.chars), _xlpm.chars, ""))
)</f>
        <v>#VALUE!</v>
      </c>
      <c r="N109" s="16" t="str" cm="1">
        <f t="array" ref="N109">_xlfn.IFS(
   --MacReports!M109&lt;55,"Battery Defect",
  -- MacReports!M109&lt;=69,"Battery D",
  --MacReports!M109&lt;=80,"Battery C",
 --MacReports!M109&gt;80,""
)</f>
        <v>Battery Defect</v>
      </c>
      <c r="O109" s="16" t="str">
        <f>IF(MacReports!I109="Service","Battery Service","")</f>
        <v/>
      </c>
      <c r="P109" s="13">
        <f>MacReports!P109</f>
        <v>0</v>
      </c>
      <c r="Q109" s="13" t="str">
        <f>IF(MacReports!J109="Enabled","Apple ID Lock","")</f>
        <v/>
      </c>
      <c r="R109" s="13" t="str">
        <f>IF(MacReports!L109="y","Remote Locked","")</f>
        <v/>
      </c>
      <c r="S109" t="str">
        <f t="shared" si="5"/>
        <v>Battery Defect, 0</v>
      </c>
      <c r="T109" t="str">
        <f>_xlfn.XLOOKUP(B109,Disk_Pivot!G:G,Disk_Pivot!I:I)</f>
        <v>Yes</v>
      </c>
      <c r="U109" t="str">
        <f>_xlfn.XLOOKUP(B109,Disk_Pivot!G:G,Disk_Pivot!N:N)</f>
        <v>Fail</v>
      </c>
      <c r="V109">
        <f>IF(U109="Fail",MacReports!N109,"")</f>
        <v>0</v>
      </c>
      <c r="AB109" t="str">
        <f t="shared" si="6"/>
        <v/>
      </c>
    </row>
    <row r="110" spans="1:28">
      <c r="A110" t="str">
        <f>MacReports!A110</f>
        <v/>
      </c>
      <c r="B110">
        <f>MacReports!B110</f>
        <v>0</v>
      </c>
      <c r="C110">
        <f>MacReports!C110</f>
        <v>0</v>
      </c>
      <c r="E110" t="e">
        <f>_xlfn.XLOOKUP(G110,Models!A:A,Models!F:F)</f>
        <v>#N/A</v>
      </c>
      <c r="F110" t="str">
        <f>_xlfn.XLOOKUP(B110,MacReports!B:B,MacReports!D:D,"")</f>
        <v/>
      </c>
      <c r="G110" s="13">
        <f>MacReports!E110</f>
        <v>0</v>
      </c>
      <c r="H110" t="e">
        <f>_xlfn.XLOOKUP(G110,Models!A:A,Models!B:B)</f>
        <v>#N/A</v>
      </c>
      <c r="I110" t="e">
        <f>_xlfn.XLOOKUP(G110,Models!A:A,Models!E:E)</f>
        <v>#N/A</v>
      </c>
      <c r="J110" t="e">
        <f>_xlfn.XLOOKUP(G110,Models!A:A,Models!D:D)</f>
        <v>#N/A</v>
      </c>
      <c r="K110">
        <f>MacReports!F110</f>
        <v>0</v>
      </c>
      <c r="L110">
        <f>MacReports!G110</f>
        <v>0</v>
      </c>
      <c r="M110" s="15" t="e" cm="1">
        <f t="array" ref="M110">--_xlfn.LET(
    _xlpm.txt, MacReports!H110,
    _xlpm.chars, MID(_xlpm.txt, _xlfn.SEQUENCE(LEN(_xlpm.txt)), 1),
    _xlfn.TEXTJOIN("", TRUE, IF(ISNUMBER(--_xlpm.chars), _xlpm.chars, ""))
)</f>
        <v>#VALUE!</v>
      </c>
      <c r="N110" s="16" t="str" cm="1">
        <f t="array" ref="N110">_xlfn.IFS(
   --MacReports!M110&lt;55,"Battery Defect",
  -- MacReports!M110&lt;=69,"Battery D",
  --MacReports!M110&lt;=80,"Battery C",
 --MacReports!M110&gt;80,""
)</f>
        <v>Battery Defect</v>
      </c>
      <c r="O110" s="16" t="str">
        <f>IF(MacReports!I110="Service","Battery Service","")</f>
        <v/>
      </c>
      <c r="P110" s="13">
        <f>MacReports!P110</f>
        <v>0</v>
      </c>
      <c r="Q110" s="13" t="str">
        <f>IF(MacReports!J110="Enabled","Apple ID Lock","")</f>
        <v/>
      </c>
      <c r="R110" s="13" t="str">
        <f>IF(MacReports!L110="y","Remote Locked","")</f>
        <v/>
      </c>
      <c r="S110" t="str">
        <f t="shared" si="5"/>
        <v>Battery Defect, 0</v>
      </c>
      <c r="T110" t="str">
        <f>_xlfn.XLOOKUP(B110,Disk_Pivot!G:G,Disk_Pivot!I:I)</f>
        <v>Yes</v>
      </c>
      <c r="U110" t="str">
        <f>_xlfn.XLOOKUP(B110,Disk_Pivot!G:G,Disk_Pivot!N:N)</f>
        <v>Fail</v>
      </c>
      <c r="V110">
        <f>IF(U110="Fail",MacReports!N110,"")</f>
        <v>0</v>
      </c>
      <c r="AB110" t="str">
        <f t="shared" si="6"/>
        <v/>
      </c>
    </row>
    <row r="111" spans="1:28">
      <c r="A111" t="str">
        <f>MacReports!A111</f>
        <v/>
      </c>
      <c r="B111">
        <f>MacReports!B111</f>
        <v>0</v>
      </c>
      <c r="C111">
        <f>MacReports!C111</f>
        <v>0</v>
      </c>
      <c r="E111" t="e">
        <f>_xlfn.XLOOKUP(G111,Models!A:A,Models!F:F)</f>
        <v>#N/A</v>
      </c>
      <c r="F111" t="str">
        <f>_xlfn.XLOOKUP(B111,MacReports!B:B,MacReports!D:D,"")</f>
        <v/>
      </c>
      <c r="G111" s="13">
        <f>MacReports!E111</f>
        <v>0</v>
      </c>
      <c r="H111" t="e">
        <f>_xlfn.XLOOKUP(G111,Models!A:A,Models!B:B)</f>
        <v>#N/A</v>
      </c>
      <c r="I111" t="e">
        <f>_xlfn.XLOOKUP(G111,Models!A:A,Models!E:E)</f>
        <v>#N/A</v>
      </c>
      <c r="J111" t="e">
        <f>_xlfn.XLOOKUP(G111,Models!A:A,Models!D:D)</f>
        <v>#N/A</v>
      </c>
      <c r="K111">
        <f>MacReports!F111</f>
        <v>0</v>
      </c>
      <c r="L111">
        <f>MacReports!G111</f>
        <v>0</v>
      </c>
      <c r="M111" s="15" t="e" cm="1">
        <f t="array" ref="M111">--_xlfn.LET(
    _xlpm.txt, MacReports!H111,
    _xlpm.chars, MID(_xlpm.txt, _xlfn.SEQUENCE(LEN(_xlpm.txt)), 1),
    _xlfn.TEXTJOIN("", TRUE, IF(ISNUMBER(--_xlpm.chars), _xlpm.chars, ""))
)</f>
        <v>#VALUE!</v>
      </c>
      <c r="N111" s="16" t="str" cm="1">
        <f t="array" ref="N111">_xlfn.IFS(
   --MacReports!M111&lt;55,"Battery Defect",
  -- MacReports!M111&lt;=69,"Battery D",
  --MacReports!M111&lt;=80,"Battery C",
 --MacReports!M111&gt;80,""
)</f>
        <v>Battery Defect</v>
      </c>
      <c r="O111" s="16" t="str">
        <f>IF(MacReports!I111="Service","Battery Service","")</f>
        <v/>
      </c>
      <c r="P111" s="13">
        <f>MacReports!P111</f>
        <v>0</v>
      </c>
      <c r="Q111" s="13" t="str">
        <f>IF(MacReports!J111="Enabled","Apple ID Lock","")</f>
        <v/>
      </c>
      <c r="R111" s="13" t="str">
        <f>IF(MacReports!L111="y","Remote Locked","")</f>
        <v/>
      </c>
      <c r="S111" t="str">
        <f t="shared" si="5"/>
        <v>Battery Defect, 0</v>
      </c>
      <c r="T111" t="str">
        <f>_xlfn.XLOOKUP(B111,Disk_Pivot!G:G,Disk_Pivot!I:I)</f>
        <v>Yes</v>
      </c>
      <c r="U111" t="str">
        <f>_xlfn.XLOOKUP(B111,Disk_Pivot!G:G,Disk_Pivot!N:N)</f>
        <v>Fail</v>
      </c>
      <c r="V111">
        <f>IF(U111="Fail",MacReports!N111,"")</f>
        <v>0</v>
      </c>
      <c r="AB111" t="str">
        <f t="shared" si="6"/>
        <v/>
      </c>
    </row>
    <row r="112" spans="1:28">
      <c r="A112" t="str">
        <f>MacReports!A112</f>
        <v/>
      </c>
      <c r="B112">
        <f>MacReports!B112</f>
        <v>0</v>
      </c>
      <c r="C112">
        <f>MacReports!C112</f>
        <v>0</v>
      </c>
      <c r="E112" t="e">
        <f>_xlfn.XLOOKUP(G112,Models!A:A,Models!F:F)</f>
        <v>#N/A</v>
      </c>
      <c r="F112" t="str">
        <f>_xlfn.XLOOKUP(B112,MacReports!B:B,MacReports!D:D,"")</f>
        <v/>
      </c>
      <c r="G112" s="13">
        <f>MacReports!E112</f>
        <v>0</v>
      </c>
      <c r="H112" t="e">
        <f>_xlfn.XLOOKUP(G112,Models!A:A,Models!B:B)</f>
        <v>#N/A</v>
      </c>
      <c r="I112" t="e">
        <f>_xlfn.XLOOKUP(G112,Models!A:A,Models!E:E)</f>
        <v>#N/A</v>
      </c>
      <c r="J112" t="e">
        <f>_xlfn.XLOOKUP(G112,Models!A:A,Models!D:D)</f>
        <v>#N/A</v>
      </c>
      <c r="K112">
        <f>MacReports!F112</f>
        <v>0</v>
      </c>
      <c r="L112">
        <f>MacReports!G112</f>
        <v>0</v>
      </c>
      <c r="M112" s="15" t="e" cm="1">
        <f t="array" ref="M112">--_xlfn.LET(
    _xlpm.txt, MacReports!H112,
    _xlpm.chars, MID(_xlpm.txt, _xlfn.SEQUENCE(LEN(_xlpm.txt)), 1),
    _xlfn.TEXTJOIN("", TRUE, IF(ISNUMBER(--_xlpm.chars), _xlpm.chars, ""))
)</f>
        <v>#VALUE!</v>
      </c>
      <c r="N112" s="16" t="str" cm="1">
        <f t="array" ref="N112">_xlfn.IFS(
   --MacReports!M112&lt;55,"Battery Defect",
  -- MacReports!M112&lt;=69,"Battery D",
  --MacReports!M112&lt;=80,"Battery C",
 --MacReports!M112&gt;80,""
)</f>
        <v>Battery Defect</v>
      </c>
      <c r="O112" s="16" t="str">
        <f>IF(MacReports!I112="Service","Battery Service","")</f>
        <v/>
      </c>
      <c r="P112" s="13">
        <f>MacReports!P112</f>
        <v>0</v>
      </c>
      <c r="Q112" s="13" t="str">
        <f>IF(MacReports!J112="Enabled","Apple ID Lock","")</f>
        <v/>
      </c>
      <c r="R112" s="13" t="str">
        <f>IF(MacReports!L112="y","Remote Locked","")</f>
        <v/>
      </c>
      <c r="S112" t="str">
        <f t="shared" si="5"/>
        <v>Battery Defect, 0</v>
      </c>
      <c r="T112" t="str">
        <f>_xlfn.XLOOKUP(B112,Disk_Pivot!G:G,Disk_Pivot!I:I)</f>
        <v>Yes</v>
      </c>
      <c r="U112" t="str">
        <f>_xlfn.XLOOKUP(B112,Disk_Pivot!G:G,Disk_Pivot!N:N)</f>
        <v>Fail</v>
      </c>
      <c r="V112">
        <f>IF(U112="Fail",MacReports!N112,"")</f>
        <v>0</v>
      </c>
      <c r="AB112" t="str">
        <f t="shared" si="6"/>
        <v/>
      </c>
    </row>
    <row r="113" spans="1:28">
      <c r="A113" t="str">
        <f>MacReports!A113</f>
        <v/>
      </c>
      <c r="B113">
        <f>MacReports!B113</f>
        <v>0</v>
      </c>
      <c r="C113">
        <f>MacReports!C113</f>
        <v>0</v>
      </c>
      <c r="E113" t="e">
        <f>_xlfn.XLOOKUP(G113,Models!A:A,Models!F:F)</f>
        <v>#N/A</v>
      </c>
      <c r="F113" t="str">
        <f>_xlfn.XLOOKUP(B113,MacReports!B:B,MacReports!D:D,"")</f>
        <v/>
      </c>
      <c r="G113" s="13">
        <f>MacReports!E113</f>
        <v>0</v>
      </c>
      <c r="H113" t="e">
        <f>_xlfn.XLOOKUP(G113,Models!A:A,Models!B:B)</f>
        <v>#N/A</v>
      </c>
      <c r="I113" t="e">
        <f>_xlfn.XLOOKUP(G113,Models!A:A,Models!E:E)</f>
        <v>#N/A</v>
      </c>
      <c r="J113" t="e">
        <f>_xlfn.XLOOKUP(G113,Models!A:A,Models!D:D)</f>
        <v>#N/A</v>
      </c>
      <c r="K113">
        <f>MacReports!F113</f>
        <v>0</v>
      </c>
      <c r="L113">
        <f>MacReports!G113</f>
        <v>0</v>
      </c>
      <c r="M113" s="15" t="e" cm="1">
        <f t="array" ref="M113">--_xlfn.LET(
    _xlpm.txt, MacReports!H113,
    _xlpm.chars, MID(_xlpm.txt, _xlfn.SEQUENCE(LEN(_xlpm.txt)), 1),
    _xlfn.TEXTJOIN("", TRUE, IF(ISNUMBER(--_xlpm.chars), _xlpm.chars, ""))
)</f>
        <v>#VALUE!</v>
      </c>
      <c r="N113" s="16" t="str" cm="1">
        <f t="array" ref="N113">_xlfn.IFS(
   --MacReports!M113&lt;55,"Battery Defect",
  -- MacReports!M113&lt;=69,"Battery D",
  --MacReports!M113&lt;=80,"Battery C",
 --MacReports!M113&gt;80,""
)</f>
        <v>Battery Defect</v>
      </c>
      <c r="O113" s="16" t="str">
        <f>IF(MacReports!I113="Service","Battery Service","")</f>
        <v/>
      </c>
      <c r="P113" s="13">
        <f>MacReports!P113</f>
        <v>0</v>
      </c>
      <c r="Q113" s="13" t="str">
        <f>IF(MacReports!J113="Enabled","Apple ID Lock","")</f>
        <v/>
      </c>
      <c r="R113" s="13" t="str">
        <f>IF(MacReports!L113="y","Remote Locked","")</f>
        <v/>
      </c>
      <c r="S113" t="str">
        <f t="shared" si="5"/>
        <v>Battery Defect, 0</v>
      </c>
      <c r="T113" t="str">
        <f>_xlfn.XLOOKUP(B113,Disk_Pivot!G:G,Disk_Pivot!I:I)</f>
        <v>Yes</v>
      </c>
      <c r="U113" t="str">
        <f>_xlfn.XLOOKUP(B113,Disk_Pivot!G:G,Disk_Pivot!N:N)</f>
        <v>Fail</v>
      </c>
      <c r="V113">
        <f>IF(U113="Fail",MacReports!N113,"")</f>
        <v>0</v>
      </c>
      <c r="AB113" t="str">
        <f t="shared" si="6"/>
        <v/>
      </c>
    </row>
    <row r="114" spans="1:28">
      <c r="A114" t="str">
        <f>MacReports!A114</f>
        <v/>
      </c>
      <c r="B114">
        <f>MacReports!B114</f>
        <v>0</v>
      </c>
      <c r="C114">
        <f>MacReports!C114</f>
        <v>0</v>
      </c>
      <c r="E114" t="e">
        <f>_xlfn.XLOOKUP(G114,Models!A:A,Models!F:F)</f>
        <v>#N/A</v>
      </c>
      <c r="F114" t="str">
        <f>_xlfn.XLOOKUP(B114,MacReports!B:B,MacReports!D:D,"")</f>
        <v/>
      </c>
      <c r="G114" s="13">
        <f>MacReports!E114</f>
        <v>0</v>
      </c>
      <c r="H114" t="e">
        <f>_xlfn.XLOOKUP(G114,Models!A:A,Models!B:B)</f>
        <v>#N/A</v>
      </c>
      <c r="I114" t="e">
        <f>_xlfn.XLOOKUP(G114,Models!A:A,Models!E:E)</f>
        <v>#N/A</v>
      </c>
      <c r="J114" t="e">
        <f>_xlfn.XLOOKUP(G114,Models!A:A,Models!D:D)</f>
        <v>#N/A</v>
      </c>
      <c r="K114">
        <f>MacReports!F114</f>
        <v>0</v>
      </c>
      <c r="L114">
        <f>MacReports!G114</f>
        <v>0</v>
      </c>
      <c r="M114" s="15" t="e" cm="1">
        <f t="array" ref="M114">--_xlfn.LET(
    _xlpm.txt, MacReports!H114,
    _xlpm.chars, MID(_xlpm.txt, _xlfn.SEQUENCE(LEN(_xlpm.txt)), 1),
    _xlfn.TEXTJOIN("", TRUE, IF(ISNUMBER(--_xlpm.chars), _xlpm.chars, ""))
)</f>
        <v>#VALUE!</v>
      </c>
      <c r="N114" s="16" t="str" cm="1">
        <f t="array" ref="N114">_xlfn.IFS(
   --MacReports!M114&lt;55,"Battery Defect",
  -- MacReports!M114&lt;=69,"Battery D",
  --MacReports!M114&lt;=80,"Battery C",
 --MacReports!M114&gt;80,""
)</f>
        <v>Battery Defect</v>
      </c>
      <c r="O114" s="16" t="str">
        <f>IF(MacReports!I114="Service","Battery Service","")</f>
        <v/>
      </c>
      <c r="P114" s="13">
        <f>MacReports!P114</f>
        <v>0</v>
      </c>
      <c r="Q114" s="13" t="str">
        <f>IF(MacReports!J114="Enabled","Apple ID Lock","")</f>
        <v/>
      </c>
      <c r="R114" s="13" t="str">
        <f>IF(MacReports!L114="y","Remote Locked","")</f>
        <v/>
      </c>
      <c r="S114" t="str">
        <f t="shared" si="5"/>
        <v>Battery Defect, 0</v>
      </c>
      <c r="T114" t="str">
        <f>_xlfn.XLOOKUP(B114,Disk_Pivot!G:G,Disk_Pivot!I:I)</f>
        <v>Yes</v>
      </c>
      <c r="U114" t="str">
        <f>_xlfn.XLOOKUP(B114,Disk_Pivot!G:G,Disk_Pivot!N:N)</f>
        <v>Fail</v>
      </c>
      <c r="V114">
        <f>IF(U114="Fail",MacReports!N114,"")</f>
        <v>0</v>
      </c>
      <c r="AB114" t="str">
        <f t="shared" si="6"/>
        <v/>
      </c>
    </row>
    <row r="115" spans="1:28">
      <c r="A115" t="str">
        <f>MacReports!A115</f>
        <v/>
      </c>
      <c r="B115">
        <f>MacReports!B115</f>
        <v>0</v>
      </c>
      <c r="C115">
        <f>MacReports!C115</f>
        <v>0</v>
      </c>
      <c r="E115" t="e">
        <f>_xlfn.XLOOKUP(G115,Models!A:A,Models!F:F)</f>
        <v>#N/A</v>
      </c>
      <c r="F115" t="str">
        <f>_xlfn.XLOOKUP(B115,MacReports!B:B,MacReports!D:D,"")</f>
        <v/>
      </c>
      <c r="G115" s="13">
        <f>MacReports!E115</f>
        <v>0</v>
      </c>
      <c r="H115" t="e">
        <f>_xlfn.XLOOKUP(G115,Models!A:A,Models!B:B)</f>
        <v>#N/A</v>
      </c>
      <c r="I115" t="e">
        <f>_xlfn.XLOOKUP(G115,Models!A:A,Models!E:E)</f>
        <v>#N/A</v>
      </c>
      <c r="J115" t="e">
        <f>_xlfn.XLOOKUP(G115,Models!A:A,Models!D:D)</f>
        <v>#N/A</v>
      </c>
      <c r="K115">
        <f>MacReports!F115</f>
        <v>0</v>
      </c>
      <c r="L115">
        <f>MacReports!G115</f>
        <v>0</v>
      </c>
      <c r="M115" s="15" t="e" cm="1">
        <f t="array" ref="M115">--_xlfn.LET(
    _xlpm.txt, MacReports!H115,
    _xlpm.chars, MID(_xlpm.txt, _xlfn.SEQUENCE(LEN(_xlpm.txt)), 1),
    _xlfn.TEXTJOIN("", TRUE, IF(ISNUMBER(--_xlpm.chars), _xlpm.chars, ""))
)</f>
        <v>#VALUE!</v>
      </c>
      <c r="N115" s="16" t="str" cm="1">
        <f t="array" ref="N115">_xlfn.IFS(
   --MacReports!M115&lt;55,"Battery Defect",
  -- MacReports!M115&lt;=69,"Battery D",
  --MacReports!M115&lt;=80,"Battery C",
 --MacReports!M115&gt;80,""
)</f>
        <v>Battery Defect</v>
      </c>
      <c r="O115" s="16" t="str">
        <f>IF(MacReports!I115="Service","Battery Service","")</f>
        <v/>
      </c>
      <c r="P115" s="13">
        <f>MacReports!P115</f>
        <v>0</v>
      </c>
      <c r="Q115" s="13" t="str">
        <f>IF(MacReports!J115="Enabled","Apple ID Lock","")</f>
        <v/>
      </c>
      <c r="R115" s="13" t="str">
        <f>IF(MacReports!L115="y","Remote Locked","")</f>
        <v/>
      </c>
      <c r="S115" t="str">
        <f t="shared" si="5"/>
        <v>Battery Defect, 0</v>
      </c>
      <c r="T115" t="str">
        <f>_xlfn.XLOOKUP(B115,Disk_Pivot!G:G,Disk_Pivot!I:I)</f>
        <v>Yes</v>
      </c>
      <c r="U115" t="str">
        <f>_xlfn.XLOOKUP(B115,Disk_Pivot!G:G,Disk_Pivot!N:N)</f>
        <v>Fail</v>
      </c>
      <c r="V115">
        <f>IF(U115="Fail",MacReports!N115,"")</f>
        <v>0</v>
      </c>
      <c r="AB115" t="str">
        <f t="shared" si="6"/>
        <v/>
      </c>
    </row>
    <row r="116" spans="1:28">
      <c r="A116" t="str">
        <f>MacReports!A116</f>
        <v/>
      </c>
      <c r="B116">
        <f>MacReports!B116</f>
        <v>0</v>
      </c>
      <c r="C116">
        <f>MacReports!C116</f>
        <v>0</v>
      </c>
      <c r="E116" t="e">
        <f>_xlfn.XLOOKUP(G116,Models!A:A,Models!F:F)</f>
        <v>#N/A</v>
      </c>
      <c r="F116" t="str">
        <f>_xlfn.XLOOKUP(B116,MacReports!B:B,MacReports!D:D,"")</f>
        <v/>
      </c>
      <c r="G116" s="13">
        <f>MacReports!E116</f>
        <v>0</v>
      </c>
      <c r="H116" t="e">
        <f>_xlfn.XLOOKUP(G116,Models!A:A,Models!B:B)</f>
        <v>#N/A</v>
      </c>
      <c r="I116" t="e">
        <f>_xlfn.XLOOKUP(G116,Models!A:A,Models!E:E)</f>
        <v>#N/A</v>
      </c>
      <c r="J116" t="e">
        <f>_xlfn.XLOOKUP(G116,Models!A:A,Models!D:D)</f>
        <v>#N/A</v>
      </c>
      <c r="K116">
        <f>MacReports!F116</f>
        <v>0</v>
      </c>
      <c r="L116">
        <f>MacReports!G116</f>
        <v>0</v>
      </c>
      <c r="M116" s="15" t="e" cm="1">
        <f t="array" ref="M116">--_xlfn.LET(
    _xlpm.txt, MacReports!H116,
    _xlpm.chars, MID(_xlpm.txt, _xlfn.SEQUENCE(LEN(_xlpm.txt)), 1),
    _xlfn.TEXTJOIN("", TRUE, IF(ISNUMBER(--_xlpm.chars), _xlpm.chars, ""))
)</f>
        <v>#VALUE!</v>
      </c>
      <c r="N116" s="16" t="str" cm="1">
        <f t="array" ref="N116">_xlfn.IFS(
   --MacReports!M116&lt;55,"Battery Defect",
  -- MacReports!M116&lt;=69,"Battery D",
  --MacReports!M116&lt;=80,"Battery C",
 --MacReports!M116&gt;80,""
)</f>
        <v>Battery Defect</v>
      </c>
      <c r="O116" s="16" t="str">
        <f>IF(MacReports!I116="Service","Battery Service","")</f>
        <v/>
      </c>
      <c r="P116" s="13">
        <f>MacReports!P116</f>
        <v>0</v>
      </c>
      <c r="Q116" s="13" t="str">
        <f>IF(MacReports!J116="Enabled","Apple ID Lock","")</f>
        <v/>
      </c>
      <c r="R116" s="13" t="str">
        <f>IF(MacReports!L116="y","Remote Locked","")</f>
        <v/>
      </c>
      <c r="S116" t="str">
        <f t="shared" si="5"/>
        <v>Battery Defect, 0</v>
      </c>
      <c r="T116" t="str">
        <f>_xlfn.XLOOKUP(B116,Disk_Pivot!G:G,Disk_Pivot!I:I)</f>
        <v>Yes</v>
      </c>
      <c r="U116" t="str">
        <f>_xlfn.XLOOKUP(B116,Disk_Pivot!G:G,Disk_Pivot!N:N)</f>
        <v>Fail</v>
      </c>
      <c r="V116">
        <f>IF(U116="Fail",MacReports!N116,"")</f>
        <v>0</v>
      </c>
      <c r="AB116" t="str">
        <f t="shared" si="6"/>
        <v/>
      </c>
    </row>
    <row r="117" spans="1:28">
      <c r="A117" t="str">
        <f>MacReports!A117</f>
        <v/>
      </c>
      <c r="B117">
        <f>MacReports!B117</f>
        <v>0</v>
      </c>
      <c r="C117">
        <f>MacReports!C117</f>
        <v>0</v>
      </c>
      <c r="E117" t="e">
        <f>_xlfn.XLOOKUP(G117,Models!A:A,Models!F:F)</f>
        <v>#N/A</v>
      </c>
      <c r="F117" t="str">
        <f>_xlfn.XLOOKUP(B117,MacReports!B:B,MacReports!D:D,"")</f>
        <v/>
      </c>
      <c r="G117" s="13">
        <f>MacReports!E117</f>
        <v>0</v>
      </c>
      <c r="H117" t="e">
        <f>_xlfn.XLOOKUP(G117,Models!A:A,Models!B:B)</f>
        <v>#N/A</v>
      </c>
      <c r="I117" t="e">
        <f>_xlfn.XLOOKUP(G117,Models!A:A,Models!E:E)</f>
        <v>#N/A</v>
      </c>
      <c r="J117" t="e">
        <f>_xlfn.XLOOKUP(G117,Models!A:A,Models!D:D)</f>
        <v>#N/A</v>
      </c>
      <c r="K117">
        <f>MacReports!F117</f>
        <v>0</v>
      </c>
      <c r="L117">
        <f>MacReports!G117</f>
        <v>0</v>
      </c>
      <c r="M117" s="15" t="e" cm="1">
        <f t="array" ref="M117">--_xlfn.LET(
    _xlpm.txt, MacReports!H117,
    _xlpm.chars, MID(_xlpm.txt, _xlfn.SEQUENCE(LEN(_xlpm.txt)), 1),
    _xlfn.TEXTJOIN("", TRUE, IF(ISNUMBER(--_xlpm.chars), _xlpm.chars, ""))
)</f>
        <v>#VALUE!</v>
      </c>
      <c r="N117" s="16" t="str" cm="1">
        <f t="array" ref="N117">_xlfn.IFS(
   --MacReports!M117&lt;55,"Battery Defect",
  -- MacReports!M117&lt;=69,"Battery D",
  --MacReports!M117&lt;=80,"Battery C",
 --MacReports!M117&gt;80,""
)</f>
        <v>Battery Defect</v>
      </c>
      <c r="O117" s="16" t="str">
        <f>IF(MacReports!I117="Service","Battery Service","")</f>
        <v/>
      </c>
      <c r="P117" s="13">
        <f>MacReports!P117</f>
        <v>0</v>
      </c>
      <c r="Q117" s="13" t="str">
        <f>IF(MacReports!J117="Enabled","Apple ID Lock","")</f>
        <v/>
      </c>
      <c r="R117" s="13" t="str">
        <f>IF(MacReports!L117="y","Remote Locked","")</f>
        <v/>
      </c>
      <c r="S117" t="str">
        <f t="shared" si="5"/>
        <v>Battery Defect, 0</v>
      </c>
      <c r="T117" t="str">
        <f>_xlfn.XLOOKUP(B117,Disk_Pivot!G:G,Disk_Pivot!I:I)</f>
        <v>Yes</v>
      </c>
      <c r="U117" t="str">
        <f>_xlfn.XLOOKUP(B117,Disk_Pivot!G:G,Disk_Pivot!N:N)</f>
        <v>Fail</v>
      </c>
      <c r="V117">
        <f>IF(U117="Fail",MacReports!N117,"")</f>
        <v>0</v>
      </c>
      <c r="AB117" t="str">
        <f t="shared" si="6"/>
        <v/>
      </c>
    </row>
    <row r="118" spans="1:28">
      <c r="A118" t="str">
        <f>MacReports!A118</f>
        <v/>
      </c>
      <c r="B118">
        <f>MacReports!B118</f>
        <v>0</v>
      </c>
      <c r="C118">
        <f>MacReports!C118</f>
        <v>0</v>
      </c>
      <c r="E118" t="e">
        <f>_xlfn.XLOOKUP(G118,Models!A:A,Models!F:F)</f>
        <v>#N/A</v>
      </c>
      <c r="F118" t="str">
        <f>_xlfn.XLOOKUP(B118,MacReports!B:B,MacReports!D:D,"")</f>
        <v/>
      </c>
      <c r="G118" s="13">
        <f>MacReports!E118</f>
        <v>0</v>
      </c>
      <c r="H118" t="e">
        <f>_xlfn.XLOOKUP(G118,Models!A:A,Models!B:B)</f>
        <v>#N/A</v>
      </c>
      <c r="I118" t="e">
        <f>_xlfn.XLOOKUP(G118,Models!A:A,Models!E:E)</f>
        <v>#N/A</v>
      </c>
      <c r="J118" t="e">
        <f>_xlfn.XLOOKUP(G118,Models!A:A,Models!D:D)</f>
        <v>#N/A</v>
      </c>
      <c r="K118">
        <f>MacReports!F118</f>
        <v>0</v>
      </c>
      <c r="L118">
        <f>MacReports!G118</f>
        <v>0</v>
      </c>
      <c r="M118" s="15" t="e" cm="1">
        <f t="array" ref="M118">--_xlfn.LET(
    _xlpm.txt, MacReports!H118,
    _xlpm.chars, MID(_xlpm.txt, _xlfn.SEQUENCE(LEN(_xlpm.txt)), 1),
    _xlfn.TEXTJOIN("", TRUE, IF(ISNUMBER(--_xlpm.chars), _xlpm.chars, ""))
)</f>
        <v>#VALUE!</v>
      </c>
      <c r="N118" s="16" t="str" cm="1">
        <f t="array" ref="N118">_xlfn.IFS(
   --MacReports!M118&lt;55,"Battery Defect",
  -- MacReports!M118&lt;=69,"Battery D",
  --MacReports!M118&lt;=80,"Battery C",
 --MacReports!M118&gt;80,""
)</f>
        <v>Battery Defect</v>
      </c>
      <c r="O118" s="16" t="str">
        <f>IF(MacReports!I118="Service","Battery Service","")</f>
        <v/>
      </c>
      <c r="P118" s="13">
        <f>MacReports!P118</f>
        <v>0</v>
      </c>
      <c r="Q118" s="13" t="str">
        <f>IF(MacReports!J118="Enabled","Apple ID Lock","")</f>
        <v/>
      </c>
      <c r="R118" s="13" t="str">
        <f>IF(MacReports!L118="y","Remote Locked","")</f>
        <v/>
      </c>
      <c r="S118" t="str">
        <f t="shared" si="5"/>
        <v>Battery Defect, 0</v>
      </c>
      <c r="T118" t="str">
        <f>_xlfn.XLOOKUP(B118,Disk_Pivot!G:G,Disk_Pivot!I:I)</f>
        <v>Yes</v>
      </c>
      <c r="U118" t="str">
        <f>_xlfn.XLOOKUP(B118,Disk_Pivot!G:G,Disk_Pivot!N:N)</f>
        <v>Fail</v>
      </c>
      <c r="V118">
        <f>IF(U118="Fail",MacReports!N118,"")</f>
        <v>0</v>
      </c>
      <c r="AB118" t="str">
        <f t="shared" si="6"/>
        <v/>
      </c>
    </row>
    <row r="119" spans="1:28">
      <c r="A119" t="str">
        <f>MacReports!A119</f>
        <v/>
      </c>
      <c r="B119">
        <f>MacReports!B119</f>
        <v>0</v>
      </c>
      <c r="C119">
        <f>MacReports!C119</f>
        <v>0</v>
      </c>
      <c r="E119" t="e">
        <f>_xlfn.XLOOKUP(G119,Models!A:A,Models!F:F)</f>
        <v>#N/A</v>
      </c>
      <c r="F119" t="str">
        <f>_xlfn.XLOOKUP(B119,MacReports!B:B,MacReports!D:D,"")</f>
        <v/>
      </c>
      <c r="G119" s="13">
        <f>MacReports!E119</f>
        <v>0</v>
      </c>
      <c r="H119" t="e">
        <f>_xlfn.XLOOKUP(G119,Models!A:A,Models!B:B)</f>
        <v>#N/A</v>
      </c>
      <c r="I119" t="e">
        <f>_xlfn.XLOOKUP(G119,Models!A:A,Models!E:E)</f>
        <v>#N/A</v>
      </c>
      <c r="J119" t="e">
        <f>_xlfn.XLOOKUP(G119,Models!A:A,Models!D:D)</f>
        <v>#N/A</v>
      </c>
      <c r="K119">
        <f>MacReports!F119</f>
        <v>0</v>
      </c>
      <c r="L119">
        <f>MacReports!G119</f>
        <v>0</v>
      </c>
      <c r="M119" s="15" t="e" cm="1">
        <f t="array" ref="M119">--_xlfn.LET(
    _xlpm.txt, MacReports!H119,
    _xlpm.chars, MID(_xlpm.txt, _xlfn.SEQUENCE(LEN(_xlpm.txt)), 1),
    _xlfn.TEXTJOIN("", TRUE, IF(ISNUMBER(--_xlpm.chars), _xlpm.chars, ""))
)</f>
        <v>#VALUE!</v>
      </c>
      <c r="N119" s="16" t="str" cm="1">
        <f t="array" ref="N119">_xlfn.IFS(
   --MacReports!M119&lt;55,"Battery Defect",
  -- MacReports!M119&lt;=69,"Battery D",
  --MacReports!M119&lt;=80,"Battery C",
 --MacReports!M119&gt;80,""
)</f>
        <v>Battery Defect</v>
      </c>
      <c r="O119" s="16" t="str">
        <f>IF(MacReports!I119="Service","Battery Service","")</f>
        <v/>
      </c>
      <c r="P119" s="13">
        <f>MacReports!P119</f>
        <v>0</v>
      </c>
      <c r="Q119" s="13" t="str">
        <f>IF(MacReports!J119="Enabled","Apple ID Lock","")</f>
        <v/>
      </c>
      <c r="R119" s="13" t="str">
        <f>IF(MacReports!L119="y","Remote Locked","")</f>
        <v/>
      </c>
      <c r="S119" t="str">
        <f t="shared" si="5"/>
        <v>Battery Defect, 0</v>
      </c>
      <c r="T119" t="str">
        <f>_xlfn.XLOOKUP(B119,Disk_Pivot!G:G,Disk_Pivot!I:I)</f>
        <v>Yes</v>
      </c>
      <c r="U119" t="str">
        <f>_xlfn.XLOOKUP(B119,Disk_Pivot!G:G,Disk_Pivot!N:N)</f>
        <v>Fail</v>
      </c>
      <c r="V119">
        <f>IF(U119="Fail",MacReports!N119,"")</f>
        <v>0</v>
      </c>
      <c r="AB119" t="str">
        <f t="shared" si="6"/>
        <v/>
      </c>
    </row>
    <row r="120" spans="1:28">
      <c r="A120" t="str">
        <f>MacReports!A120</f>
        <v/>
      </c>
      <c r="B120">
        <f>MacReports!B120</f>
        <v>0</v>
      </c>
      <c r="C120">
        <f>MacReports!C120</f>
        <v>0</v>
      </c>
      <c r="E120" t="e">
        <f>_xlfn.XLOOKUP(G120,Models!A:A,Models!F:F)</f>
        <v>#N/A</v>
      </c>
      <c r="F120" t="str">
        <f>_xlfn.XLOOKUP(B120,MacReports!B:B,MacReports!D:D,"")</f>
        <v/>
      </c>
      <c r="G120" s="13">
        <f>MacReports!E120</f>
        <v>0</v>
      </c>
      <c r="H120" t="e">
        <f>_xlfn.XLOOKUP(G120,Models!A:A,Models!B:B)</f>
        <v>#N/A</v>
      </c>
      <c r="I120" t="e">
        <f>_xlfn.XLOOKUP(G120,Models!A:A,Models!E:E)</f>
        <v>#N/A</v>
      </c>
      <c r="J120" t="e">
        <f>_xlfn.XLOOKUP(G120,Models!A:A,Models!D:D)</f>
        <v>#N/A</v>
      </c>
      <c r="K120">
        <f>MacReports!F120</f>
        <v>0</v>
      </c>
      <c r="L120">
        <f>MacReports!G120</f>
        <v>0</v>
      </c>
      <c r="M120" s="15" t="e" cm="1">
        <f t="array" ref="M120">--_xlfn.LET(
    _xlpm.txt, MacReports!H120,
    _xlpm.chars, MID(_xlpm.txt, _xlfn.SEQUENCE(LEN(_xlpm.txt)), 1),
    _xlfn.TEXTJOIN("", TRUE, IF(ISNUMBER(--_xlpm.chars), _xlpm.chars, ""))
)</f>
        <v>#VALUE!</v>
      </c>
      <c r="N120" s="16" t="str" cm="1">
        <f t="array" ref="N120">_xlfn.IFS(
   --MacReports!M120&lt;55,"Battery Defect",
  -- MacReports!M120&lt;=69,"Battery D",
  --MacReports!M120&lt;=80,"Battery C",
 --MacReports!M120&gt;80,""
)</f>
        <v>Battery Defect</v>
      </c>
      <c r="O120" s="16" t="str">
        <f>IF(MacReports!I120="Service","Battery Service","")</f>
        <v/>
      </c>
      <c r="P120" s="13">
        <f>MacReports!P120</f>
        <v>0</v>
      </c>
      <c r="Q120" s="13" t="str">
        <f>IF(MacReports!J120="Enabled","Apple ID Lock","")</f>
        <v/>
      </c>
      <c r="R120" s="13" t="str">
        <f>IF(MacReports!L120="y","Remote Locked","")</f>
        <v/>
      </c>
      <c r="S120" t="str">
        <f t="shared" si="5"/>
        <v>Battery Defect, 0</v>
      </c>
      <c r="T120" t="str">
        <f>_xlfn.XLOOKUP(B120,Disk_Pivot!G:G,Disk_Pivot!I:I)</f>
        <v>Yes</v>
      </c>
      <c r="U120" t="str">
        <f>_xlfn.XLOOKUP(B120,Disk_Pivot!G:G,Disk_Pivot!N:N)</f>
        <v>Fail</v>
      </c>
      <c r="V120">
        <f>IF(U120="Fail",MacReports!N120,"")</f>
        <v>0</v>
      </c>
      <c r="AB120" t="str">
        <f t="shared" si="6"/>
        <v/>
      </c>
    </row>
    <row r="121" spans="1:28">
      <c r="A121" t="str">
        <f>MacReports!A121</f>
        <v/>
      </c>
      <c r="B121">
        <f>MacReports!B121</f>
        <v>0</v>
      </c>
      <c r="C121">
        <f>MacReports!C121</f>
        <v>0</v>
      </c>
      <c r="E121" t="e">
        <f>_xlfn.XLOOKUP(G121,Models!A:A,Models!F:F)</f>
        <v>#N/A</v>
      </c>
      <c r="F121" t="str">
        <f>_xlfn.XLOOKUP(B121,MacReports!B:B,MacReports!D:D,"")</f>
        <v/>
      </c>
      <c r="G121" s="13">
        <f>MacReports!E121</f>
        <v>0</v>
      </c>
      <c r="H121" t="e">
        <f>_xlfn.XLOOKUP(G121,Models!A:A,Models!B:B)</f>
        <v>#N/A</v>
      </c>
      <c r="I121" t="e">
        <f>_xlfn.XLOOKUP(G121,Models!A:A,Models!E:E)</f>
        <v>#N/A</v>
      </c>
      <c r="J121" t="e">
        <f>_xlfn.XLOOKUP(G121,Models!A:A,Models!D:D)</f>
        <v>#N/A</v>
      </c>
      <c r="K121">
        <f>MacReports!F121</f>
        <v>0</v>
      </c>
      <c r="L121">
        <f>MacReports!G121</f>
        <v>0</v>
      </c>
      <c r="M121" s="15" t="e" cm="1">
        <f t="array" ref="M121">--_xlfn.LET(
    _xlpm.txt, MacReports!H121,
    _xlpm.chars, MID(_xlpm.txt, _xlfn.SEQUENCE(LEN(_xlpm.txt)), 1),
    _xlfn.TEXTJOIN("", TRUE, IF(ISNUMBER(--_xlpm.chars), _xlpm.chars, ""))
)</f>
        <v>#VALUE!</v>
      </c>
      <c r="N121" s="16" t="str" cm="1">
        <f t="array" ref="N121">_xlfn.IFS(
   --MacReports!M121&lt;55,"Battery Defect",
  -- MacReports!M121&lt;=69,"Battery D",
  --MacReports!M121&lt;=80,"Battery C",
 --MacReports!M121&gt;80,""
)</f>
        <v>Battery Defect</v>
      </c>
      <c r="O121" s="16" t="str">
        <f>IF(MacReports!I121="Service","Battery Service","")</f>
        <v/>
      </c>
      <c r="P121" s="13">
        <f>MacReports!P121</f>
        <v>0</v>
      </c>
      <c r="Q121" s="13" t="str">
        <f>IF(MacReports!J121="Enabled","Apple ID Lock","")</f>
        <v/>
      </c>
      <c r="R121" s="13" t="str">
        <f>IF(MacReports!L121="y","Remote Locked","")</f>
        <v/>
      </c>
      <c r="S121" t="str">
        <f t="shared" si="5"/>
        <v>Battery Defect, 0</v>
      </c>
      <c r="T121" t="str">
        <f>_xlfn.XLOOKUP(B121,Disk_Pivot!G:G,Disk_Pivot!I:I)</f>
        <v>Yes</v>
      </c>
      <c r="U121" t="str">
        <f>_xlfn.XLOOKUP(B121,Disk_Pivot!G:G,Disk_Pivot!N:N)</f>
        <v>Fail</v>
      </c>
      <c r="V121">
        <f>IF(U121="Fail",MacReports!N121,"")</f>
        <v>0</v>
      </c>
      <c r="AB121" t="str">
        <f t="shared" si="6"/>
        <v/>
      </c>
    </row>
    <row r="122" spans="1:28">
      <c r="A122" t="str">
        <f>MacReports!A122</f>
        <v/>
      </c>
      <c r="B122">
        <f>MacReports!B122</f>
        <v>0</v>
      </c>
      <c r="C122">
        <f>MacReports!C122</f>
        <v>0</v>
      </c>
      <c r="E122" t="e">
        <f>_xlfn.XLOOKUP(G122,Models!A:A,Models!F:F)</f>
        <v>#N/A</v>
      </c>
      <c r="F122" t="str">
        <f>_xlfn.XLOOKUP(B122,MacReports!B:B,MacReports!D:D,"")</f>
        <v/>
      </c>
      <c r="G122" s="13">
        <f>MacReports!E122</f>
        <v>0</v>
      </c>
      <c r="H122" t="e">
        <f>_xlfn.XLOOKUP(G122,Models!A:A,Models!B:B)</f>
        <v>#N/A</v>
      </c>
      <c r="I122" t="e">
        <f>_xlfn.XLOOKUP(G122,Models!A:A,Models!E:E)</f>
        <v>#N/A</v>
      </c>
      <c r="J122" t="e">
        <f>_xlfn.XLOOKUP(G122,Models!A:A,Models!D:D)</f>
        <v>#N/A</v>
      </c>
      <c r="K122">
        <f>MacReports!F122</f>
        <v>0</v>
      </c>
      <c r="L122">
        <f>MacReports!G122</f>
        <v>0</v>
      </c>
      <c r="M122" s="15" t="e" cm="1">
        <f t="array" ref="M122">--_xlfn.LET(
    _xlpm.txt, MacReports!H122,
    _xlpm.chars, MID(_xlpm.txt, _xlfn.SEQUENCE(LEN(_xlpm.txt)), 1),
    _xlfn.TEXTJOIN("", TRUE, IF(ISNUMBER(--_xlpm.chars), _xlpm.chars, ""))
)</f>
        <v>#VALUE!</v>
      </c>
      <c r="N122" s="16" t="str" cm="1">
        <f t="array" ref="N122">_xlfn.IFS(
   --MacReports!M122&lt;55,"Battery Defect",
  -- MacReports!M122&lt;=69,"Battery D",
  --MacReports!M122&lt;=80,"Battery C",
 --MacReports!M122&gt;80,""
)</f>
        <v>Battery Defect</v>
      </c>
      <c r="O122" s="16" t="str">
        <f>IF(MacReports!I122="Service","Battery Service","")</f>
        <v/>
      </c>
      <c r="P122" s="13">
        <f>MacReports!P122</f>
        <v>0</v>
      </c>
      <c r="Q122" s="13" t="str">
        <f>IF(MacReports!J122="Enabled","Apple ID Lock","")</f>
        <v/>
      </c>
      <c r="R122" s="13" t="str">
        <f>IF(MacReports!L122="y","Remote Locked","")</f>
        <v/>
      </c>
      <c r="S122" t="str">
        <f t="shared" si="5"/>
        <v>Battery Defect, 0</v>
      </c>
      <c r="T122" t="str">
        <f>_xlfn.XLOOKUP(B122,Disk_Pivot!G:G,Disk_Pivot!I:I)</f>
        <v>Yes</v>
      </c>
      <c r="U122" t="str">
        <f>_xlfn.XLOOKUP(B122,Disk_Pivot!G:G,Disk_Pivot!N:N)</f>
        <v>Fail</v>
      </c>
      <c r="V122">
        <f>IF(U122="Fail",MacReports!N122,"")</f>
        <v>0</v>
      </c>
      <c r="AB122" t="str">
        <f t="shared" si="6"/>
        <v/>
      </c>
    </row>
    <row r="123" spans="1:28">
      <c r="A123" t="str">
        <f>MacReports!A123</f>
        <v/>
      </c>
      <c r="B123">
        <f>MacReports!B123</f>
        <v>0</v>
      </c>
      <c r="C123">
        <f>MacReports!C123</f>
        <v>0</v>
      </c>
      <c r="E123" t="e">
        <f>_xlfn.XLOOKUP(G123,Models!A:A,Models!F:F)</f>
        <v>#N/A</v>
      </c>
      <c r="F123" t="str">
        <f>_xlfn.XLOOKUP(B123,MacReports!B:B,MacReports!D:D,"")</f>
        <v/>
      </c>
      <c r="G123" s="13">
        <f>MacReports!E123</f>
        <v>0</v>
      </c>
      <c r="H123" t="e">
        <f>_xlfn.XLOOKUP(G123,Models!A:A,Models!B:B)</f>
        <v>#N/A</v>
      </c>
      <c r="I123" t="e">
        <f>_xlfn.XLOOKUP(G123,Models!A:A,Models!E:E)</f>
        <v>#N/A</v>
      </c>
      <c r="J123" t="e">
        <f>_xlfn.XLOOKUP(G123,Models!A:A,Models!D:D)</f>
        <v>#N/A</v>
      </c>
      <c r="K123">
        <f>MacReports!F123</f>
        <v>0</v>
      </c>
      <c r="L123">
        <f>MacReports!G123</f>
        <v>0</v>
      </c>
      <c r="M123" s="15" t="e" cm="1">
        <f t="array" ref="M123">--_xlfn.LET(
    _xlpm.txt, MacReports!H123,
    _xlpm.chars, MID(_xlpm.txt, _xlfn.SEQUENCE(LEN(_xlpm.txt)), 1),
    _xlfn.TEXTJOIN("", TRUE, IF(ISNUMBER(--_xlpm.chars), _xlpm.chars, ""))
)</f>
        <v>#VALUE!</v>
      </c>
      <c r="N123" s="16" t="str" cm="1">
        <f t="array" ref="N123">_xlfn.IFS(
   --MacReports!M123&lt;55,"Battery Defect",
  -- MacReports!M123&lt;=69,"Battery D",
  --MacReports!M123&lt;=80,"Battery C",
 --MacReports!M123&gt;80,""
)</f>
        <v>Battery Defect</v>
      </c>
      <c r="O123" s="16" t="str">
        <f>IF(MacReports!I123="Service","Battery Service","")</f>
        <v/>
      </c>
      <c r="P123" s="13">
        <f>MacReports!P123</f>
        <v>0</v>
      </c>
      <c r="Q123" s="13" t="str">
        <f>IF(MacReports!J123="Enabled","Apple ID Lock","")</f>
        <v/>
      </c>
      <c r="R123" s="13" t="str">
        <f>IF(MacReports!L123="y","Remote Locked","")</f>
        <v/>
      </c>
      <c r="S123" t="str">
        <f t="shared" si="5"/>
        <v>Battery Defect, 0</v>
      </c>
      <c r="T123" t="str">
        <f>_xlfn.XLOOKUP(B123,Disk_Pivot!G:G,Disk_Pivot!I:I)</f>
        <v>Yes</v>
      </c>
      <c r="U123" t="str">
        <f>_xlfn.XLOOKUP(B123,Disk_Pivot!G:G,Disk_Pivot!N:N)</f>
        <v>Fail</v>
      </c>
      <c r="V123">
        <f>IF(U123="Fail",MacReports!N123,"")</f>
        <v>0</v>
      </c>
      <c r="AB123" t="str">
        <f t="shared" si="6"/>
        <v/>
      </c>
    </row>
    <row r="124" spans="1:28">
      <c r="A124" t="str">
        <f>MacReports!A124</f>
        <v/>
      </c>
      <c r="B124">
        <f>MacReports!B124</f>
        <v>0</v>
      </c>
      <c r="C124">
        <f>MacReports!C124</f>
        <v>0</v>
      </c>
      <c r="E124" t="e">
        <f>_xlfn.XLOOKUP(G124,Models!A:A,Models!F:F)</f>
        <v>#N/A</v>
      </c>
      <c r="F124" t="str">
        <f>_xlfn.XLOOKUP(B124,MacReports!B:B,MacReports!D:D,"")</f>
        <v/>
      </c>
      <c r="G124" s="13">
        <f>MacReports!E124</f>
        <v>0</v>
      </c>
      <c r="H124" t="e">
        <f>_xlfn.XLOOKUP(G124,Models!A:A,Models!B:B)</f>
        <v>#N/A</v>
      </c>
      <c r="I124" t="e">
        <f>_xlfn.XLOOKUP(G124,Models!A:A,Models!E:E)</f>
        <v>#N/A</v>
      </c>
      <c r="J124" t="e">
        <f>_xlfn.XLOOKUP(G124,Models!A:A,Models!D:D)</f>
        <v>#N/A</v>
      </c>
      <c r="K124">
        <f>MacReports!F124</f>
        <v>0</v>
      </c>
      <c r="L124">
        <f>MacReports!G124</f>
        <v>0</v>
      </c>
      <c r="M124" s="15" t="e" cm="1">
        <f t="array" ref="M124">--_xlfn.LET(
    _xlpm.txt, MacReports!H124,
    _xlpm.chars, MID(_xlpm.txt, _xlfn.SEQUENCE(LEN(_xlpm.txt)), 1),
    _xlfn.TEXTJOIN("", TRUE, IF(ISNUMBER(--_xlpm.chars), _xlpm.chars, ""))
)</f>
        <v>#VALUE!</v>
      </c>
      <c r="N124" s="16" t="str" cm="1">
        <f t="array" ref="N124">_xlfn.IFS(
   --MacReports!M124&lt;55,"Battery Defect",
  -- MacReports!M124&lt;=69,"Battery D",
  --MacReports!M124&lt;=80,"Battery C",
 --MacReports!M124&gt;80,""
)</f>
        <v>Battery Defect</v>
      </c>
      <c r="O124" s="16" t="str">
        <f>IF(MacReports!I124="Service","Battery Service","")</f>
        <v/>
      </c>
      <c r="P124" s="13">
        <f>MacReports!P124</f>
        <v>0</v>
      </c>
      <c r="Q124" s="13" t="str">
        <f>IF(MacReports!J124="Enabled","Apple ID Lock","")</f>
        <v/>
      </c>
      <c r="R124" s="13" t="str">
        <f>IF(MacReports!L124="y","Remote Locked","")</f>
        <v/>
      </c>
      <c r="S124" t="str">
        <f t="shared" si="5"/>
        <v>Battery Defect, 0</v>
      </c>
      <c r="T124" t="str">
        <f>_xlfn.XLOOKUP(B124,Disk_Pivot!G:G,Disk_Pivot!I:I)</f>
        <v>Yes</v>
      </c>
      <c r="U124" t="str">
        <f>_xlfn.XLOOKUP(B124,Disk_Pivot!G:G,Disk_Pivot!N:N)</f>
        <v>Fail</v>
      </c>
      <c r="V124">
        <f>IF(U124="Fail",MacReports!N124,"")</f>
        <v>0</v>
      </c>
      <c r="AB124" t="str">
        <f t="shared" si="6"/>
        <v/>
      </c>
    </row>
    <row r="125" spans="1:28">
      <c r="A125" t="str">
        <f>MacReports!A125</f>
        <v/>
      </c>
      <c r="B125">
        <f>MacReports!B125</f>
        <v>0</v>
      </c>
      <c r="C125">
        <f>MacReports!C125</f>
        <v>0</v>
      </c>
      <c r="E125" t="e">
        <f>_xlfn.XLOOKUP(G125,Models!A:A,Models!F:F)</f>
        <v>#N/A</v>
      </c>
      <c r="F125" t="str">
        <f>_xlfn.XLOOKUP(B125,MacReports!B:B,MacReports!D:D,"")</f>
        <v/>
      </c>
      <c r="G125" s="13">
        <f>MacReports!E125</f>
        <v>0</v>
      </c>
      <c r="H125" t="e">
        <f>_xlfn.XLOOKUP(G125,Models!A:A,Models!B:B)</f>
        <v>#N/A</v>
      </c>
      <c r="I125" t="e">
        <f>_xlfn.XLOOKUP(G125,Models!A:A,Models!E:E)</f>
        <v>#N/A</v>
      </c>
      <c r="J125" t="e">
        <f>_xlfn.XLOOKUP(G125,Models!A:A,Models!D:D)</f>
        <v>#N/A</v>
      </c>
      <c r="K125">
        <f>MacReports!F125</f>
        <v>0</v>
      </c>
      <c r="L125">
        <f>MacReports!G125</f>
        <v>0</v>
      </c>
      <c r="M125" s="15" t="e" cm="1">
        <f t="array" ref="M125">--_xlfn.LET(
    _xlpm.txt, MacReports!H125,
    _xlpm.chars, MID(_xlpm.txt, _xlfn.SEQUENCE(LEN(_xlpm.txt)), 1),
    _xlfn.TEXTJOIN("", TRUE, IF(ISNUMBER(--_xlpm.chars), _xlpm.chars, ""))
)</f>
        <v>#VALUE!</v>
      </c>
      <c r="N125" s="16" t="str" cm="1">
        <f t="array" ref="N125">_xlfn.IFS(
   --MacReports!M125&lt;55,"Battery Defect",
  -- MacReports!M125&lt;=69,"Battery D",
  --MacReports!M125&lt;=80,"Battery C",
 --MacReports!M125&gt;80,""
)</f>
        <v>Battery Defect</v>
      </c>
      <c r="O125" s="16" t="str">
        <f>IF(MacReports!I125="Service","Battery Service","")</f>
        <v/>
      </c>
      <c r="P125" s="13">
        <f>MacReports!P125</f>
        <v>0</v>
      </c>
      <c r="Q125" s="13" t="str">
        <f>IF(MacReports!J125="Enabled","Apple ID Lock","")</f>
        <v/>
      </c>
      <c r="R125" s="13" t="str">
        <f>IF(MacReports!L125="y","Remote Locked","")</f>
        <v/>
      </c>
      <c r="S125" t="str">
        <f t="shared" si="5"/>
        <v>Battery Defect, 0</v>
      </c>
      <c r="T125" t="str">
        <f>_xlfn.XLOOKUP(B125,Disk_Pivot!G:G,Disk_Pivot!I:I)</f>
        <v>Yes</v>
      </c>
      <c r="U125" t="str">
        <f>_xlfn.XLOOKUP(B125,Disk_Pivot!G:G,Disk_Pivot!N:N)</f>
        <v>Fail</v>
      </c>
      <c r="V125">
        <f>IF(U125="Fail",MacReports!N125,"")</f>
        <v>0</v>
      </c>
      <c r="AB125" t="str">
        <f t="shared" si="6"/>
        <v/>
      </c>
    </row>
    <row r="126" spans="1:28">
      <c r="A126" t="str">
        <f>MacReports!A126</f>
        <v/>
      </c>
      <c r="B126">
        <f>MacReports!B126</f>
        <v>0</v>
      </c>
      <c r="C126">
        <f>MacReports!C126</f>
        <v>0</v>
      </c>
      <c r="E126" t="e">
        <f>_xlfn.XLOOKUP(G126,Models!A:A,Models!F:F)</f>
        <v>#N/A</v>
      </c>
      <c r="F126" t="str">
        <f>_xlfn.XLOOKUP(B126,MacReports!B:B,MacReports!D:D,"")</f>
        <v/>
      </c>
      <c r="G126" s="13">
        <f>MacReports!E126</f>
        <v>0</v>
      </c>
      <c r="H126" t="e">
        <f>_xlfn.XLOOKUP(G126,Models!A:A,Models!B:B)</f>
        <v>#N/A</v>
      </c>
      <c r="I126" t="e">
        <f>_xlfn.XLOOKUP(G126,Models!A:A,Models!E:E)</f>
        <v>#N/A</v>
      </c>
      <c r="J126" t="e">
        <f>_xlfn.XLOOKUP(G126,Models!A:A,Models!D:D)</f>
        <v>#N/A</v>
      </c>
      <c r="K126">
        <f>MacReports!F126</f>
        <v>0</v>
      </c>
      <c r="L126">
        <f>MacReports!G126</f>
        <v>0</v>
      </c>
      <c r="M126" s="15" t="e" cm="1">
        <f t="array" ref="M126">--_xlfn.LET(
    _xlpm.txt, MacReports!H126,
    _xlpm.chars, MID(_xlpm.txt, _xlfn.SEQUENCE(LEN(_xlpm.txt)), 1),
    _xlfn.TEXTJOIN("", TRUE, IF(ISNUMBER(--_xlpm.chars), _xlpm.chars, ""))
)</f>
        <v>#VALUE!</v>
      </c>
      <c r="N126" s="16" t="str" cm="1">
        <f t="array" ref="N126">_xlfn.IFS(
   --MacReports!M126&lt;55,"Battery Defect",
  -- MacReports!M126&lt;=69,"Battery D",
  --MacReports!M126&lt;=80,"Battery C",
 --MacReports!M126&gt;80,""
)</f>
        <v>Battery Defect</v>
      </c>
      <c r="O126" s="16" t="str">
        <f>IF(MacReports!I126="Service","Battery Service","")</f>
        <v/>
      </c>
      <c r="P126" s="13">
        <f>MacReports!P126</f>
        <v>0</v>
      </c>
      <c r="Q126" s="13" t="str">
        <f>IF(MacReports!J126="Enabled","Apple ID Lock","")</f>
        <v/>
      </c>
      <c r="R126" s="13" t="str">
        <f>IF(MacReports!L126="y","Remote Locked","")</f>
        <v/>
      </c>
      <c r="S126" t="str">
        <f t="shared" si="5"/>
        <v>Battery Defect, 0</v>
      </c>
      <c r="T126" t="str">
        <f>_xlfn.XLOOKUP(B126,Disk_Pivot!G:G,Disk_Pivot!I:I)</f>
        <v>Yes</v>
      </c>
      <c r="U126" t="str">
        <f>_xlfn.XLOOKUP(B126,Disk_Pivot!G:G,Disk_Pivot!N:N)</f>
        <v>Fail</v>
      </c>
      <c r="V126">
        <f>IF(U126="Fail",MacReports!N126,"")</f>
        <v>0</v>
      </c>
      <c r="AB126" t="str">
        <f t="shared" si="6"/>
        <v/>
      </c>
    </row>
    <row r="127" spans="1:28">
      <c r="A127" t="str">
        <f>MacReports!A127</f>
        <v/>
      </c>
      <c r="B127">
        <f>MacReports!B127</f>
        <v>0</v>
      </c>
      <c r="C127">
        <f>MacReports!C127</f>
        <v>0</v>
      </c>
      <c r="E127" t="e">
        <f>_xlfn.XLOOKUP(G127,Models!A:A,Models!F:F)</f>
        <v>#N/A</v>
      </c>
      <c r="F127" t="str">
        <f>_xlfn.XLOOKUP(B127,MacReports!B:B,MacReports!D:D,"")</f>
        <v/>
      </c>
      <c r="G127" s="13">
        <f>MacReports!E127</f>
        <v>0</v>
      </c>
      <c r="H127" t="e">
        <f>_xlfn.XLOOKUP(G127,Models!A:A,Models!B:B)</f>
        <v>#N/A</v>
      </c>
      <c r="I127" t="e">
        <f>_xlfn.XLOOKUP(G127,Models!A:A,Models!E:E)</f>
        <v>#N/A</v>
      </c>
      <c r="J127" t="e">
        <f>_xlfn.XLOOKUP(G127,Models!A:A,Models!D:D)</f>
        <v>#N/A</v>
      </c>
      <c r="K127">
        <f>MacReports!F127</f>
        <v>0</v>
      </c>
      <c r="L127">
        <f>MacReports!G127</f>
        <v>0</v>
      </c>
      <c r="M127" s="15" t="e" cm="1">
        <f t="array" ref="M127">--_xlfn.LET(
    _xlpm.txt, MacReports!H127,
    _xlpm.chars, MID(_xlpm.txt, _xlfn.SEQUENCE(LEN(_xlpm.txt)), 1),
    _xlfn.TEXTJOIN("", TRUE, IF(ISNUMBER(--_xlpm.chars), _xlpm.chars, ""))
)</f>
        <v>#VALUE!</v>
      </c>
      <c r="N127" s="16" t="str" cm="1">
        <f t="array" ref="N127">_xlfn.IFS(
   --MacReports!M127&lt;55,"Battery Defect",
  -- MacReports!M127&lt;=69,"Battery D",
  --MacReports!M127&lt;=80,"Battery C",
 --MacReports!M127&gt;80,""
)</f>
        <v>Battery Defect</v>
      </c>
      <c r="O127" s="16" t="str">
        <f>IF(MacReports!I127="Service","Battery Service","")</f>
        <v/>
      </c>
      <c r="P127" s="13">
        <f>MacReports!P127</f>
        <v>0</v>
      </c>
      <c r="Q127" s="13" t="str">
        <f>IF(MacReports!J127="Enabled","Apple ID Lock","")</f>
        <v/>
      </c>
      <c r="R127" s="13" t="str">
        <f>IF(MacReports!L127="y","Remote Locked","")</f>
        <v/>
      </c>
      <c r="S127" t="str">
        <f t="shared" si="5"/>
        <v>Battery Defect, 0</v>
      </c>
      <c r="T127" t="str">
        <f>_xlfn.XLOOKUP(B127,Disk_Pivot!G:G,Disk_Pivot!I:I)</f>
        <v>Yes</v>
      </c>
      <c r="U127" t="str">
        <f>_xlfn.XLOOKUP(B127,Disk_Pivot!G:G,Disk_Pivot!N:N)</f>
        <v>Fail</v>
      </c>
      <c r="V127">
        <f>IF(U127="Fail",MacReports!N127,"")</f>
        <v>0</v>
      </c>
      <c r="AB127" t="str">
        <f t="shared" si="6"/>
        <v/>
      </c>
    </row>
    <row r="128" spans="1:28">
      <c r="A128" t="str">
        <f>MacReports!A128</f>
        <v/>
      </c>
      <c r="B128">
        <f>MacReports!B128</f>
        <v>0</v>
      </c>
      <c r="C128">
        <f>MacReports!C128</f>
        <v>0</v>
      </c>
      <c r="E128" t="e">
        <f>_xlfn.XLOOKUP(G128,Models!A:A,Models!F:F)</f>
        <v>#N/A</v>
      </c>
      <c r="F128" t="str">
        <f>_xlfn.XLOOKUP(B128,MacReports!B:B,MacReports!D:D,"")</f>
        <v/>
      </c>
      <c r="G128" s="13">
        <f>MacReports!E128</f>
        <v>0</v>
      </c>
      <c r="H128" t="e">
        <f>_xlfn.XLOOKUP(G128,Models!A:A,Models!B:B)</f>
        <v>#N/A</v>
      </c>
      <c r="I128" t="e">
        <f>_xlfn.XLOOKUP(G128,Models!A:A,Models!E:E)</f>
        <v>#N/A</v>
      </c>
      <c r="J128" t="e">
        <f>_xlfn.XLOOKUP(G128,Models!A:A,Models!D:D)</f>
        <v>#N/A</v>
      </c>
      <c r="K128">
        <f>MacReports!F128</f>
        <v>0</v>
      </c>
      <c r="L128">
        <f>MacReports!G128</f>
        <v>0</v>
      </c>
      <c r="M128" s="15" t="e" cm="1">
        <f t="array" ref="M128">--_xlfn.LET(
    _xlpm.txt, MacReports!H128,
    _xlpm.chars, MID(_xlpm.txt, _xlfn.SEQUENCE(LEN(_xlpm.txt)), 1),
    _xlfn.TEXTJOIN("", TRUE, IF(ISNUMBER(--_xlpm.chars), _xlpm.chars, ""))
)</f>
        <v>#VALUE!</v>
      </c>
      <c r="N128" s="16" t="str" cm="1">
        <f t="array" ref="N128">_xlfn.IFS(
   --MacReports!M128&lt;55,"Battery Defect",
  -- MacReports!M128&lt;=69,"Battery D",
  --MacReports!M128&lt;=80,"Battery C",
 --MacReports!M128&gt;80,""
)</f>
        <v>Battery Defect</v>
      </c>
      <c r="O128" s="16" t="str">
        <f>IF(MacReports!I128="Service","Battery Service","")</f>
        <v/>
      </c>
      <c r="P128" s="13">
        <f>MacReports!P128</f>
        <v>0</v>
      </c>
      <c r="Q128" s="13" t="str">
        <f>IF(MacReports!J128="Enabled","Apple ID Lock","")</f>
        <v/>
      </c>
      <c r="R128" s="13" t="str">
        <f>IF(MacReports!L128="y","Remote Locked","")</f>
        <v/>
      </c>
      <c r="S128" t="str">
        <f t="shared" si="5"/>
        <v>Battery Defect, 0</v>
      </c>
      <c r="T128" t="str">
        <f>_xlfn.XLOOKUP(B128,Disk_Pivot!G:G,Disk_Pivot!I:I)</f>
        <v>Yes</v>
      </c>
      <c r="U128" t="str">
        <f>_xlfn.XLOOKUP(B128,Disk_Pivot!G:G,Disk_Pivot!N:N)</f>
        <v>Fail</v>
      </c>
      <c r="V128">
        <f>IF(U128="Fail",MacReports!N128,"")</f>
        <v>0</v>
      </c>
      <c r="AB128" t="str">
        <f t="shared" si="6"/>
        <v/>
      </c>
    </row>
    <row r="129" spans="1:28">
      <c r="A129" t="str">
        <f>MacReports!A129</f>
        <v/>
      </c>
      <c r="B129">
        <f>MacReports!B129</f>
        <v>0</v>
      </c>
      <c r="C129">
        <f>MacReports!C129</f>
        <v>0</v>
      </c>
      <c r="E129" t="e">
        <f>_xlfn.XLOOKUP(G129,Models!A:A,Models!F:F)</f>
        <v>#N/A</v>
      </c>
      <c r="F129" t="str">
        <f>_xlfn.XLOOKUP(B129,MacReports!B:B,MacReports!D:D,"")</f>
        <v/>
      </c>
      <c r="G129" s="13">
        <f>MacReports!E129</f>
        <v>0</v>
      </c>
      <c r="H129" t="e">
        <f>_xlfn.XLOOKUP(G129,Models!A:A,Models!B:B)</f>
        <v>#N/A</v>
      </c>
      <c r="I129" t="e">
        <f>_xlfn.XLOOKUP(G129,Models!A:A,Models!E:E)</f>
        <v>#N/A</v>
      </c>
      <c r="J129" t="e">
        <f>_xlfn.XLOOKUP(G129,Models!A:A,Models!D:D)</f>
        <v>#N/A</v>
      </c>
      <c r="K129">
        <f>MacReports!F129</f>
        <v>0</v>
      </c>
      <c r="L129">
        <f>MacReports!G129</f>
        <v>0</v>
      </c>
      <c r="M129" s="15" t="e" cm="1">
        <f t="array" ref="M129">--_xlfn.LET(
    _xlpm.txt, MacReports!H129,
    _xlpm.chars, MID(_xlpm.txt, _xlfn.SEQUENCE(LEN(_xlpm.txt)), 1),
    _xlfn.TEXTJOIN("", TRUE, IF(ISNUMBER(--_xlpm.chars), _xlpm.chars, ""))
)</f>
        <v>#VALUE!</v>
      </c>
      <c r="N129" s="16" t="str" cm="1">
        <f t="array" ref="N129">_xlfn.IFS(
   --MacReports!M129&lt;55,"Battery Defect",
  -- MacReports!M129&lt;=69,"Battery D",
  --MacReports!M129&lt;=80,"Battery C",
 --MacReports!M129&gt;80,""
)</f>
        <v>Battery Defect</v>
      </c>
      <c r="O129" s="16" t="str">
        <f>IF(MacReports!I129="Service","Battery Service","")</f>
        <v/>
      </c>
      <c r="P129" s="13">
        <f>MacReports!P129</f>
        <v>0</v>
      </c>
      <c r="Q129" s="13" t="str">
        <f>IF(MacReports!J129="Enabled","Apple ID Lock","")</f>
        <v/>
      </c>
      <c r="R129" s="13" t="str">
        <f>IF(MacReports!L129="y","Remote Locked","")</f>
        <v/>
      </c>
      <c r="S129" t="str">
        <f t="shared" si="5"/>
        <v>Battery Defect, 0</v>
      </c>
      <c r="T129" t="str">
        <f>_xlfn.XLOOKUP(B129,Disk_Pivot!G:G,Disk_Pivot!I:I)</f>
        <v>Yes</v>
      </c>
      <c r="U129" t="str">
        <f>_xlfn.XLOOKUP(B129,Disk_Pivot!G:G,Disk_Pivot!N:N)</f>
        <v>Fail</v>
      </c>
      <c r="V129">
        <f>IF(U129="Fail",MacReports!N129,"")</f>
        <v>0</v>
      </c>
      <c r="AB129" t="str">
        <f t="shared" si="6"/>
        <v/>
      </c>
    </row>
    <row r="130" spans="1:28">
      <c r="A130" t="str">
        <f>MacReports!A130</f>
        <v/>
      </c>
      <c r="B130">
        <f>MacReports!B130</f>
        <v>0</v>
      </c>
      <c r="C130">
        <f>MacReports!C130</f>
        <v>0</v>
      </c>
      <c r="E130" t="e">
        <f>_xlfn.XLOOKUP(G130,Models!A:A,Models!F:F)</f>
        <v>#N/A</v>
      </c>
      <c r="F130" t="str">
        <f>_xlfn.XLOOKUP(B130,MacReports!B:B,MacReports!D:D,"")</f>
        <v/>
      </c>
      <c r="G130" s="13">
        <f>MacReports!E130</f>
        <v>0</v>
      </c>
      <c r="H130" t="e">
        <f>_xlfn.XLOOKUP(G130,Models!A:A,Models!B:B)</f>
        <v>#N/A</v>
      </c>
      <c r="I130" t="e">
        <f>_xlfn.XLOOKUP(G130,Models!A:A,Models!E:E)</f>
        <v>#N/A</v>
      </c>
      <c r="J130" t="e">
        <f>_xlfn.XLOOKUP(G130,Models!A:A,Models!D:D)</f>
        <v>#N/A</v>
      </c>
      <c r="K130">
        <f>MacReports!F130</f>
        <v>0</v>
      </c>
      <c r="L130">
        <f>MacReports!G130</f>
        <v>0</v>
      </c>
      <c r="M130" s="15" t="e" cm="1">
        <f t="array" ref="M130">--_xlfn.LET(
    _xlpm.txt, MacReports!H130,
    _xlpm.chars, MID(_xlpm.txt, _xlfn.SEQUENCE(LEN(_xlpm.txt)), 1),
    _xlfn.TEXTJOIN("", TRUE, IF(ISNUMBER(--_xlpm.chars), _xlpm.chars, ""))
)</f>
        <v>#VALUE!</v>
      </c>
      <c r="N130" s="16" t="str" cm="1">
        <f t="array" ref="N130">_xlfn.IFS(
   --MacReports!M130&lt;55,"Battery Defect",
  -- MacReports!M130&lt;=69,"Battery D",
  --MacReports!M130&lt;=80,"Battery C",
 --MacReports!M130&gt;80,""
)</f>
        <v>Battery Defect</v>
      </c>
      <c r="O130" s="16" t="str">
        <f>IF(MacReports!I130="Service","Battery Service","")</f>
        <v/>
      </c>
      <c r="P130" s="13">
        <f>MacReports!P130</f>
        <v>0</v>
      </c>
      <c r="Q130" s="13" t="str">
        <f>IF(MacReports!J130="Enabled","Apple ID Lock","")</f>
        <v/>
      </c>
      <c r="R130" s="13" t="str">
        <f>IF(MacReports!L130="y","Remote Locked","")</f>
        <v/>
      </c>
      <c r="S130" t="str">
        <f t="shared" si="5"/>
        <v>Battery Defect, 0</v>
      </c>
      <c r="T130" t="str">
        <f>_xlfn.XLOOKUP(B130,Disk_Pivot!G:G,Disk_Pivot!I:I)</f>
        <v>Yes</v>
      </c>
      <c r="U130" t="str">
        <f>_xlfn.XLOOKUP(B130,Disk_Pivot!G:G,Disk_Pivot!N:N)</f>
        <v>Fail</v>
      </c>
      <c r="V130">
        <f>IF(U130="Fail",MacReports!N130,"")</f>
        <v>0</v>
      </c>
      <c r="AB130" t="str">
        <f t="shared" si="6"/>
        <v/>
      </c>
    </row>
    <row r="131" spans="1:28">
      <c r="A131" t="str">
        <f>MacReports!A131</f>
        <v/>
      </c>
      <c r="B131">
        <f>MacReports!B131</f>
        <v>0</v>
      </c>
      <c r="C131">
        <f>MacReports!C131</f>
        <v>0</v>
      </c>
      <c r="E131" t="e">
        <f>_xlfn.XLOOKUP(G131,Models!A:A,Models!F:F)</f>
        <v>#N/A</v>
      </c>
      <c r="F131" t="str">
        <f>_xlfn.XLOOKUP(B131,MacReports!B:B,MacReports!D:D,"")</f>
        <v/>
      </c>
      <c r="G131" s="13">
        <f>MacReports!E131</f>
        <v>0</v>
      </c>
      <c r="H131" t="e">
        <f>_xlfn.XLOOKUP(G131,Models!A:A,Models!B:B)</f>
        <v>#N/A</v>
      </c>
      <c r="I131" t="e">
        <f>_xlfn.XLOOKUP(G131,Models!A:A,Models!E:E)</f>
        <v>#N/A</v>
      </c>
      <c r="J131" t="e">
        <f>_xlfn.XLOOKUP(G131,Models!A:A,Models!D:D)</f>
        <v>#N/A</v>
      </c>
      <c r="K131">
        <f>MacReports!F131</f>
        <v>0</v>
      </c>
      <c r="L131">
        <f>MacReports!G131</f>
        <v>0</v>
      </c>
      <c r="M131" s="15" t="e" cm="1">
        <f t="array" ref="M131">--_xlfn.LET(
    _xlpm.txt, MacReports!H131,
    _xlpm.chars, MID(_xlpm.txt, _xlfn.SEQUENCE(LEN(_xlpm.txt)), 1),
    _xlfn.TEXTJOIN("", TRUE, IF(ISNUMBER(--_xlpm.chars), _xlpm.chars, ""))
)</f>
        <v>#VALUE!</v>
      </c>
      <c r="N131" s="16" t="str" cm="1">
        <f t="array" ref="N131">_xlfn.IFS(
   --MacReports!M131&lt;55,"Battery Defect",
  -- MacReports!M131&lt;=69,"Battery D",
  --MacReports!M131&lt;=80,"Battery C",
 --MacReports!M131&gt;80,""
)</f>
        <v>Battery Defect</v>
      </c>
      <c r="O131" s="16" t="str">
        <f>IF(MacReports!I131="Service","Battery Service","")</f>
        <v/>
      </c>
      <c r="P131" s="13">
        <f>MacReports!P131</f>
        <v>0</v>
      </c>
      <c r="Q131" s="13" t="str">
        <f>IF(MacReports!J131="Enabled","Apple ID Lock","")</f>
        <v/>
      </c>
      <c r="R131" s="13" t="str">
        <f>IF(MacReports!L131="y","Remote Locked","")</f>
        <v/>
      </c>
      <c r="S131" t="str">
        <f t="shared" si="5"/>
        <v>Battery Defect, 0</v>
      </c>
      <c r="T131" t="str">
        <f>_xlfn.XLOOKUP(B131,Disk_Pivot!G:G,Disk_Pivot!I:I)</f>
        <v>Yes</v>
      </c>
      <c r="U131" t="str">
        <f>_xlfn.XLOOKUP(B131,Disk_Pivot!G:G,Disk_Pivot!N:N)</f>
        <v>Fail</v>
      </c>
      <c r="V131">
        <f>IF(U131="Fail",MacReports!N131,"")</f>
        <v>0</v>
      </c>
      <c r="AB131" t="str">
        <f t="shared" si="6"/>
        <v/>
      </c>
    </row>
    <row r="132" spans="1:28">
      <c r="A132" t="str">
        <f>MacReports!A132</f>
        <v/>
      </c>
      <c r="B132">
        <f>MacReports!B132</f>
        <v>0</v>
      </c>
      <c r="C132">
        <f>MacReports!C132</f>
        <v>0</v>
      </c>
      <c r="E132" t="e">
        <f>_xlfn.XLOOKUP(G132,Models!A:A,Models!F:F)</f>
        <v>#N/A</v>
      </c>
      <c r="F132" t="str">
        <f>_xlfn.XLOOKUP(B132,MacReports!B:B,MacReports!D:D,"")</f>
        <v/>
      </c>
      <c r="G132" s="13">
        <f>MacReports!E132</f>
        <v>0</v>
      </c>
      <c r="H132" t="e">
        <f>_xlfn.XLOOKUP(G132,Models!A:A,Models!B:B)</f>
        <v>#N/A</v>
      </c>
      <c r="I132" t="e">
        <f>_xlfn.XLOOKUP(G132,Models!A:A,Models!E:E)</f>
        <v>#N/A</v>
      </c>
      <c r="J132" t="e">
        <f>_xlfn.XLOOKUP(G132,Models!A:A,Models!D:D)</f>
        <v>#N/A</v>
      </c>
      <c r="K132">
        <f>MacReports!F132</f>
        <v>0</v>
      </c>
      <c r="L132">
        <f>MacReports!G132</f>
        <v>0</v>
      </c>
      <c r="M132" s="15" t="e" cm="1">
        <f t="array" ref="M132">--_xlfn.LET(
    _xlpm.txt, MacReports!H132,
    _xlpm.chars, MID(_xlpm.txt, _xlfn.SEQUENCE(LEN(_xlpm.txt)), 1),
    _xlfn.TEXTJOIN("", TRUE, IF(ISNUMBER(--_xlpm.chars), _xlpm.chars, ""))
)</f>
        <v>#VALUE!</v>
      </c>
      <c r="N132" s="16" t="str" cm="1">
        <f t="array" ref="N132">_xlfn.IFS(
   --MacReports!M132&lt;55,"Battery Defect",
  -- MacReports!M132&lt;=69,"Battery D",
  --MacReports!M132&lt;=80,"Battery C",
 --MacReports!M132&gt;80,""
)</f>
        <v>Battery Defect</v>
      </c>
      <c r="O132" s="16" t="str">
        <f>IF(MacReports!I132="Service","Battery Service","")</f>
        <v/>
      </c>
      <c r="P132" s="13">
        <f>MacReports!P132</f>
        <v>0</v>
      </c>
      <c r="Q132" s="13" t="str">
        <f>IF(MacReports!J132="Enabled","Apple ID Lock","")</f>
        <v/>
      </c>
      <c r="R132" s="13" t="str">
        <f>IF(MacReports!L132="y","Remote Locked","")</f>
        <v/>
      </c>
      <c r="S132" t="str">
        <f t="shared" si="5"/>
        <v>Battery Defect, 0</v>
      </c>
      <c r="T132" t="str">
        <f>_xlfn.XLOOKUP(B132,Disk_Pivot!G:G,Disk_Pivot!I:I)</f>
        <v>Yes</v>
      </c>
      <c r="U132" t="str">
        <f>_xlfn.XLOOKUP(B132,Disk_Pivot!G:G,Disk_Pivot!N:N)</f>
        <v>Fail</v>
      </c>
      <c r="V132">
        <f>IF(U132="Fail",MacReports!N132,"")</f>
        <v>0</v>
      </c>
      <c r="AB132" t="str">
        <f t="shared" si="6"/>
        <v/>
      </c>
    </row>
    <row r="133" spans="1:28">
      <c r="A133" t="str">
        <f>MacReports!A133</f>
        <v/>
      </c>
      <c r="B133">
        <f>MacReports!B133</f>
        <v>0</v>
      </c>
      <c r="C133">
        <f>MacReports!C133</f>
        <v>0</v>
      </c>
      <c r="E133" t="e">
        <f>_xlfn.XLOOKUP(G133,Models!A:A,Models!F:F)</f>
        <v>#N/A</v>
      </c>
      <c r="F133" t="str">
        <f>_xlfn.XLOOKUP(B133,MacReports!B:B,MacReports!D:D,"")</f>
        <v/>
      </c>
      <c r="G133" s="13">
        <f>MacReports!E133</f>
        <v>0</v>
      </c>
      <c r="H133" t="e">
        <f>_xlfn.XLOOKUP(G133,Models!A:A,Models!B:B)</f>
        <v>#N/A</v>
      </c>
      <c r="I133" t="e">
        <f>_xlfn.XLOOKUP(G133,Models!A:A,Models!E:E)</f>
        <v>#N/A</v>
      </c>
      <c r="J133" t="e">
        <f>_xlfn.XLOOKUP(G133,Models!A:A,Models!D:D)</f>
        <v>#N/A</v>
      </c>
      <c r="K133">
        <f>MacReports!F133</f>
        <v>0</v>
      </c>
      <c r="L133">
        <f>MacReports!G133</f>
        <v>0</v>
      </c>
      <c r="M133" s="15" t="e" cm="1">
        <f t="array" ref="M133">--_xlfn.LET(
    _xlpm.txt, MacReports!H133,
    _xlpm.chars, MID(_xlpm.txt, _xlfn.SEQUENCE(LEN(_xlpm.txt)), 1),
    _xlfn.TEXTJOIN("", TRUE, IF(ISNUMBER(--_xlpm.chars), _xlpm.chars, ""))
)</f>
        <v>#VALUE!</v>
      </c>
      <c r="N133" s="16" t="str" cm="1">
        <f t="array" ref="N133">_xlfn.IFS(
   --MacReports!M133&lt;55,"Battery Defect",
  -- MacReports!M133&lt;=69,"Battery D",
  --MacReports!M133&lt;=80,"Battery C",
 --MacReports!M133&gt;80,""
)</f>
        <v>Battery Defect</v>
      </c>
      <c r="O133" s="16" t="str">
        <f>IF(MacReports!I133="Service","Battery Service","")</f>
        <v/>
      </c>
      <c r="P133" s="13">
        <f>MacReports!P133</f>
        <v>0</v>
      </c>
      <c r="Q133" s="13" t="str">
        <f>IF(MacReports!J133="Enabled","Apple ID Lock","")</f>
        <v/>
      </c>
      <c r="R133" s="13" t="str">
        <f>IF(MacReports!L133="y","Remote Locked","")</f>
        <v/>
      </c>
      <c r="S133" t="str">
        <f t="shared" si="5"/>
        <v>Battery Defect, 0</v>
      </c>
      <c r="T133" t="str">
        <f>_xlfn.XLOOKUP(B133,Disk_Pivot!G:G,Disk_Pivot!I:I)</f>
        <v>Yes</v>
      </c>
      <c r="U133" t="str">
        <f>_xlfn.XLOOKUP(B133,Disk_Pivot!G:G,Disk_Pivot!N:N)</f>
        <v>Fail</v>
      </c>
      <c r="V133">
        <f>IF(U133="Fail",MacReports!N133,"")</f>
        <v>0</v>
      </c>
      <c r="AB133" t="str">
        <f t="shared" si="6"/>
        <v/>
      </c>
    </row>
    <row r="134" spans="1:28">
      <c r="A134" t="str">
        <f>MacReports!A134</f>
        <v/>
      </c>
      <c r="B134">
        <f>MacReports!B134</f>
        <v>0</v>
      </c>
      <c r="C134">
        <f>MacReports!C134</f>
        <v>0</v>
      </c>
      <c r="E134" t="e">
        <f>_xlfn.XLOOKUP(G134,Models!A:A,Models!F:F)</f>
        <v>#N/A</v>
      </c>
      <c r="F134" t="str">
        <f>_xlfn.XLOOKUP(B134,MacReports!B:B,MacReports!D:D,"")</f>
        <v/>
      </c>
      <c r="G134" s="13">
        <f>MacReports!E134</f>
        <v>0</v>
      </c>
      <c r="H134" t="e">
        <f>_xlfn.XLOOKUP(G134,Models!A:A,Models!B:B)</f>
        <v>#N/A</v>
      </c>
      <c r="I134" t="e">
        <f>_xlfn.XLOOKUP(G134,Models!A:A,Models!E:E)</f>
        <v>#N/A</v>
      </c>
      <c r="J134" t="e">
        <f>_xlfn.XLOOKUP(G134,Models!A:A,Models!D:D)</f>
        <v>#N/A</v>
      </c>
      <c r="K134">
        <f>MacReports!F134</f>
        <v>0</v>
      </c>
      <c r="L134">
        <f>MacReports!G134</f>
        <v>0</v>
      </c>
      <c r="M134" s="15" t="e" cm="1">
        <f t="array" ref="M134">--_xlfn.LET(
    _xlpm.txt, MacReports!H134,
    _xlpm.chars, MID(_xlpm.txt, _xlfn.SEQUENCE(LEN(_xlpm.txt)), 1),
    _xlfn.TEXTJOIN("", TRUE, IF(ISNUMBER(--_xlpm.chars), _xlpm.chars, ""))
)</f>
        <v>#VALUE!</v>
      </c>
      <c r="N134" s="16" t="str" cm="1">
        <f t="array" ref="N134">_xlfn.IFS(
   --MacReports!M134&lt;55,"Battery Defect",
  -- MacReports!M134&lt;=69,"Battery D",
  --MacReports!M134&lt;=80,"Battery C",
 --MacReports!M134&gt;80,""
)</f>
        <v>Battery Defect</v>
      </c>
      <c r="O134" s="16" t="str">
        <f>IF(MacReports!I134="Service","Battery Service","")</f>
        <v/>
      </c>
      <c r="P134" s="13">
        <f>MacReports!P134</f>
        <v>0</v>
      </c>
      <c r="Q134" s="13" t="str">
        <f>IF(MacReports!J134="Enabled","Apple ID Lock","")</f>
        <v/>
      </c>
      <c r="R134" s="13" t="str">
        <f>IF(MacReports!L134="y","Remote Locked","")</f>
        <v/>
      </c>
      <c r="S134" t="str">
        <f t="shared" si="5"/>
        <v>Battery Defect, 0</v>
      </c>
      <c r="T134" t="str">
        <f>_xlfn.XLOOKUP(B134,Disk_Pivot!G:G,Disk_Pivot!I:I)</f>
        <v>Yes</v>
      </c>
      <c r="U134" t="str">
        <f>_xlfn.XLOOKUP(B134,Disk_Pivot!G:G,Disk_Pivot!N:N)</f>
        <v>Fail</v>
      </c>
      <c r="V134">
        <f>IF(U134="Fail",MacReports!N134,"")</f>
        <v>0</v>
      </c>
      <c r="AB134" t="str">
        <f t="shared" si="6"/>
        <v/>
      </c>
    </row>
    <row r="135" spans="1:28">
      <c r="A135" t="str">
        <f>MacReports!A135</f>
        <v/>
      </c>
      <c r="B135">
        <f>MacReports!B135</f>
        <v>0</v>
      </c>
      <c r="C135">
        <f>MacReports!C135</f>
        <v>0</v>
      </c>
      <c r="E135" t="e">
        <f>_xlfn.XLOOKUP(G135,Models!A:A,Models!F:F)</f>
        <v>#N/A</v>
      </c>
      <c r="F135" t="str">
        <f>_xlfn.XLOOKUP(B135,MacReports!B:B,MacReports!D:D,"")</f>
        <v/>
      </c>
      <c r="G135" s="13">
        <f>MacReports!E135</f>
        <v>0</v>
      </c>
      <c r="H135" t="e">
        <f>_xlfn.XLOOKUP(G135,Models!A:A,Models!B:B)</f>
        <v>#N/A</v>
      </c>
      <c r="I135" t="e">
        <f>_xlfn.XLOOKUP(G135,Models!A:A,Models!E:E)</f>
        <v>#N/A</v>
      </c>
      <c r="J135" t="e">
        <f>_xlfn.XLOOKUP(G135,Models!A:A,Models!D:D)</f>
        <v>#N/A</v>
      </c>
      <c r="K135">
        <f>MacReports!F135</f>
        <v>0</v>
      </c>
      <c r="L135">
        <f>MacReports!G135</f>
        <v>0</v>
      </c>
      <c r="M135" s="15" t="e" cm="1">
        <f t="array" ref="M135">--_xlfn.LET(
    _xlpm.txt, MacReports!H135,
    _xlpm.chars, MID(_xlpm.txt, _xlfn.SEQUENCE(LEN(_xlpm.txt)), 1),
    _xlfn.TEXTJOIN("", TRUE, IF(ISNUMBER(--_xlpm.chars), _xlpm.chars, ""))
)</f>
        <v>#VALUE!</v>
      </c>
      <c r="N135" s="16" t="str" cm="1">
        <f t="array" ref="N135">_xlfn.IFS(
   --MacReports!M135&lt;55,"Battery Defect",
  -- MacReports!M135&lt;=69,"Battery D",
  --MacReports!M135&lt;=80,"Battery C",
 --MacReports!M135&gt;80,""
)</f>
        <v>Battery Defect</v>
      </c>
      <c r="O135" s="16" t="str">
        <f>IF(MacReports!I135="Service","Battery Service","")</f>
        <v/>
      </c>
      <c r="P135" s="13">
        <f>MacReports!P135</f>
        <v>0</v>
      </c>
      <c r="Q135" s="13" t="str">
        <f>IF(MacReports!J135="Enabled","Apple ID Lock","")</f>
        <v/>
      </c>
      <c r="R135" s="13" t="str">
        <f>IF(MacReports!L135="y","Remote Locked","")</f>
        <v/>
      </c>
      <c r="S135" t="str">
        <f t="shared" si="5"/>
        <v>Battery Defect, 0</v>
      </c>
      <c r="T135" t="str">
        <f>_xlfn.XLOOKUP(B135,Disk_Pivot!G:G,Disk_Pivot!I:I)</f>
        <v>Yes</v>
      </c>
      <c r="U135" t="str">
        <f>_xlfn.XLOOKUP(B135,Disk_Pivot!G:G,Disk_Pivot!N:N)</f>
        <v>Fail</v>
      </c>
      <c r="V135">
        <f>IF(U135="Fail",MacReports!N135,"")</f>
        <v>0</v>
      </c>
      <c r="AB135" t="str">
        <f t="shared" si="6"/>
        <v/>
      </c>
    </row>
    <row r="136" spans="1:28">
      <c r="A136" t="str">
        <f>MacReports!A136</f>
        <v/>
      </c>
      <c r="B136">
        <f>MacReports!B136</f>
        <v>0</v>
      </c>
      <c r="C136">
        <f>MacReports!C136</f>
        <v>0</v>
      </c>
      <c r="E136" t="e">
        <f>_xlfn.XLOOKUP(G136,Models!A:A,Models!F:F)</f>
        <v>#N/A</v>
      </c>
      <c r="F136" t="str">
        <f>_xlfn.XLOOKUP(B136,MacReports!B:B,MacReports!D:D,"")</f>
        <v/>
      </c>
      <c r="G136" s="13">
        <f>MacReports!E136</f>
        <v>0</v>
      </c>
      <c r="H136" t="e">
        <f>_xlfn.XLOOKUP(G136,Models!A:A,Models!B:B)</f>
        <v>#N/A</v>
      </c>
      <c r="I136" t="e">
        <f>_xlfn.XLOOKUP(G136,Models!A:A,Models!E:E)</f>
        <v>#N/A</v>
      </c>
      <c r="J136" t="e">
        <f>_xlfn.XLOOKUP(G136,Models!A:A,Models!D:D)</f>
        <v>#N/A</v>
      </c>
      <c r="K136">
        <f>MacReports!F136</f>
        <v>0</v>
      </c>
      <c r="L136">
        <f>MacReports!G136</f>
        <v>0</v>
      </c>
      <c r="M136" s="15" t="e" cm="1">
        <f t="array" ref="M136">--_xlfn.LET(
    _xlpm.txt, MacReports!H136,
    _xlpm.chars, MID(_xlpm.txt, _xlfn.SEQUENCE(LEN(_xlpm.txt)), 1),
    _xlfn.TEXTJOIN("", TRUE, IF(ISNUMBER(--_xlpm.chars), _xlpm.chars, ""))
)</f>
        <v>#VALUE!</v>
      </c>
      <c r="N136" s="16" t="str" cm="1">
        <f t="array" ref="N136">_xlfn.IFS(
   --MacReports!M136&lt;55,"Battery Defect",
  -- MacReports!M136&lt;=69,"Battery D",
  --MacReports!M136&lt;=80,"Battery C",
 --MacReports!M136&gt;80,""
)</f>
        <v>Battery Defect</v>
      </c>
      <c r="O136" s="16" t="str">
        <f>IF(MacReports!I136="Service","Battery Service","")</f>
        <v/>
      </c>
      <c r="P136" s="13">
        <f>MacReports!P136</f>
        <v>0</v>
      </c>
      <c r="Q136" s="13" t="str">
        <f>IF(MacReports!J136="Enabled","Apple ID Lock","")</f>
        <v/>
      </c>
      <c r="R136" s="13" t="str">
        <f>IF(MacReports!L136="y","Remote Locked","")</f>
        <v/>
      </c>
      <c r="S136" t="str">
        <f t="shared" si="5"/>
        <v>Battery Defect, 0</v>
      </c>
      <c r="T136" t="str">
        <f>_xlfn.XLOOKUP(B136,Disk_Pivot!G:G,Disk_Pivot!I:I)</f>
        <v>Yes</v>
      </c>
      <c r="U136" t="str">
        <f>_xlfn.XLOOKUP(B136,Disk_Pivot!G:G,Disk_Pivot!N:N)</f>
        <v>Fail</v>
      </c>
      <c r="V136">
        <f>IF(U136="Fail",MacReports!N136,"")</f>
        <v>0</v>
      </c>
      <c r="AB136" t="str">
        <f t="shared" si="6"/>
        <v/>
      </c>
    </row>
    <row r="137" spans="1:28">
      <c r="A137" t="str">
        <f>MacReports!A137</f>
        <v/>
      </c>
      <c r="B137">
        <f>MacReports!B137</f>
        <v>0</v>
      </c>
      <c r="C137">
        <f>MacReports!C137</f>
        <v>0</v>
      </c>
      <c r="E137" t="e">
        <f>_xlfn.XLOOKUP(G137,Models!A:A,Models!F:F)</f>
        <v>#N/A</v>
      </c>
      <c r="F137" t="str">
        <f>_xlfn.XLOOKUP(B137,MacReports!B:B,MacReports!D:D,"")</f>
        <v/>
      </c>
      <c r="G137" s="13">
        <f>MacReports!E137</f>
        <v>0</v>
      </c>
      <c r="H137" t="e">
        <f>_xlfn.XLOOKUP(G137,Models!A:A,Models!B:B)</f>
        <v>#N/A</v>
      </c>
      <c r="I137" t="e">
        <f>_xlfn.XLOOKUP(G137,Models!A:A,Models!E:E)</f>
        <v>#N/A</v>
      </c>
      <c r="J137" t="e">
        <f>_xlfn.XLOOKUP(G137,Models!A:A,Models!D:D)</f>
        <v>#N/A</v>
      </c>
      <c r="K137">
        <f>MacReports!F137</f>
        <v>0</v>
      </c>
      <c r="L137">
        <f>MacReports!G137</f>
        <v>0</v>
      </c>
      <c r="M137" s="15" t="e" cm="1">
        <f t="array" ref="M137">--_xlfn.LET(
    _xlpm.txt, MacReports!H137,
    _xlpm.chars, MID(_xlpm.txt, _xlfn.SEQUENCE(LEN(_xlpm.txt)), 1),
    _xlfn.TEXTJOIN("", TRUE, IF(ISNUMBER(--_xlpm.chars), _xlpm.chars, ""))
)</f>
        <v>#VALUE!</v>
      </c>
      <c r="N137" s="16" t="str" cm="1">
        <f t="array" ref="N137">_xlfn.IFS(
   --MacReports!M137&lt;55,"Battery Defect",
  -- MacReports!M137&lt;=69,"Battery D",
  --MacReports!M137&lt;=80,"Battery C",
 --MacReports!M137&gt;80,""
)</f>
        <v>Battery Defect</v>
      </c>
      <c r="O137" s="16" t="str">
        <f>IF(MacReports!I137="Service","Battery Service","")</f>
        <v/>
      </c>
      <c r="P137" s="13">
        <f>MacReports!P137</f>
        <v>0</v>
      </c>
      <c r="Q137" s="13" t="str">
        <f>IF(MacReports!J137="Enabled","Apple ID Lock","")</f>
        <v/>
      </c>
      <c r="R137" s="13" t="str">
        <f>IF(MacReports!L137="y","Remote Locked","")</f>
        <v/>
      </c>
      <c r="S137" t="str">
        <f t="shared" si="5"/>
        <v>Battery Defect, 0</v>
      </c>
      <c r="T137" t="str">
        <f>_xlfn.XLOOKUP(B137,Disk_Pivot!G:G,Disk_Pivot!I:I)</f>
        <v>Yes</v>
      </c>
      <c r="U137" t="str">
        <f>_xlfn.XLOOKUP(B137,Disk_Pivot!G:G,Disk_Pivot!N:N)</f>
        <v>Fail</v>
      </c>
      <c r="V137">
        <f>IF(U137="Fail",MacReports!N137,"")</f>
        <v>0</v>
      </c>
      <c r="AB137" t="str">
        <f t="shared" si="6"/>
        <v/>
      </c>
    </row>
    <row r="138" spans="1:28">
      <c r="A138" t="str">
        <f>MacReports!A138</f>
        <v/>
      </c>
      <c r="B138">
        <f>MacReports!B138</f>
        <v>0</v>
      </c>
      <c r="C138">
        <f>MacReports!C138</f>
        <v>0</v>
      </c>
      <c r="E138" t="e">
        <f>_xlfn.XLOOKUP(G138,Models!A:A,Models!F:F)</f>
        <v>#N/A</v>
      </c>
      <c r="F138" t="str">
        <f>_xlfn.XLOOKUP(B138,MacReports!B:B,MacReports!D:D,"")</f>
        <v/>
      </c>
      <c r="G138" s="13">
        <f>MacReports!E138</f>
        <v>0</v>
      </c>
      <c r="H138" t="e">
        <f>_xlfn.XLOOKUP(G138,Models!A:A,Models!B:B)</f>
        <v>#N/A</v>
      </c>
      <c r="I138" t="e">
        <f>_xlfn.XLOOKUP(G138,Models!A:A,Models!E:E)</f>
        <v>#N/A</v>
      </c>
      <c r="J138" t="e">
        <f>_xlfn.XLOOKUP(G138,Models!A:A,Models!D:D)</f>
        <v>#N/A</v>
      </c>
      <c r="K138">
        <f>MacReports!F138</f>
        <v>0</v>
      </c>
      <c r="L138">
        <f>MacReports!G138</f>
        <v>0</v>
      </c>
      <c r="M138" s="15" t="e" cm="1">
        <f t="array" ref="M138">--_xlfn.LET(
    _xlpm.txt, MacReports!H138,
    _xlpm.chars, MID(_xlpm.txt, _xlfn.SEQUENCE(LEN(_xlpm.txt)), 1),
    _xlfn.TEXTJOIN("", TRUE, IF(ISNUMBER(--_xlpm.chars), _xlpm.chars, ""))
)</f>
        <v>#VALUE!</v>
      </c>
      <c r="N138" s="16" t="str" cm="1">
        <f t="array" ref="N138">_xlfn.IFS(
   --MacReports!M138&lt;55,"Battery Defect",
  -- MacReports!M138&lt;=69,"Battery D",
  --MacReports!M138&lt;=80,"Battery C",
 --MacReports!M138&gt;80,""
)</f>
        <v>Battery Defect</v>
      </c>
      <c r="O138" s="16" t="str">
        <f>IF(MacReports!I138="Service","Battery Service","")</f>
        <v/>
      </c>
      <c r="P138" s="13">
        <f>MacReports!P138</f>
        <v>0</v>
      </c>
      <c r="Q138" s="13" t="str">
        <f>IF(MacReports!J138="Enabled","Apple ID Lock","")</f>
        <v/>
      </c>
      <c r="R138" s="13" t="str">
        <f>IF(MacReports!L138="y","Remote Locked","")</f>
        <v/>
      </c>
      <c r="S138" t="str">
        <f t="shared" si="5"/>
        <v>Battery Defect, 0</v>
      </c>
      <c r="T138" t="str">
        <f>_xlfn.XLOOKUP(B138,Disk_Pivot!G:G,Disk_Pivot!I:I)</f>
        <v>Yes</v>
      </c>
      <c r="U138" t="str">
        <f>_xlfn.XLOOKUP(B138,Disk_Pivot!G:G,Disk_Pivot!N:N)</f>
        <v>Fail</v>
      </c>
      <c r="V138">
        <f>IF(U138="Fail",MacReports!N138,"")</f>
        <v>0</v>
      </c>
      <c r="AB138" t="str">
        <f t="shared" si="6"/>
        <v/>
      </c>
    </row>
    <row r="139" spans="1:28">
      <c r="A139" t="str">
        <f>MacReports!A139</f>
        <v/>
      </c>
      <c r="B139">
        <f>MacReports!B139</f>
        <v>0</v>
      </c>
      <c r="C139">
        <f>MacReports!C139</f>
        <v>0</v>
      </c>
      <c r="E139" t="e">
        <f>_xlfn.XLOOKUP(G139,Models!A:A,Models!F:F)</f>
        <v>#N/A</v>
      </c>
      <c r="F139" t="str">
        <f>_xlfn.XLOOKUP(B139,MacReports!B:B,MacReports!D:D,"")</f>
        <v/>
      </c>
      <c r="G139" s="13">
        <f>MacReports!E139</f>
        <v>0</v>
      </c>
      <c r="H139" t="e">
        <f>_xlfn.XLOOKUP(G139,Models!A:A,Models!B:B)</f>
        <v>#N/A</v>
      </c>
      <c r="I139" t="e">
        <f>_xlfn.XLOOKUP(G139,Models!A:A,Models!E:E)</f>
        <v>#N/A</v>
      </c>
      <c r="J139" t="e">
        <f>_xlfn.XLOOKUP(G139,Models!A:A,Models!D:D)</f>
        <v>#N/A</v>
      </c>
      <c r="K139">
        <f>MacReports!F139</f>
        <v>0</v>
      </c>
      <c r="L139">
        <f>MacReports!G139</f>
        <v>0</v>
      </c>
      <c r="M139" s="15" t="e" cm="1">
        <f t="array" ref="M139">--_xlfn.LET(
    _xlpm.txt, MacReports!H139,
    _xlpm.chars, MID(_xlpm.txt, _xlfn.SEQUENCE(LEN(_xlpm.txt)), 1),
    _xlfn.TEXTJOIN("", TRUE, IF(ISNUMBER(--_xlpm.chars), _xlpm.chars, ""))
)</f>
        <v>#VALUE!</v>
      </c>
      <c r="N139" s="16" t="str" cm="1">
        <f t="array" ref="N139">_xlfn.IFS(
   --MacReports!M139&lt;55,"Battery Defect",
  -- MacReports!M139&lt;=69,"Battery D",
  --MacReports!M139&lt;=80,"Battery C",
 --MacReports!M139&gt;80,""
)</f>
        <v>Battery Defect</v>
      </c>
      <c r="O139" s="16" t="str">
        <f>IF(MacReports!I139="Service","Battery Service","")</f>
        <v/>
      </c>
      <c r="P139" s="13">
        <f>MacReports!P139</f>
        <v>0</v>
      </c>
      <c r="Q139" s="13" t="str">
        <f>IF(MacReports!J139="Enabled","Apple ID Lock","")</f>
        <v/>
      </c>
      <c r="R139" s="13" t="str">
        <f>IF(MacReports!L139="y","Remote Locked","")</f>
        <v/>
      </c>
      <c r="S139" t="str">
        <f t="shared" si="5"/>
        <v>Battery Defect, 0</v>
      </c>
      <c r="T139" t="str">
        <f>_xlfn.XLOOKUP(B139,Disk_Pivot!G:G,Disk_Pivot!I:I)</f>
        <v>Yes</v>
      </c>
      <c r="U139" t="str">
        <f>_xlfn.XLOOKUP(B139,Disk_Pivot!G:G,Disk_Pivot!N:N)</f>
        <v>Fail</v>
      </c>
      <c r="V139">
        <f>IF(U139="Fail",MacReports!N139,"")</f>
        <v>0</v>
      </c>
      <c r="AB139" t="str">
        <f t="shared" si="6"/>
        <v/>
      </c>
    </row>
    <row r="140" spans="1:28">
      <c r="A140" t="str">
        <f>MacReports!A140</f>
        <v/>
      </c>
      <c r="B140">
        <f>MacReports!B140</f>
        <v>0</v>
      </c>
      <c r="C140">
        <f>MacReports!C140</f>
        <v>0</v>
      </c>
      <c r="E140" t="e">
        <f>_xlfn.XLOOKUP(G140,Models!A:A,Models!F:F)</f>
        <v>#N/A</v>
      </c>
      <c r="F140" t="str">
        <f>_xlfn.XLOOKUP(B140,MacReports!B:B,MacReports!D:D,"")</f>
        <v/>
      </c>
      <c r="G140" s="13">
        <f>MacReports!E140</f>
        <v>0</v>
      </c>
      <c r="H140" t="e">
        <f>_xlfn.XLOOKUP(G140,Models!A:A,Models!B:B)</f>
        <v>#N/A</v>
      </c>
      <c r="I140" t="e">
        <f>_xlfn.XLOOKUP(G140,Models!A:A,Models!E:E)</f>
        <v>#N/A</v>
      </c>
      <c r="J140" t="e">
        <f>_xlfn.XLOOKUP(G140,Models!A:A,Models!D:D)</f>
        <v>#N/A</v>
      </c>
      <c r="K140">
        <f>MacReports!F140</f>
        <v>0</v>
      </c>
      <c r="L140">
        <f>MacReports!G140</f>
        <v>0</v>
      </c>
      <c r="M140" s="15" t="e" cm="1">
        <f t="array" ref="M140">--_xlfn.LET(
    _xlpm.txt, MacReports!H140,
    _xlpm.chars, MID(_xlpm.txt, _xlfn.SEQUENCE(LEN(_xlpm.txt)), 1),
    _xlfn.TEXTJOIN("", TRUE, IF(ISNUMBER(--_xlpm.chars), _xlpm.chars, ""))
)</f>
        <v>#VALUE!</v>
      </c>
      <c r="N140" s="16" t="str" cm="1">
        <f t="array" ref="N140">_xlfn.IFS(
   --MacReports!M140&lt;55,"Battery Defect",
  -- MacReports!M140&lt;=69,"Battery D",
  --MacReports!M140&lt;=80,"Battery C",
 --MacReports!M140&gt;80,""
)</f>
        <v>Battery Defect</v>
      </c>
      <c r="O140" s="16" t="str">
        <f>IF(MacReports!I140="Service","Battery Service","")</f>
        <v/>
      </c>
      <c r="P140" s="13">
        <f>MacReports!P140</f>
        <v>0</v>
      </c>
      <c r="Q140" s="13" t="str">
        <f>IF(MacReports!J140="Enabled","Apple ID Lock","")</f>
        <v/>
      </c>
      <c r="R140" s="13" t="str">
        <f>IF(MacReports!L140="y","Remote Locked","")</f>
        <v/>
      </c>
      <c r="S140" t="str">
        <f t="shared" si="5"/>
        <v>Battery Defect, 0</v>
      </c>
      <c r="T140" t="str">
        <f>_xlfn.XLOOKUP(B140,Disk_Pivot!G:G,Disk_Pivot!I:I)</f>
        <v>Yes</v>
      </c>
      <c r="U140" t="str">
        <f>_xlfn.XLOOKUP(B140,Disk_Pivot!G:G,Disk_Pivot!N:N)</f>
        <v>Fail</v>
      </c>
      <c r="V140">
        <f>IF(U140="Fail",MacReports!N140,"")</f>
        <v>0</v>
      </c>
      <c r="AB140" t="str">
        <f t="shared" si="6"/>
        <v/>
      </c>
    </row>
    <row r="141" spans="1:28">
      <c r="A141" t="str">
        <f>MacReports!A141</f>
        <v/>
      </c>
      <c r="B141">
        <f>MacReports!B141</f>
        <v>0</v>
      </c>
      <c r="C141">
        <f>MacReports!C141</f>
        <v>0</v>
      </c>
      <c r="E141" t="e">
        <f>_xlfn.XLOOKUP(G141,Models!A:A,Models!F:F)</f>
        <v>#N/A</v>
      </c>
      <c r="F141" t="str">
        <f>_xlfn.XLOOKUP(B141,MacReports!B:B,MacReports!D:D,"")</f>
        <v/>
      </c>
      <c r="G141" s="13">
        <f>MacReports!E141</f>
        <v>0</v>
      </c>
      <c r="H141" t="e">
        <f>_xlfn.XLOOKUP(G141,Models!A:A,Models!B:B)</f>
        <v>#N/A</v>
      </c>
      <c r="I141" t="e">
        <f>_xlfn.XLOOKUP(G141,Models!A:A,Models!E:E)</f>
        <v>#N/A</v>
      </c>
      <c r="J141" t="e">
        <f>_xlfn.XLOOKUP(G141,Models!A:A,Models!D:D)</f>
        <v>#N/A</v>
      </c>
      <c r="K141">
        <f>MacReports!F141</f>
        <v>0</v>
      </c>
      <c r="L141">
        <f>MacReports!G141</f>
        <v>0</v>
      </c>
      <c r="M141" s="15" t="e" cm="1">
        <f t="array" ref="M141">--_xlfn.LET(
    _xlpm.txt, MacReports!H141,
    _xlpm.chars, MID(_xlpm.txt, _xlfn.SEQUENCE(LEN(_xlpm.txt)), 1),
    _xlfn.TEXTJOIN("", TRUE, IF(ISNUMBER(--_xlpm.chars), _xlpm.chars, ""))
)</f>
        <v>#VALUE!</v>
      </c>
      <c r="N141" s="16" t="str" cm="1">
        <f t="array" ref="N141">_xlfn.IFS(
   --MacReports!M141&lt;55,"Battery Defect",
  -- MacReports!M141&lt;=69,"Battery D",
  --MacReports!M141&lt;=80,"Battery C",
 --MacReports!M141&gt;80,""
)</f>
        <v>Battery Defect</v>
      </c>
      <c r="O141" s="16" t="str">
        <f>IF(MacReports!I141="Service","Battery Service","")</f>
        <v/>
      </c>
      <c r="P141" s="13">
        <f>MacReports!P141</f>
        <v>0</v>
      </c>
      <c r="Q141" s="13" t="str">
        <f>IF(MacReports!J141="Enabled","Apple ID Lock","")</f>
        <v/>
      </c>
      <c r="R141" s="13" t="str">
        <f>IF(MacReports!L141="y","Remote Locked","")</f>
        <v/>
      </c>
      <c r="S141" t="str">
        <f t="shared" si="5"/>
        <v>Battery Defect, 0</v>
      </c>
      <c r="T141" t="str">
        <f>_xlfn.XLOOKUP(B141,Disk_Pivot!G:G,Disk_Pivot!I:I)</f>
        <v>Yes</v>
      </c>
      <c r="U141" t="str">
        <f>_xlfn.XLOOKUP(B141,Disk_Pivot!G:G,Disk_Pivot!N:N)</f>
        <v>Fail</v>
      </c>
      <c r="V141">
        <f>IF(U141="Fail",MacReports!N141,"")</f>
        <v>0</v>
      </c>
      <c r="AB141" t="str">
        <f t="shared" si="6"/>
        <v/>
      </c>
    </row>
    <row r="142" spans="1:28">
      <c r="A142" t="str">
        <f>MacReports!A142</f>
        <v/>
      </c>
      <c r="B142">
        <f>MacReports!B142</f>
        <v>0</v>
      </c>
      <c r="C142">
        <f>MacReports!C142</f>
        <v>0</v>
      </c>
      <c r="E142" t="e">
        <f>_xlfn.XLOOKUP(G142,Models!A:A,Models!F:F)</f>
        <v>#N/A</v>
      </c>
      <c r="F142" t="str">
        <f>_xlfn.XLOOKUP(B142,MacReports!B:B,MacReports!D:D,"")</f>
        <v/>
      </c>
      <c r="G142" s="13">
        <f>MacReports!E142</f>
        <v>0</v>
      </c>
      <c r="H142" t="e">
        <f>_xlfn.XLOOKUP(G142,Models!A:A,Models!B:B)</f>
        <v>#N/A</v>
      </c>
      <c r="I142" t="e">
        <f>_xlfn.XLOOKUP(G142,Models!A:A,Models!E:E)</f>
        <v>#N/A</v>
      </c>
      <c r="J142" t="e">
        <f>_xlfn.XLOOKUP(G142,Models!A:A,Models!D:D)</f>
        <v>#N/A</v>
      </c>
      <c r="K142">
        <f>MacReports!F142</f>
        <v>0</v>
      </c>
      <c r="L142">
        <f>MacReports!G142</f>
        <v>0</v>
      </c>
      <c r="M142" s="15" t="e" cm="1">
        <f t="array" ref="M142">--_xlfn.LET(
    _xlpm.txt, MacReports!H142,
    _xlpm.chars, MID(_xlpm.txt, _xlfn.SEQUENCE(LEN(_xlpm.txt)), 1),
    _xlfn.TEXTJOIN("", TRUE, IF(ISNUMBER(--_xlpm.chars), _xlpm.chars, ""))
)</f>
        <v>#VALUE!</v>
      </c>
      <c r="N142" s="16" t="str" cm="1">
        <f t="array" ref="N142">_xlfn.IFS(
   --MacReports!M142&lt;55,"Battery Defect",
  -- MacReports!M142&lt;=69,"Battery D",
  --MacReports!M142&lt;=80,"Battery C",
 --MacReports!M142&gt;80,""
)</f>
        <v>Battery Defect</v>
      </c>
      <c r="O142" s="16" t="str">
        <f>IF(MacReports!I142="Service","Battery Service","")</f>
        <v/>
      </c>
      <c r="P142" s="13">
        <f>MacReports!P142</f>
        <v>0</v>
      </c>
      <c r="Q142" s="13" t="str">
        <f>IF(MacReports!J142="Enabled","Apple ID Lock","")</f>
        <v/>
      </c>
      <c r="R142" s="13" t="str">
        <f>IF(MacReports!L142="y","Remote Locked","")</f>
        <v/>
      </c>
      <c r="S142" t="str">
        <f t="shared" si="5"/>
        <v>Battery Defect, 0</v>
      </c>
      <c r="T142" t="str">
        <f>_xlfn.XLOOKUP(B142,Disk_Pivot!G:G,Disk_Pivot!I:I)</f>
        <v>Yes</v>
      </c>
      <c r="U142" t="str">
        <f>_xlfn.XLOOKUP(B142,Disk_Pivot!G:G,Disk_Pivot!N:N)</f>
        <v>Fail</v>
      </c>
      <c r="V142">
        <f>IF(U142="Fail",MacReports!N142,"")</f>
        <v>0</v>
      </c>
      <c r="AB142" t="str">
        <f t="shared" si="6"/>
        <v/>
      </c>
    </row>
    <row r="143" spans="1:28">
      <c r="A143" t="str">
        <f>MacReports!A143</f>
        <v/>
      </c>
      <c r="B143">
        <f>MacReports!B143</f>
        <v>0</v>
      </c>
      <c r="C143">
        <f>MacReports!C143</f>
        <v>0</v>
      </c>
      <c r="E143" t="e">
        <f>_xlfn.XLOOKUP(G143,Models!A:A,Models!F:F)</f>
        <v>#N/A</v>
      </c>
      <c r="F143" t="str">
        <f>_xlfn.XLOOKUP(B143,MacReports!B:B,MacReports!D:D,"")</f>
        <v/>
      </c>
      <c r="G143" s="13">
        <f>MacReports!E143</f>
        <v>0</v>
      </c>
      <c r="H143" t="e">
        <f>_xlfn.XLOOKUP(G143,Models!A:A,Models!B:B)</f>
        <v>#N/A</v>
      </c>
      <c r="I143" t="e">
        <f>_xlfn.XLOOKUP(G143,Models!A:A,Models!E:E)</f>
        <v>#N/A</v>
      </c>
      <c r="J143" t="e">
        <f>_xlfn.XLOOKUP(G143,Models!A:A,Models!D:D)</f>
        <v>#N/A</v>
      </c>
      <c r="K143">
        <f>MacReports!F143</f>
        <v>0</v>
      </c>
      <c r="L143">
        <f>MacReports!G143</f>
        <v>0</v>
      </c>
      <c r="M143" s="15" t="e" cm="1">
        <f t="array" ref="M143">--_xlfn.LET(
    _xlpm.txt, MacReports!H143,
    _xlpm.chars, MID(_xlpm.txt, _xlfn.SEQUENCE(LEN(_xlpm.txt)), 1),
    _xlfn.TEXTJOIN("", TRUE, IF(ISNUMBER(--_xlpm.chars), _xlpm.chars, ""))
)</f>
        <v>#VALUE!</v>
      </c>
      <c r="N143" s="16" t="str" cm="1">
        <f t="array" ref="N143">_xlfn.IFS(
   --MacReports!M143&lt;55,"Battery Defect",
  -- MacReports!M143&lt;=69,"Battery D",
  --MacReports!M143&lt;=80,"Battery C",
 --MacReports!M143&gt;80,""
)</f>
        <v>Battery Defect</v>
      </c>
      <c r="O143" s="16" t="str">
        <f>IF(MacReports!I143="Service","Battery Service","")</f>
        <v/>
      </c>
      <c r="P143" s="13">
        <f>MacReports!P143</f>
        <v>0</v>
      </c>
      <c r="Q143" s="13" t="str">
        <f>IF(MacReports!J143="Enabled","Apple ID Lock","")</f>
        <v/>
      </c>
      <c r="R143" s="13" t="str">
        <f>IF(MacReports!L143="y","Remote Locked","")</f>
        <v/>
      </c>
      <c r="S143" t="str">
        <f t="shared" si="5"/>
        <v>Battery Defect, 0</v>
      </c>
      <c r="T143" t="str">
        <f>_xlfn.XLOOKUP(B143,Disk_Pivot!G:G,Disk_Pivot!I:I)</f>
        <v>Yes</v>
      </c>
      <c r="U143" t="str">
        <f>_xlfn.XLOOKUP(B143,Disk_Pivot!G:G,Disk_Pivot!N:N)</f>
        <v>Fail</v>
      </c>
      <c r="V143">
        <f>IF(U143="Fail",MacReports!N143,"")</f>
        <v>0</v>
      </c>
      <c r="AB143" t="str">
        <f t="shared" si="6"/>
        <v/>
      </c>
    </row>
    <row r="144" spans="1:28">
      <c r="A144" t="str">
        <f>MacReports!A144</f>
        <v/>
      </c>
      <c r="B144">
        <f>MacReports!B144</f>
        <v>0</v>
      </c>
      <c r="C144">
        <f>MacReports!C144</f>
        <v>0</v>
      </c>
      <c r="E144" t="e">
        <f>_xlfn.XLOOKUP(G144,Models!A:A,Models!F:F)</f>
        <v>#N/A</v>
      </c>
      <c r="F144" t="str">
        <f>_xlfn.XLOOKUP(B144,MacReports!B:B,MacReports!D:D,"")</f>
        <v/>
      </c>
      <c r="G144" s="13">
        <f>MacReports!E144</f>
        <v>0</v>
      </c>
      <c r="H144" t="e">
        <f>_xlfn.XLOOKUP(G144,Models!A:A,Models!B:B)</f>
        <v>#N/A</v>
      </c>
      <c r="I144" t="e">
        <f>_xlfn.XLOOKUP(G144,Models!A:A,Models!E:E)</f>
        <v>#N/A</v>
      </c>
      <c r="J144" t="e">
        <f>_xlfn.XLOOKUP(G144,Models!A:A,Models!D:D)</f>
        <v>#N/A</v>
      </c>
      <c r="K144">
        <f>MacReports!F144</f>
        <v>0</v>
      </c>
      <c r="L144">
        <f>MacReports!G144</f>
        <v>0</v>
      </c>
      <c r="M144" s="15" t="e" cm="1">
        <f t="array" ref="M144">--_xlfn.LET(
    _xlpm.txt, MacReports!H144,
    _xlpm.chars, MID(_xlpm.txt, _xlfn.SEQUENCE(LEN(_xlpm.txt)), 1),
    _xlfn.TEXTJOIN("", TRUE, IF(ISNUMBER(--_xlpm.chars), _xlpm.chars, ""))
)</f>
        <v>#VALUE!</v>
      </c>
      <c r="N144" s="16" t="str" cm="1">
        <f t="array" ref="N144">_xlfn.IFS(
   --MacReports!M144&lt;55,"Battery Defect",
  -- MacReports!M144&lt;=69,"Battery D",
  --MacReports!M144&lt;=80,"Battery C",
 --MacReports!M144&gt;80,""
)</f>
        <v>Battery Defect</v>
      </c>
      <c r="O144" s="16" t="str">
        <f>IF(MacReports!I144="Service","Battery Service","")</f>
        <v/>
      </c>
      <c r="P144" s="13">
        <f>MacReports!P144</f>
        <v>0</v>
      </c>
      <c r="Q144" s="13" t="str">
        <f>IF(MacReports!J144="Enabled","Apple ID Lock","")</f>
        <v/>
      </c>
      <c r="R144" s="13" t="str">
        <f>IF(MacReports!L144="y","Remote Locked","")</f>
        <v/>
      </c>
      <c r="S144" t="str">
        <f t="shared" si="5"/>
        <v>Battery Defect, 0</v>
      </c>
      <c r="T144" t="str">
        <f>_xlfn.XLOOKUP(B144,Disk_Pivot!G:G,Disk_Pivot!I:I)</f>
        <v>Yes</v>
      </c>
      <c r="U144" t="str">
        <f>_xlfn.XLOOKUP(B144,Disk_Pivot!G:G,Disk_Pivot!N:N)</f>
        <v>Fail</v>
      </c>
      <c r="V144">
        <f>IF(U144="Fail",MacReports!N144,"")</f>
        <v>0</v>
      </c>
      <c r="AB144" t="str">
        <f t="shared" si="6"/>
        <v/>
      </c>
    </row>
    <row r="145" spans="1:28">
      <c r="A145" t="str">
        <f>MacReports!A145</f>
        <v/>
      </c>
      <c r="B145">
        <f>MacReports!B145</f>
        <v>0</v>
      </c>
      <c r="C145">
        <f>MacReports!C145</f>
        <v>0</v>
      </c>
      <c r="E145" t="e">
        <f>_xlfn.XLOOKUP(G145,Models!A:A,Models!F:F)</f>
        <v>#N/A</v>
      </c>
      <c r="F145" t="str">
        <f>_xlfn.XLOOKUP(B145,MacReports!B:B,MacReports!D:D,"")</f>
        <v/>
      </c>
      <c r="G145" s="13">
        <f>MacReports!E145</f>
        <v>0</v>
      </c>
      <c r="H145" t="e">
        <f>_xlfn.XLOOKUP(G145,Models!A:A,Models!B:B)</f>
        <v>#N/A</v>
      </c>
      <c r="I145" t="e">
        <f>_xlfn.XLOOKUP(G145,Models!A:A,Models!E:E)</f>
        <v>#N/A</v>
      </c>
      <c r="J145" t="e">
        <f>_xlfn.XLOOKUP(G145,Models!A:A,Models!D:D)</f>
        <v>#N/A</v>
      </c>
      <c r="K145">
        <f>MacReports!F145</f>
        <v>0</v>
      </c>
      <c r="L145">
        <f>MacReports!G145</f>
        <v>0</v>
      </c>
      <c r="M145" s="15" t="e" cm="1">
        <f t="array" ref="M145">--_xlfn.LET(
    _xlpm.txt, MacReports!H145,
    _xlpm.chars, MID(_xlpm.txt, _xlfn.SEQUENCE(LEN(_xlpm.txt)), 1),
    _xlfn.TEXTJOIN("", TRUE, IF(ISNUMBER(--_xlpm.chars), _xlpm.chars, ""))
)</f>
        <v>#VALUE!</v>
      </c>
      <c r="N145" s="16" t="str" cm="1">
        <f t="array" ref="N145">_xlfn.IFS(
   --MacReports!M145&lt;55,"Battery Defect",
  -- MacReports!M145&lt;=69,"Battery D",
  --MacReports!M145&lt;=80,"Battery C",
 --MacReports!M145&gt;80,""
)</f>
        <v>Battery Defect</v>
      </c>
      <c r="O145" s="16" t="str">
        <f>IF(MacReports!I145="Service","Battery Service","")</f>
        <v/>
      </c>
      <c r="P145" s="13">
        <f>MacReports!P145</f>
        <v>0</v>
      </c>
      <c r="Q145" s="13" t="str">
        <f>IF(MacReports!J145="Enabled","Apple ID Lock","")</f>
        <v/>
      </c>
      <c r="R145" s="13" t="str">
        <f>IF(MacReports!L145="y","Remote Locked","")</f>
        <v/>
      </c>
      <c r="S145" t="str">
        <f t="shared" si="5"/>
        <v>Battery Defect, 0</v>
      </c>
      <c r="T145" t="str">
        <f>_xlfn.XLOOKUP(B145,Disk_Pivot!G:G,Disk_Pivot!I:I)</f>
        <v>Yes</v>
      </c>
      <c r="U145" t="str">
        <f>_xlfn.XLOOKUP(B145,Disk_Pivot!G:G,Disk_Pivot!N:N)</f>
        <v>Fail</v>
      </c>
      <c r="V145">
        <f>IF(U145="Fail",MacReports!N145,"")</f>
        <v>0</v>
      </c>
      <c r="AB145" t="str">
        <f t="shared" si="6"/>
        <v/>
      </c>
    </row>
    <row r="146" spans="1:28">
      <c r="A146" t="str">
        <f>MacReports!A146</f>
        <v/>
      </c>
      <c r="B146">
        <f>MacReports!B146</f>
        <v>0</v>
      </c>
      <c r="C146">
        <f>MacReports!C146</f>
        <v>0</v>
      </c>
      <c r="E146" t="e">
        <f>_xlfn.XLOOKUP(G146,Models!A:A,Models!F:F)</f>
        <v>#N/A</v>
      </c>
      <c r="F146" t="str">
        <f>_xlfn.XLOOKUP(B146,MacReports!B:B,MacReports!D:D,"")</f>
        <v/>
      </c>
      <c r="G146" s="13">
        <f>MacReports!E146</f>
        <v>0</v>
      </c>
      <c r="H146" t="e">
        <f>_xlfn.XLOOKUP(G146,Models!A:A,Models!B:B)</f>
        <v>#N/A</v>
      </c>
      <c r="I146" t="e">
        <f>_xlfn.XLOOKUP(G146,Models!A:A,Models!E:E)</f>
        <v>#N/A</v>
      </c>
      <c r="J146" t="e">
        <f>_xlfn.XLOOKUP(G146,Models!A:A,Models!D:D)</f>
        <v>#N/A</v>
      </c>
      <c r="K146">
        <f>MacReports!F146</f>
        <v>0</v>
      </c>
      <c r="L146">
        <f>MacReports!G146</f>
        <v>0</v>
      </c>
      <c r="M146" s="15" t="e" cm="1">
        <f t="array" ref="M146">--_xlfn.LET(
    _xlpm.txt, MacReports!H146,
    _xlpm.chars, MID(_xlpm.txt, _xlfn.SEQUENCE(LEN(_xlpm.txt)), 1),
    _xlfn.TEXTJOIN("", TRUE, IF(ISNUMBER(--_xlpm.chars), _xlpm.chars, ""))
)</f>
        <v>#VALUE!</v>
      </c>
      <c r="N146" s="16" t="str" cm="1">
        <f t="array" ref="N146">_xlfn.IFS(
   --MacReports!M146&lt;55,"Battery Defect",
  -- MacReports!M146&lt;=69,"Battery D",
  --MacReports!M146&lt;=80,"Battery C",
 --MacReports!M146&gt;80,""
)</f>
        <v>Battery Defect</v>
      </c>
      <c r="O146" s="16" t="str">
        <f>IF(MacReports!I146="Service","Battery Service","")</f>
        <v/>
      </c>
      <c r="P146" s="13">
        <f>MacReports!P146</f>
        <v>0</v>
      </c>
      <c r="Q146" s="13" t="str">
        <f>IF(MacReports!J146="Enabled","Apple ID Lock","")</f>
        <v/>
      </c>
      <c r="R146" s="13" t="str">
        <f>IF(MacReports!L146="y","Remote Locked","")</f>
        <v/>
      </c>
      <c r="S146" t="str">
        <f t="shared" si="5"/>
        <v>Battery Defect, 0</v>
      </c>
      <c r="T146" t="str">
        <f>_xlfn.XLOOKUP(B146,Disk_Pivot!G:G,Disk_Pivot!I:I)</f>
        <v>Yes</v>
      </c>
      <c r="U146" t="str">
        <f>_xlfn.XLOOKUP(B146,Disk_Pivot!G:G,Disk_Pivot!N:N)</f>
        <v>Fail</v>
      </c>
      <c r="V146">
        <f>IF(U146="Fail",MacReports!N146,"")</f>
        <v>0</v>
      </c>
      <c r="AB146" t="str">
        <f t="shared" si="6"/>
        <v/>
      </c>
    </row>
    <row r="147" spans="1:28">
      <c r="A147" t="str">
        <f>MacReports!A147</f>
        <v/>
      </c>
      <c r="B147">
        <f>MacReports!B147</f>
        <v>0</v>
      </c>
      <c r="C147">
        <f>MacReports!C147</f>
        <v>0</v>
      </c>
      <c r="E147" t="e">
        <f>_xlfn.XLOOKUP(G147,Models!A:A,Models!F:F)</f>
        <v>#N/A</v>
      </c>
      <c r="F147" t="str">
        <f>_xlfn.XLOOKUP(B147,MacReports!B:B,MacReports!D:D,"")</f>
        <v/>
      </c>
      <c r="G147" s="13">
        <f>MacReports!E147</f>
        <v>0</v>
      </c>
      <c r="H147" t="e">
        <f>_xlfn.XLOOKUP(G147,Models!A:A,Models!B:B)</f>
        <v>#N/A</v>
      </c>
      <c r="I147" t="e">
        <f>_xlfn.XLOOKUP(G147,Models!A:A,Models!E:E)</f>
        <v>#N/A</v>
      </c>
      <c r="J147" t="e">
        <f>_xlfn.XLOOKUP(G147,Models!A:A,Models!D:D)</f>
        <v>#N/A</v>
      </c>
      <c r="K147">
        <f>MacReports!F147</f>
        <v>0</v>
      </c>
      <c r="L147">
        <f>MacReports!G147</f>
        <v>0</v>
      </c>
      <c r="M147" s="15" t="e" cm="1">
        <f t="array" ref="M147">--_xlfn.LET(
    _xlpm.txt, MacReports!H147,
    _xlpm.chars, MID(_xlpm.txt, _xlfn.SEQUENCE(LEN(_xlpm.txt)), 1),
    _xlfn.TEXTJOIN("", TRUE, IF(ISNUMBER(--_xlpm.chars), _xlpm.chars, ""))
)</f>
        <v>#VALUE!</v>
      </c>
      <c r="N147" s="16" t="str" cm="1">
        <f t="array" ref="N147">_xlfn.IFS(
   --MacReports!M147&lt;55,"Battery Defect",
  -- MacReports!M147&lt;=69,"Battery D",
  --MacReports!M147&lt;=80,"Battery C",
 --MacReports!M147&gt;80,""
)</f>
        <v>Battery Defect</v>
      </c>
      <c r="O147" s="16" t="str">
        <f>IF(MacReports!I147="Service","Battery Service","")</f>
        <v/>
      </c>
      <c r="P147" s="13">
        <f>MacReports!P147</f>
        <v>0</v>
      </c>
      <c r="Q147" s="13" t="str">
        <f>IF(MacReports!J147="Enabled","Apple ID Lock","")</f>
        <v/>
      </c>
      <c r="R147" s="13" t="str">
        <f>IF(MacReports!L147="y","Remote Locked","")</f>
        <v/>
      </c>
      <c r="S147" t="str">
        <f t="shared" si="5"/>
        <v>Battery Defect, 0</v>
      </c>
      <c r="T147" t="str">
        <f>_xlfn.XLOOKUP(B147,Disk_Pivot!G:G,Disk_Pivot!I:I)</f>
        <v>Yes</v>
      </c>
      <c r="U147" t="str">
        <f>_xlfn.XLOOKUP(B147,Disk_Pivot!G:G,Disk_Pivot!N:N)</f>
        <v>Fail</v>
      </c>
      <c r="V147">
        <f>IF(U147="Fail",MacReports!N147,"")</f>
        <v>0</v>
      </c>
      <c r="AB147" t="str">
        <f t="shared" si="6"/>
        <v/>
      </c>
    </row>
    <row r="148" spans="1:28">
      <c r="A148" t="str">
        <f>MacReports!A148</f>
        <v/>
      </c>
      <c r="B148">
        <f>MacReports!B148</f>
        <v>0</v>
      </c>
      <c r="C148">
        <f>MacReports!C148</f>
        <v>0</v>
      </c>
      <c r="E148" t="e">
        <f>_xlfn.XLOOKUP(G148,Models!A:A,Models!F:F)</f>
        <v>#N/A</v>
      </c>
      <c r="F148" t="str">
        <f>_xlfn.XLOOKUP(B148,MacReports!B:B,MacReports!D:D,"")</f>
        <v/>
      </c>
      <c r="G148" s="13">
        <f>MacReports!E148</f>
        <v>0</v>
      </c>
      <c r="H148" t="e">
        <f>_xlfn.XLOOKUP(G148,Models!A:A,Models!B:B)</f>
        <v>#N/A</v>
      </c>
      <c r="I148" t="e">
        <f>_xlfn.XLOOKUP(G148,Models!A:A,Models!E:E)</f>
        <v>#N/A</v>
      </c>
      <c r="J148" t="e">
        <f>_xlfn.XLOOKUP(G148,Models!A:A,Models!D:D)</f>
        <v>#N/A</v>
      </c>
      <c r="K148">
        <f>MacReports!F148</f>
        <v>0</v>
      </c>
      <c r="L148">
        <f>MacReports!G148</f>
        <v>0</v>
      </c>
      <c r="M148" s="15" t="e" cm="1">
        <f t="array" ref="M148">--_xlfn.LET(
    _xlpm.txt, MacReports!H148,
    _xlpm.chars, MID(_xlpm.txt, _xlfn.SEQUENCE(LEN(_xlpm.txt)), 1),
    _xlfn.TEXTJOIN("", TRUE, IF(ISNUMBER(--_xlpm.chars), _xlpm.chars, ""))
)</f>
        <v>#VALUE!</v>
      </c>
      <c r="N148" s="16" t="str" cm="1">
        <f t="array" ref="N148">_xlfn.IFS(
   --MacReports!M148&lt;55,"Battery Defect",
  -- MacReports!M148&lt;=69,"Battery D",
  --MacReports!M148&lt;=80,"Battery C",
 --MacReports!M148&gt;80,""
)</f>
        <v>Battery Defect</v>
      </c>
      <c r="O148" s="16" t="str">
        <f>IF(MacReports!I148="Service","Battery Service","")</f>
        <v/>
      </c>
      <c r="P148" s="13">
        <f>MacReports!P148</f>
        <v>0</v>
      </c>
      <c r="Q148" s="13" t="str">
        <f>IF(MacReports!J148="Enabled","Apple ID Lock","")</f>
        <v/>
      </c>
      <c r="R148" s="13" t="str">
        <f>IF(MacReports!L148="y","Remote Locked","")</f>
        <v/>
      </c>
      <c r="S148" t="str">
        <f t="shared" si="5"/>
        <v>Battery Defect, 0</v>
      </c>
      <c r="T148" t="str">
        <f>_xlfn.XLOOKUP(B148,Disk_Pivot!G:G,Disk_Pivot!I:I)</f>
        <v>Yes</v>
      </c>
      <c r="U148" t="str">
        <f>_xlfn.XLOOKUP(B148,Disk_Pivot!G:G,Disk_Pivot!N:N)</f>
        <v>Fail</v>
      </c>
      <c r="V148">
        <f>IF(U148="Fail",MacReports!N148,"")</f>
        <v>0</v>
      </c>
      <c r="AB148" t="str">
        <f t="shared" si="6"/>
        <v/>
      </c>
    </row>
    <row r="149" spans="1:28">
      <c r="A149" t="str">
        <f>MacReports!A149</f>
        <v/>
      </c>
      <c r="B149">
        <f>MacReports!B149</f>
        <v>0</v>
      </c>
      <c r="C149">
        <f>MacReports!C149</f>
        <v>0</v>
      </c>
      <c r="E149" t="e">
        <f>_xlfn.XLOOKUP(G149,Models!A:A,Models!F:F)</f>
        <v>#N/A</v>
      </c>
      <c r="F149" t="str">
        <f>_xlfn.XLOOKUP(B149,MacReports!B:B,MacReports!D:D,"")</f>
        <v/>
      </c>
      <c r="G149" s="13">
        <f>MacReports!E149</f>
        <v>0</v>
      </c>
      <c r="H149" t="e">
        <f>_xlfn.XLOOKUP(G149,Models!A:A,Models!B:B)</f>
        <v>#N/A</v>
      </c>
      <c r="I149" t="e">
        <f>_xlfn.XLOOKUP(G149,Models!A:A,Models!E:E)</f>
        <v>#N/A</v>
      </c>
      <c r="J149" t="e">
        <f>_xlfn.XLOOKUP(G149,Models!A:A,Models!D:D)</f>
        <v>#N/A</v>
      </c>
      <c r="K149">
        <f>MacReports!F149</f>
        <v>0</v>
      </c>
      <c r="L149">
        <f>MacReports!G149</f>
        <v>0</v>
      </c>
      <c r="M149" s="15" t="e" cm="1">
        <f t="array" ref="M149">--_xlfn.LET(
    _xlpm.txt, MacReports!H149,
    _xlpm.chars, MID(_xlpm.txt, _xlfn.SEQUENCE(LEN(_xlpm.txt)), 1),
    _xlfn.TEXTJOIN("", TRUE, IF(ISNUMBER(--_xlpm.chars), _xlpm.chars, ""))
)</f>
        <v>#VALUE!</v>
      </c>
      <c r="N149" s="16" t="str" cm="1">
        <f t="array" ref="N149">_xlfn.IFS(
   --MacReports!M149&lt;55,"Battery Defect",
  -- MacReports!M149&lt;=69,"Battery D",
  --MacReports!M149&lt;=80,"Battery C",
 --MacReports!M149&gt;80,""
)</f>
        <v>Battery Defect</v>
      </c>
      <c r="O149" s="16" t="str">
        <f>IF(MacReports!I149="Service","Battery Service","")</f>
        <v/>
      </c>
      <c r="P149" s="13">
        <f>MacReports!P149</f>
        <v>0</v>
      </c>
      <c r="Q149" s="13" t="str">
        <f>IF(MacReports!J149="Enabled","Apple ID Lock","")</f>
        <v/>
      </c>
      <c r="R149" s="13" t="str">
        <f>IF(MacReports!L149="y","Remote Locked","")</f>
        <v/>
      </c>
      <c r="S149" t="str">
        <f t="shared" si="5"/>
        <v>Battery Defect, 0</v>
      </c>
      <c r="T149" t="str">
        <f>_xlfn.XLOOKUP(B149,Disk_Pivot!G:G,Disk_Pivot!I:I)</f>
        <v>Yes</v>
      </c>
      <c r="U149" t="str">
        <f>_xlfn.XLOOKUP(B149,Disk_Pivot!G:G,Disk_Pivot!N:N)</f>
        <v>Fail</v>
      </c>
      <c r="V149">
        <f>IF(U149="Fail",MacReports!N149,"")</f>
        <v>0</v>
      </c>
      <c r="AB149" t="str">
        <f t="shared" si="6"/>
        <v/>
      </c>
    </row>
    <row r="150" spans="1:28">
      <c r="A150" t="str">
        <f>MacReports!A150</f>
        <v/>
      </c>
      <c r="B150">
        <f>MacReports!B150</f>
        <v>0</v>
      </c>
      <c r="C150">
        <f>MacReports!C150</f>
        <v>0</v>
      </c>
      <c r="E150" t="e">
        <f>_xlfn.XLOOKUP(G150,Models!A:A,Models!F:F)</f>
        <v>#N/A</v>
      </c>
      <c r="F150" t="str">
        <f>_xlfn.XLOOKUP(B150,MacReports!B:B,MacReports!D:D,"")</f>
        <v/>
      </c>
      <c r="G150" s="13">
        <f>MacReports!E150</f>
        <v>0</v>
      </c>
      <c r="H150" t="e">
        <f>_xlfn.XLOOKUP(G150,Models!A:A,Models!B:B)</f>
        <v>#N/A</v>
      </c>
      <c r="I150" t="e">
        <f>_xlfn.XLOOKUP(G150,Models!A:A,Models!E:E)</f>
        <v>#N/A</v>
      </c>
      <c r="J150" t="e">
        <f>_xlfn.XLOOKUP(G150,Models!A:A,Models!D:D)</f>
        <v>#N/A</v>
      </c>
      <c r="K150">
        <f>MacReports!F150</f>
        <v>0</v>
      </c>
      <c r="L150">
        <f>MacReports!G150</f>
        <v>0</v>
      </c>
      <c r="M150" s="15" t="e" cm="1">
        <f t="array" ref="M150">--_xlfn.LET(
    _xlpm.txt, MacReports!H150,
    _xlpm.chars, MID(_xlpm.txt, _xlfn.SEQUENCE(LEN(_xlpm.txt)), 1),
    _xlfn.TEXTJOIN("", TRUE, IF(ISNUMBER(--_xlpm.chars), _xlpm.chars, ""))
)</f>
        <v>#VALUE!</v>
      </c>
      <c r="N150" s="16" t="str" cm="1">
        <f t="array" ref="N150">_xlfn.IFS(
   --MacReports!M150&lt;55,"Battery Defect",
  -- MacReports!M150&lt;=69,"Battery D",
  --MacReports!M150&lt;=80,"Battery C",
 --MacReports!M150&gt;80,""
)</f>
        <v>Battery Defect</v>
      </c>
      <c r="O150" s="16" t="str">
        <f>IF(MacReports!I150="Service","Battery Service","")</f>
        <v/>
      </c>
      <c r="P150" s="13">
        <f>MacReports!P150</f>
        <v>0</v>
      </c>
      <c r="Q150" s="13" t="str">
        <f>IF(MacReports!J150="Enabled","Apple ID Lock","")</f>
        <v/>
      </c>
      <c r="R150" s="13" t="str">
        <f>IF(MacReports!L150="y","Remote Locked","")</f>
        <v/>
      </c>
      <c r="S150" t="str">
        <f t="shared" si="5"/>
        <v>Battery Defect, 0</v>
      </c>
      <c r="T150" t="str">
        <f>_xlfn.XLOOKUP(B150,Disk_Pivot!G:G,Disk_Pivot!I:I)</f>
        <v>Yes</v>
      </c>
      <c r="U150" t="str">
        <f>_xlfn.XLOOKUP(B150,Disk_Pivot!G:G,Disk_Pivot!N:N)</f>
        <v>Fail</v>
      </c>
      <c r="V150">
        <f>IF(U150="Fail",MacReports!N150,"")</f>
        <v>0</v>
      </c>
      <c r="AB150" t="str">
        <f t="shared" si="6"/>
        <v/>
      </c>
    </row>
    <row r="151" spans="1:28">
      <c r="A151" t="str">
        <f>MacReports!A151</f>
        <v/>
      </c>
      <c r="B151">
        <f>MacReports!B151</f>
        <v>0</v>
      </c>
      <c r="C151">
        <f>MacReports!C151</f>
        <v>0</v>
      </c>
      <c r="E151" t="e">
        <f>_xlfn.XLOOKUP(G151,Models!A:A,Models!F:F)</f>
        <v>#N/A</v>
      </c>
      <c r="F151" t="str">
        <f>_xlfn.XLOOKUP(B151,MacReports!B:B,MacReports!D:D,"")</f>
        <v/>
      </c>
      <c r="G151" s="13">
        <f>MacReports!E151</f>
        <v>0</v>
      </c>
      <c r="H151" t="e">
        <f>_xlfn.XLOOKUP(G151,Models!A:A,Models!B:B)</f>
        <v>#N/A</v>
      </c>
      <c r="I151" t="e">
        <f>_xlfn.XLOOKUP(G151,Models!A:A,Models!E:E)</f>
        <v>#N/A</v>
      </c>
      <c r="J151" t="e">
        <f>_xlfn.XLOOKUP(G151,Models!A:A,Models!D:D)</f>
        <v>#N/A</v>
      </c>
      <c r="K151">
        <f>MacReports!F151</f>
        <v>0</v>
      </c>
      <c r="L151">
        <f>MacReports!G151</f>
        <v>0</v>
      </c>
      <c r="M151" s="15" t="e" cm="1">
        <f t="array" ref="M151">--_xlfn.LET(
    _xlpm.txt, MacReports!H151,
    _xlpm.chars, MID(_xlpm.txt, _xlfn.SEQUENCE(LEN(_xlpm.txt)), 1),
    _xlfn.TEXTJOIN("", TRUE, IF(ISNUMBER(--_xlpm.chars), _xlpm.chars, ""))
)</f>
        <v>#VALUE!</v>
      </c>
      <c r="N151" s="16" t="str" cm="1">
        <f t="array" ref="N151">_xlfn.IFS(
   --MacReports!M151&lt;55,"Battery Defect",
  -- MacReports!M151&lt;=69,"Battery D",
  --MacReports!M151&lt;=80,"Battery C",
 --MacReports!M151&gt;80,""
)</f>
        <v>Battery Defect</v>
      </c>
      <c r="O151" s="16" t="str">
        <f>IF(MacReports!I151="Service","Battery Service","")</f>
        <v/>
      </c>
      <c r="P151" s="13">
        <f>MacReports!P151</f>
        <v>0</v>
      </c>
      <c r="Q151" s="13" t="str">
        <f>IF(MacReports!J151="Enabled","Apple ID Lock","")</f>
        <v/>
      </c>
      <c r="R151" s="13" t="str">
        <f>IF(MacReports!L151="y","Remote Locked","")</f>
        <v/>
      </c>
      <c r="S151" t="str">
        <f t="shared" si="5"/>
        <v>Battery Defect, 0</v>
      </c>
      <c r="T151" t="str">
        <f>_xlfn.XLOOKUP(B151,Disk_Pivot!G:G,Disk_Pivot!I:I)</f>
        <v>Yes</v>
      </c>
      <c r="U151" t="str">
        <f>_xlfn.XLOOKUP(B151,Disk_Pivot!G:G,Disk_Pivot!N:N)</f>
        <v>Fail</v>
      </c>
      <c r="V151">
        <f>IF(U151="Fail",MacReports!N151,"")</f>
        <v>0</v>
      </c>
      <c r="AB151" t="str">
        <f t="shared" si="6"/>
        <v/>
      </c>
    </row>
    <row r="152" spans="1:28">
      <c r="A152" t="str">
        <f>MacReports!A152</f>
        <v/>
      </c>
      <c r="B152">
        <f>MacReports!B152</f>
        <v>0</v>
      </c>
      <c r="C152">
        <f>MacReports!C152</f>
        <v>0</v>
      </c>
      <c r="E152" t="e">
        <f>_xlfn.XLOOKUP(G152,Models!A:A,Models!F:F)</f>
        <v>#N/A</v>
      </c>
      <c r="F152" t="str">
        <f>_xlfn.XLOOKUP(B152,MacReports!B:B,MacReports!D:D,"")</f>
        <v/>
      </c>
      <c r="G152" s="13">
        <f>MacReports!E152</f>
        <v>0</v>
      </c>
      <c r="H152" t="e">
        <f>_xlfn.XLOOKUP(G152,Models!A:A,Models!B:B)</f>
        <v>#N/A</v>
      </c>
      <c r="I152" t="e">
        <f>_xlfn.XLOOKUP(G152,Models!A:A,Models!E:E)</f>
        <v>#N/A</v>
      </c>
      <c r="J152" t="e">
        <f>_xlfn.XLOOKUP(G152,Models!A:A,Models!D:D)</f>
        <v>#N/A</v>
      </c>
      <c r="K152">
        <f>MacReports!F152</f>
        <v>0</v>
      </c>
      <c r="L152">
        <f>MacReports!G152</f>
        <v>0</v>
      </c>
      <c r="M152" s="15" t="e" cm="1">
        <f t="array" ref="M152">--_xlfn.LET(
    _xlpm.txt, MacReports!H152,
    _xlpm.chars, MID(_xlpm.txt, _xlfn.SEQUENCE(LEN(_xlpm.txt)), 1),
    _xlfn.TEXTJOIN("", TRUE, IF(ISNUMBER(--_xlpm.chars), _xlpm.chars, ""))
)</f>
        <v>#VALUE!</v>
      </c>
      <c r="N152" s="16" t="str" cm="1">
        <f t="array" ref="N152">_xlfn.IFS(
   --MacReports!M152&lt;55,"Battery Defect",
  -- MacReports!M152&lt;=69,"Battery D",
  --MacReports!M152&lt;=80,"Battery C",
 --MacReports!M152&gt;80,""
)</f>
        <v>Battery Defect</v>
      </c>
      <c r="O152" s="16" t="str">
        <f>IF(MacReports!I152="Service","Battery Service","")</f>
        <v/>
      </c>
      <c r="P152" s="13">
        <f>MacReports!P152</f>
        <v>0</v>
      </c>
      <c r="Q152" s="13" t="str">
        <f>IF(MacReports!J152="Enabled","Apple ID Lock","")</f>
        <v/>
      </c>
      <c r="R152" s="13" t="str">
        <f>IF(MacReports!L152="y","Remote Locked","")</f>
        <v/>
      </c>
      <c r="S152" t="str">
        <f t="shared" si="5"/>
        <v>Battery Defect, 0</v>
      </c>
      <c r="T152" t="str">
        <f>_xlfn.XLOOKUP(B152,Disk_Pivot!G:G,Disk_Pivot!I:I)</f>
        <v>Yes</v>
      </c>
      <c r="U152" t="str">
        <f>_xlfn.XLOOKUP(B152,Disk_Pivot!G:G,Disk_Pivot!N:N)</f>
        <v>Fail</v>
      </c>
      <c r="V152">
        <f>IF(U152="Fail",MacReports!N152,"")</f>
        <v>0</v>
      </c>
      <c r="AB152" t="str">
        <f t="shared" si="6"/>
        <v/>
      </c>
    </row>
    <row r="153" spans="1:28">
      <c r="A153" t="str">
        <f>MacReports!A153</f>
        <v/>
      </c>
      <c r="B153">
        <f>MacReports!B153</f>
        <v>0</v>
      </c>
      <c r="C153">
        <f>MacReports!C153</f>
        <v>0</v>
      </c>
      <c r="E153" t="e">
        <f>_xlfn.XLOOKUP(G153,Models!A:A,Models!F:F)</f>
        <v>#N/A</v>
      </c>
      <c r="F153" t="str">
        <f>_xlfn.XLOOKUP(B153,MacReports!B:B,MacReports!D:D,"")</f>
        <v/>
      </c>
      <c r="G153" s="13">
        <f>MacReports!E153</f>
        <v>0</v>
      </c>
      <c r="H153" t="e">
        <f>_xlfn.XLOOKUP(G153,Models!A:A,Models!B:B)</f>
        <v>#N/A</v>
      </c>
      <c r="I153" t="e">
        <f>_xlfn.XLOOKUP(G153,Models!A:A,Models!E:E)</f>
        <v>#N/A</v>
      </c>
      <c r="J153" t="e">
        <f>_xlfn.XLOOKUP(G153,Models!A:A,Models!D:D)</f>
        <v>#N/A</v>
      </c>
      <c r="K153">
        <f>MacReports!F153</f>
        <v>0</v>
      </c>
      <c r="L153">
        <f>MacReports!G153</f>
        <v>0</v>
      </c>
      <c r="M153" s="15" t="e" cm="1">
        <f t="array" ref="M153">--_xlfn.LET(
    _xlpm.txt, MacReports!H153,
    _xlpm.chars, MID(_xlpm.txt, _xlfn.SEQUENCE(LEN(_xlpm.txt)), 1),
    _xlfn.TEXTJOIN("", TRUE, IF(ISNUMBER(--_xlpm.chars), _xlpm.chars, ""))
)</f>
        <v>#VALUE!</v>
      </c>
      <c r="N153" s="16" t="str" cm="1">
        <f t="array" ref="N153">_xlfn.IFS(
   --MacReports!M153&lt;55,"Battery Defect",
  -- MacReports!M153&lt;=69,"Battery D",
  --MacReports!M153&lt;=80,"Battery C",
 --MacReports!M153&gt;80,""
)</f>
        <v>Battery Defect</v>
      </c>
      <c r="O153" s="16" t="str">
        <f>IF(MacReports!I153="Service","Battery Service","")</f>
        <v/>
      </c>
      <c r="P153" s="13">
        <f>MacReports!P153</f>
        <v>0</v>
      </c>
      <c r="Q153" s="13" t="str">
        <f>IF(MacReports!J153="Enabled","Apple ID Lock","")</f>
        <v/>
      </c>
      <c r="R153" s="13" t="str">
        <f>IF(MacReports!L153="y","Remote Locked","")</f>
        <v/>
      </c>
      <c r="S153" t="str">
        <f t="shared" si="5"/>
        <v>Battery Defect, 0</v>
      </c>
      <c r="T153" t="str">
        <f>_xlfn.XLOOKUP(B153,Disk_Pivot!G:G,Disk_Pivot!I:I)</f>
        <v>Yes</v>
      </c>
      <c r="U153" t="str">
        <f>_xlfn.XLOOKUP(B153,Disk_Pivot!G:G,Disk_Pivot!N:N)</f>
        <v>Fail</v>
      </c>
      <c r="V153">
        <f>IF(U153="Fail",MacReports!N153,"")</f>
        <v>0</v>
      </c>
      <c r="AB153" t="str">
        <f t="shared" si="6"/>
        <v/>
      </c>
    </row>
    <row r="154" spans="1:28">
      <c r="A154" t="str">
        <f>MacReports!A154</f>
        <v/>
      </c>
      <c r="B154">
        <f>MacReports!B154</f>
        <v>0</v>
      </c>
      <c r="C154">
        <f>MacReports!C154</f>
        <v>0</v>
      </c>
      <c r="E154" t="e">
        <f>_xlfn.XLOOKUP(G154,Models!A:A,Models!F:F)</f>
        <v>#N/A</v>
      </c>
      <c r="F154" t="str">
        <f>_xlfn.XLOOKUP(B154,MacReports!B:B,MacReports!D:D,"")</f>
        <v/>
      </c>
      <c r="G154" s="13">
        <f>MacReports!E154</f>
        <v>0</v>
      </c>
      <c r="H154" t="e">
        <f>_xlfn.XLOOKUP(G154,Models!A:A,Models!B:B)</f>
        <v>#N/A</v>
      </c>
      <c r="I154" t="e">
        <f>_xlfn.XLOOKUP(G154,Models!A:A,Models!E:E)</f>
        <v>#N/A</v>
      </c>
      <c r="J154" t="e">
        <f>_xlfn.XLOOKUP(G154,Models!A:A,Models!D:D)</f>
        <v>#N/A</v>
      </c>
      <c r="K154">
        <f>MacReports!F154</f>
        <v>0</v>
      </c>
      <c r="L154">
        <f>MacReports!G154</f>
        <v>0</v>
      </c>
      <c r="M154" s="15" t="e" cm="1">
        <f t="array" ref="M154">--_xlfn.LET(
    _xlpm.txt, MacReports!H154,
    _xlpm.chars, MID(_xlpm.txt, _xlfn.SEQUENCE(LEN(_xlpm.txt)), 1),
    _xlfn.TEXTJOIN("", TRUE, IF(ISNUMBER(--_xlpm.chars), _xlpm.chars, ""))
)</f>
        <v>#VALUE!</v>
      </c>
      <c r="N154" s="16" t="str" cm="1">
        <f t="array" ref="N154">_xlfn.IFS(
   --MacReports!M154&lt;55,"Battery Defect",
  -- MacReports!M154&lt;=69,"Battery D",
  --MacReports!M154&lt;=80,"Battery C",
 --MacReports!M154&gt;80,""
)</f>
        <v>Battery Defect</v>
      </c>
      <c r="O154" s="16" t="str">
        <f>IF(MacReports!I154="Service","Battery Service","")</f>
        <v/>
      </c>
      <c r="P154" s="13">
        <f>MacReports!P154</f>
        <v>0</v>
      </c>
      <c r="Q154" s="13" t="str">
        <f>IF(MacReports!J154="Enabled","Apple ID Lock","")</f>
        <v/>
      </c>
      <c r="R154" s="13" t="str">
        <f>IF(MacReports!L154="y","Remote Locked","")</f>
        <v/>
      </c>
      <c r="S154" t="str">
        <f t="shared" si="5"/>
        <v>Battery Defect, 0</v>
      </c>
      <c r="T154" t="str">
        <f>_xlfn.XLOOKUP(B154,Disk_Pivot!G:G,Disk_Pivot!I:I)</f>
        <v>Yes</v>
      </c>
      <c r="U154" t="str">
        <f>_xlfn.XLOOKUP(B154,Disk_Pivot!G:G,Disk_Pivot!N:N)</f>
        <v>Fail</v>
      </c>
      <c r="V154">
        <f>IF(U154="Fail",MacReports!N154,"")</f>
        <v>0</v>
      </c>
      <c r="AB154" t="str">
        <f t="shared" si="6"/>
        <v/>
      </c>
    </row>
    <row r="155" spans="1:28">
      <c r="A155" t="str">
        <f>MacReports!A155</f>
        <v/>
      </c>
      <c r="B155">
        <f>MacReports!B155</f>
        <v>0</v>
      </c>
      <c r="C155">
        <f>MacReports!C155</f>
        <v>0</v>
      </c>
      <c r="E155" t="e">
        <f>_xlfn.XLOOKUP(G155,Models!A:A,Models!F:F)</f>
        <v>#N/A</v>
      </c>
      <c r="F155" t="str">
        <f>_xlfn.XLOOKUP(B155,MacReports!B:B,MacReports!D:D,"")</f>
        <v/>
      </c>
      <c r="G155" s="13">
        <f>MacReports!E155</f>
        <v>0</v>
      </c>
      <c r="H155" t="e">
        <f>_xlfn.XLOOKUP(G155,Models!A:A,Models!B:B)</f>
        <v>#N/A</v>
      </c>
      <c r="I155" t="e">
        <f>_xlfn.XLOOKUP(G155,Models!A:A,Models!E:E)</f>
        <v>#N/A</v>
      </c>
      <c r="J155" t="e">
        <f>_xlfn.XLOOKUP(G155,Models!A:A,Models!D:D)</f>
        <v>#N/A</v>
      </c>
      <c r="K155">
        <f>MacReports!F155</f>
        <v>0</v>
      </c>
      <c r="L155">
        <f>MacReports!G155</f>
        <v>0</v>
      </c>
      <c r="M155" s="15" t="e" cm="1">
        <f t="array" ref="M155">--_xlfn.LET(
    _xlpm.txt, MacReports!H155,
    _xlpm.chars, MID(_xlpm.txt, _xlfn.SEQUENCE(LEN(_xlpm.txt)), 1),
    _xlfn.TEXTJOIN("", TRUE, IF(ISNUMBER(--_xlpm.chars), _xlpm.chars, ""))
)</f>
        <v>#VALUE!</v>
      </c>
      <c r="N155" s="16" t="str" cm="1">
        <f t="array" ref="N155">_xlfn.IFS(
   --MacReports!M155&lt;55,"Battery Defect",
  -- MacReports!M155&lt;=69,"Battery D",
  --MacReports!M155&lt;=80,"Battery C",
 --MacReports!M155&gt;80,""
)</f>
        <v>Battery Defect</v>
      </c>
      <c r="O155" s="16" t="str">
        <f>IF(MacReports!I155="Service","Battery Service","")</f>
        <v/>
      </c>
      <c r="P155" s="13">
        <f>MacReports!P155</f>
        <v>0</v>
      </c>
      <c r="Q155" s="13" t="str">
        <f>IF(MacReports!J155="Enabled","Apple ID Lock","")</f>
        <v/>
      </c>
      <c r="R155" s="13" t="str">
        <f>IF(MacReports!L155="y","Remote Locked","")</f>
        <v/>
      </c>
      <c r="S155" t="str">
        <f t="shared" si="5"/>
        <v>Battery Defect, 0</v>
      </c>
      <c r="T155" t="str">
        <f>_xlfn.XLOOKUP(B155,Disk_Pivot!G:G,Disk_Pivot!I:I)</f>
        <v>Yes</v>
      </c>
      <c r="U155" t="str">
        <f>_xlfn.XLOOKUP(B155,Disk_Pivot!G:G,Disk_Pivot!N:N)</f>
        <v>Fail</v>
      </c>
      <c r="V155">
        <f>IF(U155="Fail",MacReports!N155,"")</f>
        <v>0</v>
      </c>
      <c r="AB155" t="str">
        <f t="shared" si="6"/>
        <v/>
      </c>
    </row>
    <row r="156" spans="1:28">
      <c r="A156" t="str">
        <f>MacReports!A156</f>
        <v/>
      </c>
      <c r="B156">
        <f>MacReports!B156</f>
        <v>0</v>
      </c>
      <c r="C156">
        <f>MacReports!C156</f>
        <v>0</v>
      </c>
      <c r="E156" t="e">
        <f>_xlfn.XLOOKUP(G156,Models!A:A,Models!F:F)</f>
        <v>#N/A</v>
      </c>
      <c r="F156" t="str">
        <f>_xlfn.XLOOKUP(B156,MacReports!B:B,MacReports!D:D,"")</f>
        <v/>
      </c>
      <c r="G156" s="13">
        <f>MacReports!E156</f>
        <v>0</v>
      </c>
      <c r="H156" t="e">
        <f>_xlfn.XLOOKUP(G156,Models!A:A,Models!B:B)</f>
        <v>#N/A</v>
      </c>
      <c r="I156" t="e">
        <f>_xlfn.XLOOKUP(G156,Models!A:A,Models!E:E)</f>
        <v>#N/A</v>
      </c>
      <c r="J156" t="e">
        <f>_xlfn.XLOOKUP(G156,Models!A:A,Models!D:D)</f>
        <v>#N/A</v>
      </c>
      <c r="K156">
        <f>MacReports!F156</f>
        <v>0</v>
      </c>
      <c r="L156">
        <f>MacReports!G156</f>
        <v>0</v>
      </c>
      <c r="M156" s="15" t="e" cm="1">
        <f t="array" ref="M156">--_xlfn.LET(
    _xlpm.txt, MacReports!H156,
    _xlpm.chars, MID(_xlpm.txt, _xlfn.SEQUENCE(LEN(_xlpm.txt)), 1),
    _xlfn.TEXTJOIN("", TRUE, IF(ISNUMBER(--_xlpm.chars), _xlpm.chars, ""))
)</f>
        <v>#VALUE!</v>
      </c>
      <c r="N156" s="16" t="str" cm="1">
        <f t="array" ref="N156">_xlfn.IFS(
   --MacReports!M156&lt;55,"Battery Defect",
  -- MacReports!M156&lt;=69,"Battery D",
  --MacReports!M156&lt;=80,"Battery C",
 --MacReports!M156&gt;80,""
)</f>
        <v>Battery Defect</v>
      </c>
      <c r="O156" s="16" t="str">
        <f>IF(MacReports!I156="Service","Battery Service","")</f>
        <v/>
      </c>
      <c r="P156" s="13">
        <f>MacReports!P156</f>
        <v>0</v>
      </c>
      <c r="Q156" s="13" t="str">
        <f>IF(MacReports!J156="Enabled","Apple ID Lock","")</f>
        <v/>
      </c>
      <c r="R156" s="13" t="str">
        <f>IF(MacReports!L156="y","Remote Locked","")</f>
        <v/>
      </c>
      <c r="S156" t="str">
        <f t="shared" si="5"/>
        <v>Battery Defect, 0</v>
      </c>
      <c r="T156" t="str">
        <f>_xlfn.XLOOKUP(B156,Disk_Pivot!G:G,Disk_Pivot!I:I)</f>
        <v>Yes</v>
      </c>
      <c r="U156" t="str">
        <f>_xlfn.XLOOKUP(B156,Disk_Pivot!G:G,Disk_Pivot!N:N)</f>
        <v>Fail</v>
      </c>
      <c r="V156">
        <f>IF(U156="Fail",MacReports!N156,"")</f>
        <v>0</v>
      </c>
      <c r="AB156" t="str">
        <f t="shared" si="6"/>
        <v/>
      </c>
    </row>
    <row r="157" spans="1:28">
      <c r="A157" t="str">
        <f>MacReports!A157</f>
        <v/>
      </c>
      <c r="B157">
        <f>MacReports!B157</f>
        <v>0</v>
      </c>
      <c r="C157">
        <f>MacReports!C157</f>
        <v>0</v>
      </c>
      <c r="E157" t="e">
        <f>_xlfn.XLOOKUP(G157,Models!A:A,Models!F:F)</f>
        <v>#N/A</v>
      </c>
      <c r="F157" t="str">
        <f>_xlfn.XLOOKUP(B157,MacReports!B:B,MacReports!D:D,"")</f>
        <v/>
      </c>
      <c r="G157" s="13">
        <f>MacReports!E157</f>
        <v>0</v>
      </c>
      <c r="H157" t="e">
        <f>_xlfn.XLOOKUP(G157,Models!A:A,Models!B:B)</f>
        <v>#N/A</v>
      </c>
      <c r="I157" t="e">
        <f>_xlfn.XLOOKUP(G157,Models!A:A,Models!E:E)</f>
        <v>#N/A</v>
      </c>
      <c r="J157" t="e">
        <f>_xlfn.XLOOKUP(G157,Models!A:A,Models!D:D)</f>
        <v>#N/A</v>
      </c>
      <c r="K157">
        <f>MacReports!F157</f>
        <v>0</v>
      </c>
      <c r="L157">
        <f>MacReports!G157</f>
        <v>0</v>
      </c>
      <c r="M157" s="15" t="e" cm="1">
        <f t="array" ref="M157">--_xlfn.LET(
    _xlpm.txt, MacReports!H157,
    _xlpm.chars, MID(_xlpm.txt, _xlfn.SEQUENCE(LEN(_xlpm.txt)), 1),
    _xlfn.TEXTJOIN("", TRUE, IF(ISNUMBER(--_xlpm.chars), _xlpm.chars, ""))
)</f>
        <v>#VALUE!</v>
      </c>
      <c r="N157" s="16" t="str" cm="1">
        <f t="array" ref="N157">_xlfn.IFS(
   --MacReports!M157&lt;55,"Battery Defect",
  -- MacReports!M157&lt;=69,"Battery D",
  --MacReports!M157&lt;=80,"Battery C",
 --MacReports!M157&gt;80,""
)</f>
        <v>Battery Defect</v>
      </c>
      <c r="O157" s="16" t="str">
        <f>IF(MacReports!I157="Service","Battery Service","")</f>
        <v/>
      </c>
      <c r="P157" s="13">
        <f>MacReports!P157</f>
        <v>0</v>
      </c>
      <c r="Q157" s="13" t="str">
        <f>IF(MacReports!J157="Enabled","Apple ID Lock","")</f>
        <v/>
      </c>
      <c r="R157" s="13" t="str">
        <f>IF(MacReports!L157="y","Remote Locked","")</f>
        <v/>
      </c>
      <c r="S157" t="str">
        <f t="shared" si="5"/>
        <v>Battery Defect, 0</v>
      </c>
      <c r="T157" t="str">
        <f>_xlfn.XLOOKUP(B157,Disk_Pivot!G:G,Disk_Pivot!I:I)</f>
        <v>Yes</v>
      </c>
      <c r="U157" t="str">
        <f>_xlfn.XLOOKUP(B157,Disk_Pivot!G:G,Disk_Pivot!N:N)</f>
        <v>Fail</v>
      </c>
      <c r="V157">
        <f>IF(U157="Fail",MacReports!N157,"")</f>
        <v>0</v>
      </c>
      <c r="AB157" t="str">
        <f t="shared" si="6"/>
        <v/>
      </c>
    </row>
    <row r="158" spans="1:28">
      <c r="A158" t="str">
        <f>MacReports!A158</f>
        <v/>
      </c>
      <c r="B158">
        <f>MacReports!B158</f>
        <v>0</v>
      </c>
      <c r="C158">
        <f>MacReports!C158</f>
        <v>0</v>
      </c>
      <c r="E158" t="e">
        <f>_xlfn.XLOOKUP(G158,Models!A:A,Models!F:F)</f>
        <v>#N/A</v>
      </c>
      <c r="F158" t="str">
        <f>_xlfn.XLOOKUP(B158,MacReports!B:B,MacReports!D:D,"")</f>
        <v/>
      </c>
      <c r="G158" s="13">
        <f>MacReports!E158</f>
        <v>0</v>
      </c>
      <c r="H158" t="e">
        <f>_xlfn.XLOOKUP(G158,Models!A:A,Models!B:B)</f>
        <v>#N/A</v>
      </c>
      <c r="I158" t="e">
        <f>_xlfn.XLOOKUP(G158,Models!A:A,Models!E:E)</f>
        <v>#N/A</v>
      </c>
      <c r="J158" t="e">
        <f>_xlfn.XLOOKUP(G158,Models!A:A,Models!D:D)</f>
        <v>#N/A</v>
      </c>
      <c r="K158">
        <f>MacReports!F158</f>
        <v>0</v>
      </c>
      <c r="L158">
        <f>MacReports!G158</f>
        <v>0</v>
      </c>
      <c r="M158" s="15" t="e" cm="1">
        <f t="array" ref="M158">--_xlfn.LET(
    _xlpm.txt, MacReports!H158,
    _xlpm.chars, MID(_xlpm.txt, _xlfn.SEQUENCE(LEN(_xlpm.txt)), 1),
    _xlfn.TEXTJOIN("", TRUE, IF(ISNUMBER(--_xlpm.chars), _xlpm.chars, ""))
)</f>
        <v>#VALUE!</v>
      </c>
      <c r="N158" s="16" t="str" cm="1">
        <f t="array" ref="N158">_xlfn.IFS(
   --MacReports!M158&lt;55,"Battery Defect",
  -- MacReports!M158&lt;=69,"Battery D",
  --MacReports!M158&lt;=80,"Battery C",
 --MacReports!M158&gt;80,""
)</f>
        <v>Battery Defect</v>
      </c>
      <c r="O158" s="16" t="str">
        <f>IF(MacReports!I158="Service","Battery Service","")</f>
        <v/>
      </c>
      <c r="P158" s="13">
        <f>MacReports!P158</f>
        <v>0</v>
      </c>
      <c r="Q158" s="13" t="str">
        <f>IF(MacReports!J158="Enabled","Apple ID Lock","")</f>
        <v/>
      </c>
      <c r="R158" s="13" t="str">
        <f>IF(MacReports!L158="y","Remote Locked","")</f>
        <v/>
      </c>
      <c r="S158" t="str">
        <f t="shared" si="5"/>
        <v>Battery Defect, 0</v>
      </c>
      <c r="T158" t="str">
        <f>_xlfn.XLOOKUP(B158,Disk_Pivot!G:G,Disk_Pivot!I:I)</f>
        <v>Yes</v>
      </c>
      <c r="U158" t="str">
        <f>_xlfn.XLOOKUP(B158,Disk_Pivot!G:G,Disk_Pivot!N:N)</f>
        <v>Fail</v>
      </c>
      <c r="V158">
        <f>IF(U158="Fail",MacReports!N158,"")</f>
        <v>0</v>
      </c>
      <c r="AB158" t="str">
        <f t="shared" si="6"/>
        <v/>
      </c>
    </row>
    <row r="159" spans="1:28">
      <c r="A159" t="str">
        <f>MacReports!A159</f>
        <v/>
      </c>
      <c r="B159">
        <f>MacReports!B159</f>
        <v>0</v>
      </c>
      <c r="C159">
        <f>MacReports!C159</f>
        <v>0</v>
      </c>
      <c r="E159" t="e">
        <f>_xlfn.XLOOKUP(G159,Models!A:A,Models!F:F)</f>
        <v>#N/A</v>
      </c>
      <c r="F159" t="str">
        <f>_xlfn.XLOOKUP(B159,MacReports!B:B,MacReports!D:D,"")</f>
        <v/>
      </c>
      <c r="G159" s="13">
        <f>MacReports!E159</f>
        <v>0</v>
      </c>
      <c r="H159" t="e">
        <f>_xlfn.XLOOKUP(G159,Models!A:A,Models!B:B)</f>
        <v>#N/A</v>
      </c>
      <c r="I159" t="e">
        <f>_xlfn.XLOOKUP(G159,Models!A:A,Models!E:E)</f>
        <v>#N/A</v>
      </c>
      <c r="J159" t="e">
        <f>_xlfn.XLOOKUP(G159,Models!A:A,Models!D:D)</f>
        <v>#N/A</v>
      </c>
      <c r="K159">
        <f>MacReports!F159</f>
        <v>0</v>
      </c>
      <c r="L159">
        <f>MacReports!G159</f>
        <v>0</v>
      </c>
      <c r="M159" s="15" t="e" cm="1">
        <f t="array" ref="M159">--_xlfn.LET(
    _xlpm.txt, MacReports!H159,
    _xlpm.chars, MID(_xlpm.txt, _xlfn.SEQUENCE(LEN(_xlpm.txt)), 1),
    _xlfn.TEXTJOIN("", TRUE, IF(ISNUMBER(--_xlpm.chars), _xlpm.chars, ""))
)</f>
        <v>#VALUE!</v>
      </c>
      <c r="N159" s="16" t="str" cm="1">
        <f t="array" ref="N159">_xlfn.IFS(
   --MacReports!M159&lt;55,"Battery Defect",
  -- MacReports!M159&lt;=69,"Battery D",
  --MacReports!M159&lt;=80,"Battery C",
 --MacReports!M159&gt;80,""
)</f>
        <v>Battery Defect</v>
      </c>
      <c r="O159" s="16" t="str">
        <f>IF(MacReports!I159="Service","Battery Service","")</f>
        <v/>
      </c>
      <c r="P159" s="13">
        <f>MacReports!P159</f>
        <v>0</v>
      </c>
      <c r="Q159" s="13" t="str">
        <f>IF(MacReports!J159="Enabled","Apple ID Lock","")</f>
        <v/>
      </c>
      <c r="R159" s="13" t="str">
        <f>IF(MacReports!L159="y","Remote Locked","")</f>
        <v/>
      </c>
      <c r="S159" t="str">
        <f t="shared" si="5"/>
        <v>Battery Defect, 0</v>
      </c>
      <c r="T159" t="str">
        <f>_xlfn.XLOOKUP(B159,Disk_Pivot!G:G,Disk_Pivot!I:I)</f>
        <v>Yes</v>
      </c>
      <c r="U159" t="str">
        <f>_xlfn.XLOOKUP(B159,Disk_Pivot!G:G,Disk_Pivot!N:N)</f>
        <v>Fail</v>
      </c>
      <c r="V159">
        <f>IF(U159="Fail",MacReports!N159,"")</f>
        <v>0</v>
      </c>
      <c r="AB159" t="str">
        <f t="shared" si="6"/>
        <v/>
      </c>
    </row>
    <row r="160" spans="1:28">
      <c r="A160" t="str">
        <f>MacReports!A160</f>
        <v/>
      </c>
      <c r="B160">
        <f>MacReports!B160</f>
        <v>0</v>
      </c>
      <c r="C160">
        <f>MacReports!C160</f>
        <v>0</v>
      </c>
      <c r="E160" t="e">
        <f>_xlfn.XLOOKUP(G160,Models!A:A,Models!F:F)</f>
        <v>#N/A</v>
      </c>
      <c r="F160" t="str">
        <f>_xlfn.XLOOKUP(B160,MacReports!B:B,MacReports!D:D,"")</f>
        <v/>
      </c>
      <c r="G160" s="13">
        <f>MacReports!E160</f>
        <v>0</v>
      </c>
      <c r="H160" t="e">
        <f>_xlfn.XLOOKUP(G160,Models!A:A,Models!B:B)</f>
        <v>#N/A</v>
      </c>
      <c r="I160" t="e">
        <f>_xlfn.XLOOKUP(G160,Models!A:A,Models!E:E)</f>
        <v>#N/A</v>
      </c>
      <c r="J160" t="e">
        <f>_xlfn.XLOOKUP(G160,Models!A:A,Models!D:D)</f>
        <v>#N/A</v>
      </c>
      <c r="K160">
        <f>MacReports!F160</f>
        <v>0</v>
      </c>
      <c r="L160">
        <f>MacReports!G160</f>
        <v>0</v>
      </c>
      <c r="M160" s="15" t="e" cm="1">
        <f t="array" ref="M160">--_xlfn.LET(
    _xlpm.txt, MacReports!H160,
    _xlpm.chars, MID(_xlpm.txt, _xlfn.SEQUENCE(LEN(_xlpm.txt)), 1),
    _xlfn.TEXTJOIN("", TRUE, IF(ISNUMBER(--_xlpm.chars), _xlpm.chars, ""))
)</f>
        <v>#VALUE!</v>
      </c>
      <c r="N160" s="16" t="str" cm="1">
        <f t="array" ref="N160">_xlfn.IFS(
   --MacReports!M160&lt;55,"Battery Defect",
  -- MacReports!M160&lt;=69,"Battery D",
  --MacReports!M160&lt;=80,"Battery C",
 --MacReports!M160&gt;80,""
)</f>
        <v>Battery Defect</v>
      </c>
      <c r="O160" s="16" t="str">
        <f>IF(MacReports!I160="Service","Battery Service","")</f>
        <v/>
      </c>
      <c r="P160" s="13">
        <f>MacReports!P160</f>
        <v>0</v>
      </c>
      <c r="Q160" s="13" t="str">
        <f>IF(MacReports!J160="Enabled","Apple ID Lock","")</f>
        <v/>
      </c>
      <c r="R160" s="13" t="str">
        <f>IF(MacReports!L160="y","Remote Locked","")</f>
        <v/>
      </c>
      <c r="S160" t="str">
        <f t="shared" si="5"/>
        <v>Battery Defect, 0</v>
      </c>
      <c r="T160" t="str">
        <f>_xlfn.XLOOKUP(B160,Disk_Pivot!G:G,Disk_Pivot!I:I)</f>
        <v>Yes</v>
      </c>
      <c r="U160" t="str">
        <f>_xlfn.XLOOKUP(B160,Disk_Pivot!G:G,Disk_Pivot!N:N)</f>
        <v>Fail</v>
      </c>
      <c r="V160">
        <f>IF(U160="Fail",MacReports!N160,"")</f>
        <v>0</v>
      </c>
      <c r="AB160" t="str">
        <f t="shared" si="6"/>
        <v/>
      </c>
    </row>
    <row r="161" spans="1:28">
      <c r="A161" t="str">
        <f>MacReports!A161</f>
        <v/>
      </c>
      <c r="B161">
        <f>MacReports!B161</f>
        <v>0</v>
      </c>
      <c r="C161">
        <f>MacReports!C161</f>
        <v>0</v>
      </c>
      <c r="E161" t="e">
        <f>_xlfn.XLOOKUP(G161,Models!A:A,Models!F:F)</f>
        <v>#N/A</v>
      </c>
      <c r="F161" t="str">
        <f>_xlfn.XLOOKUP(B161,MacReports!B:B,MacReports!D:D,"")</f>
        <v/>
      </c>
      <c r="G161" s="13">
        <f>MacReports!E161</f>
        <v>0</v>
      </c>
      <c r="H161" t="e">
        <f>_xlfn.XLOOKUP(G161,Models!A:A,Models!B:B)</f>
        <v>#N/A</v>
      </c>
      <c r="I161" t="e">
        <f>_xlfn.XLOOKUP(G161,Models!A:A,Models!E:E)</f>
        <v>#N/A</v>
      </c>
      <c r="J161" t="e">
        <f>_xlfn.XLOOKUP(G161,Models!A:A,Models!D:D)</f>
        <v>#N/A</v>
      </c>
      <c r="K161">
        <f>MacReports!F161</f>
        <v>0</v>
      </c>
      <c r="L161">
        <f>MacReports!G161</f>
        <v>0</v>
      </c>
      <c r="M161" s="15" t="e" cm="1">
        <f t="array" ref="M161">--_xlfn.LET(
    _xlpm.txt, MacReports!H161,
    _xlpm.chars, MID(_xlpm.txt, _xlfn.SEQUENCE(LEN(_xlpm.txt)), 1),
    _xlfn.TEXTJOIN("", TRUE, IF(ISNUMBER(--_xlpm.chars), _xlpm.chars, ""))
)</f>
        <v>#VALUE!</v>
      </c>
      <c r="N161" s="16" t="str" cm="1">
        <f t="array" ref="N161">_xlfn.IFS(
   --MacReports!M161&lt;55,"Battery Defect",
  -- MacReports!M161&lt;=69,"Battery D",
  --MacReports!M161&lt;=80,"Battery C",
 --MacReports!M161&gt;80,""
)</f>
        <v>Battery Defect</v>
      </c>
      <c r="O161" s="16" t="str">
        <f>IF(MacReports!I161="Service","Battery Service","")</f>
        <v/>
      </c>
      <c r="P161" s="13">
        <f>MacReports!P161</f>
        <v>0</v>
      </c>
      <c r="Q161" s="13" t="str">
        <f>IF(MacReports!J161="Enabled","Apple ID Lock","")</f>
        <v/>
      </c>
      <c r="R161" s="13" t="str">
        <f>IF(MacReports!L161="y","Remote Locked","")</f>
        <v/>
      </c>
      <c r="S161" t="str">
        <f t="shared" si="5"/>
        <v>Battery Defect, 0</v>
      </c>
      <c r="T161" t="str">
        <f>_xlfn.XLOOKUP(B161,Disk_Pivot!G:G,Disk_Pivot!I:I)</f>
        <v>Yes</v>
      </c>
      <c r="U161" t="str">
        <f>_xlfn.XLOOKUP(B161,Disk_Pivot!G:G,Disk_Pivot!N:N)</f>
        <v>Fail</v>
      </c>
      <c r="V161">
        <f>IF(U161="Fail",MacReports!N161,"")</f>
        <v>0</v>
      </c>
      <c r="AB161" t="str">
        <f t="shared" si="6"/>
        <v/>
      </c>
    </row>
    <row r="162" spans="1:28">
      <c r="A162" t="str">
        <f>MacReports!A162</f>
        <v/>
      </c>
      <c r="B162">
        <f>MacReports!B162</f>
        <v>0</v>
      </c>
      <c r="C162">
        <f>MacReports!C162</f>
        <v>0</v>
      </c>
      <c r="E162" t="e">
        <f>_xlfn.XLOOKUP(G162,Models!A:A,Models!F:F)</f>
        <v>#N/A</v>
      </c>
      <c r="F162" t="str">
        <f>_xlfn.XLOOKUP(B162,MacReports!B:B,MacReports!D:D,"")</f>
        <v/>
      </c>
      <c r="G162" s="13">
        <f>MacReports!E162</f>
        <v>0</v>
      </c>
      <c r="H162" t="e">
        <f>_xlfn.XLOOKUP(G162,Models!A:A,Models!B:B)</f>
        <v>#N/A</v>
      </c>
      <c r="I162" t="e">
        <f>_xlfn.XLOOKUP(G162,Models!A:A,Models!E:E)</f>
        <v>#N/A</v>
      </c>
      <c r="J162" t="e">
        <f>_xlfn.XLOOKUP(G162,Models!A:A,Models!D:D)</f>
        <v>#N/A</v>
      </c>
      <c r="K162">
        <f>MacReports!F162</f>
        <v>0</v>
      </c>
      <c r="L162">
        <f>MacReports!G162</f>
        <v>0</v>
      </c>
      <c r="M162" s="15" t="e" cm="1">
        <f t="array" ref="M162">--_xlfn.LET(
    _xlpm.txt, MacReports!H162,
    _xlpm.chars, MID(_xlpm.txt, _xlfn.SEQUENCE(LEN(_xlpm.txt)), 1),
    _xlfn.TEXTJOIN("", TRUE, IF(ISNUMBER(--_xlpm.chars), _xlpm.chars, ""))
)</f>
        <v>#VALUE!</v>
      </c>
      <c r="N162" s="16" t="str" cm="1">
        <f t="array" ref="N162">_xlfn.IFS(
   --MacReports!M162&lt;55,"Battery Defect",
  -- MacReports!M162&lt;=69,"Battery D",
  --MacReports!M162&lt;=80,"Battery C",
 --MacReports!M162&gt;80,""
)</f>
        <v>Battery Defect</v>
      </c>
      <c r="O162" s="16" t="str">
        <f>IF(MacReports!I162="Service","Battery Service","")</f>
        <v/>
      </c>
      <c r="P162" s="13">
        <f>MacReports!P162</f>
        <v>0</v>
      </c>
      <c r="Q162" s="13" t="str">
        <f>IF(MacReports!J162="Enabled","Apple ID Lock","")</f>
        <v/>
      </c>
      <c r="R162" s="13" t="str">
        <f>IF(MacReports!L162="y","Remote Locked","")</f>
        <v/>
      </c>
      <c r="S162" t="str">
        <f t="shared" si="5"/>
        <v>Battery Defect, 0</v>
      </c>
      <c r="T162" t="str">
        <f>_xlfn.XLOOKUP(B162,Disk_Pivot!G:G,Disk_Pivot!I:I)</f>
        <v>Yes</v>
      </c>
      <c r="U162" t="str">
        <f>_xlfn.XLOOKUP(B162,Disk_Pivot!G:G,Disk_Pivot!N:N)</f>
        <v>Fail</v>
      </c>
      <c r="V162">
        <f>IF(U162="Fail",MacReports!N162,"")</f>
        <v>0</v>
      </c>
      <c r="AB162" t="str">
        <f t="shared" si="6"/>
        <v/>
      </c>
    </row>
    <row r="163" spans="1:28">
      <c r="A163" t="str">
        <f>MacReports!A163</f>
        <v/>
      </c>
      <c r="B163">
        <f>MacReports!B163</f>
        <v>0</v>
      </c>
      <c r="C163">
        <f>MacReports!C163</f>
        <v>0</v>
      </c>
      <c r="E163" t="e">
        <f>_xlfn.XLOOKUP(G163,Models!A:A,Models!F:F)</f>
        <v>#N/A</v>
      </c>
      <c r="F163" t="str">
        <f>_xlfn.XLOOKUP(B163,MacReports!B:B,MacReports!D:D,"")</f>
        <v/>
      </c>
      <c r="G163" s="13">
        <f>MacReports!E163</f>
        <v>0</v>
      </c>
      <c r="H163" t="e">
        <f>_xlfn.XLOOKUP(G163,Models!A:A,Models!B:B)</f>
        <v>#N/A</v>
      </c>
      <c r="I163" t="e">
        <f>_xlfn.XLOOKUP(G163,Models!A:A,Models!E:E)</f>
        <v>#N/A</v>
      </c>
      <c r="J163" t="e">
        <f>_xlfn.XLOOKUP(G163,Models!A:A,Models!D:D)</f>
        <v>#N/A</v>
      </c>
      <c r="K163">
        <f>MacReports!F163</f>
        <v>0</v>
      </c>
      <c r="L163">
        <f>MacReports!G163</f>
        <v>0</v>
      </c>
      <c r="M163" s="15" t="e" cm="1">
        <f t="array" ref="M163">--_xlfn.LET(
    _xlpm.txt, MacReports!H163,
    _xlpm.chars, MID(_xlpm.txt, _xlfn.SEQUENCE(LEN(_xlpm.txt)), 1),
    _xlfn.TEXTJOIN("", TRUE, IF(ISNUMBER(--_xlpm.chars), _xlpm.chars, ""))
)</f>
        <v>#VALUE!</v>
      </c>
      <c r="N163" s="16" t="str" cm="1">
        <f t="array" ref="N163">_xlfn.IFS(
   --MacReports!M163&lt;55,"Battery Defect",
  -- MacReports!M163&lt;=69,"Battery D",
  --MacReports!M163&lt;=80,"Battery C",
 --MacReports!M163&gt;80,""
)</f>
        <v>Battery Defect</v>
      </c>
      <c r="O163" s="16" t="str">
        <f>IF(MacReports!I163="Service","Battery Service","")</f>
        <v/>
      </c>
      <c r="P163" s="13">
        <f>MacReports!P163</f>
        <v>0</v>
      </c>
      <c r="Q163" s="13" t="str">
        <f>IF(MacReports!J163="Enabled","Apple ID Lock","")</f>
        <v/>
      </c>
      <c r="R163" s="13" t="str">
        <f>IF(MacReports!L163="y","Remote Locked","")</f>
        <v/>
      </c>
      <c r="S163" t="str">
        <f t="shared" ref="S163:S226" si="7">_xlfn.TEXTJOIN(", ",TRUE,Q163,R163,N163,O163,P163)</f>
        <v>Battery Defect, 0</v>
      </c>
      <c r="T163" t="str">
        <f>_xlfn.XLOOKUP(B163,Disk_Pivot!G:G,Disk_Pivot!I:I)</f>
        <v>Yes</v>
      </c>
      <c r="U163" t="str">
        <f>_xlfn.XLOOKUP(B163,Disk_Pivot!G:G,Disk_Pivot!N:N)</f>
        <v>Fail</v>
      </c>
      <c r="V163">
        <f>IF(U163="Fail",MacReports!N163,"")</f>
        <v>0</v>
      </c>
      <c r="AB163" t="str">
        <f t="shared" ref="AB163:AB226" si="8">_xlfn.TEXTJOIN(", ",TRUE,Q163,R163)</f>
        <v/>
      </c>
    </row>
    <row r="164" spans="1:28">
      <c r="A164" t="str">
        <f>MacReports!A164</f>
        <v/>
      </c>
      <c r="B164">
        <f>MacReports!B164</f>
        <v>0</v>
      </c>
      <c r="C164">
        <f>MacReports!C164</f>
        <v>0</v>
      </c>
      <c r="E164" t="e">
        <f>_xlfn.XLOOKUP(G164,Models!A:A,Models!F:F)</f>
        <v>#N/A</v>
      </c>
      <c r="F164" t="str">
        <f>_xlfn.XLOOKUP(B164,MacReports!B:B,MacReports!D:D,"")</f>
        <v/>
      </c>
      <c r="G164" s="13">
        <f>MacReports!E164</f>
        <v>0</v>
      </c>
      <c r="H164" t="e">
        <f>_xlfn.XLOOKUP(G164,Models!A:A,Models!B:B)</f>
        <v>#N/A</v>
      </c>
      <c r="I164" t="e">
        <f>_xlfn.XLOOKUP(G164,Models!A:A,Models!E:E)</f>
        <v>#N/A</v>
      </c>
      <c r="J164" t="e">
        <f>_xlfn.XLOOKUP(G164,Models!A:A,Models!D:D)</f>
        <v>#N/A</v>
      </c>
      <c r="K164">
        <f>MacReports!F164</f>
        <v>0</v>
      </c>
      <c r="L164">
        <f>MacReports!G164</f>
        <v>0</v>
      </c>
      <c r="M164" s="15" t="e" cm="1">
        <f t="array" ref="M164">--_xlfn.LET(
    _xlpm.txt, MacReports!H164,
    _xlpm.chars, MID(_xlpm.txt, _xlfn.SEQUENCE(LEN(_xlpm.txt)), 1),
    _xlfn.TEXTJOIN("", TRUE, IF(ISNUMBER(--_xlpm.chars), _xlpm.chars, ""))
)</f>
        <v>#VALUE!</v>
      </c>
      <c r="N164" s="16" t="str" cm="1">
        <f t="array" ref="N164">_xlfn.IFS(
   --MacReports!M164&lt;55,"Battery Defect",
  -- MacReports!M164&lt;=69,"Battery D",
  --MacReports!M164&lt;=80,"Battery C",
 --MacReports!M164&gt;80,""
)</f>
        <v>Battery Defect</v>
      </c>
      <c r="O164" s="16" t="str">
        <f>IF(MacReports!I164="Service","Battery Service","")</f>
        <v/>
      </c>
      <c r="P164" s="13">
        <f>MacReports!P164</f>
        <v>0</v>
      </c>
      <c r="Q164" s="13" t="str">
        <f>IF(MacReports!J164="Enabled","Apple ID Lock","")</f>
        <v/>
      </c>
      <c r="R164" s="13" t="str">
        <f>IF(MacReports!L164="y","Remote Locked","")</f>
        <v/>
      </c>
      <c r="S164" t="str">
        <f t="shared" si="7"/>
        <v>Battery Defect, 0</v>
      </c>
      <c r="T164" t="str">
        <f>_xlfn.XLOOKUP(B164,Disk_Pivot!G:G,Disk_Pivot!I:I)</f>
        <v>Yes</v>
      </c>
      <c r="U164" t="str">
        <f>_xlfn.XLOOKUP(B164,Disk_Pivot!G:G,Disk_Pivot!N:N)</f>
        <v>Fail</v>
      </c>
      <c r="V164">
        <f>IF(U164="Fail",MacReports!N164,"")</f>
        <v>0</v>
      </c>
      <c r="AB164" t="str">
        <f t="shared" si="8"/>
        <v/>
      </c>
    </row>
    <row r="165" spans="1:28">
      <c r="A165" t="str">
        <f>MacReports!A165</f>
        <v/>
      </c>
      <c r="B165">
        <f>MacReports!B165</f>
        <v>0</v>
      </c>
      <c r="C165">
        <f>MacReports!C165</f>
        <v>0</v>
      </c>
      <c r="E165" t="e">
        <f>_xlfn.XLOOKUP(G165,Models!A:A,Models!F:F)</f>
        <v>#N/A</v>
      </c>
      <c r="F165" t="str">
        <f>_xlfn.XLOOKUP(B165,MacReports!B:B,MacReports!D:D,"")</f>
        <v/>
      </c>
      <c r="G165" s="13">
        <f>MacReports!E165</f>
        <v>0</v>
      </c>
      <c r="H165" t="e">
        <f>_xlfn.XLOOKUP(G165,Models!A:A,Models!B:B)</f>
        <v>#N/A</v>
      </c>
      <c r="I165" t="e">
        <f>_xlfn.XLOOKUP(G165,Models!A:A,Models!E:E)</f>
        <v>#N/A</v>
      </c>
      <c r="J165" t="e">
        <f>_xlfn.XLOOKUP(G165,Models!A:A,Models!D:D)</f>
        <v>#N/A</v>
      </c>
      <c r="K165">
        <f>MacReports!F165</f>
        <v>0</v>
      </c>
      <c r="L165">
        <f>MacReports!G165</f>
        <v>0</v>
      </c>
      <c r="M165" s="15" t="e" cm="1">
        <f t="array" ref="M165">--_xlfn.LET(
    _xlpm.txt, MacReports!H165,
    _xlpm.chars, MID(_xlpm.txt, _xlfn.SEQUENCE(LEN(_xlpm.txt)), 1),
    _xlfn.TEXTJOIN("", TRUE, IF(ISNUMBER(--_xlpm.chars), _xlpm.chars, ""))
)</f>
        <v>#VALUE!</v>
      </c>
      <c r="N165" s="16" t="str" cm="1">
        <f t="array" ref="N165">_xlfn.IFS(
   --MacReports!M165&lt;55,"Battery Defect",
  -- MacReports!M165&lt;=69,"Battery D",
  --MacReports!M165&lt;=80,"Battery C",
 --MacReports!M165&gt;80,""
)</f>
        <v>Battery Defect</v>
      </c>
      <c r="O165" s="16" t="str">
        <f>IF(MacReports!I165="Service","Battery Service","")</f>
        <v/>
      </c>
      <c r="P165" s="13">
        <f>MacReports!P165</f>
        <v>0</v>
      </c>
      <c r="Q165" s="13" t="str">
        <f>IF(MacReports!J165="Enabled","Apple ID Lock","")</f>
        <v/>
      </c>
      <c r="R165" s="13" t="str">
        <f>IF(MacReports!L165="y","Remote Locked","")</f>
        <v/>
      </c>
      <c r="S165" t="str">
        <f t="shared" si="7"/>
        <v>Battery Defect, 0</v>
      </c>
      <c r="T165" t="str">
        <f>_xlfn.XLOOKUP(B165,Disk_Pivot!G:G,Disk_Pivot!I:I)</f>
        <v>Yes</v>
      </c>
      <c r="U165" t="str">
        <f>_xlfn.XLOOKUP(B165,Disk_Pivot!G:G,Disk_Pivot!N:N)</f>
        <v>Fail</v>
      </c>
      <c r="V165">
        <f>IF(U165="Fail",MacReports!N165,"")</f>
        <v>0</v>
      </c>
      <c r="AB165" t="str">
        <f t="shared" si="8"/>
        <v/>
      </c>
    </row>
    <row r="166" spans="1:28">
      <c r="A166" t="str">
        <f>MacReports!A166</f>
        <v/>
      </c>
      <c r="B166">
        <f>MacReports!B166</f>
        <v>0</v>
      </c>
      <c r="C166">
        <f>MacReports!C166</f>
        <v>0</v>
      </c>
      <c r="E166" t="e">
        <f>_xlfn.XLOOKUP(G166,Models!A:A,Models!F:F)</f>
        <v>#N/A</v>
      </c>
      <c r="F166" t="str">
        <f>_xlfn.XLOOKUP(B166,MacReports!B:B,MacReports!D:D,"")</f>
        <v/>
      </c>
      <c r="G166" s="13">
        <f>MacReports!E166</f>
        <v>0</v>
      </c>
      <c r="H166" t="e">
        <f>_xlfn.XLOOKUP(G166,Models!A:A,Models!B:B)</f>
        <v>#N/A</v>
      </c>
      <c r="I166" t="e">
        <f>_xlfn.XLOOKUP(G166,Models!A:A,Models!E:E)</f>
        <v>#N/A</v>
      </c>
      <c r="J166" t="e">
        <f>_xlfn.XLOOKUP(G166,Models!A:A,Models!D:D)</f>
        <v>#N/A</v>
      </c>
      <c r="K166">
        <f>MacReports!F166</f>
        <v>0</v>
      </c>
      <c r="L166">
        <f>MacReports!G166</f>
        <v>0</v>
      </c>
      <c r="M166" s="15" t="e" cm="1">
        <f t="array" ref="M166">--_xlfn.LET(
    _xlpm.txt, MacReports!H166,
    _xlpm.chars, MID(_xlpm.txt, _xlfn.SEQUENCE(LEN(_xlpm.txt)), 1),
    _xlfn.TEXTJOIN("", TRUE, IF(ISNUMBER(--_xlpm.chars), _xlpm.chars, ""))
)</f>
        <v>#VALUE!</v>
      </c>
      <c r="N166" s="16" t="str" cm="1">
        <f t="array" ref="N166">_xlfn.IFS(
   --MacReports!M166&lt;55,"Battery Defect",
  -- MacReports!M166&lt;=69,"Battery D",
  --MacReports!M166&lt;=80,"Battery C",
 --MacReports!M166&gt;80,""
)</f>
        <v>Battery Defect</v>
      </c>
      <c r="O166" s="16" t="str">
        <f>IF(MacReports!I166="Service","Battery Service","")</f>
        <v/>
      </c>
      <c r="P166" s="13">
        <f>MacReports!P166</f>
        <v>0</v>
      </c>
      <c r="Q166" s="13" t="str">
        <f>IF(MacReports!J166="Enabled","Apple ID Lock","")</f>
        <v/>
      </c>
      <c r="R166" s="13" t="str">
        <f>IF(MacReports!L166="y","Remote Locked","")</f>
        <v/>
      </c>
      <c r="S166" t="str">
        <f t="shared" si="7"/>
        <v>Battery Defect, 0</v>
      </c>
      <c r="T166" t="str">
        <f>_xlfn.XLOOKUP(B166,Disk_Pivot!G:G,Disk_Pivot!I:I)</f>
        <v>Yes</v>
      </c>
      <c r="U166" t="str">
        <f>_xlfn.XLOOKUP(B166,Disk_Pivot!G:G,Disk_Pivot!N:N)</f>
        <v>Fail</v>
      </c>
      <c r="V166">
        <f>IF(U166="Fail",MacReports!N166,"")</f>
        <v>0</v>
      </c>
      <c r="AB166" t="str">
        <f t="shared" si="8"/>
        <v/>
      </c>
    </row>
    <row r="167" spans="1:28">
      <c r="A167" t="str">
        <f>MacReports!A167</f>
        <v/>
      </c>
      <c r="B167">
        <f>MacReports!B167</f>
        <v>0</v>
      </c>
      <c r="C167">
        <f>MacReports!C167</f>
        <v>0</v>
      </c>
      <c r="E167" t="e">
        <f>_xlfn.XLOOKUP(G167,Models!A:A,Models!F:F)</f>
        <v>#N/A</v>
      </c>
      <c r="F167" t="str">
        <f>_xlfn.XLOOKUP(B167,MacReports!B:B,MacReports!D:D,"")</f>
        <v/>
      </c>
      <c r="G167" s="13">
        <f>MacReports!E167</f>
        <v>0</v>
      </c>
      <c r="H167" t="e">
        <f>_xlfn.XLOOKUP(G167,Models!A:A,Models!B:B)</f>
        <v>#N/A</v>
      </c>
      <c r="I167" t="e">
        <f>_xlfn.XLOOKUP(G167,Models!A:A,Models!E:E)</f>
        <v>#N/A</v>
      </c>
      <c r="J167" t="e">
        <f>_xlfn.XLOOKUP(G167,Models!A:A,Models!D:D)</f>
        <v>#N/A</v>
      </c>
      <c r="K167">
        <f>MacReports!F167</f>
        <v>0</v>
      </c>
      <c r="L167">
        <f>MacReports!G167</f>
        <v>0</v>
      </c>
      <c r="M167" s="15" t="e" cm="1">
        <f t="array" ref="M167">--_xlfn.LET(
    _xlpm.txt, MacReports!H167,
    _xlpm.chars, MID(_xlpm.txt, _xlfn.SEQUENCE(LEN(_xlpm.txt)), 1),
    _xlfn.TEXTJOIN("", TRUE, IF(ISNUMBER(--_xlpm.chars), _xlpm.chars, ""))
)</f>
        <v>#VALUE!</v>
      </c>
      <c r="N167" s="16" t="str" cm="1">
        <f t="array" ref="N167">_xlfn.IFS(
   --MacReports!M167&lt;55,"Battery Defect",
  -- MacReports!M167&lt;=69,"Battery D",
  --MacReports!M167&lt;=80,"Battery C",
 --MacReports!M167&gt;80,""
)</f>
        <v>Battery Defect</v>
      </c>
      <c r="O167" s="16" t="str">
        <f>IF(MacReports!I167="Service","Battery Service","")</f>
        <v/>
      </c>
      <c r="P167" s="13">
        <f>MacReports!P167</f>
        <v>0</v>
      </c>
      <c r="Q167" s="13" t="str">
        <f>IF(MacReports!J167="Enabled","Apple ID Lock","")</f>
        <v/>
      </c>
      <c r="R167" s="13" t="str">
        <f>IF(MacReports!L167="y","Remote Locked","")</f>
        <v/>
      </c>
      <c r="S167" t="str">
        <f t="shared" si="7"/>
        <v>Battery Defect, 0</v>
      </c>
      <c r="T167" t="str">
        <f>_xlfn.XLOOKUP(B167,Disk_Pivot!G:G,Disk_Pivot!I:I)</f>
        <v>Yes</v>
      </c>
      <c r="U167" t="str">
        <f>_xlfn.XLOOKUP(B167,Disk_Pivot!G:G,Disk_Pivot!N:N)</f>
        <v>Fail</v>
      </c>
      <c r="V167">
        <f>IF(U167="Fail",MacReports!N167,"")</f>
        <v>0</v>
      </c>
      <c r="AB167" t="str">
        <f t="shared" si="8"/>
        <v/>
      </c>
    </row>
    <row r="168" spans="1:28">
      <c r="A168" t="str">
        <f>MacReports!A168</f>
        <v/>
      </c>
      <c r="B168">
        <f>MacReports!B168</f>
        <v>0</v>
      </c>
      <c r="C168">
        <f>MacReports!C168</f>
        <v>0</v>
      </c>
      <c r="E168" t="e">
        <f>_xlfn.XLOOKUP(G168,Models!A:A,Models!F:F)</f>
        <v>#N/A</v>
      </c>
      <c r="F168" t="str">
        <f>_xlfn.XLOOKUP(B168,MacReports!B:B,MacReports!D:D,"")</f>
        <v/>
      </c>
      <c r="G168" s="13">
        <f>MacReports!E168</f>
        <v>0</v>
      </c>
      <c r="H168" t="e">
        <f>_xlfn.XLOOKUP(G168,Models!A:A,Models!B:B)</f>
        <v>#N/A</v>
      </c>
      <c r="I168" t="e">
        <f>_xlfn.XLOOKUP(G168,Models!A:A,Models!E:E)</f>
        <v>#N/A</v>
      </c>
      <c r="J168" t="e">
        <f>_xlfn.XLOOKUP(G168,Models!A:A,Models!D:D)</f>
        <v>#N/A</v>
      </c>
      <c r="K168">
        <f>MacReports!F168</f>
        <v>0</v>
      </c>
      <c r="L168">
        <f>MacReports!G168</f>
        <v>0</v>
      </c>
      <c r="M168" s="15" t="e" cm="1">
        <f t="array" ref="M168">--_xlfn.LET(
    _xlpm.txt, MacReports!H168,
    _xlpm.chars, MID(_xlpm.txt, _xlfn.SEQUENCE(LEN(_xlpm.txt)), 1),
    _xlfn.TEXTJOIN("", TRUE, IF(ISNUMBER(--_xlpm.chars), _xlpm.chars, ""))
)</f>
        <v>#VALUE!</v>
      </c>
      <c r="N168" s="16" t="str" cm="1">
        <f t="array" ref="N168">_xlfn.IFS(
   --MacReports!M168&lt;55,"Battery Defect",
  -- MacReports!M168&lt;=69,"Battery D",
  --MacReports!M168&lt;=80,"Battery C",
 --MacReports!M168&gt;80,""
)</f>
        <v>Battery Defect</v>
      </c>
      <c r="O168" s="16" t="str">
        <f>IF(MacReports!I168="Service","Battery Service","")</f>
        <v/>
      </c>
      <c r="P168" s="13">
        <f>MacReports!P168</f>
        <v>0</v>
      </c>
      <c r="Q168" s="13" t="str">
        <f>IF(MacReports!J168="Enabled","Apple ID Lock","")</f>
        <v/>
      </c>
      <c r="R168" s="13" t="str">
        <f>IF(MacReports!L168="y","Remote Locked","")</f>
        <v/>
      </c>
      <c r="S168" t="str">
        <f t="shared" si="7"/>
        <v>Battery Defect, 0</v>
      </c>
      <c r="T168" t="str">
        <f>_xlfn.XLOOKUP(B168,Disk_Pivot!G:G,Disk_Pivot!I:I)</f>
        <v>Yes</v>
      </c>
      <c r="U168" t="str">
        <f>_xlfn.XLOOKUP(B168,Disk_Pivot!G:G,Disk_Pivot!N:N)</f>
        <v>Fail</v>
      </c>
      <c r="V168">
        <f>IF(U168="Fail",MacReports!N168,"")</f>
        <v>0</v>
      </c>
      <c r="AB168" t="str">
        <f t="shared" si="8"/>
        <v/>
      </c>
    </row>
    <row r="169" spans="1:28">
      <c r="A169" t="str">
        <f>MacReports!A169</f>
        <v/>
      </c>
      <c r="B169">
        <f>MacReports!B169</f>
        <v>0</v>
      </c>
      <c r="C169">
        <f>MacReports!C169</f>
        <v>0</v>
      </c>
      <c r="E169" t="e">
        <f>_xlfn.XLOOKUP(G169,Models!A:A,Models!F:F)</f>
        <v>#N/A</v>
      </c>
      <c r="F169" t="str">
        <f>_xlfn.XLOOKUP(B169,MacReports!B:B,MacReports!D:D,"")</f>
        <v/>
      </c>
      <c r="G169" s="13">
        <f>MacReports!E169</f>
        <v>0</v>
      </c>
      <c r="H169" t="e">
        <f>_xlfn.XLOOKUP(G169,Models!A:A,Models!B:B)</f>
        <v>#N/A</v>
      </c>
      <c r="I169" t="e">
        <f>_xlfn.XLOOKUP(G169,Models!A:A,Models!E:E)</f>
        <v>#N/A</v>
      </c>
      <c r="J169" t="e">
        <f>_xlfn.XLOOKUP(G169,Models!A:A,Models!D:D)</f>
        <v>#N/A</v>
      </c>
      <c r="K169">
        <f>MacReports!F169</f>
        <v>0</v>
      </c>
      <c r="L169">
        <f>MacReports!G169</f>
        <v>0</v>
      </c>
      <c r="M169" s="15" t="e" cm="1">
        <f t="array" ref="M169">--_xlfn.LET(
    _xlpm.txt, MacReports!H169,
    _xlpm.chars, MID(_xlpm.txt, _xlfn.SEQUENCE(LEN(_xlpm.txt)), 1),
    _xlfn.TEXTJOIN("", TRUE, IF(ISNUMBER(--_xlpm.chars), _xlpm.chars, ""))
)</f>
        <v>#VALUE!</v>
      </c>
      <c r="N169" s="16" t="str" cm="1">
        <f t="array" ref="N169">_xlfn.IFS(
   --MacReports!M169&lt;55,"Battery Defect",
  -- MacReports!M169&lt;=69,"Battery D",
  --MacReports!M169&lt;=80,"Battery C",
 --MacReports!M169&gt;80,""
)</f>
        <v>Battery Defect</v>
      </c>
      <c r="O169" s="16" t="str">
        <f>IF(MacReports!I169="Service","Battery Service","")</f>
        <v/>
      </c>
      <c r="P169" s="13">
        <f>MacReports!P169</f>
        <v>0</v>
      </c>
      <c r="Q169" s="13" t="str">
        <f>IF(MacReports!J169="Enabled","Apple ID Lock","")</f>
        <v/>
      </c>
      <c r="R169" s="13" t="str">
        <f>IF(MacReports!L169="y","Remote Locked","")</f>
        <v/>
      </c>
      <c r="S169" t="str">
        <f t="shared" si="7"/>
        <v>Battery Defect, 0</v>
      </c>
      <c r="T169" t="str">
        <f>_xlfn.XLOOKUP(B169,Disk_Pivot!G:G,Disk_Pivot!I:I)</f>
        <v>Yes</v>
      </c>
      <c r="U169" t="str">
        <f>_xlfn.XLOOKUP(B169,Disk_Pivot!G:G,Disk_Pivot!N:N)</f>
        <v>Fail</v>
      </c>
      <c r="V169">
        <f>IF(U169="Fail",MacReports!N169,"")</f>
        <v>0</v>
      </c>
      <c r="AB169" t="str">
        <f t="shared" si="8"/>
        <v/>
      </c>
    </row>
    <row r="170" spans="1:28">
      <c r="A170" t="str">
        <f>MacReports!A170</f>
        <v/>
      </c>
      <c r="B170">
        <f>MacReports!B170</f>
        <v>0</v>
      </c>
      <c r="C170">
        <f>MacReports!C170</f>
        <v>0</v>
      </c>
      <c r="E170" t="e">
        <f>_xlfn.XLOOKUP(G170,Models!A:A,Models!F:F)</f>
        <v>#N/A</v>
      </c>
      <c r="F170" t="str">
        <f>_xlfn.XLOOKUP(B170,MacReports!B:B,MacReports!D:D,"")</f>
        <v/>
      </c>
      <c r="G170" s="13">
        <f>MacReports!E170</f>
        <v>0</v>
      </c>
      <c r="H170" t="e">
        <f>_xlfn.XLOOKUP(G170,Models!A:A,Models!B:B)</f>
        <v>#N/A</v>
      </c>
      <c r="I170" t="e">
        <f>_xlfn.XLOOKUP(G170,Models!A:A,Models!E:E)</f>
        <v>#N/A</v>
      </c>
      <c r="J170" t="e">
        <f>_xlfn.XLOOKUP(G170,Models!A:A,Models!D:D)</f>
        <v>#N/A</v>
      </c>
      <c r="K170">
        <f>MacReports!F170</f>
        <v>0</v>
      </c>
      <c r="L170">
        <f>MacReports!G170</f>
        <v>0</v>
      </c>
      <c r="M170" s="15" t="e" cm="1">
        <f t="array" ref="M170">--_xlfn.LET(
    _xlpm.txt, MacReports!H170,
    _xlpm.chars, MID(_xlpm.txt, _xlfn.SEQUENCE(LEN(_xlpm.txt)), 1),
    _xlfn.TEXTJOIN("", TRUE, IF(ISNUMBER(--_xlpm.chars), _xlpm.chars, ""))
)</f>
        <v>#VALUE!</v>
      </c>
      <c r="N170" s="16" t="str" cm="1">
        <f t="array" ref="N170">_xlfn.IFS(
   --MacReports!M170&lt;55,"Battery Defect",
  -- MacReports!M170&lt;=69,"Battery D",
  --MacReports!M170&lt;=80,"Battery C",
 --MacReports!M170&gt;80,""
)</f>
        <v>Battery Defect</v>
      </c>
      <c r="O170" s="16" t="str">
        <f>IF(MacReports!I170="Service","Battery Service","")</f>
        <v/>
      </c>
      <c r="P170" s="13">
        <f>MacReports!P170</f>
        <v>0</v>
      </c>
      <c r="Q170" s="13" t="str">
        <f>IF(MacReports!J170="Enabled","Apple ID Lock","")</f>
        <v/>
      </c>
      <c r="R170" s="13" t="str">
        <f>IF(MacReports!L170="y","Remote Locked","")</f>
        <v/>
      </c>
      <c r="S170" t="str">
        <f t="shared" si="7"/>
        <v>Battery Defect, 0</v>
      </c>
      <c r="T170" t="str">
        <f>_xlfn.XLOOKUP(B170,Disk_Pivot!G:G,Disk_Pivot!I:I)</f>
        <v>Yes</v>
      </c>
      <c r="U170" t="str">
        <f>_xlfn.XLOOKUP(B170,Disk_Pivot!G:G,Disk_Pivot!N:N)</f>
        <v>Fail</v>
      </c>
      <c r="V170">
        <f>IF(U170="Fail",MacReports!N170,"")</f>
        <v>0</v>
      </c>
      <c r="AB170" t="str">
        <f t="shared" si="8"/>
        <v/>
      </c>
    </row>
    <row r="171" spans="1:28">
      <c r="A171" t="str">
        <f>MacReports!A171</f>
        <v/>
      </c>
      <c r="B171">
        <f>MacReports!B171</f>
        <v>0</v>
      </c>
      <c r="C171">
        <f>MacReports!C171</f>
        <v>0</v>
      </c>
      <c r="E171" t="e">
        <f>_xlfn.XLOOKUP(G171,Models!A:A,Models!F:F)</f>
        <v>#N/A</v>
      </c>
      <c r="F171" t="str">
        <f>_xlfn.XLOOKUP(B171,MacReports!B:B,MacReports!D:D,"")</f>
        <v/>
      </c>
      <c r="G171" s="13">
        <f>MacReports!E171</f>
        <v>0</v>
      </c>
      <c r="H171" t="e">
        <f>_xlfn.XLOOKUP(G171,Models!A:A,Models!B:B)</f>
        <v>#N/A</v>
      </c>
      <c r="I171" t="e">
        <f>_xlfn.XLOOKUP(G171,Models!A:A,Models!E:E)</f>
        <v>#N/A</v>
      </c>
      <c r="J171" t="e">
        <f>_xlfn.XLOOKUP(G171,Models!A:A,Models!D:D)</f>
        <v>#N/A</v>
      </c>
      <c r="K171">
        <f>MacReports!F171</f>
        <v>0</v>
      </c>
      <c r="L171">
        <f>MacReports!G171</f>
        <v>0</v>
      </c>
      <c r="M171" s="15" t="e" cm="1">
        <f t="array" ref="M171">--_xlfn.LET(
    _xlpm.txt, MacReports!H171,
    _xlpm.chars, MID(_xlpm.txt, _xlfn.SEQUENCE(LEN(_xlpm.txt)), 1),
    _xlfn.TEXTJOIN("", TRUE, IF(ISNUMBER(--_xlpm.chars), _xlpm.chars, ""))
)</f>
        <v>#VALUE!</v>
      </c>
      <c r="N171" s="16" t="str" cm="1">
        <f t="array" ref="N171">_xlfn.IFS(
   --MacReports!M171&lt;55,"Battery Defect",
  -- MacReports!M171&lt;=69,"Battery D",
  --MacReports!M171&lt;=80,"Battery C",
 --MacReports!M171&gt;80,""
)</f>
        <v>Battery Defect</v>
      </c>
      <c r="O171" s="16" t="str">
        <f>IF(MacReports!I171="Service","Battery Service","")</f>
        <v/>
      </c>
      <c r="P171" s="13">
        <f>MacReports!P171</f>
        <v>0</v>
      </c>
      <c r="Q171" s="13" t="str">
        <f>IF(MacReports!J171="Enabled","Apple ID Lock","")</f>
        <v/>
      </c>
      <c r="R171" s="13" t="str">
        <f>IF(MacReports!L171="y","Remote Locked","")</f>
        <v/>
      </c>
      <c r="S171" t="str">
        <f t="shared" si="7"/>
        <v>Battery Defect, 0</v>
      </c>
      <c r="T171" t="str">
        <f>_xlfn.XLOOKUP(B171,Disk_Pivot!G:G,Disk_Pivot!I:I)</f>
        <v>Yes</v>
      </c>
      <c r="U171" t="str">
        <f>_xlfn.XLOOKUP(B171,Disk_Pivot!G:G,Disk_Pivot!N:N)</f>
        <v>Fail</v>
      </c>
      <c r="V171">
        <f>IF(U171="Fail",MacReports!N171,"")</f>
        <v>0</v>
      </c>
      <c r="AB171" t="str">
        <f t="shared" si="8"/>
        <v/>
      </c>
    </row>
    <row r="172" spans="1:28">
      <c r="A172" t="str">
        <f>MacReports!A172</f>
        <v/>
      </c>
      <c r="B172">
        <f>MacReports!B172</f>
        <v>0</v>
      </c>
      <c r="C172">
        <f>MacReports!C172</f>
        <v>0</v>
      </c>
      <c r="E172" t="e">
        <f>_xlfn.XLOOKUP(G172,Models!A:A,Models!F:F)</f>
        <v>#N/A</v>
      </c>
      <c r="F172" t="str">
        <f>_xlfn.XLOOKUP(B172,MacReports!B:B,MacReports!D:D,"")</f>
        <v/>
      </c>
      <c r="G172" s="13">
        <f>MacReports!E172</f>
        <v>0</v>
      </c>
      <c r="H172" t="e">
        <f>_xlfn.XLOOKUP(G172,Models!A:A,Models!B:B)</f>
        <v>#N/A</v>
      </c>
      <c r="I172" t="e">
        <f>_xlfn.XLOOKUP(G172,Models!A:A,Models!E:E)</f>
        <v>#N/A</v>
      </c>
      <c r="J172" t="e">
        <f>_xlfn.XLOOKUP(G172,Models!A:A,Models!D:D)</f>
        <v>#N/A</v>
      </c>
      <c r="K172">
        <f>MacReports!F172</f>
        <v>0</v>
      </c>
      <c r="L172">
        <f>MacReports!G172</f>
        <v>0</v>
      </c>
      <c r="M172" s="15" t="e" cm="1">
        <f t="array" ref="M172">--_xlfn.LET(
    _xlpm.txt, MacReports!H172,
    _xlpm.chars, MID(_xlpm.txt, _xlfn.SEQUENCE(LEN(_xlpm.txt)), 1),
    _xlfn.TEXTJOIN("", TRUE, IF(ISNUMBER(--_xlpm.chars), _xlpm.chars, ""))
)</f>
        <v>#VALUE!</v>
      </c>
      <c r="N172" s="16" t="str" cm="1">
        <f t="array" ref="N172">_xlfn.IFS(
   --MacReports!M172&lt;55,"Battery Defect",
  -- MacReports!M172&lt;=69,"Battery D",
  --MacReports!M172&lt;=80,"Battery C",
 --MacReports!M172&gt;80,""
)</f>
        <v>Battery Defect</v>
      </c>
      <c r="O172" s="16" t="str">
        <f>IF(MacReports!I172="Service","Battery Service","")</f>
        <v/>
      </c>
      <c r="P172" s="13">
        <f>MacReports!P172</f>
        <v>0</v>
      </c>
      <c r="Q172" s="13" t="str">
        <f>IF(MacReports!J172="Enabled","Apple ID Lock","")</f>
        <v/>
      </c>
      <c r="R172" s="13" t="str">
        <f>IF(MacReports!L172="y","Remote Locked","")</f>
        <v/>
      </c>
      <c r="S172" t="str">
        <f t="shared" si="7"/>
        <v>Battery Defect, 0</v>
      </c>
      <c r="T172" t="str">
        <f>_xlfn.XLOOKUP(B172,Disk_Pivot!G:G,Disk_Pivot!I:I)</f>
        <v>Yes</v>
      </c>
      <c r="U172" t="str">
        <f>_xlfn.XLOOKUP(B172,Disk_Pivot!G:G,Disk_Pivot!N:N)</f>
        <v>Fail</v>
      </c>
      <c r="V172">
        <f>IF(U172="Fail",MacReports!N172,"")</f>
        <v>0</v>
      </c>
      <c r="AB172" t="str">
        <f t="shared" si="8"/>
        <v/>
      </c>
    </row>
    <row r="173" spans="1:28">
      <c r="A173" t="str">
        <f>MacReports!A173</f>
        <v/>
      </c>
      <c r="B173">
        <f>MacReports!B173</f>
        <v>0</v>
      </c>
      <c r="C173">
        <f>MacReports!C173</f>
        <v>0</v>
      </c>
      <c r="E173" t="e">
        <f>_xlfn.XLOOKUP(G173,Models!A:A,Models!F:F)</f>
        <v>#N/A</v>
      </c>
      <c r="F173" t="str">
        <f>_xlfn.XLOOKUP(B173,MacReports!B:B,MacReports!D:D,"")</f>
        <v/>
      </c>
      <c r="G173" s="13">
        <f>MacReports!E173</f>
        <v>0</v>
      </c>
      <c r="H173" t="e">
        <f>_xlfn.XLOOKUP(G173,Models!A:A,Models!B:B)</f>
        <v>#N/A</v>
      </c>
      <c r="I173" t="e">
        <f>_xlfn.XLOOKUP(G173,Models!A:A,Models!E:E)</f>
        <v>#N/A</v>
      </c>
      <c r="J173" t="e">
        <f>_xlfn.XLOOKUP(G173,Models!A:A,Models!D:D)</f>
        <v>#N/A</v>
      </c>
      <c r="K173">
        <f>MacReports!F173</f>
        <v>0</v>
      </c>
      <c r="L173">
        <f>MacReports!G173</f>
        <v>0</v>
      </c>
      <c r="M173" s="15" t="e" cm="1">
        <f t="array" ref="M173">--_xlfn.LET(
    _xlpm.txt, MacReports!H173,
    _xlpm.chars, MID(_xlpm.txt, _xlfn.SEQUENCE(LEN(_xlpm.txt)), 1),
    _xlfn.TEXTJOIN("", TRUE, IF(ISNUMBER(--_xlpm.chars), _xlpm.chars, ""))
)</f>
        <v>#VALUE!</v>
      </c>
      <c r="N173" s="16" t="str" cm="1">
        <f t="array" ref="N173">_xlfn.IFS(
   --MacReports!M173&lt;55,"Battery Defect",
  -- MacReports!M173&lt;=69,"Battery D",
  --MacReports!M173&lt;=80,"Battery C",
 --MacReports!M173&gt;80,""
)</f>
        <v>Battery Defect</v>
      </c>
      <c r="O173" s="16" t="str">
        <f>IF(MacReports!I173="Service","Battery Service","")</f>
        <v/>
      </c>
      <c r="P173" s="13">
        <f>MacReports!P173</f>
        <v>0</v>
      </c>
      <c r="Q173" s="13" t="str">
        <f>IF(MacReports!J173="Enabled","Apple ID Lock","")</f>
        <v/>
      </c>
      <c r="R173" s="13" t="str">
        <f>IF(MacReports!L173="y","Remote Locked","")</f>
        <v/>
      </c>
      <c r="S173" t="str">
        <f t="shared" si="7"/>
        <v>Battery Defect, 0</v>
      </c>
      <c r="T173" t="str">
        <f>_xlfn.XLOOKUP(B173,Disk_Pivot!G:G,Disk_Pivot!I:I)</f>
        <v>Yes</v>
      </c>
      <c r="U173" t="str">
        <f>_xlfn.XLOOKUP(B173,Disk_Pivot!G:G,Disk_Pivot!N:N)</f>
        <v>Fail</v>
      </c>
      <c r="V173">
        <f>IF(U173="Fail",MacReports!N173,"")</f>
        <v>0</v>
      </c>
      <c r="AB173" t="str">
        <f t="shared" si="8"/>
        <v/>
      </c>
    </row>
    <row r="174" spans="1:28">
      <c r="A174" t="str">
        <f>MacReports!A174</f>
        <v/>
      </c>
      <c r="B174">
        <f>MacReports!B174</f>
        <v>0</v>
      </c>
      <c r="C174">
        <f>MacReports!C174</f>
        <v>0</v>
      </c>
      <c r="E174" t="e">
        <f>_xlfn.XLOOKUP(G174,Models!A:A,Models!F:F)</f>
        <v>#N/A</v>
      </c>
      <c r="F174" t="str">
        <f>_xlfn.XLOOKUP(B174,MacReports!B:B,MacReports!D:D,"")</f>
        <v/>
      </c>
      <c r="G174" s="13">
        <f>MacReports!E174</f>
        <v>0</v>
      </c>
      <c r="H174" t="e">
        <f>_xlfn.XLOOKUP(G174,Models!A:A,Models!B:B)</f>
        <v>#N/A</v>
      </c>
      <c r="I174" t="e">
        <f>_xlfn.XLOOKUP(G174,Models!A:A,Models!E:E)</f>
        <v>#N/A</v>
      </c>
      <c r="J174" t="e">
        <f>_xlfn.XLOOKUP(G174,Models!A:A,Models!D:D)</f>
        <v>#N/A</v>
      </c>
      <c r="K174">
        <f>MacReports!F174</f>
        <v>0</v>
      </c>
      <c r="L174">
        <f>MacReports!G174</f>
        <v>0</v>
      </c>
      <c r="M174" s="15" t="e" cm="1">
        <f t="array" ref="M174">--_xlfn.LET(
    _xlpm.txt, MacReports!H174,
    _xlpm.chars, MID(_xlpm.txt, _xlfn.SEQUENCE(LEN(_xlpm.txt)), 1),
    _xlfn.TEXTJOIN("", TRUE, IF(ISNUMBER(--_xlpm.chars), _xlpm.chars, ""))
)</f>
        <v>#VALUE!</v>
      </c>
      <c r="N174" s="16" t="str" cm="1">
        <f t="array" ref="N174">_xlfn.IFS(
   --MacReports!M174&lt;55,"Battery Defect",
  -- MacReports!M174&lt;=69,"Battery D",
  --MacReports!M174&lt;=80,"Battery C",
 --MacReports!M174&gt;80,""
)</f>
        <v>Battery Defect</v>
      </c>
      <c r="O174" s="16" t="str">
        <f>IF(MacReports!I174="Service","Battery Service","")</f>
        <v/>
      </c>
      <c r="P174" s="13">
        <f>MacReports!P174</f>
        <v>0</v>
      </c>
      <c r="Q174" s="13" t="str">
        <f>IF(MacReports!J174="Enabled","Apple ID Lock","")</f>
        <v/>
      </c>
      <c r="R174" s="13" t="str">
        <f>IF(MacReports!L174="y","Remote Locked","")</f>
        <v/>
      </c>
      <c r="S174" t="str">
        <f t="shared" si="7"/>
        <v>Battery Defect, 0</v>
      </c>
      <c r="T174" t="str">
        <f>_xlfn.XLOOKUP(B174,Disk_Pivot!G:G,Disk_Pivot!I:I)</f>
        <v>Yes</v>
      </c>
      <c r="U174" t="str">
        <f>_xlfn.XLOOKUP(B174,Disk_Pivot!G:G,Disk_Pivot!N:N)</f>
        <v>Fail</v>
      </c>
      <c r="V174">
        <f>IF(U174="Fail",MacReports!N174,"")</f>
        <v>0</v>
      </c>
      <c r="AB174" t="str">
        <f t="shared" si="8"/>
        <v/>
      </c>
    </row>
    <row r="175" spans="1:28">
      <c r="A175" t="str">
        <f>MacReports!A175</f>
        <v/>
      </c>
      <c r="B175">
        <f>MacReports!B175</f>
        <v>0</v>
      </c>
      <c r="C175">
        <f>MacReports!C175</f>
        <v>0</v>
      </c>
      <c r="E175" t="e">
        <f>_xlfn.XLOOKUP(G175,Models!A:A,Models!F:F)</f>
        <v>#N/A</v>
      </c>
      <c r="F175" t="str">
        <f>_xlfn.XLOOKUP(B175,MacReports!B:B,MacReports!D:D,"")</f>
        <v/>
      </c>
      <c r="G175" s="13">
        <f>MacReports!E175</f>
        <v>0</v>
      </c>
      <c r="H175" t="e">
        <f>_xlfn.XLOOKUP(G175,Models!A:A,Models!B:B)</f>
        <v>#N/A</v>
      </c>
      <c r="I175" t="e">
        <f>_xlfn.XLOOKUP(G175,Models!A:A,Models!E:E)</f>
        <v>#N/A</v>
      </c>
      <c r="J175" t="e">
        <f>_xlfn.XLOOKUP(G175,Models!A:A,Models!D:D)</f>
        <v>#N/A</v>
      </c>
      <c r="K175">
        <f>MacReports!F175</f>
        <v>0</v>
      </c>
      <c r="L175">
        <f>MacReports!G175</f>
        <v>0</v>
      </c>
      <c r="M175" s="15" t="e" cm="1">
        <f t="array" ref="M175">--_xlfn.LET(
    _xlpm.txt, MacReports!H175,
    _xlpm.chars, MID(_xlpm.txt, _xlfn.SEQUENCE(LEN(_xlpm.txt)), 1),
    _xlfn.TEXTJOIN("", TRUE, IF(ISNUMBER(--_xlpm.chars), _xlpm.chars, ""))
)</f>
        <v>#VALUE!</v>
      </c>
      <c r="N175" s="16" t="str" cm="1">
        <f t="array" ref="N175">_xlfn.IFS(
   --MacReports!M175&lt;55,"Battery Defect",
  -- MacReports!M175&lt;=69,"Battery D",
  --MacReports!M175&lt;=80,"Battery C",
 --MacReports!M175&gt;80,""
)</f>
        <v>Battery Defect</v>
      </c>
      <c r="O175" s="16" t="str">
        <f>IF(MacReports!I175="Service","Battery Service","")</f>
        <v/>
      </c>
      <c r="P175" s="13">
        <f>MacReports!P175</f>
        <v>0</v>
      </c>
      <c r="Q175" s="13" t="str">
        <f>IF(MacReports!J175="Enabled","Apple ID Lock","")</f>
        <v/>
      </c>
      <c r="R175" s="13" t="str">
        <f>IF(MacReports!L175="y","Remote Locked","")</f>
        <v/>
      </c>
      <c r="S175" t="str">
        <f t="shared" si="7"/>
        <v>Battery Defect, 0</v>
      </c>
      <c r="T175" t="str">
        <f>_xlfn.XLOOKUP(B175,Disk_Pivot!G:G,Disk_Pivot!I:I)</f>
        <v>Yes</v>
      </c>
      <c r="U175" t="str">
        <f>_xlfn.XLOOKUP(B175,Disk_Pivot!G:G,Disk_Pivot!N:N)</f>
        <v>Fail</v>
      </c>
      <c r="V175">
        <f>IF(U175="Fail",MacReports!N175,"")</f>
        <v>0</v>
      </c>
      <c r="AB175" t="str">
        <f t="shared" si="8"/>
        <v/>
      </c>
    </row>
    <row r="176" spans="1:28">
      <c r="A176" t="str">
        <f>MacReports!A176</f>
        <v/>
      </c>
      <c r="B176">
        <f>MacReports!B176</f>
        <v>0</v>
      </c>
      <c r="C176">
        <f>MacReports!C176</f>
        <v>0</v>
      </c>
      <c r="E176" t="e">
        <f>_xlfn.XLOOKUP(G176,Models!A:A,Models!F:F)</f>
        <v>#N/A</v>
      </c>
      <c r="F176" t="str">
        <f>_xlfn.XLOOKUP(B176,MacReports!B:B,MacReports!D:D,"")</f>
        <v/>
      </c>
      <c r="G176" s="13">
        <f>MacReports!E176</f>
        <v>0</v>
      </c>
      <c r="H176" t="e">
        <f>_xlfn.XLOOKUP(G176,Models!A:A,Models!B:B)</f>
        <v>#N/A</v>
      </c>
      <c r="I176" t="e">
        <f>_xlfn.XLOOKUP(G176,Models!A:A,Models!E:E)</f>
        <v>#N/A</v>
      </c>
      <c r="J176" t="e">
        <f>_xlfn.XLOOKUP(G176,Models!A:A,Models!D:D)</f>
        <v>#N/A</v>
      </c>
      <c r="K176">
        <f>MacReports!F176</f>
        <v>0</v>
      </c>
      <c r="L176">
        <f>MacReports!G176</f>
        <v>0</v>
      </c>
      <c r="M176" s="15" t="e" cm="1">
        <f t="array" ref="M176">--_xlfn.LET(
    _xlpm.txt, MacReports!H176,
    _xlpm.chars, MID(_xlpm.txt, _xlfn.SEQUENCE(LEN(_xlpm.txt)), 1),
    _xlfn.TEXTJOIN("", TRUE, IF(ISNUMBER(--_xlpm.chars), _xlpm.chars, ""))
)</f>
        <v>#VALUE!</v>
      </c>
      <c r="N176" s="16" t="str" cm="1">
        <f t="array" ref="N176">_xlfn.IFS(
   --MacReports!M176&lt;55,"Battery Defect",
  -- MacReports!M176&lt;=69,"Battery D",
  --MacReports!M176&lt;=80,"Battery C",
 --MacReports!M176&gt;80,""
)</f>
        <v>Battery Defect</v>
      </c>
      <c r="O176" s="16" t="str">
        <f>IF(MacReports!I176="Service","Battery Service","")</f>
        <v/>
      </c>
      <c r="P176" s="13">
        <f>MacReports!P176</f>
        <v>0</v>
      </c>
      <c r="Q176" s="13" t="str">
        <f>IF(MacReports!J176="Enabled","Apple ID Lock","")</f>
        <v/>
      </c>
      <c r="R176" s="13" t="str">
        <f>IF(MacReports!L176="y","Remote Locked","")</f>
        <v/>
      </c>
      <c r="S176" t="str">
        <f t="shared" si="7"/>
        <v>Battery Defect, 0</v>
      </c>
      <c r="T176" t="str">
        <f>_xlfn.XLOOKUP(B176,Disk_Pivot!G:G,Disk_Pivot!I:I)</f>
        <v>Yes</v>
      </c>
      <c r="U176" t="str">
        <f>_xlfn.XLOOKUP(B176,Disk_Pivot!G:G,Disk_Pivot!N:N)</f>
        <v>Fail</v>
      </c>
      <c r="V176">
        <f>IF(U176="Fail",MacReports!N176,"")</f>
        <v>0</v>
      </c>
      <c r="AB176" t="str">
        <f t="shared" si="8"/>
        <v/>
      </c>
    </row>
    <row r="177" spans="1:28">
      <c r="A177" t="str">
        <f>MacReports!A177</f>
        <v/>
      </c>
      <c r="B177">
        <f>MacReports!B177</f>
        <v>0</v>
      </c>
      <c r="C177">
        <f>MacReports!C177</f>
        <v>0</v>
      </c>
      <c r="E177" t="e">
        <f>_xlfn.XLOOKUP(G177,Models!A:A,Models!F:F)</f>
        <v>#N/A</v>
      </c>
      <c r="F177" t="str">
        <f>_xlfn.XLOOKUP(B177,MacReports!B:B,MacReports!D:D,"")</f>
        <v/>
      </c>
      <c r="G177" s="13">
        <f>MacReports!E177</f>
        <v>0</v>
      </c>
      <c r="H177" t="e">
        <f>_xlfn.XLOOKUP(G177,Models!A:A,Models!B:B)</f>
        <v>#N/A</v>
      </c>
      <c r="I177" t="e">
        <f>_xlfn.XLOOKUP(G177,Models!A:A,Models!E:E)</f>
        <v>#N/A</v>
      </c>
      <c r="J177" t="e">
        <f>_xlfn.XLOOKUP(G177,Models!A:A,Models!D:D)</f>
        <v>#N/A</v>
      </c>
      <c r="K177">
        <f>MacReports!F177</f>
        <v>0</v>
      </c>
      <c r="L177">
        <f>MacReports!G177</f>
        <v>0</v>
      </c>
      <c r="M177" s="15" t="e" cm="1">
        <f t="array" ref="M177">--_xlfn.LET(
    _xlpm.txt, MacReports!H177,
    _xlpm.chars, MID(_xlpm.txt, _xlfn.SEQUENCE(LEN(_xlpm.txt)), 1),
    _xlfn.TEXTJOIN("", TRUE, IF(ISNUMBER(--_xlpm.chars), _xlpm.chars, ""))
)</f>
        <v>#VALUE!</v>
      </c>
      <c r="N177" s="16" t="str" cm="1">
        <f t="array" ref="N177">_xlfn.IFS(
   --MacReports!M177&lt;55,"Battery Defect",
  -- MacReports!M177&lt;=69,"Battery D",
  --MacReports!M177&lt;=80,"Battery C",
 --MacReports!M177&gt;80,""
)</f>
        <v>Battery Defect</v>
      </c>
      <c r="O177" s="16" t="str">
        <f>IF(MacReports!I177="Service","Battery Service","")</f>
        <v/>
      </c>
      <c r="P177" s="13">
        <f>MacReports!P177</f>
        <v>0</v>
      </c>
      <c r="Q177" s="13" t="str">
        <f>IF(MacReports!J177="Enabled","Apple ID Lock","")</f>
        <v/>
      </c>
      <c r="R177" s="13" t="str">
        <f>IF(MacReports!L177="y","Remote Locked","")</f>
        <v/>
      </c>
      <c r="S177" t="str">
        <f t="shared" si="7"/>
        <v>Battery Defect, 0</v>
      </c>
      <c r="T177" t="str">
        <f>_xlfn.XLOOKUP(B177,Disk_Pivot!G:G,Disk_Pivot!I:I)</f>
        <v>Yes</v>
      </c>
      <c r="U177" t="str">
        <f>_xlfn.XLOOKUP(B177,Disk_Pivot!G:G,Disk_Pivot!N:N)</f>
        <v>Fail</v>
      </c>
      <c r="V177">
        <f>IF(U177="Fail",MacReports!N177,"")</f>
        <v>0</v>
      </c>
      <c r="AB177" t="str">
        <f t="shared" si="8"/>
        <v/>
      </c>
    </row>
    <row r="178" spans="1:28">
      <c r="A178" t="str">
        <f>MacReports!A178</f>
        <v/>
      </c>
      <c r="B178">
        <f>MacReports!B178</f>
        <v>0</v>
      </c>
      <c r="C178">
        <f>MacReports!C178</f>
        <v>0</v>
      </c>
      <c r="E178" t="e">
        <f>_xlfn.XLOOKUP(G178,Models!A:A,Models!F:F)</f>
        <v>#N/A</v>
      </c>
      <c r="F178" t="str">
        <f>_xlfn.XLOOKUP(B178,MacReports!B:B,MacReports!D:D,"")</f>
        <v/>
      </c>
      <c r="G178" s="13">
        <f>MacReports!E178</f>
        <v>0</v>
      </c>
      <c r="H178" t="e">
        <f>_xlfn.XLOOKUP(G178,Models!A:A,Models!B:B)</f>
        <v>#N/A</v>
      </c>
      <c r="I178" t="e">
        <f>_xlfn.XLOOKUP(G178,Models!A:A,Models!E:E)</f>
        <v>#N/A</v>
      </c>
      <c r="J178" t="e">
        <f>_xlfn.XLOOKUP(G178,Models!A:A,Models!D:D)</f>
        <v>#N/A</v>
      </c>
      <c r="K178">
        <f>MacReports!F178</f>
        <v>0</v>
      </c>
      <c r="L178">
        <f>MacReports!G178</f>
        <v>0</v>
      </c>
      <c r="M178" s="15" t="e" cm="1">
        <f t="array" ref="M178">--_xlfn.LET(
    _xlpm.txt, MacReports!H178,
    _xlpm.chars, MID(_xlpm.txt, _xlfn.SEQUENCE(LEN(_xlpm.txt)), 1),
    _xlfn.TEXTJOIN("", TRUE, IF(ISNUMBER(--_xlpm.chars), _xlpm.chars, ""))
)</f>
        <v>#VALUE!</v>
      </c>
      <c r="N178" s="16" t="str" cm="1">
        <f t="array" ref="N178">_xlfn.IFS(
   --MacReports!M178&lt;55,"Battery Defect",
  -- MacReports!M178&lt;=69,"Battery D",
  --MacReports!M178&lt;=80,"Battery C",
 --MacReports!M178&gt;80,""
)</f>
        <v>Battery Defect</v>
      </c>
      <c r="O178" s="16" t="str">
        <f>IF(MacReports!I178="Service","Battery Service","")</f>
        <v/>
      </c>
      <c r="P178" s="13">
        <f>MacReports!P178</f>
        <v>0</v>
      </c>
      <c r="Q178" s="13" t="str">
        <f>IF(MacReports!J178="Enabled","Apple ID Lock","")</f>
        <v/>
      </c>
      <c r="R178" s="13" t="str">
        <f>IF(MacReports!L178="y","Remote Locked","")</f>
        <v/>
      </c>
      <c r="S178" t="str">
        <f t="shared" si="7"/>
        <v>Battery Defect, 0</v>
      </c>
      <c r="T178" t="str">
        <f>_xlfn.XLOOKUP(B178,Disk_Pivot!G:G,Disk_Pivot!I:I)</f>
        <v>Yes</v>
      </c>
      <c r="U178" t="str">
        <f>_xlfn.XLOOKUP(B178,Disk_Pivot!G:G,Disk_Pivot!N:N)</f>
        <v>Fail</v>
      </c>
      <c r="V178">
        <f>IF(U178="Fail",MacReports!N178,"")</f>
        <v>0</v>
      </c>
      <c r="AB178" t="str">
        <f t="shared" si="8"/>
        <v/>
      </c>
    </row>
    <row r="179" spans="1:28">
      <c r="A179" t="str">
        <f>MacReports!A179</f>
        <v/>
      </c>
      <c r="B179">
        <f>MacReports!B179</f>
        <v>0</v>
      </c>
      <c r="C179">
        <f>MacReports!C179</f>
        <v>0</v>
      </c>
      <c r="E179" t="e">
        <f>_xlfn.XLOOKUP(G179,Models!A:A,Models!F:F)</f>
        <v>#N/A</v>
      </c>
      <c r="F179" t="str">
        <f>_xlfn.XLOOKUP(B179,MacReports!B:B,MacReports!D:D,"")</f>
        <v/>
      </c>
      <c r="G179" s="13">
        <f>MacReports!E179</f>
        <v>0</v>
      </c>
      <c r="H179" t="e">
        <f>_xlfn.XLOOKUP(G179,Models!A:A,Models!B:B)</f>
        <v>#N/A</v>
      </c>
      <c r="I179" t="e">
        <f>_xlfn.XLOOKUP(G179,Models!A:A,Models!E:E)</f>
        <v>#N/A</v>
      </c>
      <c r="J179" t="e">
        <f>_xlfn.XLOOKUP(G179,Models!A:A,Models!D:D)</f>
        <v>#N/A</v>
      </c>
      <c r="K179">
        <f>MacReports!F179</f>
        <v>0</v>
      </c>
      <c r="L179">
        <f>MacReports!G179</f>
        <v>0</v>
      </c>
      <c r="M179" s="15" t="e" cm="1">
        <f t="array" ref="M179">--_xlfn.LET(
    _xlpm.txt, MacReports!H179,
    _xlpm.chars, MID(_xlpm.txt, _xlfn.SEQUENCE(LEN(_xlpm.txt)), 1),
    _xlfn.TEXTJOIN("", TRUE, IF(ISNUMBER(--_xlpm.chars), _xlpm.chars, ""))
)</f>
        <v>#VALUE!</v>
      </c>
      <c r="N179" s="16" t="str" cm="1">
        <f t="array" ref="N179">_xlfn.IFS(
   --MacReports!M179&lt;55,"Battery Defect",
  -- MacReports!M179&lt;=69,"Battery D",
  --MacReports!M179&lt;=80,"Battery C",
 --MacReports!M179&gt;80,""
)</f>
        <v>Battery Defect</v>
      </c>
      <c r="O179" s="16" t="str">
        <f>IF(MacReports!I179="Service","Battery Service","")</f>
        <v/>
      </c>
      <c r="P179" s="13">
        <f>MacReports!P179</f>
        <v>0</v>
      </c>
      <c r="Q179" s="13" t="str">
        <f>IF(MacReports!J179="Enabled","Apple ID Lock","")</f>
        <v/>
      </c>
      <c r="R179" s="13" t="str">
        <f>IF(MacReports!L179="y","Remote Locked","")</f>
        <v/>
      </c>
      <c r="S179" t="str">
        <f t="shared" si="7"/>
        <v>Battery Defect, 0</v>
      </c>
      <c r="T179" t="str">
        <f>_xlfn.XLOOKUP(B179,Disk_Pivot!G:G,Disk_Pivot!I:I)</f>
        <v>Yes</v>
      </c>
      <c r="U179" t="str">
        <f>_xlfn.XLOOKUP(B179,Disk_Pivot!G:G,Disk_Pivot!N:N)</f>
        <v>Fail</v>
      </c>
      <c r="V179">
        <f>IF(U179="Fail",MacReports!N179,"")</f>
        <v>0</v>
      </c>
      <c r="AB179" t="str">
        <f t="shared" si="8"/>
        <v/>
      </c>
    </row>
    <row r="180" spans="1:28">
      <c r="A180" t="str">
        <f>MacReports!A180</f>
        <v/>
      </c>
      <c r="B180">
        <f>MacReports!B180</f>
        <v>0</v>
      </c>
      <c r="C180">
        <f>MacReports!C180</f>
        <v>0</v>
      </c>
      <c r="E180" t="e">
        <f>_xlfn.XLOOKUP(G180,Models!A:A,Models!F:F)</f>
        <v>#N/A</v>
      </c>
      <c r="F180" t="str">
        <f>_xlfn.XLOOKUP(B180,MacReports!B:B,MacReports!D:D,"")</f>
        <v/>
      </c>
      <c r="G180" s="13">
        <f>MacReports!E180</f>
        <v>0</v>
      </c>
      <c r="H180" t="e">
        <f>_xlfn.XLOOKUP(G180,Models!A:A,Models!B:B)</f>
        <v>#N/A</v>
      </c>
      <c r="I180" t="e">
        <f>_xlfn.XLOOKUP(G180,Models!A:A,Models!E:E)</f>
        <v>#N/A</v>
      </c>
      <c r="J180" t="e">
        <f>_xlfn.XLOOKUP(G180,Models!A:A,Models!D:D)</f>
        <v>#N/A</v>
      </c>
      <c r="K180">
        <f>MacReports!F180</f>
        <v>0</v>
      </c>
      <c r="L180">
        <f>MacReports!G180</f>
        <v>0</v>
      </c>
      <c r="M180" s="15" t="e" cm="1">
        <f t="array" ref="M180">--_xlfn.LET(
    _xlpm.txt, MacReports!H180,
    _xlpm.chars, MID(_xlpm.txt, _xlfn.SEQUENCE(LEN(_xlpm.txt)), 1),
    _xlfn.TEXTJOIN("", TRUE, IF(ISNUMBER(--_xlpm.chars), _xlpm.chars, ""))
)</f>
        <v>#VALUE!</v>
      </c>
      <c r="N180" s="16" t="str" cm="1">
        <f t="array" ref="N180">_xlfn.IFS(
   --MacReports!M180&lt;55,"Battery Defect",
  -- MacReports!M180&lt;=69,"Battery D",
  --MacReports!M180&lt;=80,"Battery C",
 --MacReports!M180&gt;80,""
)</f>
        <v>Battery Defect</v>
      </c>
      <c r="O180" s="16" t="str">
        <f>IF(MacReports!I180="Service","Battery Service","")</f>
        <v/>
      </c>
      <c r="P180" s="13">
        <f>MacReports!P180</f>
        <v>0</v>
      </c>
      <c r="Q180" s="13" t="str">
        <f>IF(MacReports!J180="Enabled","Apple ID Lock","")</f>
        <v/>
      </c>
      <c r="R180" s="13" t="str">
        <f>IF(MacReports!L180="y","Remote Locked","")</f>
        <v/>
      </c>
      <c r="S180" t="str">
        <f t="shared" si="7"/>
        <v>Battery Defect, 0</v>
      </c>
      <c r="T180" t="str">
        <f>_xlfn.XLOOKUP(B180,Disk_Pivot!G:G,Disk_Pivot!I:I)</f>
        <v>Yes</v>
      </c>
      <c r="U180" t="str">
        <f>_xlfn.XLOOKUP(B180,Disk_Pivot!G:G,Disk_Pivot!N:N)</f>
        <v>Fail</v>
      </c>
      <c r="V180">
        <f>IF(U180="Fail",MacReports!N180,"")</f>
        <v>0</v>
      </c>
      <c r="AB180" t="str">
        <f t="shared" si="8"/>
        <v/>
      </c>
    </row>
    <row r="181" spans="1:28">
      <c r="A181" t="str">
        <f>MacReports!A181</f>
        <v/>
      </c>
      <c r="B181">
        <f>MacReports!B181</f>
        <v>0</v>
      </c>
      <c r="C181">
        <f>MacReports!C181</f>
        <v>0</v>
      </c>
      <c r="E181" t="e">
        <f>_xlfn.XLOOKUP(G181,Models!A:A,Models!F:F)</f>
        <v>#N/A</v>
      </c>
      <c r="F181" t="str">
        <f>_xlfn.XLOOKUP(B181,MacReports!B:B,MacReports!D:D,"")</f>
        <v/>
      </c>
      <c r="G181" s="13">
        <f>MacReports!E181</f>
        <v>0</v>
      </c>
      <c r="H181" t="e">
        <f>_xlfn.XLOOKUP(G181,Models!A:A,Models!B:B)</f>
        <v>#N/A</v>
      </c>
      <c r="I181" t="e">
        <f>_xlfn.XLOOKUP(G181,Models!A:A,Models!E:E)</f>
        <v>#N/A</v>
      </c>
      <c r="J181" t="e">
        <f>_xlfn.XLOOKUP(G181,Models!A:A,Models!D:D)</f>
        <v>#N/A</v>
      </c>
      <c r="K181">
        <f>MacReports!F181</f>
        <v>0</v>
      </c>
      <c r="L181">
        <f>MacReports!G181</f>
        <v>0</v>
      </c>
      <c r="M181" s="15" t="e" cm="1">
        <f t="array" ref="M181">--_xlfn.LET(
    _xlpm.txt, MacReports!H181,
    _xlpm.chars, MID(_xlpm.txt, _xlfn.SEQUENCE(LEN(_xlpm.txt)), 1),
    _xlfn.TEXTJOIN("", TRUE, IF(ISNUMBER(--_xlpm.chars), _xlpm.chars, ""))
)</f>
        <v>#VALUE!</v>
      </c>
      <c r="N181" s="16" t="str" cm="1">
        <f t="array" ref="N181">_xlfn.IFS(
   --MacReports!M181&lt;55,"Battery Defect",
  -- MacReports!M181&lt;=69,"Battery D",
  --MacReports!M181&lt;=80,"Battery C",
 --MacReports!M181&gt;80,""
)</f>
        <v>Battery Defect</v>
      </c>
      <c r="O181" s="16" t="str">
        <f>IF(MacReports!I181="Service","Battery Service","")</f>
        <v/>
      </c>
      <c r="P181" s="13">
        <f>MacReports!P181</f>
        <v>0</v>
      </c>
      <c r="Q181" s="13" t="str">
        <f>IF(MacReports!J181="Enabled","Apple ID Lock","")</f>
        <v/>
      </c>
      <c r="R181" s="13" t="str">
        <f>IF(MacReports!L181="y","Remote Locked","")</f>
        <v/>
      </c>
      <c r="S181" t="str">
        <f t="shared" si="7"/>
        <v>Battery Defect, 0</v>
      </c>
      <c r="T181" t="str">
        <f>_xlfn.XLOOKUP(B181,Disk_Pivot!G:G,Disk_Pivot!I:I)</f>
        <v>Yes</v>
      </c>
      <c r="U181" t="str">
        <f>_xlfn.XLOOKUP(B181,Disk_Pivot!G:G,Disk_Pivot!N:N)</f>
        <v>Fail</v>
      </c>
      <c r="V181">
        <f>IF(U181="Fail",MacReports!N181,"")</f>
        <v>0</v>
      </c>
      <c r="AB181" t="str">
        <f t="shared" si="8"/>
        <v/>
      </c>
    </row>
    <row r="182" spans="1:28">
      <c r="A182" t="str">
        <f>MacReports!A182</f>
        <v/>
      </c>
      <c r="B182">
        <f>MacReports!B182</f>
        <v>0</v>
      </c>
      <c r="C182">
        <f>MacReports!C182</f>
        <v>0</v>
      </c>
      <c r="E182" t="e">
        <f>_xlfn.XLOOKUP(G182,Models!A:A,Models!F:F)</f>
        <v>#N/A</v>
      </c>
      <c r="F182" t="str">
        <f>_xlfn.XLOOKUP(B182,MacReports!B:B,MacReports!D:D,"")</f>
        <v/>
      </c>
      <c r="G182" s="13">
        <f>MacReports!E182</f>
        <v>0</v>
      </c>
      <c r="H182" t="e">
        <f>_xlfn.XLOOKUP(G182,Models!A:A,Models!B:B)</f>
        <v>#N/A</v>
      </c>
      <c r="I182" t="e">
        <f>_xlfn.XLOOKUP(G182,Models!A:A,Models!E:E)</f>
        <v>#N/A</v>
      </c>
      <c r="J182" t="e">
        <f>_xlfn.XLOOKUP(G182,Models!A:A,Models!D:D)</f>
        <v>#N/A</v>
      </c>
      <c r="K182">
        <f>MacReports!F182</f>
        <v>0</v>
      </c>
      <c r="L182">
        <f>MacReports!G182</f>
        <v>0</v>
      </c>
      <c r="M182" s="15" t="e" cm="1">
        <f t="array" ref="M182">--_xlfn.LET(
    _xlpm.txt, MacReports!H182,
    _xlpm.chars, MID(_xlpm.txt, _xlfn.SEQUENCE(LEN(_xlpm.txt)), 1),
    _xlfn.TEXTJOIN("", TRUE, IF(ISNUMBER(--_xlpm.chars), _xlpm.chars, ""))
)</f>
        <v>#VALUE!</v>
      </c>
      <c r="N182" s="16" t="str" cm="1">
        <f t="array" ref="N182">_xlfn.IFS(
   --MacReports!M182&lt;55,"Battery Defect",
  -- MacReports!M182&lt;=69,"Battery D",
  --MacReports!M182&lt;=80,"Battery C",
 --MacReports!M182&gt;80,""
)</f>
        <v>Battery Defect</v>
      </c>
      <c r="O182" s="16" t="str">
        <f>IF(MacReports!I182="Service","Battery Service","")</f>
        <v/>
      </c>
      <c r="P182" s="13">
        <f>MacReports!P182</f>
        <v>0</v>
      </c>
      <c r="Q182" s="13" t="str">
        <f>IF(MacReports!J182="Enabled","Apple ID Lock","")</f>
        <v/>
      </c>
      <c r="R182" s="13" t="str">
        <f>IF(MacReports!L182="y","Remote Locked","")</f>
        <v/>
      </c>
      <c r="S182" t="str">
        <f t="shared" si="7"/>
        <v>Battery Defect, 0</v>
      </c>
      <c r="T182" t="str">
        <f>_xlfn.XLOOKUP(B182,Disk_Pivot!G:G,Disk_Pivot!I:I)</f>
        <v>Yes</v>
      </c>
      <c r="U182" t="str">
        <f>_xlfn.XLOOKUP(B182,Disk_Pivot!G:G,Disk_Pivot!N:N)</f>
        <v>Fail</v>
      </c>
      <c r="V182">
        <f>IF(U182="Fail",MacReports!N182,"")</f>
        <v>0</v>
      </c>
      <c r="AB182" t="str">
        <f t="shared" si="8"/>
        <v/>
      </c>
    </row>
    <row r="183" spans="1:28">
      <c r="A183" t="str">
        <f>MacReports!A183</f>
        <v/>
      </c>
      <c r="B183">
        <f>MacReports!B183</f>
        <v>0</v>
      </c>
      <c r="C183">
        <f>MacReports!C183</f>
        <v>0</v>
      </c>
      <c r="E183" t="e">
        <f>_xlfn.XLOOKUP(G183,Models!A:A,Models!F:F)</f>
        <v>#N/A</v>
      </c>
      <c r="F183" t="str">
        <f>_xlfn.XLOOKUP(B183,MacReports!B:B,MacReports!D:D,"")</f>
        <v/>
      </c>
      <c r="G183" s="13">
        <f>MacReports!E183</f>
        <v>0</v>
      </c>
      <c r="H183" t="e">
        <f>_xlfn.XLOOKUP(G183,Models!A:A,Models!B:B)</f>
        <v>#N/A</v>
      </c>
      <c r="I183" t="e">
        <f>_xlfn.XLOOKUP(G183,Models!A:A,Models!E:E)</f>
        <v>#N/A</v>
      </c>
      <c r="J183" t="e">
        <f>_xlfn.XLOOKUP(G183,Models!A:A,Models!D:D)</f>
        <v>#N/A</v>
      </c>
      <c r="K183">
        <f>MacReports!F183</f>
        <v>0</v>
      </c>
      <c r="L183">
        <f>MacReports!G183</f>
        <v>0</v>
      </c>
      <c r="M183" s="15" t="e" cm="1">
        <f t="array" ref="M183">--_xlfn.LET(
    _xlpm.txt, MacReports!H183,
    _xlpm.chars, MID(_xlpm.txt, _xlfn.SEQUENCE(LEN(_xlpm.txt)), 1),
    _xlfn.TEXTJOIN("", TRUE, IF(ISNUMBER(--_xlpm.chars), _xlpm.chars, ""))
)</f>
        <v>#VALUE!</v>
      </c>
      <c r="N183" s="16" t="str" cm="1">
        <f t="array" ref="N183">_xlfn.IFS(
   --MacReports!M183&lt;55,"Battery Defect",
  -- MacReports!M183&lt;=69,"Battery D",
  --MacReports!M183&lt;=80,"Battery C",
 --MacReports!M183&gt;80,""
)</f>
        <v>Battery Defect</v>
      </c>
      <c r="O183" s="16" t="str">
        <f>IF(MacReports!I183="Service","Battery Service","")</f>
        <v/>
      </c>
      <c r="P183" s="13">
        <f>MacReports!P183</f>
        <v>0</v>
      </c>
      <c r="Q183" s="13" t="str">
        <f>IF(MacReports!J183="Enabled","Apple ID Lock","")</f>
        <v/>
      </c>
      <c r="R183" s="13" t="str">
        <f>IF(MacReports!L183="y","Remote Locked","")</f>
        <v/>
      </c>
      <c r="S183" t="str">
        <f t="shared" si="7"/>
        <v>Battery Defect, 0</v>
      </c>
      <c r="T183" t="str">
        <f>_xlfn.XLOOKUP(B183,Disk_Pivot!G:G,Disk_Pivot!I:I)</f>
        <v>Yes</v>
      </c>
      <c r="U183" t="str">
        <f>_xlfn.XLOOKUP(B183,Disk_Pivot!G:G,Disk_Pivot!N:N)</f>
        <v>Fail</v>
      </c>
      <c r="V183">
        <f>IF(U183="Fail",MacReports!N183,"")</f>
        <v>0</v>
      </c>
      <c r="AB183" t="str">
        <f t="shared" si="8"/>
        <v/>
      </c>
    </row>
    <row r="184" spans="1:28">
      <c r="A184" t="str">
        <f>MacReports!A184</f>
        <v/>
      </c>
      <c r="B184">
        <f>MacReports!B184</f>
        <v>0</v>
      </c>
      <c r="C184">
        <f>MacReports!C184</f>
        <v>0</v>
      </c>
      <c r="E184" t="e">
        <f>_xlfn.XLOOKUP(G184,Models!A:A,Models!F:F)</f>
        <v>#N/A</v>
      </c>
      <c r="F184" t="str">
        <f>_xlfn.XLOOKUP(B184,MacReports!B:B,MacReports!D:D,"")</f>
        <v/>
      </c>
      <c r="G184" s="13">
        <f>MacReports!E184</f>
        <v>0</v>
      </c>
      <c r="H184" t="e">
        <f>_xlfn.XLOOKUP(G184,Models!A:A,Models!B:B)</f>
        <v>#N/A</v>
      </c>
      <c r="I184" t="e">
        <f>_xlfn.XLOOKUP(G184,Models!A:A,Models!E:E)</f>
        <v>#N/A</v>
      </c>
      <c r="J184" t="e">
        <f>_xlfn.XLOOKUP(G184,Models!A:A,Models!D:D)</f>
        <v>#N/A</v>
      </c>
      <c r="K184">
        <f>MacReports!F184</f>
        <v>0</v>
      </c>
      <c r="L184">
        <f>MacReports!G184</f>
        <v>0</v>
      </c>
      <c r="M184" s="15" t="e" cm="1">
        <f t="array" ref="M184">--_xlfn.LET(
    _xlpm.txt, MacReports!H184,
    _xlpm.chars, MID(_xlpm.txt, _xlfn.SEQUENCE(LEN(_xlpm.txt)), 1),
    _xlfn.TEXTJOIN("", TRUE, IF(ISNUMBER(--_xlpm.chars), _xlpm.chars, ""))
)</f>
        <v>#VALUE!</v>
      </c>
      <c r="N184" s="16" t="str" cm="1">
        <f t="array" ref="N184">_xlfn.IFS(
   --MacReports!M184&lt;55,"Battery Defect",
  -- MacReports!M184&lt;=69,"Battery D",
  --MacReports!M184&lt;=80,"Battery C",
 --MacReports!M184&gt;80,""
)</f>
        <v>Battery Defect</v>
      </c>
      <c r="O184" s="16" t="str">
        <f>IF(MacReports!I184="Service","Battery Service","")</f>
        <v/>
      </c>
      <c r="P184" s="13">
        <f>MacReports!P184</f>
        <v>0</v>
      </c>
      <c r="Q184" s="13" t="str">
        <f>IF(MacReports!J184="Enabled","Apple ID Lock","")</f>
        <v/>
      </c>
      <c r="R184" s="13" t="str">
        <f>IF(MacReports!L184="y","Remote Locked","")</f>
        <v/>
      </c>
      <c r="S184" t="str">
        <f t="shared" si="7"/>
        <v>Battery Defect, 0</v>
      </c>
      <c r="T184" t="str">
        <f>_xlfn.XLOOKUP(B184,Disk_Pivot!G:G,Disk_Pivot!I:I)</f>
        <v>Yes</v>
      </c>
      <c r="U184" t="str">
        <f>_xlfn.XLOOKUP(B184,Disk_Pivot!G:G,Disk_Pivot!N:N)</f>
        <v>Fail</v>
      </c>
      <c r="V184">
        <f>IF(U184="Fail",MacReports!N184,"")</f>
        <v>0</v>
      </c>
      <c r="AB184" t="str">
        <f t="shared" si="8"/>
        <v/>
      </c>
    </row>
    <row r="185" spans="1:28">
      <c r="A185" t="str">
        <f>MacReports!A185</f>
        <v/>
      </c>
      <c r="B185">
        <f>MacReports!B185</f>
        <v>0</v>
      </c>
      <c r="C185">
        <f>MacReports!C185</f>
        <v>0</v>
      </c>
      <c r="E185" t="e">
        <f>_xlfn.XLOOKUP(G185,Models!A:A,Models!F:F)</f>
        <v>#N/A</v>
      </c>
      <c r="F185" t="str">
        <f>_xlfn.XLOOKUP(B185,MacReports!B:B,MacReports!D:D,"")</f>
        <v/>
      </c>
      <c r="G185" s="13">
        <f>MacReports!E185</f>
        <v>0</v>
      </c>
      <c r="H185" t="e">
        <f>_xlfn.XLOOKUP(G185,Models!A:A,Models!B:B)</f>
        <v>#N/A</v>
      </c>
      <c r="I185" t="e">
        <f>_xlfn.XLOOKUP(G185,Models!A:A,Models!E:E)</f>
        <v>#N/A</v>
      </c>
      <c r="J185" t="e">
        <f>_xlfn.XLOOKUP(G185,Models!A:A,Models!D:D)</f>
        <v>#N/A</v>
      </c>
      <c r="K185">
        <f>MacReports!F185</f>
        <v>0</v>
      </c>
      <c r="L185">
        <f>MacReports!G185</f>
        <v>0</v>
      </c>
      <c r="M185" s="15" t="e" cm="1">
        <f t="array" ref="M185">--_xlfn.LET(
    _xlpm.txt, MacReports!H185,
    _xlpm.chars, MID(_xlpm.txt, _xlfn.SEQUENCE(LEN(_xlpm.txt)), 1),
    _xlfn.TEXTJOIN("", TRUE, IF(ISNUMBER(--_xlpm.chars), _xlpm.chars, ""))
)</f>
        <v>#VALUE!</v>
      </c>
      <c r="N185" s="16" t="str" cm="1">
        <f t="array" ref="N185">_xlfn.IFS(
   --MacReports!M185&lt;55,"Battery Defect",
  -- MacReports!M185&lt;=69,"Battery D",
  --MacReports!M185&lt;=80,"Battery C",
 --MacReports!M185&gt;80,""
)</f>
        <v>Battery Defect</v>
      </c>
      <c r="O185" s="16" t="str">
        <f>IF(MacReports!I185="Service","Battery Service","")</f>
        <v/>
      </c>
      <c r="P185" s="13">
        <f>MacReports!P185</f>
        <v>0</v>
      </c>
      <c r="Q185" s="13" t="str">
        <f>IF(MacReports!J185="Enabled","Apple ID Lock","")</f>
        <v/>
      </c>
      <c r="R185" s="13" t="str">
        <f>IF(MacReports!L185="y","Remote Locked","")</f>
        <v/>
      </c>
      <c r="S185" t="str">
        <f t="shared" si="7"/>
        <v>Battery Defect, 0</v>
      </c>
      <c r="T185" t="str">
        <f>_xlfn.XLOOKUP(B185,Disk_Pivot!G:G,Disk_Pivot!I:I)</f>
        <v>Yes</v>
      </c>
      <c r="U185" t="str">
        <f>_xlfn.XLOOKUP(B185,Disk_Pivot!G:G,Disk_Pivot!N:N)</f>
        <v>Fail</v>
      </c>
      <c r="V185">
        <f>IF(U185="Fail",MacReports!N185,"")</f>
        <v>0</v>
      </c>
      <c r="AB185" t="str">
        <f t="shared" si="8"/>
        <v/>
      </c>
    </row>
    <row r="186" spans="1:28">
      <c r="A186" t="str">
        <f>MacReports!A186</f>
        <v/>
      </c>
      <c r="B186">
        <f>MacReports!B186</f>
        <v>0</v>
      </c>
      <c r="C186">
        <f>MacReports!C186</f>
        <v>0</v>
      </c>
      <c r="E186" t="e">
        <f>_xlfn.XLOOKUP(G186,Models!A:A,Models!F:F)</f>
        <v>#N/A</v>
      </c>
      <c r="F186" t="str">
        <f>_xlfn.XLOOKUP(B186,MacReports!B:B,MacReports!D:D,"")</f>
        <v/>
      </c>
      <c r="G186" s="13">
        <f>MacReports!E186</f>
        <v>0</v>
      </c>
      <c r="H186" t="e">
        <f>_xlfn.XLOOKUP(G186,Models!A:A,Models!B:B)</f>
        <v>#N/A</v>
      </c>
      <c r="I186" t="e">
        <f>_xlfn.XLOOKUP(G186,Models!A:A,Models!E:E)</f>
        <v>#N/A</v>
      </c>
      <c r="J186" t="e">
        <f>_xlfn.XLOOKUP(G186,Models!A:A,Models!D:D)</f>
        <v>#N/A</v>
      </c>
      <c r="K186">
        <f>MacReports!F186</f>
        <v>0</v>
      </c>
      <c r="L186">
        <f>MacReports!G186</f>
        <v>0</v>
      </c>
      <c r="M186" s="15" t="e" cm="1">
        <f t="array" ref="M186">--_xlfn.LET(
    _xlpm.txt, MacReports!H186,
    _xlpm.chars, MID(_xlpm.txt, _xlfn.SEQUENCE(LEN(_xlpm.txt)), 1),
    _xlfn.TEXTJOIN("", TRUE, IF(ISNUMBER(--_xlpm.chars), _xlpm.chars, ""))
)</f>
        <v>#VALUE!</v>
      </c>
      <c r="N186" s="16" t="str" cm="1">
        <f t="array" ref="N186">_xlfn.IFS(
   --MacReports!M186&lt;55,"Battery Defect",
  -- MacReports!M186&lt;=69,"Battery D",
  --MacReports!M186&lt;=80,"Battery C",
 --MacReports!M186&gt;80,""
)</f>
        <v>Battery Defect</v>
      </c>
      <c r="O186" s="16" t="str">
        <f>IF(MacReports!I186="Service","Battery Service","")</f>
        <v/>
      </c>
      <c r="P186" s="13">
        <f>MacReports!P186</f>
        <v>0</v>
      </c>
      <c r="Q186" s="13" t="str">
        <f>IF(MacReports!J186="Enabled","Apple ID Lock","")</f>
        <v/>
      </c>
      <c r="R186" s="13" t="str">
        <f>IF(MacReports!L186="y","Remote Locked","")</f>
        <v/>
      </c>
      <c r="S186" t="str">
        <f t="shared" si="7"/>
        <v>Battery Defect, 0</v>
      </c>
      <c r="T186" t="str">
        <f>_xlfn.XLOOKUP(B186,Disk_Pivot!G:G,Disk_Pivot!I:I)</f>
        <v>Yes</v>
      </c>
      <c r="U186" t="str">
        <f>_xlfn.XLOOKUP(B186,Disk_Pivot!G:G,Disk_Pivot!N:N)</f>
        <v>Fail</v>
      </c>
      <c r="V186">
        <f>IF(U186="Fail",MacReports!N186,"")</f>
        <v>0</v>
      </c>
      <c r="AB186" t="str">
        <f t="shared" si="8"/>
        <v/>
      </c>
    </row>
    <row r="187" spans="1:28">
      <c r="A187" t="str">
        <f>MacReports!A187</f>
        <v/>
      </c>
      <c r="B187">
        <f>MacReports!B187</f>
        <v>0</v>
      </c>
      <c r="C187">
        <f>MacReports!C187</f>
        <v>0</v>
      </c>
      <c r="E187" t="e">
        <f>_xlfn.XLOOKUP(G187,Models!A:A,Models!F:F)</f>
        <v>#N/A</v>
      </c>
      <c r="F187" t="str">
        <f>_xlfn.XLOOKUP(B187,MacReports!B:B,MacReports!D:D,"")</f>
        <v/>
      </c>
      <c r="G187" s="13">
        <f>MacReports!E187</f>
        <v>0</v>
      </c>
      <c r="H187" t="e">
        <f>_xlfn.XLOOKUP(G187,Models!A:A,Models!B:B)</f>
        <v>#N/A</v>
      </c>
      <c r="I187" t="e">
        <f>_xlfn.XLOOKUP(G187,Models!A:A,Models!E:E)</f>
        <v>#N/A</v>
      </c>
      <c r="J187" t="e">
        <f>_xlfn.XLOOKUP(G187,Models!A:A,Models!D:D)</f>
        <v>#N/A</v>
      </c>
      <c r="K187">
        <f>MacReports!F187</f>
        <v>0</v>
      </c>
      <c r="L187">
        <f>MacReports!G187</f>
        <v>0</v>
      </c>
      <c r="M187" s="15" t="e" cm="1">
        <f t="array" ref="M187">--_xlfn.LET(
    _xlpm.txt, MacReports!H187,
    _xlpm.chars, MID(_xlpm.txt, _xlfn.SEQUENCE(LEN(_xlpm.txt)), 1),
    _xlfn.TEXTJOIN("", TRUE, IF(ISNUMBER(--_xlpm.chars), _xlpm.chars, ""))
)</f>
        <v>#VALUE!</v>
      </c>
      <c r="N187" s="16" t="str" cm="1">
        <f t="array" ref="N187">_xlfn.IFS(
   --MacReports!M187&lt;55,"Battery Defect",
  -- MacReports!M187&lt;=69,"Battery D",
  --MacReports!M187&lt;=80,"Battery C",
 --MacReports!M187&gt;80,""
)</f>
        <v>Battery Defect</v>
      </c>
      <c r="O187" s="16" t="str">
        <f>IF(MacReports!I187="Service","Battery Service","")</f>
        <v/>
      </c>
      <c r="P187" s="13">
        <f>MacReports!P187</f>
        <v>0</v>
      </c>
      <c r="Q187" s="13" t="str">
        <f>IF(MacReports!J187="Enabled","Apple ID Lock","")</f>
        <v/>
      </c>
      <c r="R187" s="13" t="str">
        <f>IF(MacReports!L187="y","Remote Locked","")</f>
        <v/>
      </c>
      <c r="S187" t="str">
        <f t="shared" si="7"/>
        <v>Battery Defect, 0</v>
      </c>
      <c r="T187" t="str">
        <f>_xlfn.XLOOKUP(B187,Disk_Pivot!G:G,Disk_Pivot!I:I)</f>
        <v>Yes</v>
      </c>
      <c r="U187" t="str">
        <f>_xlfn.XLOOKUP(B187,Disk_Pivot!G:G,Disk_Pivot!N:N)</f>
        <v>Fail</v>
      </c>
      <c r="V187">
        <f>IF(U187="Fail",MacReports!N187,"")</f>
        <v>0</v>
      </c>
      <c r="AB187" t="str">
        <f t="shared" si="8"/>
        <v/>
      </c>
    </row>
    <row r="188" spans="1:28">
      <c r="A188" t="str">
        <f>MacReports!A188</f>
        <v/>
      </c>
      <c r="B188">
        <f>MacReports!B188</f>
        <v>0</v>
      </c>
      <c r="C188">
        <f>MacReports!C188</f>
        <v>0</v>
      </c>
      <c r="E188" t="e">
        <f>_xlfn.XLOOKUP(G188,Models!A:A,Models!F:F)</f>
        <v>#N/A</v>
      </c>
      <c r="F188" t="str">
        <f>_xlfn.XLOOKUP(B188,MacReports!B:B,MacReports!D:D,"")</f>
        <v/>
      </c>
      <c r="G188" s="13">
        <f>MacReports!E188</f>
        <v>0</v>
      </c>
      <c r="H188" t="e">
        <f>_xlfn.XLOOKUP(G188,Models!A:A,Models!B:B)</f>
        <v>#N/A</v>
      </c>
      <c r="I188" t="e">
        <f>_xlfn.XLOOKUP(G188,Models!A:A,Models!E:E)</f>
        <v>#N/A</v>
      </c>
      <c r="J188" t="e">
        <f>_xlfn.XLOOKUP(G188,Models!A:A,Models!D:D)</f>
        <v>#N/A</v>
      </c>
      <c r="K188">
        <f>MacReports!F188</f>
        <v>0</v>
      </c>
      <c r="L188">
        <f>MacReports!G188</f>
        <v>0</v>
      </c>
      <c r="M188" s="15" t="e" cm="1">
        <f t="array" ref="M188">--_xlfn.LET(
    _xlpm.txt, MacReports!H188,
    _xlpm.chars, MID(_xlpm.txt, _xlfn.SEQUENCE(LEN(_xlpm.txt)), 1),
    _xlfn.TEXTJOIN("", TRUE, IF(ISNUMBER(--_xlpm.chars), _xlpm.chars, ""))
)</f>
        <v>#VALUE!</v>
      </c>
      <c r="N188" s="16" t="str" cm="1">
        <f t="array" ref="N188">_xlfn.IFS(
   --MacReports!M188&lt;55,"Battery Defect",
  -- MacReports!M188&lt;=69,"Battery D",
  --MacReports!M188&lt;=80,"Battery C",
 --MacReports!M188&gt;80,""
)</f>
        <v>Battery Defect</v>
      </c>
      <c r="O188" s="16" t="str">
        <f>IF(MacReports!I188="Service","Battery Service","")</f>
        <v/>
      </c>
      <c r="P188" s="13">
        <f>MacReports!P188</f>
        <v>0</v>
      </c>
      <c r="Q188" s="13" t="str">
        <f>IF(MacReports!J188="Enabled","Apple ID Lock","")</f>
        <v/>
      </c>
      <c r="R188" s="13" t="str">
        <f>IF(MacReports!L188="y","Remote Locked","")</f>
        <v/>
      </c>
      <c r="S188" t="str">
        <f t="shared" si="7"/>
        <v>Battery Defect, 0</v>
      </c>
      <c r="T188" t="str">
        <f>_xlfn.XLOOKUP(B188,Disk_Pivot!G:G,Disk_Pivot!I:I)</f>
        <v>Yes</v>
      </c>
      <c r="U188" t="str">
        <f>_xlfn.XLOOKUP(B188,Disk_Pivot!G:G,Disk_Pivot!N:N)</f>
        <v>Fail</v>
      </c>
      <c r="V188">
        <f>IF(U188="Fail",MacReports!N188,"")</f>
        <v>0</v>
      </c>
      <c r="AB188" t="str">
        <f t="shared" si="8"/>
        <v/>
      </c>
    </row>
    <row r="189" spans="1:28">
      <c r="A189" t="str">
        <f>MacReports!A189</f>
        <v/>
      </c>
      <c r="B189">
        <f>MacReports!B189</f>
        <v>0</v>
      </c>
      <c r="C189">
        <f>MacReports!C189</f>
        <v>0</v>
      </c>
      <c r="E189" t="e">
        <f>_xlfn.XLOOKUP(G189,Models!A:A,Models!F:F)</f>
        <v>#N/A</v>
      </c>
      <c r="F189" t="str">
        <f>_xlfn.XLOOKUP(B189,MacReports!B:B,MacReports!D:D,"")</f>
        <v/>
      </c>
      <c r="G189" s="13">
        <f>MacReports!E189</f>
        <v>0</v>
      </c>
      <c r="H189" t="e">
        <f>_xlfn.XLOOKUP(G189,Models!A:A,Models!B:B)</f>
        <v>#N/A</v>
      </c>
      <c r="I189" t="e">
        <f>_xlfn.XLOOKUP(G189,Models!A:A,Models!E:E)</f>
        <v>#N/A</v>
      </c>
      <c r="J189" t="e">
        <f>_xlfn.XLOOKUP(G189,Models!A:A,Models!D:D)</f>
        <v>#N/A</v>
      </c>
      <c r="K189">
        <f>MacReports!F189</f>
        <v>0</v>
      </c>
      <c r="L189">
        <f>MacReports!G189</f>
        <v>0</v>
      </c>
      <c r="M189" s="15" t="e" cm="1">
        <f t="array" ref="M189">--_xlfn.LET(
    _xlpm.txt, MacReports!H189,
    _xlpm.chars, MID(_xlpm.txt, _xlfn.SEQUENCE(LEN(_xlpm.txt)), 1),
    _xlfn.TEXTJOIN("", TRUE, IF(ISNUMBER(--_xlpm.chars), _xlpm.chars, ""))
)</f>
        <v>#VALUE!</v>
      </c>
      <c r="N189" s="16" t="str" cm="1">
        <f t="array" ref="N189">_xlfn.IFS(
   --MacReports!M189&lt;55,"Battery Defect",
  -- MacReports!M189&lt;=69,"Battery D",
  --MacReports!M189&lt;=80,"Battery C",
 --MacReports!M189&gt;80,""
)</f>
        <v>Battery Defect</v>
      </c>
      <c r="O189" s="16" t="str">
        <f>IF(MacReports!I189="Service","Battery Service","")</f>
        <v/>
      </c>
      <c r="P189" s="13">
        <f>MacReports!P189</f>
        <v>0</v>
      </c>
      <c r="Q189" s="13" t="str">
        <f>IF(MacReports!J189="Enabled","Apple ID Lock","")</f>
        <v/>
      </c>
      <c r="R189" s="13" t="str">
        <f>IF(MacReports!L189="y","Remote Locked","")</f>
        <v/>
      </c>
      <c r="S189" t="str">
        <f t="shared" si="7"/>
        <v>Battery Defect, 0</v>
      </c>
      <c r="T189" t="str">
        <f>_xlfn.XLOOKUP(B189,Disk_Pivot!G:G,Disk_Pivot!I:I)</f>
        <v>Yes</v>
      </c>
      <c r="U189" t="str">
        <f>_xlfn.XLOOKUP(B189,Disk_Pivot!G:G,Disk_Pivot!N:N)</f>
        <v>Fail</v>
      </c>
      <c r="V189">
        <f>IF(U189="Fail",MacReports!N189,"")</f>
        <v>0</v>
      </c>
      <c r="AB189" t="str">
        <f t="shared" si="8"/>
        <v/>
      </c>
    </row>
    <row r="190" spans="1:28">
      <c r="A190" t="str">
        <f>MacReports!A190</f>
        <v/>
      </c>
      <c r="B190">
        <f>MacReports!B190</f>
        <v>0</v>
      </c>
      <c r="C190">
        <f>MacReports!C190</f>
        <v>0</v>
      </c>
      <c r="E190" t="e">
        <f>_xlfn.XLOOKUP(G190,Models!A:A,Models!F:F)</f>
        <v>#N/A</v>
      </c>
      <c r="F190" t="str">
        <f>_xlfn.XLOOKUP(B190,MacReports!B:B,MacReports!D:D,"")</f>
        <v/>
      </c>
      <c r="G190" s="13">
        <f>MacReports!E190</f>
        <v>0</v>
      </c>
      <c r="H190" t="e">
        <f>_xlfn.XLOOKUP(G190,Models!A:A,Models!B:B)</f>
        <v>#N/A</v>
      </c>
      <c r="I190" t="e">
        <f>_xlfn.XLOOKUP(G190,Models!A:A,Models!E:E)</f>
        <v>#N/A</v>
      </c>
      <c r="J190" t="e">
        <f>_xlfn.XLOOKUP(G190,Models!A:A,Models!D:D)</f>
        <v>#N/A</v>
      </c>
      <c r="K190">
        <f>MacReports!F190</f>
        <v>0</v>
      </c>
      <c r="L190">
        <f>MacReports!G190</f>
        <v>0</v>
      </c>
      <c r="M190" s="15" t="e" cm="1">
        <f t="array" ref="M190">--_xlfn.LET(
    _xlpm.txt, MacReports!H190,
    _xlpm.chars, MID(_xlpm.txt, _xlfn.SEQUENCE(LEN(_xlpm.txt)), 1),
    _xlfn.TEXTJOIN("", TRUE, IF(ISNUMBER(--_xlpm.chars), _xlpm.chars, ""))
)</f>
        <v>#VALUE!</v>
      </c>
      <c r="N190" s="16" t="str" cm="1">
        <f t="array" ref="N190">_xlfn.IFS(
   --MacReports!M190&lt;55,"Battery Defect",
  -- MacReports!M190&lt;=69,"Battery D",
  --MacReports!M190&lt;=80,"Battery C",
 --MacReports!M190&gt;80,""
)</f>
        <v>Battery Defect</v>
      </c>
      <c r="O190" s="16" t="str">
        <f>IF(MacReports!I190="Service","Battery Service","")</f>
        <v/>
      </c>
      <c r="P190" s="13">
        <f>MacReports!P190</f>
        <v>0</v>
      </c>
      <c r="Q190" s="13" t="str">
        <f>IF(MacReports!J190="Enabled","Apple ID Lock","")</f>
        <v/>
      </c>
      <c r="R190" s="13" t="str">
        <f>IF(MacReports!L190="y","Remote Locked","")</f>
        <v/>
      </c>
      <c r="S190" t="str">
        <f t="shared" si="7"/>
        <v>Battery Defect, 0</v>
      </c>
      <c r="T190" t="str">
        <f>_xlfn.XLOOKUP(B190,Disk_Pivot!G:G,Disk_Pivot!I:I)</f>
        <v>Yes</v>
      </c>
      <c r="U190" t="str">
        <f>_xlfn.XLOOKUP(B190,Disk_Pivot!G:G,Disk_Pivot!N:N)</f>
        <v>Fail</v>
      </c>
      <c r="V190">
        <f>IF(U190="Fail",MacReports!N190,"")</f>
        <v>0</v>
      </c>
      <c r="AB190" t="str">
        <f t="shared" si="8"/>
        <v/>
      </c>
    </row>
    <row r="191" spans="1:28">
      <c r="A191" t="str">
        <f>MacReports!A191</f>
        <v/>
      </c>
      <c r="B191">
        <f>MacReports!B191</f>
        <v>0</v>
      </c>
      <c r="C191">
        <f>MacReports!C191</f>
        <v>0</v>
      </c>
      <c r="E191" t="e">
        <f>_xlfn.XLOOKUP(G191,Models!A:A,Models!F:F)</f>
        <v>#N/A</v>
      </c>
      <c r="F191" t="str">
        <f>_xlfn.XLOOKUP(B191,MacReports!B:B,MacReports!D:D,"")</f>
        <v/>
      </c>
      <c r="G191" s="13">
        <f>MacReports!E191</f>
        <v>0</v>
      </c>
      <c r="H191" t="e">
        <f>_xlfn.XLOOKUP(G191,Models!A:A,Models!B:B)</f>
        <v>#N/A</v>
      </c>
      <c r="I191" t="e">
        <f>_xlfn.XLOOKUP(G191,Models!A:A,Models!E:E)</f>
        <v>#N/A</v>
      </c>
      <c r="J191" t="e">
        <f>_xlfn.XLOOKUP(G191,Models!A:A,Models!D:D)</f>
        <v>#N/A</v>
      </c>
      <c r="K191">
        <f>MacReports!F191</f>
        <v>0</v>
      </c>
      <c r="L191">
        <f>MacReports!G191</f>
        <v>0</v>
      </c>
      <c r="M191" s="15" t="e" cm="1">
        <f t="array" ref="M191">--_xlfn.LET(
    _xlpm.txt, MacReports!H191,
    _xlpm.chars, MID(_xlpm.txt, _xlfn.SEQUENCE(LEN(_xlpm.txt)), 1),
    _xlfn.TEXTJOIN("", TRUE, IF(ISNUMBER(--_xlpm.chars), _xlpm.chars, ""))
)</f>
        <v>#VALUE!</v>
      </c>
      <c r="N191" s="16" t="str" cm="1">
        <f t="array" ref="N191">_xlfn.IFS(
   --MacReports!M191&lt;55,"Battery Defect",
  -- MacReports!M191&lt;=69,"Battery D",
  --MacReports!M191&lt;=80,"Battery C",
 --MacReports!M191&gt;80,""
)</f>
        <v>Battery Defect</v>
      </c>
      <c r="O191" s="16" t="str">
        <f>IF(MacReports!I191="Service","Battery Service","")</f>
        <v/>
      </c>
      <c r="P191" s="13">
        <f>MacReports!P191</f>
        <v>0</v>
      </c>
      <c r="Q191" s="13" t="str">
        <f>IF(MacReports!J191="Enabled","Apple ID Lock","")</f>
        <v/>
      </c>
      <c r="R191" s="13" t="str">
        <f>IF(MacReports!L191="y","Remote Locked","")</f>
        <v/>
      </c>
      <c r="S191" t="str">
        <f t="shared" si="7"/>
        <v>Battery Defect, 0</v>
      </c>
      <c r="T191" t="str">
        <f>_xlfn.XLOOKUP(B191,Disk_Pivot!G:G,Disk_Pivot!I:I)</f>
        <v>Yes</v>
      </c>
      <c r="U191" t="str">
        <f>_xlfn.XLOOKUP(B191,Disk_Pivot!G:G,Disk_Pivot!N:N)</f>
        <v>Fail</v>
      </c>
      <c r="V191">
        <f>IF(U191="Fail",MacReports!N191,"")</f>
        <v>0</v>
      </c>
      <c r="AB191" t="str">
        <f t="shared" si="8"/>
        <v/>
      </c>
    </row>
    <row r="192" spans="1:28">
      <c r="A192" t="str">
        <f>MacReports!A192</f>
        <v/>
      </c>
      <c r="B192">
        <f>MacReports!B192</f>
        <v>0</v>
      </c>
      <c r="C192">
        <f>MacReports!C192</f>
        <v>0</v>
      </c>
      <c r="E192" t="e">
        <f>_xlfn.XLOOKUP(G192,Models!A:A,Models!F:F)</f>
        <v>#N/A</v>
      </c>
      <c r="F192" t="str">
        <f>_xlfn.XLOOKUP(B192,MacReports!B:B,MacReports!D:D,"")</f>
        <v/>
      </c>
      <c r="G192" s="13">
        <f>MacReports!E192</f>
        <v>0</v>
      </c>
      <c r="H192" t="e">
        <f>_xlfn.XLOOKUP(G192,Models!A:A,Models!B:B)</f>
        <v>#N/A</v>
      </c>
      <c r="I192" t="e">
        <f>_xlfn.XLOOKUP(G192,Models!A:A,Models!E:E)</f>
        <v>#N/A</v>
      </c>
      <c r="J192" t="e">
        <f>_xlfn.XLOOKUP(G192,Models!A:A,Models!D:D)</f>
        <v>#N/A</v>
      </c>
      <c r="K192">
        <f>MacReports!F192</f>
        <v>0</v>
      </c>
      <c r="L192">
        <f>MacReports!G192</f>
        <v>0</v>
      </c>
      <c r="M192" s="15" t="e" cm="1">
        <f t="array" ref="M192">--_xlfn.LET(
    _xlpm.txt, MacReports!H192,
    _xlpm.chars, MID(_xlpm.txt, _xlfn.SEQUENCE(LEN(_xlpm.txt)), 1),
    _xlfn.TEXTJOIN("", TRUE, IF(ISNUMBER(--_xlpm.chars), _xlpm.chars, ""))
)</f>
        <v>#VALUE!</v>
      </c>
      <c r="N192" s="16" t="str" cm="1">
        <f t="array" ref="N192">_xlfn.IFS(
   --MacReports!M192&lt;55,"Battery Defect",
  -- MacReports!M192&lt;=69,"Battery D",
  --MacReports!M192&lt;=80,"Battery C",
 --MacReports!M192&gt;80,""
)</f>
        <v>Battery Defect</v>
      </c>
      <c r="O192" s="16" t="str">
        <f>IF(MacReports!I192="Service","Battery Service","")</f>
        <v/>
      </c>
      <c r="P192" s="13">
        <f>MacReports!P192</f>
        <v>0</v>
      </c>
      <c r="Q192" s="13" t="str">
        <f>IF(MacReports!J192="Enabled","Apple ID Lock","")</f>
        <v/>
      </c>
      <c r="R192" s="13" t="str">
        <f>IF(MacReports!L192="y","Remote Locked","")</f>
        <v/>
      </c>
      <c r="S192" t="str">
        <f t="shared" si="7"/>
        <v>Battery Defect, 0</v>
      </c>
      <c r="T192" t="str">
        <f>_xlfn.XLOOKUP(B192,Disk_Pivot!G:G,Disk_Pivot!I:I)</f>
        <v>Yes</v>
      </c>
      <c r="U192" t="str">
        <f>_xlfn.XLOOKUP(B192,Disk_Pivot!G:G,Disk_Pivot!N:N)</f>
        <v>Fail</v>
      </c>
      <c r="V192">
        <f>IF(U192="Fail",MacReports!N192,"")</f>
        <v>0</v>
      </c>
      <c r="AB192" t="str">
        <f t="shared" si="8"/>
        <v/>
      </c>
    </row>
    <row r="193" spans="1:28">
      <c r="A193" t="str">
        <f>MacReports!A193</f>
        <v/>
      </c>
      <c r="B193">
        <f>MacReports!B193</f>
        <v>0</v>
      </c>
      <c r="C193">
        <f>MacReports!C193</f>
        <v>0</v>
      </c>
      <c r="E193" t="e">
        <f>_xlfn.XLOOKUP(G193,Models!A:A,Models!F:F)</f>
        <v>#N/A</v>
      </c>
      <c r="F193" t="str">
        <f>_xlfn.XLOOKUP(B193,MacReports!B:B,MacReports!D:D,"")</f>
        <v/>
      </c>
      <c r="G193" s="13">
        <f>MacReports!E193</f>
        <v>0</v>
      </c>
      <c r="H193" t="e">
        <f>_xlfn.XLOOKUP(G193,Models!A:A,Models!B:B)</f>
        <v>#N/A</v>
      </c>
      <c r="I193" t="e">
        <f>_xlfn.XLOOKUP(G193,Models!A:A,Models!E:E)</f>
        <v>#N/A</v>
      </c>
      <c r="J193" t="e">
        <f>_xlfn.XLOOKUP(G193,Models!A:A,Models!D:D)</f>
        <v>#N/A</v>
      </c>
      <c r="K193">
        <f>MacReports!F193</f>
        <v>0</v>
      </c>
      <c r="L193">
        <f>MacReports!G193</f>
        <v>0</v>
      </c>
      <c r="M193" s="15" t="e" cm="1">
        <f t="array" ref="M193">--_xlfn.LET(
    _xlpm.txt, MacReports!H193,
    _xlpm.chars, MID(_xlpm.txt, _xlfn.SEQUENCE(LEN(_xlpm.txt)), 1),
    _xlfn.TEXTJOIN("", TRUE, IF(ISNUMBER(--_xlpm.chars), _xlpm.chars, ""))
)</f>
        <v>#VALUE!</v>
      </c>
      <c r="N193" s="16" t="str" cm="1">
        <f t="array" ref="N193">_xlfn.IFS(
   --MacReports!M193&lt;55,"Battery Defect",
  -- MacReports!M193&lt;=69,"Battery D",
  --MacReports!M193&lt;=80,"Battery C",
 --MacReports!M193&gt;80,""
)</f>
        <v>Battery Defect</v>
      </c>
      <c r="O193" s="16" t="str">
        <f>IF(MacReports!I193="Service","Battery Service","")</f>
        <v/>
      </c>
      <c r="P193" s="13">
        <f>MacReports!P193</f>
        <v>0</v>
      </c>
      <c r="Q193" s="13" t="str">
        <f>IF(MacReports!J193="Enabled","Apple ID Lock","")</f>
        <v/>
      </c>
      <c r="R193" s="13" t="str">
        <f>IF(MacReports!L193="y","Remote Locked","")</f>
        <v/>
      </c>
      <c r="S193" t="str">
        <f t="shared" si="7"/>
        <v>Battery Defect, 0</v>
      </c>
      <c r="T193" t="str">
        <f>_xlfn.XLOOKUP(B193,Disk_Pivot!G:G,Disk_Pivot!I:I)</f>
        <v>Yes</v>
      </c>
      <c r="U193" t="str">
        <f>_xlfn.XLOOKUP(B193,Disk_Pivot!G:G,Disk_Pivot!N:N)</f>
        <v>Fail</v>
      </c>
      <c r="V193">
        <f>IF(U193="Fail",MacReports!N193,"")</f>
        <v>0</v>
      </c>
      <c r="AB193" t="str">
        <f t="shared" si="8"/>
        <v/>
      </c>
    </row>
    <row r="194" spans="1:28">
      <c r="A194" t="str">
        <f>MacReports!A194</f>
        <v/>
      </c>
      <c r="B194">
        <f>MacReports!B194</f>
        <v>0</v>
      </c>
      <c r="C194">
        <f>MacReports!C194</f>
        <v>0</v>
      </c>
      <c r="E194" t="e">
        <f>_xlfn.XLOOKUP(G194,Models!A:A,Models!F:F)</f>
        <v>#N/A</v>
      </c>
      <c r="F194" t="str">
        <f>_xlfn.XLOOKUP(B194,MacReports!B:B,MacReports!D:D,"")</f>
        <v/>
      </c>
      <c r="G194" s="13">
        <f>MacReports!E194</f>
        <v>0</v>
      </c>
      <c r="H194" t="e">
        <f>_xlfn.XLOOKUP(G194,Models!A:A,Models!B:B)</f>
        <v>#N/A</v>
      </c>
      <c r="I194" t="e">
        <f>_xlfn.XLOOKUP(G194,Models!A:A,Models!E:E)</f>
        <v>#N/A</v>
      </c>
      <c r="J194" t="e">
        <f>_xlfn.XLOOKUP(G194,Models!A:A,Models!D:D)</f>
        <v>#N/A</v>
      </c>
      <c r="K194">
        <f>MacReports!F194</f>
        <v>0</v>
      </c>
      <c r="L194">
        <f>MacReports!G194</f>
        <v>0</v>
      </c>
      <c r="M194" s="15" t="e" cm="1">
        <f t="array" ref="M194">--_xlfn.LET(
    _xlpm.txt, MacReports!H194,
    _xlpm.chars, MID(_xlpm.txt, _xlfn.SEQUENCE(LEN(_xlpm.txt)), 1),
    _xlfn.TEXTJOIN("", TRUE, IF(ISNUMBER(--_xlpm.chars), _xlpm.chars, ""))
)</f>
        <v>#VALUE!</v>
      </c>
      <c r="N194" s="16" t="str" cm="1">
        <f t="array" ref="N194">_xlfn.IFS(
   --MacReports!M194&lt;55,"Battery Defect",
  -- MacReports!M194&lt;=69,"Battery D",
  --MacReports!M194&lt;=80,"Battery C",
 --MacReports!M194&gt;80,""
)</f>
        <v>Battery Defect</v>
      </c>
      <c r="O194" s="16" t="str">
        <f>IF(MacReports!I194="Service","Battery Service","")</f>
        <v/>
      </c>
      <c r="P194" s="13">
        <f>MacReports!P194</f>
        <v>0</v>
      </c>
      <c r="Q194" s="13" t="str">
        <f>IF(MacReports!J194="Enabled","Apple ID Lock","")</f>
        <v/>
      </c>
      <c r="R194" s="13" t="str">
        <f>IF(MacReports!L194="y","Remote Locked","")</f>
        <v/>
      </c>
      <c r="S194" t="str">
        <f t="shared" si="7"/>
        <v>Battery Defect, 0</v>
      </c>
      <c r="T194" t="str">
        <f>_xlfn.XLOOKUP(B194,Disk_Pivot!G:G,Disk_Pivot!I:I)</f>
        <v>Yes</v>
      </c>
      <c r="U194" t="str">
        <f>_xlfn.XLOOKUP(B194,Disk_Pivot!G:G,Disk_Pivot!N:N)</f>
        <v>Fail</v>
      </c>
      <c r="V194">
        <f>IF(U194="Fail",MacReports!N194,"")</f>
        <v>0</v>
      </c>
      <c r="AB194" t="str">
        <f t="shared" si="8"/>
        <v/>
      </c>
    </row>
    <row r="195" spans="1:28">
      <c r="A195" t="str">
        <f>MacReports!A195</f>
        <v/>
      </c>
      <c r="B195">
        <f>MacReports!B195</f>
        <v>0</v>
      </c>
      <c r="C195">
        <f>MacReports!C195</f>
        <v>0</v>
      </c>
      <c r="E195" t="e">
        <f>_xlfn.XLOOKUP(G195,Models!A:A,Models!F:F)</f>
        <v>#N/A</v>
      </c>
      <c r="F195" t="str">
        <f>_xlfn.XLOOKUP(B195,MacReports!B:B,MacReports!D:D,"")</f>
        <v/>
      </c>
      <c r="G195" s="13">
        <f>MacReports!E195</f>
        <v>0</v>
      </c>
      <c r="H195" t="e">
        <f>_xlfn.XLOOKUP(G195,Models!A:A,Models!B:B)</f>
        <v>#N/A</v>
      </c>
      <c r="I195" t="e">
        <f>_xlfn.XLOOKUP(G195,Models!A:A,Models!E:E)</f>
        <v>#N/A</v>
      </c>
      <c r="J195" t="e">
        <f>_xlfn.XLOOKUP(G195,Models!A:A,Models!D:D)</f>
        <v>#N/A</v>
      </c>
      <c r="K195">
        <f>MacReports!F195</f>
        <v>0</v>
      </c>
      <c r="L195">
        <f>MacReports!G195</f>
        <v>0</v>
      </c>
      <c r="M195" s="15" t="e" cm="1">
        <f t="array" ref="M195">--_xlfn.LET(
    _xlpm.txt, MacReports!H195,
    _xlpm.chars, MID(_xlpm.txt, _xlfn.SEQUENCE(LEN(_xlpm.txt)), 1),
    _xlfn.TEXTJOIN("", TRUE, IF(ISNUMBER(--_xlpm.chars), _xlpm.chars, ""))
)</f>
        <v>#VALUE!</v>
      </c>
      <c r="N195" s="16" t="str" cm="1">
        <f t="array" ref="N195">_xlfn.IFS(
   --MacReports!M195&lt;55,"Battery Defect",
  -- MacReports!M195&lt;=69,"Battery D",
  --MacReports!M195&lt;=80,"Battery C",
 --MacReports!M195&gt;80,""
)</f>
        <v>Battery Defect</v>
      </c>
      <c r="O195" s="16" t="str">
        <f>IF(MacReports!I195="Service","Battery Service","")</f>
        <v/>
      </c>
      <c r="P195" s="13">
        <f>MacReports!P195</f>
        <v>0</v>
      </c>
      <c r="Q195" s="13" t="str">
        <f>IF(MacReports!J195="Enabled","Apple ID Lock","")</f>
        <v/>
      </c>
      <c r="R195" s="13" t="str">
        <f>IF(MacReports!L195="y","Remote Locked","")</f>
        <v/>
      </c>
      <c r="S195" t="str">
        <f t="shared" si="7"/>
        <v>Battery Defect, 0</v>
      </c>
      <c r="T195" t="str">
        <f>_xlfn.XLOOKUP(B195,Disk_Pivot!G:G,Disk_Pivot!I:I)</f>
        <v>Yes</v>
      </c>
      <c r="U195" t="str">
        <f>_xlfn.XLOOKUP(B195,Disk_Pivot!G:G,Disk_Pivot!N:N)</f>
        <v>Fail</v>
      </c>
      <c r="V195">
        <f>IF(U195="Fail",MacReports!N195,"")</f>
        <v>0</v>
      </c>
      <c r="AB195" t="str">
        <f t="shared" si="8"/>
        <v/>
      </c>
    </row>
    <row r="196" spans="1:28">
      <c r="A196" t="str">
        <f>MacReports!A196</f>
        <v/>
      </c>
      <c r="B196">
        <f>MacReports!B196</f>
        <v>0</v>
      </c>
      <c r="C196">
        <f>MacReports!C196</f>
        <v>0</v>
      </c>
      <c r="E196" t="e">
        <f>_xlfn.XLOOKUP(G196,Models!A:A,Models!F:F)</f>
        <v>#N/A</v>
      </c>
      <c r="F196" t="str">
        <f>_xlfn.XLOOKUP(B196,MacReports!B:B,MacReports!D:D,"")</f>
        <v/>
      </c>
      <c r="G196" s="13">
        <f>MacReports!E196</f>
        <v>0</v>
      </c>
      <c r="H196" t="e">
        <f>_xlfn.XLOOKUP(G196,Models!A:A,Models!B:B)</f>
        <v>#N/A</v>
      </c>
      <c r="I196" t="e">
        <f>_xlfn.XLOOKUP(G196,Models!A:A,Models!E:E)</f>
        <v>#N/A</v>
      </c>
      <c r="J196" t="e">
        <f>_xlfn.XLOOKUP(G196,Models!A:A,Models!D:D)</f>
        <v>#N/A</v>
      </c>
      <c r="K196">
        <f>MacReports!F196</f>
        <v>0</v>
      </c>
      <c r="L196">
        <f>MacReports!G196</f>
        <v>0</v>
      </c>
      <c r="M196" s="15" t="e" cm="1">
        <f t="array" ref="M196">--_xlfn.LET(
    _xlpm.txt, MacReports!H196,
    _xlpm.chars, MID(_xlpm.txt, _xlfn.SEQUENCE(LEN(_xlpm.txt)), 1),
    _xlfn.TEXTJOIN("", TRUE, IF(ISNUMBER(--_xlpm.chars), _xlpm.chars, ""))
)</f>
        <v>#VALUE!</v>
      </c>
      <c r="N196" s="16" t="str" cm="1">
        <f t="array" ref="N196">_xlfn.IFS(
   --MacReports!M196&lt;55,"Battery Defect",
  -- MacReports!M196&lt;=69,"Battery D",
  --MacReports!M196&lt;=80,"Battery C",
 --MacReports!M196&gt;80,""
)</f>
        <v>Battery Defect</v>
      </c>
      <c r="O196" s="16" t="str">
        <f>IF(MacReports!I196="Service","Battery Service","")</f>
        <v/>
      </c>
      <c r="P196" s="13">
        <f>MacReports!P196</f>
        <v>0</v>
      </c>
      <c r="Q196" s="13" t="str">
        <f>IF(MacReports!J196="Enabled","Apple ID Lock","")</f>
        <v/>
      </c>
      <c r="R196" s="13" t="str">
        <f>IF(MacReports!L196="y","Remote Locked","")</f>
        <v/>
      </c>
      <c r="S196" t="str">
        <f t="shared" si="7"/>
        <v>Battery Defect, 0</v>
      </c>
      <c r="T196" t="str">
        <f>_xlfn.XLOOKUP(B196,Disk_Pivot!G:G,Disk_Pivot!I:I)</f>
        <v>Yes</v>
      </c>
      <c r="U196" t="str">
        <f>_xlfn.XLOOKUP(B196,Disk_Pivot!G:G,Disk_Pivot!N:N)</f>
        <v>Fail</v>
      </c>
      <c r="V196">
        <f>IF(U196="Fail",MacReports!N196,"")</f>
        <v>0</v>
      </c>
      <c r="AB196" t="str">
        <f t="shared" si="8"/>
        <v/>
      </c>
    </row>
    <row r="197" spans="1:28">
      <c r="A197" t="str">
        <f>MacReports!A197</f>
        <v/>
      </c>
      <c r="B197">
        <f>MacReports!B197</f>
        <v>0</v>
      </c>
      <c r="C197">
        <f>MacReports!C197</f>
        <v>0</v>
      </c>
      <c r="E197" t="e">
        <f>_xlfn.XLOOKUP(G197,Models!A:A,Models!F:F)</f>
        <v>#N/A</v>
      </c>
      <c r="F197" t="str">
        <f>_xlfn.XLOOKUP(B197,MacReports!B:B,MacReports!D:D,"")</f>
        <v/>
      </c>
      <c r="G197" s="13">
        <f>MacReports!E197</f>
        <v>0</v>
      </c>
      <c r="H197" t="e">
        <f>_xlfn.XLOOKUP(G197,Models!A:A,Models!B:B)</f>
        <v>#N/A</v>
      </c>
      <c r="I197" t="e">
        <f>_xlfn.XLOOKUP(G197,Models!A:A,Models!E:E)</f>
        <v>#N/A</v>
      </c>
      <c r="J197" t="e">
        <f>_xlfn.XLOOKUP(G197,Models!A:A,Models!D:D)</f>
        <v>#N/A</v>
      </c>
      <c r="K197">
        <f>MacReports!F197</f>
        <v>0</v>
      </c>
      <c r="L197">
        <f>MacReports!G197</f>
        <v>0</v>
      </c>
      <c r="M197" s="15" t="e" cm="1">
        <f t="array" ref="M197">--_xlfn.LET(
    _xlpm.txt, MacReports!H197,
    _xlpm.chars, MID(_xlpm.txt, _xlfn.SEQUENCE(LEN(_xlpm.txt)), 1),
    _xlfn.TEXTJOIN("", TRUE, IF(ISNUMBER(--_xlpm.chars), _xlpm.chars, ""))
)</f>
        <v>#VALUE!</v>
      </c>
      <c r="N197" s="16" t="str" cm="1">
        <f t="array" ref="N197">_xlfn.IFS(
   --MacReports!M197&lt;55,"Battery Defect",
  -- MacReports!M197&lt;=69,"Battery D",
  --MacReports!M197&lt;=80,"Battery C",
 --MacReports!M197&gt;80,""
)</f>
        <v>Battery Defect</v>
      </c>
      <c r="O197" s="16" t="str">
        <f>IF(MacReports!I197="Service","Battery Service","")</f>
        <v/>
      </c>
      <c r="P197" s="13">
        <f>MacReports!P197</f>
        <v>0</v>
      </c>
      <c r="Q197" s="13" t="str">
        <f>IF(MacReports!J197="Enabled","Apple ID Lock","")</f>
        <v/>
      </c>
      <c r="R197" s="13" t="str">
        <f>IF(MacReports!L197="y","Remote Locked","")</f>
        <v/>
      </c>
      <c r="S197" t="str">
        <f t="shared" si="7"/>
        <v>Battery Defect, 0</v>
      </c>
      <c r="T197" t="str">
        <f>_xlfn.XLOOKUP(B197,Disk_Pivot!G:G,Disk_Pivot!I:I)</f>
        <v>Yes</v>
      </c>
      <c r="U197" t="str">
        <f>_xlfn.XLOOKUP(B197,Disk_Pivot!G:G,Disk_Pivot!N:N)</f>
        <v>Fail</v>
      </c>
      <c r="V197">
        <f>IF(U197="Fail",MacReports!N197,"")</f>
        <v>0</v>
      </c>
      <c r="AB197" t="str">
        <f t="shared" si="8"/>
        <v/>
      </c>
    </row>
    <row r="198" spans="1:28">
      <c r="A198" t="str">
        <f>MacReports!A198</f>
        <v/>
      </c>
      <c r="B198">
        <f>MacReports!B198</f>
        <v>0</v>
      </c>
      <c r="C198">
        <f>MacReports!C198</f>
        <v>0</v>
      </c>
      <c r="E198" t="e">
        <f>_xlfn.XLOOKUP(G198,Models!A:A,Models!F:F)</f>
        <v>#N/A</v>
      </c>
      <c r="F198" t="str">
        <f>_xlfn.XLOOKUP(B198,MacReports!B:B,MacReports!D:D,"")</f>
        <v/>
      </c>
      <c r="G198" s="13">
        <f>MacReports!E198</f>
        <v>0</v>
      </c>
      <c r="H198" t="e">
        <f>_xlfn.XLOOKUP(G198,Models!A:A,Models!B:B)</f>
        <v>#N/A</v>
      </c>
      <c r="I198" t="e">
        <f>_xlfn.XLOOKUP(G198,Models!A:A,Models!E:E)</f>
        <v>#N/A</v>
      </c>
      <c r="J198" t="e">
        <f>_xlfn.XLOOKUP(G198,Models!A:A,Models!D:D)</f>
        <v>#N/A</v>
      </c>
      <c r="K198">
        <f>MacReports!F198</f>
        <v>0</v>
      </c>
      <c r="L198">
        <f>MacReports!G198</f>
        <v>0</v>
      </c>
      <c r="M198" s="15" t="e" cm="1">
        <f t="array" ref="M198">--_xlfn.LET(
    _xlpm.txt, MacReports!H198,
    _xlpm.chars, MID(_xlpm.txt, _xlfn.SEQUENCE(LEN(_xlpm.txt)), 1),
    _xlfn.TEXTJOIN("", TRUE, IF(ISNUMBER(--_xlpm.chars), _xlpm.chars, ""))
)</f>
        <v>#VALUE!</v>
      </c>
      <c r="N198" s="16" t="str" cm="1">
        <f t="array" ref="N198">_xlfn.IFS(
   --MacReports!M198&lt;55,"Battery Defect",
  -- MacReports!M198&lt;=69,"Battery D",
  --MacReports!M198&lt;=80,"Battery C",
 --MacReports!M198&gt;80,""
)</f>
        <v>Battery Defect</v>
      </c>
      <c r="O198" s="16" t="str">
        <f>IF(MacReports!I198="Service","Battery Service","")</f>
        <v/>
      </c>
      <c r="P198" s="13">
        <f>MacReports!P198</f>
        <v>0</v>
      </c>
      <c r="Q198" s="13" t="str">
        <f>IF(MacReports!J198="Enabled","Apple ID Lock","")</f>
        <v/>
      </c>
      <c r="R198" s="13" t="str">
        <f>IF(MacReports!L198="y","Remote Locked","")</f>
        <v/>
      </c>
      <c r="S198" t="str">
        <f t="shared" si="7"/>
        <v>Battery Defect, 0</v>
      </c>
      <c r="T198" t="str">
        <f>_xlfn.XLOOKUP(B198,Disk_Pivot!G:G,Disk_Pivot!I:I)</f>
        <v>Yes</v>
      </c>
      <c r="U198" t="str">
        <f>_xlfn.XLOOKUP(B198,Disk_Pivot!G:G,Disk_Pivot!N:N)</f>
        <v>Fail</v>
      </c>
      <c r="V198">
        <f>IF(U198="Fail",MacReports!N198,"")</f>
        <v>0</v>
      </c>
      <c r="AB198" t="str">
        <f t="shared" si="8"/>
        <v/>
      </c>
    </row>
    <row r="199" spans="1:28">
      <c r="A199" t="str">
        <f>MacReports!A199</f>
        <v/>
      </c>
      <c r="B199">
        <f>MacReports!B199</f>
        <v>0</v>
      </c>
      <c r="C199">
        <f>MacReports!C199</f>
        <v>0</v>
      </c>
      <c r="E199" t="e">
        <f>_xlfn.XLOOKUP(G199,Models!A:A,Models!F:F)</f>
        <v>#N/A</v>
      </c>
      <c r="F199" t="str">
        <f>_xlfn.XLOOKUP(B199,MacReports!B:B,MacReports!D:D,"")</f>
        <v/>
      </c>
      <c r="G199" s="13">
        <f>MacReports!E199</f>
        <v>0</v>
      </c>
      <c r="H199" t="e">
        <f>_xlfn.XLOOKUP(G199,Models!A:A,Models!B:B)</f>
        <v>#N/A</v>
      </c>
      <c r="I199" t="e">
        <f>_xlfn.XLOOKUP(G199,Models!A:A,Models!E:E)</f>
        <v>#N/A</v>
      </c>
      <c r="J199" t="e">
        <f>_xlfn.XLOOKUP(G199,Models!A:A,Models!D:D)</f>
        <v>#N/A</v>
      </c>
      <c r="K199">
        <f>MacReports!F199</f>
        <v>0</v>
      </c>
      <c r="L199">
        <f>MacReports!G199</f>
        <v>0</v>
      </c>
      <c r="M199" s="15" t="e" cm="1">
        <f t="array" ref="M199">--_xlfn.LET(
    _xlpm.txt, MacReports!H199,
    _xlpm.chars, MID(_xlpm.txt, _xlfn.SEQUENCE(LEN(_xlpm.txt)), 1),
    _xlfn.TEXTJOIN("", TRUE, IF(ISNUMBER(--_xlpm.chars), _xlpm.chars, ""))
)</f>
        <v>#VALUE!</v>
      </c>
      <c r="N199" s="16" t="str" cm="1">
        <f t="array" ref="N199">_xlfn.IFS(
   --MacReports!M199&lt;55,"Battery Defect",
  -- MacReports!M199&lt;=69,"Battery D",
  --MacReports!M199&lt;=80,"Battery C",
 --MacReports!M199&gt;80,""
)</f>
        <v>Battery Defect</v>
      </c>
      <c r="O199" s="16" t="str">
        <f>IF(MacReports!I199="Service","Battery Service","")</f>
        <v/>
      </c>
      <c r="P199" s="13">
        <f>MacReports!P199</f>
        <v>0</v>
      </c>
      <c r="Q199" s="13" t="str">
        <f>IF(MacReports!J199="Enabled","Apple ID Lock","")</f>
        <v/>
      </c>
      <c r="R199" s="13" t="str">
        <f>IF(MacReports!L199="y","Remote Locked","")</f>
        <v/>
      </c>
      <c r="S199" t="str">
        <f t="shared" si="7"/>
        <v>Battery Defect, 0</v>
      </c>
      <c r="T199" t="str">
        <f>_xlfn.XLOOKUP(B199,Disk_Pivot!G:G,Disk_Pivot!I:I)</f>
        <v>Yes</v>
      </c>
      <c r="U199" t="str">
        <f>_xlfn.XLOOKUP(B199,Disk_Pivot!G:G,Disk_Pivot!N:N)</f>
        <v>Fail</v>
      </c>
      <c r="V199">
        <f>IF(U199="Fail",MacReports!N199,"")</f>
        <v>0</v>
      </c>
      <c r="AB199" t="str">
        <f t="shared" si="8"/>
        <v/>
      </c>
    </row>
    <row r="200" spans="1:28">
      <c r="A200" t="str">
        <f>MacReports!A200</f>
        <v/>
      </c>
      <c r="B200">
        <f>MacReports!B200</f>
        <v>0</v>
      </c>
      <c r="C200">
        <f>MacReports!C200</f>
        <v>0</v>
      </c>
      <c r="E200" t="e">
        <f>_xlfn.XLOOKUP(G200,Models!A:A,Models!F:F)</f>
        <v>#N/A</v>
      </c>
      <c r="F200" t="str">
        <f>_xlfn.XLOOKUP(B200,MacReports!B:B,MacReports!D:D,"")</f>
        <v/>
      </c>
      <c r="G200" s="13">
        <f>MacReports!E200</f>
        <v>0</v>
      </c>
      <c r="H200" t="e">
        <f>_xlfn.XLOOKUP(G200,Models!A:A,Models!B:B)</f>
        <v>#N/A</v>
      </c>
      <c r="I200" t="e">
        <f>_xlfn.XLOOKUP(G200,Models!A:A,Models!E:E)</f>
        <v>#N/A</v>
      </c>
      <c r="J200" t="e">
        <f>_xlfn.XLOOKUP(G200,Models!A:A,Models!D:D)</f>
        <v>#N/A</v>
      </c>
      <c r="K200">
        <f>MacReports!F200</f>
        <v>0</v>
      </c>
      <c r="L200">
        <f>MacReports!G200</f>
        <v>0</v>
      </c>
      <c r="M200" s="15" t="e" cm="1">
        <f t="array" ref="M200">--_xlfn.LET(
    _xlpm.txt, MacReports!H200,
    _xlpm.chars, MID(_xlpm.txt, _xlfn.SEQUENCE(LEN(_xlpm.txt)), 1),
    _xlfn.TEXTJOIN("", TRUE, IF(ISNUMBER(--_xlpm.chars), _xlpm.chars, ""))
)</f>
        <v>#VALUE!</v>
      </c>
      <c r="N200" s="16" t="str" cm="1">
        <f t="array" ref="N200">_xlfn.IFS(
   --MacReports!M200&lt;55,"Battery Defect",
  -- MacReports!M200&lt;=69,"Battery D",
  --MacReports!M200&lt;=80,"Battery C",
 --MacReports!M200&gt;80,""
)</f>
        <v>Battery Defect</v>
      </c>
      <c r="O200" s="16" t="str">
        <f>IF(MacReports!I200="Service","Battery Service","")</f>
        <v/>
      </c>
      <c r="P200" s="13">
        <f>MacReports!P200</f>
        <v>0</v>
      </c>
      <c r="Q200" s="13" t="str">
        <f>IF(MacReports!J200="Enabled","Apple ID Lock","")</f>
        <v/>
      </c>
      <c r="R200" s="13" t="str">
        <f>IF(MacReports!L200="y","Remote Locked","")</f>
        <v/>
      </c>
      <c r="S200" t="str">
        <f t="shared" si="7"/>
        <v>Battery Defect, 0</v>
      </c>
      <c r="T200" t="str">
        <f>_xlfn.XLOOKUP(B200,Disk_Pivot!G:G,Disk_Pivot!I:I)</f>
        <v>Yes</v>
      </c>
      <c r="U200" t="str">
        <f>_xlfn.XLOOKUP(B200,Disk_Pivot!G:G,Disk_Pivot!N:N)</f>
        <v>Fail</v>
      </c>
      <c r="V200">
        <f>IF(U200="Fail",MacReports!N200,"")</f>
        <v>0</v>
      </c>
      <c r="AB200" t="str">
        <f t="shared" si="8"/>
        <v/>
      </c>
    </row>
    <row r="201" spans="1:28">
      <c r="A201" t="str">
        <f>MacReports!A201</f>
        <v/>
      </c>
      <c r="B201">
        <f>MacReports!B201</f>
        <v>0</v>
      </c>
      <c r="C201">
        <f>MacReports!C201</f>
        <v>0</v>
      </c>
      <c r="E201" t="e">
        <f>_xlfn.XLOOKUP(G201,Models!A:A,Models!F:F)</f>
        <v>#N/A</v>
      </c>
      <c r="F201" t="str">
        <f>_xlfn.XLOOKUP(B201,MacReports!B:B,MacReports!D:D,"")</f>
        <v/>
      </c>
      <c r="G201" s="13">
        <f>MacReports!E201</f>
        <v>0</v>
      </c>
      <c r="H201" t="e">
        <f>_xlfn.XLOOKUP(G201,Models!A:A,Models!B:B)</f>
        <v>#N/A</v>
      </c>
      <c r="I201" t="e">
        <f>_xlfn.XLOOKUP(G201,Models!A:A,Models!E:E)</f>
        <v>#N/A</v>
      </c>
      <c r="J201" t="e">
        <f>_xlfn.XLOOKUP(G201,Models!A:A,Models!D:D)</f>
        <v>#N/A</v>
      </c>
      <c r="K201">
        <f>MacReports!F201</f>
        <v>0</v>
      </c>
      <c r="L201">
        <f>MacReports!G201</f>
        <v>0</v>
      </c>
      <c r="M201" s="15" t="e" cm="1">
        <f t="array" ref="M201">--_xlfn.LET(
    _xlpm.txt, MacReports!H201,
    _xlpm.chars, MID(_xlpm.txt, _xlfn.SEQUENCE(LEN(_xlpm.txt)), 1),
    _xlfn.TEXTJOIN("", TRUE, IF(ISNUMBER(--_xlpm.chars), _xlpm.chars, ""))
)</f>
        <v>#VALUE!</v>
      </c>
      <c r="N201" s="16" t="str" cm="1">
        <f t="array" ref="N201">_xlfn.IFS(
   --MacReports!M201&lt;55,"Battery Defect",
  -- MacReports!M201&lt;=69,"Battery D",
  --MacReports!M201&lt;=80,"Battery C",
 --MacReports!M201&gt;80,""
)</f>
        <v>Battery Defect</v>
      </c>
      <c r="O201" s="16" t="str">
        <f>IF(MacReports!I201="Service","Battery Service","")</f>
        <v/>
      </c>
      <c r="P201" s="13">
        <f>MacReports!P201</f>
        <v>0</v>
      </c>
      <c r="Q201" s="13" t="str">
        <f>IF(MacReports!J201="Enabled","Apple ID Lock","")</f>
        <v/>
      </c>
      <c r="R201" s="13" t="str">
        <f>IF(MacReports!L201="y","Remote Locked","")</f>
        <v/>
      </c>
      <c r="S201" t="str">
        <f t="shared" si="7"/>
        <v>Battery Defect, 0</v>
      </c>
      <c r="T201" t="str">
        <f>_xlfn.XLOOKUP(B201,Disk_Pivot!G:G,Disk_Pivot!I:I)</f>
        <v>Yes</v>
      </c>
      <c r="U201" t="str">
        <f>_xlfn.XLOOKUP(B201,Disk_Pivot!G:G,Disk_Pivot!N:N)</f>
        <v>Fail</v>
      </c>
      <c r="V201">
        <f>IF(U201="Fail",MacReports!N201,"")</f>
        <v>0</v>
      </c>
      <c r="AB201" t="str">
        <f t="shared" si="8"/>
        <v/>
      </c>
    </row>
    <row r="202" spans="1:28">
      <c r="A202" t="str">
        <f>MacReports!A202</f>
        <v/>
      </c>
      <c r="B202">
        <f>MacReports!B202</f>
        <v>0</v>
      </c>
      <c r="C202">
        <f>MacReports!C202</f>
        <v>0</v>
      </c>
      <c r="E202" t="e">
        <f>_xlfn.XLOOKUP(G202,Models!A:A,Models!F:F)</f>
        <v>#N/A</v>
      </c>
      <c r="F202" t="str">
        <f>_xlfn.XLOOKUP(B202,MacReports!B:B,MacReports!D:D,"")</f>
        <v/>
      </c>
      <c r="G202" s="13">
        <f>MacReports!E202</f>
        <v>0</v>
      </c>
      <c r="H202" t="e">
        <f>_xlfn.XLOOKUP(G202,Models!A:A,Models!B:B)</f>
        <v>#N/A</v>
      </c>
      <c r="I202" t="e">
        <f>_xlfn.XLOOKUP(G202,Models!A:A,Models!E:E)</f>
        <v>#N/A</v>
      </c>
      <c r="J202" t="e">
        <f>_xlfn.XLOOKUP(G202,Models!A:A,Models!D:D)</f>
        <v>#N/A</v>
      </c>
      <c r="K202">
        <f>MacReports!F202</f>
        <v>0</v>
      </c>
      <c r="L202">
        <f>MacReports!G202</f>
        <v>0</v>
      </c>
      <c r="M202" s="15" t="e" cm="1">
        <f t="array" ref="M202">--_xlfn.LET(
    _xlpm.txt, MacReports!H202,
    _xlpm.chars, MID(_xlpm.txt, _xlfn.SEQUENCE(LEN(_xlpm.txt)), 1),
    _xlfn.TEXTJOIN("", TRUE, IF(ISNUMBER(--_xlpm.chars), _xlpm.chars, ""))
)</f>
        <v>#VALUE!</v>
      </c>
      <c r="N202" s="16" t="str" cm="1">
        <f t="array" ref="N202">_xlfn.IFS(
   --MacReports!M202&lt;55,"Battery Defect",
  -- MacReports!M202&lt;=69,"Battery D",
  --MacReports!M202&lt;=80,"Battery C",
 --MacReports!M202&gt;80,""
)</f>
        <v>Battery Defect</v>
      </c>
      <c r="O202" s="16" t="str">
        <f>IF(MacReports!I202="Service","Battery Service","")</f>
        <v/>
      </c>
      <c r="P202" s="13">
        <f>MacReports!P202</f>
        <v>0</v>
      </c>
      <c r="Q202" s="13" t="str">
        <f>IF(MacReports!J202="Enabled","Apple ID Lock","")</f>
        <v/>
      </c>
      <c r="R202" s="13" t="str">
        <f>IF(MacReports!L202="y","Remote Locked","")</f>
        <v/>
      </c>
      <c r="S202" t="str">
        <f t="shared" si="7"/>
        <v>Battery Defect, 0</v>
      </c>
      <c r="T202" t="str">
        <f>_xlfn.XLOOKUP(B202,Disk_Pivot!G:G,Disk_Pivot!I:I)</f>
        <v>Yes</v>
      </c>
      <c r="U202" t="str">
        <f>_xlfn.XLOOKUP(B202,Disk_Pivot!G:G,Disk_Pivot!N:N)</f>
        <v>Fail</v>
      </c>
      <c r="V202">
        <f>IF(U202="Fail",MacReports!N202,"")</f>
        <v>0</v>
      </c>
      <c r="AB202" t="str">
        <f t="shared" si="8"/>
        <v/>
      </c>
    </row>
    <row r="203" spans="1:28">
      <c r="A203" t="str">
        <f>MacReports!A203</f>
        <v/>
      </c>
      <c r="B203">
        <f>MacReports!B203</f>
        <v>0</v>
      </c>
      <c r="C203">
        <f>MacReports!C203</f>
        <v>0</v>
      </c>
      <c r="E203" t="e">
        <f>_xlfn.XLOOKUP(G203,Models!A:A,Models!F:F)</f>
        <v>#N/A</v>
      </c>
      <c r="F203" t="str">
        <f>_xlfn.XLOOKUP(B203,MacReports!B:B,MacReports!D:D,"")</f>
        <v/>
      </c>
      <c r="G203" s="13">
        <f>MacReports!E203</f>
        <v>0</v>
      </c>
      <c r="H203" t="e">
        <f>_xlfn.XLOOKUP(G203,Models!A:A,Models!B:B)</f>
        <v>#N/A</v>
      </c>
      <c r="I203" t="e">
        <f>_xlfn.XLOOKUP(G203,Models!A:A,Models!E:E)</f>
        <v>#N/A</v>
      </c>
      <c r="J203" t="e">
        <f>_xlfn.XLOOKUP(G203,Models!A:A,Models!D:D)</f>
        <v>#N/A</v>
      </c>
      <c r="K203">
        <f>MacReports!F203</f>
        <v>0</v>
      </c>
      <c r="L203">
        <f>MacReports!G203</f>
        <v>0</v>
      </c>
      <c r="M203" s="15" t="e" cm="1">
        <f t="array" ref="M203">--_xlfn.LET(
    _xlpm.txt, MacReports!H203,
    _xlpm.chars, MID(_xlpm.txt, _xlfn.SEQUENCE(LEN(_xlpm.txt)), 1),
    _xlfn.TEXTJOIN("", TRUE, IF(ISNUMBER(--_xlpm.chars), _xlpm.chars, ""))
)</f>
        <v>#VALUE!</v>
      </c>
      <c r="N203" s="16" t="str" cm="1">
        <f t="array" ref="N203">_xlfn.IFS(
   --MacReports!M203&lt;55,"Battery Defect",
  -- MacReports!M203&lt;=69,"Battery D",
  --MacReports!M203&lt;=80,"Battery C",
 --MacReports!M203&gt;80,""
)</f>
        <v>Battery Defect</v>
      </c>
      <c r="O203" s="16" t="str">
        <f>IF(MacReports!I203="Service","Battery Service","")</f>
        <v/>
      </c>
      <c r="P203" s="13">
        <f>MacReports!P203</f>
        <v>0</v>
      </c>
      <c r="Q203" s="13" t="str">
        <f>IF(MacReports!J203="Enabled","Apple ID Lock","")</f>
        <v/>
      </c>
      <c r="R203" s="13" t="str">
        <f>IF(MacReports!L203="y","Remote Locked","")</f>
        <v/>
      </c>
      <c r="S203" t="str">
        <f t="shared" si="7"/>
        <v>Battery Defect, 0</v>
      </c>
      <c r="T203" t="str">
        <f>_xlfn.XLOOKUP(B203,Disk_Pivot!G:G,Disk_Pivot!I:I)</f>
        <v>Yes</v>
      </c>
      <c r="U203" t="str">
        <f>_xlfn.XLOOKUP(B203,Disk_Pivot!G:G,Disk_Pivot!N:N)</f>
        <v>Fail</v>
      </c>
      <c r="V203">
        <f>IF(U203="Fail",MacReports!N203,"")</f>
        <v>0</v>
      </c>
      <c r="AB203" t="str">
        <f t="shared" si="8"/>
        <v/>
      </c>
    </row>
    <row r="204" spans="1:28">
      <c r="A204" t="str">
        <f>MacReports!A204</f>
        <v/>
      </c>
      <c r="B204">
        <f>MacReports!B204</f>
        <v>0</v>
      </c>
      <c r="C204">
        <f>MacReports!C204</f>
        <v>0</v>
      </c>
      <c r="E204" t="e">
        <f>_xlfn.XLOOKUP(G204,Models!A:A,Models!F:F)</f>
        <v>#N/A</v>
      </c>
      <c r="F204" t="str">
        <f>_xlfn.XLOOKUP(B204,MacReports!B:B,MacReports!D:D,"")</f>
        <v/>
      </c>
      <c r="G204" s="13">
        <f>MacReports!E204</f>
        <v>0</v>
      </c>
      <c r="H204" t="e">
        <f>_xlfn.XLOOKUP(G204,Models!A:A,Models!B:B)</f>
        <v>#N/A</v>
      </c>
      <c r="I204" t="e">
        <f>_xlfn.XLOOKUP(G204,Models!A:A,Models!E:E)</f>
        <v>#N/A</v>
      </c>
      <c r="J204" t="e">
        <f>_xlfn.XLOOKUP(G204,Models!A:A,Models!D:D)</f>
        <v>#N/A</v>
      </c>
      <c r="K204">
        <f>MacReports!F204</f>
        <v>0</v>
      </c>
      <c r="L204">
        <f>MacReports!G204</f>
        <v>0</v>
      </c>
      <c r="M204" s="15" t="e" cm="1">
        <f t="array" ref="M204">--_xlfn.LET(
    _xlpm.txt, MacReports!H204,
    _xlpm.chars, MID(_xlpm.txt, _xlfn.SEQUENCE(LEN(_xlpm.txt)), 1),
    _xlfn.TEXTJOIN("", TRUE, IF(ISNUMBER(--_xlpm.chars), _xlpm.chars, ""))
)</f>
        <v>#VALUE!</v>
      </c>
      <c r="N204" s="16" t="str" cm="1">
        <f t="array" ref="N204">_xlfn.IFS(
   --MacReports!M204&lt;55,"Battery Defect",
  -- MacReports!M204&lt;=69,"Battery D",
  --MacReports!M204&lt;=80,"Battery C",
 --MacReports!M204&gt;80,""
)</f>
        <v>Battery Defect</v>
      </c>
      <c r="O204" s="16" t="str">
        <f>IF(MacReports!I204="Service","Battery Service","")</f>
        <v/>
      </c>
      <c r="P204" s="13">
        <f>MacReports!P204</f>
        <v>0</v>
      </c>
      <c r="Q204" s="13" t="str">
        <f>IF(MacReports!J204="Enabled","Apple ID Lock","")</f>
        <v/>
      </c>
      <c r="R204" s="13" t="str">
        <f>IF(MacReports!L204="y","Remote Locked","")</f>
        <v/>
      </c>
      <c r="S204" t="str">
        <f t="shared" si="7"/>
        <v>Battery Defect, 0</v>
      </c>
      <c r="T204" t="str">
        <f>_xlfn.XLOOKUP(B204,Disk_Pivot!G:G,Disk_Pivot!I:I)</f>
        <v>Yes</v>
      </c>
      <c r="U204" t="str">
        <f>_xlfn.XLOOKUP(B204,Disk_Pivot!G:G,Disk_Pivot!N:N)</f>
        <v>Fail</v>
      </c>
      <c r="V204">
        <f>IF(U204="Fail",MacReports!N204,"")</f>
        <v>0</v>
      </c>
      <c r="AB204" t="str">
        <f t="shared" si="8"/>
        <v/>
      </c>
    </row>
    <row r="205" spans="1:28">
      <c r="A205" t="str">
        <f>MacReports!A205</f>
        <v/>
      </c>
      <c r="B205">
        <f>MacReports!B205</f>
        <v>0</v>
      </c>
      <c r="C205">
        <f>MacReports!C205</f>
        <v>0</v>
      </c>
      <c r="E205" t="e">
        <f>_xlfn.XLOOKUP(G205,Models!A:A,Models!F:F)</f>
        <v>#N/A</v>
      </c>
      <c r="F205" t="str">
        <f>_xlfn.XLOOKUP(B205,MacReports!B:B,MacReports!D:D,"")</f>
        <v/>
      </c>
      <c r="G205" s="13">
        <f>MacReports!E205</f>
        <v>0</v>
      </c>
      <c r="H205" t="e">
        <f>_xlfn.XLOOKUP(G205,Models!A:A,Models!B:B)</f>
        <v>#N/A</v>
      </c>
      <c r="I205" t="e">
        <f>_xlfn.XLOOKUP(G205,Models!A:A,Models!E:E)</f>
        <v>#N/A</v>
      </c>
      <c r="J205" t="e">
        <f>_xlfn.XLOOKUP(G205,Models!A:A,Models!D:D)</f>
        <v>#N/A</v>
      </c>
      <c r="K205">
        <f>MacReports!F205</f>
        <v>0</v>
      </c>
      <c r="L205">
        <f>MacReports!G205</f>
        <v>0</v>
      </c>
      <c r="M205" s="15" t="e" cm="1">
        <f t="array" ref="M205">--_xlfn.LET(
    _xlpm.txt, MacReports!H205,
    _xlpm.chars, MID(_xlpm.txt, _xlfn.SEQUENCE(LEN(_xlpm.txt)), 1),
    _xlfn.TEXTJOIN("", TRUE, IF(ISNUMBER(--_xlpm.chars), _xlpm.chars, ""))
)</f>
        <v>#VALUE!</v>
      </c>
      <c r="N205" s="16" t="str" cm="1">
        <f t="array" ref="N205">_xlfn.IFS(
   --MacReports!M205&lt;55,"Battery Defect",
  -- MacReports!M205&lt;=69,"Battery D",
  --MacReports!M205&lt;=80,"Battery C",
 --MacReports!M205&gt;80,""
)</f>
        <v>Battery Defect</v>
      </c>
      <c r="O205" s="16" t="str">
        <f>IF(MacReports!I205="Service","Battery Service","")</f>
        <v/>
      </c>
      <c r="P205" s="13">
        <f>MacReports!P205</f>
        <v>0</v>
      </c>
      <c r="Q205" s="13" t="str">
        <f>IF(MacReports!J205="Enabled","Apple ID Lock","")</f>
        <v/>
      </c>
      <c r="R205" s="13" t="str">
        <f>IF(MacReports!L205="y","Remote Locked","")</f>
        <v/>
      </c>
      <c r="S205" t="str">
        <f t="shared" si="7"/>
        <v>Battery Defect, 0</v>
      </c>
      <c r="T205" t="str">
        <f>_xlfn.XLOOKUP(B205,Disk_Pivot!G:G,Disk_Pivot!I:I)</f>
        <v>Yes</v>
      </c>
      <c r="U205" t="str">
        <f>_xlfn.XLOOKUP(B205,Disk_Pivot!G:G,Disk_Pivot!N:N)</f>
        <v>Fail</v>
      </c>
      <c r="V205">
        <f>IF(U205="Fail",MacReports!N205,"")</f>
        <v>0</v>
      </c>
      <c r="AB205" t="str">
        <f t="shared" si="8"/>
        <v/>
      </c>
    </row>
    <row r="206" spans="1:28">
      <c r="A206" t="str">
        <f>MacReports!A206</f>
        <v/>
      </c>
      <c r="B206">
        <f>MacReports!B206</f>
        <v>0</v>
      </c>
      <c r="C206">
        <f>MacReports!C206</f>
        <v>0</v>
      </c>
      <c r="E206" t="e">
        <f>_xlfn.XLOOKUP(G206,Models!A:A,Models!F:F)</f>
        <v>#N/A</v>
      </c>
      <c r="F206" t="str">
        <f>_xlfn.XLOOKUP(B206,MacReports!B:B,MacReports!D:D,"")</f>
        <v/>
      </c>
      <c r="G206" s="13">
        <f>MacReports!E206</f>
        <v>0</v>
      </c>
      <c r="H206" t="e">
        <f>_xlfn.XLOOKUP(G206,Models!A:A,Models!B:B)</f>
        <v>#N/A</v>
      </c>
      <c r="I206" t="e">
        <f>_xlfn.XLOOKUP(G206,Models!A:A,Models!E:E)</f>
        <v>#N/A</v>
      </c>
      <c r="J206" t="e">
        <f>_xlfn.XLOOKUP(G206,Models!A:A,Models!D:D)</f>
        <v>#N/A</v>
      </c>
      <c r="K206">
        <f>MacReports!F206</f>
        <v>0</v>
      </c>
      <c r="L206">
        <f>MacReports!G206</f>
        <v>0</v>
      </c>
      <c r="M206" s="15" t="e" cm="1">
        <f t="array" ref="M206">--_xlfn.LET(
    _xlpm.txt, MacReports!H206,
    _xlpm.chars, MID(_xlpm.txt, _xlfn.SEQUENCE(LEN(_xlpm.txt)), 1),
    _xlfn.TEXTJOIN("", TRUE, IF(ISNUMBER(--_xlpm.chars), _xlpm.chars, ""))
)</f>
        <v>#VALUE!</v>
      </c>
      <c r="N206" s="16" t="str" cm="1">
        <f t="array" ref="N206">_xlfn.IFS(
   --MacReports!M206&lt;55,"Battery Defect",
  -- MacReports!M206&lt;=69,"Battery D",
  --MacReports!M206&lt;=80,"Battery C",
 --MacReports!M206&gt;80,""
)</f>
        <v>Battery Defect</v>
      </c>
      <c r="O206" s="16" t="str">
        <f>IF(MacReports!I206="Service","Battery Service","")</f>
        <v/>
      </c>
      <c r="P206" s="13">
        <f>MacReports!P206</f>
        <v>0</v>
      </c>
      <c r="Q206" s="13" t="str">
        <f>IF(MacReports!J206="Enabled","Apple ID Lock","")</f>
        <v/>
      </c>
      <c r="R206" s="13" t="str">
        <f>IF(MacReports!L206="y","Remote Locked","")</f>
        <v/>
      </c>
      <c r="S206" t="str">
        <f t="shared" si="7"/>
        <v>Battery Defect, 0</v>
      </c>
      <c r="T206" t="str">
        <f>_xlfn.XLOOKUP(B206,Disk_Pivot!G:G,Disk_Pivot!I:I)</f>
        <v>Yes</v>
      </c>
      <c r="U206" t="str">
        <f>_xlfn.XLOOKUP(B206,Disk_Pivot!G:G,Disk_Pivot!N:N)</f>
        <v>Fail</v>
      </c>
      <c r="V206">
        <f>IF(U206="Fail",MacReports!N206,"")</f>
        <v>0</v>
      </c>
      <c r="AB206" t="str">
        <f t="shared" si="8"/>
        <v/>
      </c>
    </row>
    <row r="207" spans="1:28">
      <c r="A207" t="str">
        <f>MacReports!A207</f>
        <v/>
      </c>
      <c r="B207">
        <f>MacReports!B207</f>
        <v>0</v>
      </c>
      <c r="C207">
        <f>MacReports!C207</f>
        <v>0</v>
      </c>
      <c r="E207" t="e">
        <f>_xlfn.XLOOKUP(G207,Models!A:A,Models!F:F)</f>
        <v>#N/A</v>
      </c>
      <c r="F207" t="str">
        <f>_xlfn.XLOOKUP(B207,MacReports!B:B,MacReports!D:D,"")</f>
        <v/>
      </c>
      <c r="G207" s="13">
        <f>MacReports!E207</f>
        <v>0</v>
      </c>
      <c r="H207" t="e">
        <f>_xlfn.XLOOKUP(G207,Models!A:A,Models!B:B)</f>
        <v>#N/A</v>
      </c>
      <c r="I207" t="e">
        <f>_xlfn.XLOOKUP(G207,Models!A:A,Models!E:E)</f>
        <v>#N/A</v>
      </c>
      <c r="J207" t="e">
        <f>_xlfn.XLOOKUP(G207,Models!A:A,Models!D:D)</f>
        <v>#N/A</v>
      </c>
      <c r="K207">
        <f>MacReports!F207</f>
        <v>0</v>
      </c>
      <c r="L207">
        <f>MacReports!G207</f>
        <v>0</v>
      </c>
      <c r="M207" s="15" t="e" cm="1">
        <f t="array" ref="M207">--_xlfn.LET(
    _xlpm.txt, MacReports!H207,
    _xlpm.chars, MID(_xlpm.txt, _xlfn.SEQUENCE(LEN(_xlpm.txt)), 1),
    _xlfn.TEXTJOIN("", TRUE, IF(ISNUMBER(--_xlpm.chars), _xlpm.chars, ""))
)</f>
        <v>#VALUE!</v>
      </c>
      <c r="N207" s="16" t="str" cm="1">
        <f t="array" ref="N207">_xlfn.IFS(
   --MacReports!M207&lt;55,"Battery Defect",
  -- MacReports!M207&lt;=69,"Battery D",
  --MacReports!M207&lt;=80,"Battery C",
 --MacReports!M207&gt;80,""
)</f>
        <v>Battery Defect</v>
      </c>
      <c r="O207" s="16" t="str">
        <f>IF(MacReports!I207="Service","Battery Service","")</f>
        <v/>
      </c>
      <c r="P207" s="13">
        <f>MacReports!P207</f>
        <v>0</v>
      </c>
      <c r="Q207" s="13" t="str">
        <f>IF(MacReports!J207="Enabled","Apple ID Lock","")</f>
        <v/>
      </c>
      <c r="R207" s="13" t="str">
        <f>IF(MacReports!L207="y","Remote Locked","")</f>
        <v/>
      </c>
      <c r="S207" t="str">
        <f t="shared" si="7"/>
        <v>Battery Defect, 0</v>
      </c>
      <c r="T207" t="str">
        <f>_xlfn.XLOOKUP(B207,Disk_Pivot!G:G,Disk_Pivot!I:I)</f>
        <v>Yes</v>
      </c>
      <c r="U207" t="str">
        <f>_xlfn.XLOOKUP(B207,Disk_Pivot!G:G,Disk_Pivot!N:N)</f>
        <v>Fail</v>
      </c>
      <c r="V207">
        <f>IF(U207="Fail",MacReports!N207,"")</f>
        <v>0</v>
      </c>
      <c r="AB207" t="str">
        <f t="shared" si="8"/>
        <v/>
      </c>
    </row>
    <row r="208" spans="1:28">
      <c r="A208" t="str">
        <f>MacReports!A208</f>
        <v/>
      </c>
      <c r="B208">
        <f>MacReports!B208</f>
        <v>0</v>
      </c>
      <c r="C208">
        <f>MacReports!C208</f>
        <v>0</v>
      </c>
      <c r="E208" t="e">
        <f>_xlfn.XLOOKUP(G208,Models!A:A,Models!F:F)</f>
        <v>#N/A</v>
      </c>
      <c r="F208" t="str">
        <f>_xlfn.XLOOKUP(B208,MacReports!B:B,MacReports!D:D,"")</f>
        <v/>
      </c>
      <c r="G208" s="13">
        <f>MacReports!E208</f>
        <v>0</v>
      </c>
      <c r="H208" t="e">
        <f>_xlfn.XLOOKUP(G208,Models!A:A,Models!B:B)</f>
        <v>#N/A</v>
      </c>
      <c r="I208" t="e">
        <f>_xlfn.XLOOKUP(G208,Models!A:A,Models!E:E)</f>
        <v>#N/A</v>
      </c>
      <c r="J208" t="e">
        <f>_xlfn.XLOOKUP(G208,Models!A:A,Models!D:D)</f>
        <v>#N/A</v>
      </c>
      <c r="K208">
        <f>MacReports!F208</f>
        <v>0</v>
      </c>
      <c r="L208">
        <f>MacReports!G208</f>
        <v>0</v>
      </c>
      <c r="M208" s="15" t="e" cm="1">
        <f t="array" ref="M208">--_xlfn.LET(
    _xlpm.txt, MacReports!H208,
    _xlpm.chars, MID(_xlpm.txt, _xlfn.SEQUENCE(LEN(_xlpm.txt)), 1),
    _xlfn.TEXTJOIN("", TRUE, IF(ISNUMBER(--_xlpm.chars), _xlpm.chars, ""))
)</f>
        <v>#VALUE!</v>
      </c>
      <c r="N208" s="16" t="str" cm="1">
        <f t="array" ref="N208">_xlfn.IFS(
   --MacReports!M208&lt;55,"Battery Defect",
  -- MacReports!M208&lt;=69,"Battery D",
  --MacReports!M208&lt;=80,"Battery C",
 --MacReports!M208&gt;80,""
)</f>
        <v>Battery Defect</v>
      </c>
      <c r="O208" s="16" t="str">
        <f>IF(MacReports!I208="Service","Battery Service","")</f>
        <v/>
      </c>
      <c r="P208" s="13">
        <f>MacReports!P208</f>
        <v>0</v>
      </c>
      <c r="Q208" s="13" t="str">
        <f>IF(MacReports!J208="Enabled","Apple ID Lock","")</f>
        <v/>
      </c>
      <c r="R208" s="13" t="str">
        <f>IF(MacReports!L208="y","Remote Locked","")</f>
        <v/>
      </c>
      <c r="S208" t="str">
        <f t="shared" si="7"/>
        <v>Battery Defect, 0</v>
      </c>
      <c r="T208" t="str">
        <f>_xlfn.XLOOKUP(B208,Disk_Pivot!G:G,Disk_Pivot!I:I)</f>
        <v>Yes</v>
      </c>
      <c r="U208" t="str">
        <f>_xlfn.XLOOKUP(B208,Disk_Pivot!G:G,Disk_Pivot!N:N)</f>
        <v>Fail</v>
      </c>
      <c r="V208">
        <f>IF(U208="Fail",MacReports!N208,"")</f>
        <v>0</v>
      </c>
      <c r="AB208" t="str">
        <f t="shared" si="8"/>
        <v/>
      </c>
    </row>
    <row r="209" spans="1:28">
      <c r="A209" t="str">
        <f>MacReports!A209</f>
        <v/>
      </c>
      <c r="B209">
        <f>MacReports!B209</f>
        <v>0</v>
      </c>
      <c r="C209">
        <f>MacReports!C209</f>
        <v>0</v>
      </c>
      <c r="E209" t="e">
        <f>_xlfn.XLOOKUP(G209,Models!A:A,Models!F:F)</f>
        <v>#N/A</v>
      </c>
      <c r="F209" t="str">
        <f>_xlfn.XLOOKUP(B209,MacReports!B:B,MacReports!D:D,"")</f>
        <v/>
      </c>
      <c r="G209" s="13">
        <f>MacReports!E209</f>
        <v>0</v>
      </c>
      <c r="H209" t="e">
        <f>_xlfn.XLOOKUP(G209,Models!A:A,Models!B:B)</f>
        <v>#N/A</v>
      </c>
      <c r="I209" t="e">
        <f>_xlfn.XLOOKUP(G209,Models!A:A,Models!E:E)</f>
        <v>#N/A</v>
      </c>
      <c r="J209" t="e">
        <f>_xlfn.XLOOKUP(G209,Models!A:A,Models!D:D)</f>
        <v>#N/A</v>
      </c>
      <c r="K209">
        <f>MacReports!F209</f>
        <v>0</v>
      </c>
      <c r="L209">
        <f>MacReports!G209</f>
        <v>0</v>
      </c>
      <c r="M209" s="15" t="e" cm="1">
        <f t="array" ref="M209">--_xlfn.LET(
    _xlpm.txt, MacReports!H209,
    _xlpm.chars, MID(_xlpm.txt, _xlfn.SEQUENCE(LEN(_xlpm.txt)), 1),
    _xlfn.TEXTJOIN("", TRUE, IF(ISNUMBER(--_xlpm.chars), _xlpm.chars, ""))
)</f>
        <v>#VALUE!</v>
      </c>
      <c r="N209" s="16" t="str" cm="1">
        <f t="array" ref="N209">_xlfn.IFS(
   --MacReports!M209&lt;55,"Battery Defect",
  -- MacReports!M209&lt;=69,"Battery D",
  --MacReports!M209&lt;=80,"Battery C",
 --MacReports!M209&gt;80,""
)</f>
        <v>Battery Defect</v>
      </c>
      <c r="O209" s="16" t="str">
        <f>IF(MacReports!I209="Service","Battery Service","")</f>
        <v/>
      </c>
      <c r="P209" s="13">
        <f>MacReports!P209</f>
        <v>0</v>
      </c>
      <c r="Q209" s="13" t="str">
        <f>IF(MacReports!J209="Enabled","Apple ID Lock","")</f>
        <v/>
      </c>
      <c r="R209" s="13" t="str">
        <f>IF(MacReports!L209="y","Remote Locked","")</f>
        <v/>
      </c>
      <c r="S209" t="str">
        <f t="shared" si="7"/>
        <v>Battery Defect, 0</v>
      </c>
      <c r="T209" t="str">
        <f>_xlfn.XLOOKUP(B209,Disk_Pivot!G:G,Disk_Pivot!I:I)</f>
        <v>Yes</v>
      </c>
      <c r="U209" t="str">
        <f>_xlfn.XLOOKUP(B209,Disk_Pivot!G:G,Disk_Pivot!N:N)</f>
        <v>Fail</v>
      </c>
      <c r="V209">
        <f>IF(U209="Fail",MacReports!N209,"")</f>
        <v>0</v>
      </c>
      <c r="AB209" t="str">
        <f t="shared" si="8"/>
        <v/>
      </c>
    </row>
    <row r="210" spans="1:28">
      <c r="A210" t="str">
        <f>MacReports!A210</f>
        <v/>
      </c>
      <c r="B210">
        <f>MacReports!B210</f>
        <v>0</v>
      </c>
      <c r="C210">
        <f>MacReports!C210</f>
        <v>0</v>
      </c>
      <c r="E210" t="e">
        <f>_xlfn.XLOOKUP(G210,Models!A:A,Models!F:F)</f>
        <v>#N/A</v>
      </c>
      <c r="F210" t="str">
        <f>_xlfn.XLOOKUP(B210,MacReports!B:B,MacReports!D:D,"")</f>
        <v/>
      </c>
      <c r="G210" s="13">
        <f>MacReports!E210</f>
        <v>0</v>
      </c>
      <c r="H210" t="e">
        <f>_xlfn.XLOOKUP(G210,Models!A:A,Models!B:B)</f>
        <v>#N/A</v>
      </c>
      <c r="I210" t="e">
        <f>_xlfn.XLOOKUP(G210,Models!A:A,Models!E:E)</f>
        <v>#N/A</v>
      </c>
      <c r="J210" t="e">
        <f>_xlfn.XLOOKUP(G210,Models!A:A,Models!D:D)</f>
        <v>#N/A</v>
      </c>
      <c r="K210">
        <f>MacReports!F210</f>
        <v>0</v>
      </c>
      <c r="L210">
        <f>MacReports!G210</f>
        <v>0</v>
      </c>
      <c r="M210" s="15" t="e" cm="1">
        <f t="array" ref="M210">--_xlfn.LET(
    _xlpm.txt, MacReports!H210,
    _xlpm.chars, MID(_xlpm.txt, _xlfn.SEQUENCE(LEN(_xlpm.txt)), 1),
    _xlfn.TEXTJOIN("", TRUE, IF(ISNUMBER(--_xlpm.chars), _xlpm.chars, ""))
)</f>
        <v>#VALUE!</v>
      </c>
      <c r="N210" s="16" t="str" cm="1">
        <f t="array" ref="N210">_xlfn.IFS(
   --MacReports!M210&lt;55,"Battery Defect",
  -- MacReports!M210&lt;=69,"Battery D",
  --MacReports!M210&lt;=80,"Battery C",
 --MacReports!M210&gt;80,""
)</f>
        <v>Battery Defect</v>
      </c>
      <c r="O210" s="16" t="str">
        <f>IF(MacReports!I210="Service","Battery Service","")</f>
        <v/>
      </c>
      <c r="P210" s="13">
        <f>MacReports!P210</f>
        <v>0</v>
      </c>
      <c r="Q210" s="13" t="str">
        <f>IF(MacReports!J210="Enabled","Apple ID Lock","")</f>
        <v/>
      </c>
      <c r="R210" s="13" t="str">
        <f>IF(MacReports!L210="y","Remote Locked","")</f>
        <v/>
      </c>
      <c r="S210" t="str">
        <f t="shared" si="7"/>
        <v>Battery Defect, 0</v>
      </c>
      <c r="T210" t="str">
        <f>_xlfn.XLOOKUP(B210,Disk_Pivot!G:G,Disk_Pivot!I:I)</f>
        <v>Yes</v>
      </c>
      <c r="U210" t="str">
        <f>_xlfn.XLOOKUP(B210,Disk_Pivot!G:G,Disk_Pivot!N:N)</f>
        <v>Fail</v>
      </c>
      <c r="V210">
        <f>IF(U210="Fail",MacReports!N210,"")</f>
        <v>0</v>
      </c>
      <c r="AB210" t="str">
        <f t="shared" si="8"/>
        <v/>
      </c>
    </row>
    <row r="211" spans="1:28">
      <c r="A211" t="str">
        <f>MacReports!A211</f>
        <v/>
      </c>
      <c r="B211">
        <f>MacReports!B211</f>
        <v>0</v>
      </c>
      <c r="C211">
        <f>MacReports!C211</f>
        <v>0</v>
      </c>
      <c r="E211" t="e">
        <f>_xlfn.XLOOKUP(G211,Models!A:A,Models!F:F)</f>
        <v>#N/A</v>
      </c>
      <c r="F211" t="str">
        <f>_xlfn.XLOOKUP(B211,MacReports!B:B,MacReports!D:D,"")</f>
        <v/>
      </c>
      <c r="G211" s="13">
        <f>MacReports!E211</f>
        <v>0</v>
      </c>
      <c r="H211" t="e">
        <f>_xlfn.XLOOKUP(G211,Models!A:A,Models!B:B)</f>
        <v>#N/A</v>
      </c>
      <c r="I211" t="e">
        <f>_xlfn.XLOOKUP(G211,Models!A:A,Models!E:E)</f>
        <v>#N/A</v>
      </c>
      <c r="J211" t="e">
        <f>_xlfn.XLOOKUP(G211,Models!A:A,Models!D:D)</f>
        <v>#N/A</v>
      </c>
      <c r="K211">
        <f>MacReports!F211</f>
        <v>0</v>
      </c>
      <c r="L211">
        <f>MacReports!G211</f>
        <v>0</v>
      </c>
      <c r="M211" s="15" t="e" cm="1">
        <f t="array" ref="M211">--_xlfn.LET(
    _xlpm.txt, MacReports!H211,
    _xlpm.chars, MID(_xlpm.txt, _xlfn.SEQUENCE(LEN(_xlpm.txt)), 1),
    _xlfn.TEXTJOIN("", TRUE, IF(ISNUMBER(--_xlpm.chars), _xlpm.chars, ""))
)</f>
        <v>#VALUE!</v>
      </c>
      <c r="N211" s="16" t="str" cm="1">
        <f t="array" ref="N211">_xlfn.IFS(
   --MacReports!M211&lt;55,"Battery Defect",
  -- MacReports!M211&lt;=69,"Battery D",
  --MacReports!M211&lt;=80,"Battery C",
 --MacReports!M211&gt;80,""
)</f>
        <v>Battery Defect</v>
      </c>
      <c r="O211" s="16" t="str">
        <f>IF(MacReports!I211="Service","Battery Service","")</f>
        <v/>
      </c>
      <c r="P211" s="13">
        <f>MacReports!P211</f>
        <v>0</v>
      </c>
      <c r="Q211" s="13" t="str">
        <f>IF(MacReports!J211="Enabled","Apple ID Lock","")</f>
        <v/>
      </c>
      <c r="R211" s="13" t="str">
        <f>IF(MacReports!L211="y","Remote Locked","")</f>
        <v/>
      </c>
      <c r="S211" t="str">
        <f t="shared" si="7"/>
        <v>Battery Defect, 0</v>
      </c>
      <c r="T211" t="str">
        <f>_xlfn.XLOOKUP(B211,Disk_Pivot!G:G,Disk_Pivot!I:I)</f>
        <v>Yes</v>
      </c>
      <c r="U211" t="str">
        <f>_xlfn.XLOOKUP(B211,Disk_Pivot!G:G,Disk_Pivot!N:N)</f>
        <v>Fail</v>
      </c>
      <c r="V211">
        <f>IF(U211="Fail",MacReports!N211,"")</f>
        <v>0</v>
      </c>
      <c r="AB211" t="str">
        <f t="shared" si="8"/>
        <v/>
      </c>
    </row>
    <row r="212" spans="1:28">
      <c r="A212" t="str">
        <f>MacReports!A212</f>
        <v/>
      </c>
      <c r="B212">
        <f>MacReports!B212</f>
        <v>0</v>
      </c>
      <c r="C212">
        <f>MacReports!C212</f>
        <v>0</v>
      </c>
      <c r="E212" t="e">
        <f>_xlfn.XLOOKUP(G212,Models!A:A,Models!F:F)</f>
        <v>#N/A</v>
      </c>
      <c r="F212" t="str">
        <f>_xlfn.XLOOKUP(B212,MacReports!B:B,MacReports!D:D,"")</f>
        <v/>
      </c>
      <c r="G212" s="13">
        <f>MacReports!E212</f>
        <v>0</v>
      </c>
      <c r="H212" t="e">
        <f>_xlfn.XLOOKUP(G212,Models!A:A,Models!B:B)</f>
        <v>#N/A</v>
      </c>
      <c r="I212" t="e">
        <f>_xlfn.XLOOKUP(G212,Models!A:A,Models!E:E)</f>
        <v>#N/A</v>
      </c>
      <c r="J212" t="e">
        <f>_xlfn.XLOOKUP(G212,Models!A:A,Models!D:D)</f>
        <v>#N/A</v>
      </c>
      <c r="K212">
        <f>MacReports!F212</f>
        <v>0</v>
      </c>
      <c r="L212">
        <f>MacReports!G212</f>
        <v>0</v>
      </c>
      <c r="M212" s="15" t="e" cm="1">
        <f t="array" ref="M212">--_xlfn.LET(
    _xlpm.txt, MacReports!H212,
    _xlpm.chars, MID(_xlpm.txt, _xlfn.SEQUENCE(LEN(_xlpm.txt)), 1),
    _xlfn.TEXTJOIN("", TRUE, IF(ISNUMBER(--_xlpm.chars), _xlpm.chars, ""))
)</f>
        <v>#VALUE!</v>
      </c>
      <c r="N212" s="16" t="str" cm="1">
        <f t="array" ref="N212">_xlfn.IFS(
   --MacReports!M212&lt;55,"Battery Defect",
  -- MacReports!M212&lt;=69,"Battery D",
  --MacReports!M212&lt;=80,"Battery C",
 --MacReports!M212&gt;80,""
)</f>
        <v>Battery Defect</v>
      </c>
      <c r="O212" s="16" t="str">
        <f>IF(MacReports!I212="Service","Battery Service","")</f>
        <v/>
      </c>
      <c r="P212" s="13">
        <f>MacReports!P212</f>
        <v>0</v>
      </c>
      <c r="Q212" s="13" t="str">
        <f>IF(MacReports!J212="Enabled","Apple ID Lock","")</f>
        <v/>
      </c>
      <c r="R212" s="13" t="str">
        <f>IF(MacReports!L212="y","Remote Locked","")</f>
        <v/>
      </c>
      <c r="S212" t="str">
        <f t="shared" si="7"/>
        <v>Battery Defect, 0</v>
      </c>
      <c r="T212" t="str">
        <f>_xlfn.XLOOKUP(B212,Disk_Pivot!G:G,Disk_Pivot!I:I)</f>
        <v>Yes</v>
      </c>
      <c r="U212" t="str">
        <f>_xlfn.XLOOKUP(B212,Disk_Pivot!G:G,Disk_Pivot!N:N)</f>
        <v>Fail</v>
      </c>
      <c r="V212">
        <f>IF(U212="Fail",MacReports!N212,"")</f>
        <v>0</v>
      </c>
      <c r="AB212" t="str">
        <f t="shared" si="8"/>
        <v/>
      </c>
    </row>
    <row r="213" spans="1:28">
      <c r="A213" t="str">
        <f>MacReports!A213</f>
        <v/>
      </c>
      <c r="B213">
        <f>MacReports!B213</f>
        <v>0</v>
      </c>
      <c r="C213">
        <f>MacReports!C213</f>
        <v>0</v>
      </c>
      <c r="E213" t="e">
        <f>_xlfn.XLOOKUP(G213,Models!A:A,Models!F:F)</f>
        <v>#N/A</v>
      </c>
      <c r="F213" t="str">
        <f>_xlfn.XLOOKUP(B213,MacReports!B:B,MacReports!D:D,"")</f>
        <v/>
      </c>
      <c r="G213" s="13">
        <f>MacReports!E213</f>
        <v>0</v>
      </c>
      <c r="H213" t="e">
        <f>_xlfn.XLOOKUP(G213,Models!A:A,Models!B:B)</f>
        <v>#N/A</v>
      </c>
      <c r="I213" t="e">
        <f>_xlfn.XLOOKUP(G213,Models!A:A,Models!E:E)</f>
        <v>#N/A</v>
      </c>
      <c r="J213" t="e">
        <f>_xlfn.XLOOKUP(G213,Models!A:A,Models!D:D)</f>
        <v>#N/A</v>
      </c>
      <c r="K213">
        <f>MacReports!F213</f>
        <v>0</v>
      </c>
      <c r="L213">
        <f>MacReports!G213</f>
        <v>0</v>
      </c>
      <c r="M213" s="15" t="e" cm="1">
        <f t="array" ref="M213">--_xlfn.LET(
    _xlpm.txt, MacReports!H213,
    _xlpm.chars, MID(_xlpm.txt, _xlfn.SEQUENCE(LEN(_xlpm.txt)), 1),
    _xlfn.TEXTJOIN("", TRUE, IF(ISNUMBER(--_xlpm.chars), _xlpm.chars, ""))
)</f>
        <v>#VALUE!</v>
      </c>
      <c r="N213" s="16" t="str" cm="1">
        <f t="array" ref="N213">_xlfn.IFS(
   --MacReports!M213&lt;55,"Battery Defect",
  -- MacReports!M213&lt;=69,"Battery D",
  --MacReports!M213&lt;=80,"Battery C",
 --MacReports!M213&gt;80,""
)</f>
        <v>Battery Defect</v>
      </c>
      <c r="O213" s="16" t="str">
        <f>IF(MacReports!I213="Service","Battery Service","")</f>
        <v/>
      </c>
      <c r="P213" s="13">
        <f>MacReports!P213</f>
        <v>0</v>
      </c>
      <c r="Q213" s="13" t="str">
        <f>IF(MacReports!J213="Enabled","Apple ID Lock","")</f>
        <v/>
      </c>
      <c r="R213" s="13" t="str">
        <f>IF(MacReports!L213="y","Remote Locked","")</f>
        <v/>
      </c>
      <c r="S213" t="str">
        <f t="shared" si="7"/>
        <v>Battery Defect, 0</v>
      </c>
      <c r="T213" t="str">
        <f>_xlfn.XLOOKUP(B213,Disk_Pivot!G:G,Disk_Pivot!I:I)</f>
        <v>Yes</v>
      </c>
      <c r="U213" t="str">
        <f>_xlfn.XLOOKUP(B213,Disk_Pivot!G:G,Disk_Pivot!N:N)</f>
        <v>Fail</v>
      </c>
      <c r="V213">
        <f>IF(U213="Fail",MacReports!N213,"")</f>
        <v>0</v>
      </c>
      <c r="AB213" t="str">
        <f t="shared" si="8"/>
        <v/>
      </c>
    </row>
    <row r="214" spans="1:28">
      <c r="A214" t="str">
        <f>MacReports!A214</f>
        <v/>
      </c>
      <c r="B214">
        <f>MacReports!B214</f>
        <v>0</v>
      </c>
      <c r="C214">
        <f>MacReports!C214</f>
        <v>0</v>
      </c>
      <c r="E214" t="e">
        <f>_xlfn.XLOOKUP(G214,Models!A:A,Models!F:F)</f>
        <v>#N/A</v>
      </c>
      <c r="F214" t="str">
        <f>_xlfn.XLOOKUP(B214,MacReports!B:B,MacReports!D:D,"")</f>
        <v/>
      </c>
      <c r="G214" s="13">
        <f>MacReports!E214</f>
        <v>0</v>
      </c>
      <c r="H214" t="e">
        <f>_xlfn.XLOOKUP(G214,Models!A:A,Models!B:B)</f>
        <v>#N/A</v>
      </c>
      <c r="I214" t="e">
        <f>_xlfn.XLOOKUP(G214,Models!A:A,Models!E:E)</f>
        <v>#N/A</v>
      </c>
      <c r="J214" t="e">
        <f>_xlfn.XLOOKUP(G214,Models!A:A,Models!D:D)</f>
        <v>#N/A</v>
      </c>
      <c r="K214">
        <f>MacReports!F214</f>
        <v>0</v>
      </c>
      <c r="L214">
        <f>MacReports!G214</f>
        <v>0</v>
      </c>
      <c r="M214" s="15" t="e" cm="1">
        <f t="array" ref="M214">--_xlfn.LET(
    _xlpm.txt, MacReports!H214,
    _xlpm.chars, MID(_xlpm.txt, _xlfn.SEQUENCE(LEN(_xlpm.txt)), 1),
    _xlfn.TEXTJOIN("", TRUE, IF(ISNUMBER(--_xlpm.chars), _xlpm.chars, ""))
)</f>
        <v>#VALUE!</v>
      </c>
      <c r="N214" s="16" t="str" cm="1">
        <f t="array" ref="N214">_xlfn.IFS(
   --MacReports!M214&lt;55,"Battery Defect",
  -- MacReports!M214&lt;=69,"Battery D",
  --MacReports!M214&lt;=80,"Battery C",
 --MacReports!M214&gt;80,""
)</f>
        <v>Battery Defect</v>
      </c>
      <c r="O214" s="16" t="str">
        <f>IF(MacReports!I214="Service","Battery Service","")</f>
        <v/>
      </c>
      <c r="P214" s="13">
        <f>MacReports!P214</f>
        <v>0</v>
      </c>
      <c r="Q214" s="13" t="str">
        <f>IF(MacReports!J214="Enabled","Apple ID Lock","")</f>
        <v/>
      </c>
      <c r="R214" s="13" t="str">
        <f>IF(MacReports!L214="y","Remote Locked","")</f>
        <v/>
      </c>
      <c r="S214" t="str">
        <f t="shared" si="7"/>
        <v>Battery Defect, 0</v>
      </c>
      <c r="T214" t="str">
        <f>_xlfn.XLOOKUP(B214,Disk_Pivot!G:G,Disk_Pivot!I:I)</f>
        <v>Yes</v>
      </c>
      <c r="U214" t="str">
        <f>_xlfn.XLOOKUP(B214,Disk_Pivot!G:G,Disk_Pivot!N:N)</f>
        <v>Fail</v>
      </c>
      <c r="V214">
        <f>IF(U214="Fail",MacReports!N214,"")</f>
        <v>0</v>
      </c>
      <c r="AB214" t="str">
        <f t="shared" si="8"/>
        <v/>
      </c>
    </row>
    <row r="215" spans="1:28">
      <c r="A215" t="str">
        <f>MacReports!A215</f>
        <v/>
      </c>
      <c r="B215">
        <f>MacReports!B215</f>
        <v>0</v>
      </c>
      <c r="C215">
        <f>MacReports!C215</f>
        <v>0</v>
      </c>
      <c r="E215" t="e">
        <f>_xlfn.XLOOKUP(G215,Models!A:A,Models!F:F)</f>
        <v>#N/A</v>
      </c>
      <c r="F215" t="str">
        <f>_xlfn.XLOOKUP(B215,MacReports!B:B,MacReports!D:D,"")</f>
        <v/>
      </c>
      <c r="G215" s="13">
        <f>MacReports!E215</f>
        <v>0</v>
      </c>
      <c r="H215" t="e">
        <f>_xlfn.XLOOKUP(G215,Models!A:A,Models!B:B)</f>
        <v>#N/A</v>
      </c>
      <c r="I215" t="e">
        <f>_xlfn.XLOOKUP(G215,Models!A:A,Models!E:E)</f>
        <v>#N/A</v>
      </c>
      <c r="J215" t="e">
        <f>_xlfn.XLOOKUP(G215,Models!A:A,Models!D:D)</f>
        <v>#N/A</v>
      </c>
      <c r="K215">
        <f>MacReports!F215</f>
        <v>0</v>
      </c>
      <c r="L215">
        <f>MacReports!G215</f>
        <v>0</v>
      </c>
      <c r="M215" s="15" t="e" cm="1">
        <f t="array" ref="M215">--_xlfn.LET(
    _xlpm.txt, MacReports!H215,
    _xlpm.chars, MID(_xlpm.txt, _xlfn.SEQUENCE(LEN(_xlpm.txt)), 1),
    _xlfn.TEXTJOIN("", TRUE, IF(ISNUMBER(--_xlpm.chars), _xlpm.chars, ""))
)</f>
        <v>#VALUE!</v>
      </c>
      <c r="N215" s="16" t="str" cm="1">
        <f t="array" ref="N215">_xlfn.IFS(
   --MacReports!M215&lt;55,"Battery Defect",
  -- MacReports!M215&lt;=69,"Battery D",
  --MacReports!M215&lt;=80,"Battery C",
 --MacReports!M215&gt;80,""
)</f>
        <v>Battery Defect</v>
      </c>
      <c r="O215" s="16" t="str">
        <f>IF(MacReports!I215="Service","Battery Service","")</f>
        <v/>
      </c>
      <c r="P215" s="13">
        <f>MacReports!P215</f>
        <v>0</v>
      </c>
      <c r="Q215" s="13" t="str">
        <f>IF(MacReports!J215="Enabled","Apple ID Lock","")</f>
        <v/>
      </c>
      <c r="R215" s="13" t="str">
        <f>IF(MacReports!L215="y","Remote Locked","")</f>
        <v/>
      </c>
      <c r="S215" t="str">
        <f t="shared" si="7"/>
        <v>Battery Defect, 0</v>
      </c>
      <c r="T215" t="str">
        <f>_xlfn.XLOOKUP(B215,Disk_Pivot!G:G,Disk_Pivot!I:I)</f>
        <v>Yes</v>
      </c>
      <c r="U215" t="str">
        <f>_xlfn.XLOOKUP(B215,Disk_Pivot!G:G,Disk_Pivot!N:N)</f>
        <v>Fail</v>
      </c>
      <c r="V215">
        <f>IF(U215="Fail",MacReports!N215,"")</f>
        <v>0</v>
      </c>
      <c r="AB215" t="str">
        <f t="shared" si="8"/>
        <v/>
      </c>
    </row>
    <row r="216" spans="1:28">
      <c r="A216" t="str">
        <f>MacReports!A216</f>
        <v/>
      </c>
      <c r="B216">
        <f>MacReports!B216</f>
        <v>0</v>
      </c>
      <c r="C216">
        <f>MacReports!C216</f>
        <v>0</v>
      </c>
      <c r="E216" t="e">
        <f>_xlfn.XLOOKUP(G216,Models!A:A,Models!F:F)</f>
        <v>#N/A</v>
      </c>
      <c r="F216" t="str">
        <f>_xlfn.XLOOKUP(B216,MacReports!B:B,MacReports!D:D,"")</f>
        <v/>
      </c>
      <c r="G216" s="13">
        <f>MacReports!E216</f>
        <v>0</v>
      </c>
      <c r="H216" t="e">
        <f>_xlfn.XLOOKUP(G216,Models!A:A,Models!B:B)</f>
        <v>#N/A</v>
      </c>
      <c r="I216" t="e">
        <f>_xlfn.XLOOKUP(G216,Models!A:A,Models!E:E)</f>
        <v>#N/A</v>
      </c>
      <c r="J216" t="e">
        <f>_xlfn.XLOOKUP(G216,Models!A:A,Models!D:D)</f>
        <v>#N/A</v>
      </c>
      <c r="K216">
        <f>MacReports!F216</f>
        <v>0</v>
      </c>
      <c r="L216">
        <f>MacReports!G216</f>
        <v>0</v>
      </c>
      <c r="M216" s="15" t="e" cm="1">
        <f t="array" ref="M216">--_xlfn.LET(
    _xlpm.txt, MacReports!H216,
    _xlpm.chars, MID(_xlpm.txt, _xlfn.SEQUENCE(LEN(_xlpm.txt)), 1),
    _xlfn.TEXTJOIN("", TRUE, IF(ISNUMBER(--_xlpm.chars), _xlpm.chars, ""))
)</f>
        <v>#VALUE!</v>
      </c>
      <c r="N216" s="16" t="str" cm="1">
        <f t="array" ref="N216">_xlfn.IFS(
   --MacReports!M216&lt;55,"Battery Defect",
  -- MacReports!M216&lt;=69,"Battery D",
  --MacReports!M216&lt;=80,"Battery C",
 --MacReports!M216&gt;80,""
)</f>
        <v>Battery Defect</v>
      </c>
      <c r="O216" s="16" t="str">
        <f>IF(MacReports!I216="Service","Battery Service","")</f>
        <v/>
      </c>
      <c r="P216" s="13">
        <f>MacReports!P216</f>
        <v>0</v>
      </c>
      <c r="Q216" s="13" t="str">
        <f>IF(MacReports!J216="Enabled","Apple ID Lock","")</f>
        <v/>
      </c>
      <c r="R216" s="13" t="str">
        <f>IF(MacReports!L216="y","Remote Locked","")</f>
        <v/>
      </c>
      <c r="S216" t="str">
        <f t="shared" si="7"/>
        <v>Battery Defect, 0</v>
      </c>
      <c r="T216" t="str">
        <f>_xlfn.XLOOKUP(B216,Disk_Pivot!G:G,Disk_Pivot!I:I)</f>
        <v>Yes</v>
      </c>
      <c r="U216" t="str">
        <f>_xlfn.XLOOKUP(B216,Disk_Pivot!G:G,Disk_Pivot!N:N)</f>
        <v>Fail</v>
      </c>
      <c r="V216">
        <f>IF(U216="Fail",MacReports!N216,"")</f>
        <v>0</v>
      </c>
      <c r="AB216" t="str">
        <f t="shared" si="8"/>
        <v/>
      </c>
    </row>
    <row r="217" spans="1:28">
      <c r="A217" t="str">
        <f>MacReports!A217</f>
        <v/>
      </c>
      <c r="B217">
        <f>MacReports!B217</f>
        <v>0</v>
      </c>
      <c r="C217">
        <f>MacReports!C217</f>
        <v>0</v>
      </c>
      <c r="E217" t="e">
        <f>_xlfn.XLOOKUP(G217,Models!A:A,Models!F:F)</f>
        <v>#N/A</v>
      </c>
      <c r="F217" t="str">
        <f>_xlfn.XLOOKUP(B217,MacReports!B:B,MacReports!D:D,"")</f>
        <v/>
      </c>
      <c r="G217" s="13">
        <f>MacReports!E217</f>
        <v>0</v>
      </c>
      <c r="H217" t="e">
        <f>_xlfn.XLOOKUP(G217,Models!A:A,Models!B:B)</f>
        <v>#N/A</v>
      </c>
      <c r="I217" t="e">
        <f>_xlfn.XLOOKUP(G217,Models!A:A,Models!E:E)</f>
        <v>#N/A</v>
      </c>
      <c r="J217" t="e">
        <f>_xlfn.XLOOKUP(G217,Models!A:A,Models!D:D)</f>
        <v>#N/A</v>
      </c>
      <c r="K217">
        <f>MacReports!F217</f>
        <v>0</v>
      </c>
      <c r="L217">
        <f>MacReports!G217</f>
        <v>0</v>
      </c>
      <c r="M217" s="15" t="e" cm="1">
        <f t="array" ref="M217">--_xlfn.LET(
    _xlpm.txt, MacReports!H217,
    _xlpm.chars, MID(_xlpm.txt, _xlfn.SEQUENCE(LEN(_xlpm.txt)), 1),
    _xlfn.TEXTJOIN("", TRUE, IF(ISNUMBER(--_xlpm.chars), _xlpm.chars, ""))
)</f>
        <v>#VALUE!</v>
      </c>
      <c r="N217" s="16" t="str" cm="1">
        <f t="array" ref="N217">_xlfn.IFS(
   --MacReports!M217&lt;55,"Battery Defect",
  -- MacReports!M217&lt;=69,"Battery D",
  --MacReports!M217&lt;=80,"Battery C",
 --MacReports!M217&gt;80,""
)</f>
        <v>Battery Defect</v>
      </c>
      <c r="O217" s="16" t="str">
        <f>IF(MacReports!I217="Service","Battery Service","")</f>
        <v/>
      </c>
      <c r="P217" s="13">
        <f>MacReports!P217</f>
        <v>0</v>
      </c>
      <c r="Q217" s="13" t="str">
        <f>IF(MacReports!J217="Enabled","Apple ID Lock","")</f>
        <v/>
      </c>
      <c r="R217" s="13" t="str">
        <f>IF(MacReports!L217="y","Remote Locked","")</f>
        <v/>
      </c>
      <c r="S217" t="str">
        <f t="shared" si="7"/>
        <v>Battery Defect, 0</v>
      </c>
      <c r="T217" t="str">
        <f>_xlfn.XLOOKUP(B217,Disk_Pivot!G:G,Disk_Pivot!I:I)</f>
        <v>Yes</v>
      </c>
      <c r="U217" t="str">
        <f>_xlfn.XLOOKUP(B217,Disk_Pivot!G:G,Disk_Pivot!N:N)</f>
        <v>Fail</v>
      </c>
      <c r="V217">
        <f>IF(U217="Fail",MacReports!N217,"")</f>
        <v>0</v>
      </c>
      <c r="AB217" t="str">
        <f t="shared" si="8"/>
        <v/>
      </c>
    </row>
    <row r="218" spans="1:28">
      <c r="A218" t="str">
        <f>MacReports!A218</f>
        <v/>
      </c>
      <c r="B218">
        <f>MacReports!B218</f>
        <v>0</v>
      </c>
      <c r="C218">
        <f>MacReports!C218</f>
        <v>0</v>
      </c>
      <c r="E218" t="e">
        <f>_xlfn.XLOOKUP(G218,Models!A:A,Models!F:F)</f>
        <v>#N/A</v>
      </c>
      <c r="F218" t="str">
        <f>_xlfn.XLOOKUP(B218,MacReports!B:B,MacReports!D:D,"")</f>
        <v/>
      </c>
      <c r="G218" s="13">
        <f>MacReports!E218</f>
        <v>0</v>
      </c>
      <c r="H218" t="e">
        <f>_xlfn.XLOOKUP(G218,Models!A:A,Models!B:B)</f>
        <v>#N/A</v>
      </c>
      <c r="I218" t="e">
        <f>_xlfn.XLOOKUP(G218,Models!A:A,Models!E:E)</f>
        <v>#N/A</v>
      </c>
      <c r="J218" t="e">
        <f>_xlfn.XLOOKUP(G218,Models!A:A,Models!D:D)</f>
        <v>#N/A</v>
      </c>
      <c r="K218">
        <f>MacReports!F218</f>
        <v>0</v>
      </c>
      <c r="L218">
        <f>MacReports!G218</f>
        <v>0</v>
      </c>
      <c r="M218" s="15" t="e" cm="1">
        <f t="array" ref="M218">--_xlfn.LET(
    _xlpm.txt, MacReports!H218,
    _xlpm.chars, MID(_xlpm.txt, _xlfn.SEQUENCE(LEN(_xlpm.txt)), 1),
    _xlfn.TEXTJOIN("", TRUE, IF(ISNUMBER(--_xlpm.chars), _xlpm.chars, ""))
)</f>
        <v>#VALUE!</v>
      </c>
      <c r="N218" s="16" t="str" cm="1">
        <f t="array" ref="N218">_xlfn.IFS(
   --MacReports!M218&lt;55,"Battery Defect",
  -- MacReports!M218&lt;=69,"Battery D",
  --MacReports!M218&lt;=80,"Battery C",
 --MacReports!M218&gt;80,""
)</f>
        <v>Battery Defect</v>
      </c>
      <c r="O218" s="16" t="str">
        <f>IF(MacReports!I218="Service","Battery Service","")</f>
        <v/>
      </c>
      <c r="P218" s="13">
        <f>MacReports!P218</f>
        <v>0</v>
      </c>
      <c r="Q218" s="13" t="str">
        <f>IF(MacReports!J218="Enabled","Apple ID Lock","")</f>
        <v/>
      </c>
      <c r="R218" s="13" t="str">
        <f>IF(MacReports!L218="y","Remote Locked","")</f>
        <v/>
      </c>
      <c r="S218" t="str">
        <f t="shared" si="7"/>
        <v>Battery Defect, 0</v>
      </c>
      <c r="T218" t="str">
        <f>_xlfn.XLOOKUP(B218,Disk_Pivot!G:G,Disk_Pivot!I:I)</f>
        <v>Yes</v>
      </c>
      <c r="U218" t="str">
        <f>_xlfn.XLOOKUP(B218,Disk_Pivot!G:G,Disk_Pivot!N:N)</f>
        <v>Fail</v>
      </c>
      <c r="V218">
        <f>IF(U218="Fail",MacReports!N218,"")</f>
        <v>0</v>
      </c>
      <c r="AB218" t="str">
        <f t="shared" si="8"/>
        <v/>
      </c>
    </row>
    <row r="219" spans="1:28">
      <c r="A219" t="str">
        <f>MacReports!A219</f>
        <v/>
      </c>
      <c r="B219">
        <f>MacReports!B219</f>
        <v>0</v>
      </c>
      <c r="C219">
        <f>MacReports!C219</f>
        <v>0</v>
      </c>
      <c r="E219" t="e">
        <f>_xlfn.XLOOKUP(G219,Models!A:A,Models!F:F)</f>
        <v>#N/A</v>
      </c>
      <c r="F219" t="str">
        <f>_xlfn.XLOOKUP(B219,MacReports!B:B,MacReports!D:D,"")</f>
        <v/>
      </c>
      <c r="G219" s="13">
        <f>MacReports!E219</f>
        <v>0</v>
      </c>
      <c r="H219" t="e">
        <f>_xlfn.XLOOKUP(G219,Models!A:A,Models!B:B)</f>
        <v>#N/A</v>
      </c>
      <c r="I219" t="e">
        <f>_xlfn.XLOOKUP(G219,Models!A:A,Models!E:E)</f>
        <v>#N/A</v>
      </c>
      <c r="J219" t="e">
        <f>_xlfn.XLOOKUP(G219,Models!A:A,Models!D:D)</f>
        <v>#N/A</v>
      </c>
      <c r="K219">
        <f>MacReports!F219</f>
        <v>0</v>
      </c>
      <c r="L219">
        <f>MacReports!G219</f>
        <v>0</v>
      </c>
      <c r="M219" s="15" t="e" cm="1">
        <f t="array" ref="M219">--_xlfn.LET(
    _xlpm.txt, MacReports!H219,
    _xlpm.chars, MID(_xlpm.txt, _xlfn.SEQUENCE(LEN(_xlpm.txt)), 1),
    _xlfn.TEXTJOIN("", TRUE, IF(ISNUMBER(--_xlpm.chars), _xlpm.chars, ""))
)</f>
        <v>#VALUE!</v>
      </c>
      <c r="N219" s="16" t="str" cm="1">
        <f t="array" ref="N219">_xlfn.IFS(
   --MacReports!M219&lt;55,"Battery Defect",
  -- MacReports!M219&lt;=69,"Battery D",
  --MacReports!M219&lt;=80,"Battery C",
 --MacReports!M219&gt;80,""
)</f>
        <v>Battery Defect</v>
      </c>
      <c r="O219" s="16" t="str">
        <f>IF(MacReports!I219="Service","Battery Service","")</f>
        <v/>
      </c>
      <c r="P219" s="13">
        <f>MacReports!P219</f>
        <v>0</v>
      </c>
      <c r="Q219" s="13" t="str">
        <f>IF(MacReports!J219="Enabled","Apple ID Lock","")</f>
        <v/>
      </c>
      <c r="R219" s="13" t="str">
        <f>IF(MacReports!L219="y","Remote Locked","")</f>
        <v/>
      </c>
      <c r="S219" t="str">
        <f t="shared" si="7"/>
        <v>Battery Defect, 0</v>
      </c>
      <c r="T219" t="str">
        <f>_xlfn.XLOOKUP(B219,Disk_Pivot!G:G,Disk_Pivot!I:I)</f>
        <v>Yes</v>
      </c>
      <c r="U219" t="str">
        <f>_xlfn.XLOOKUP(B219,Disk_Pivot!G:G,Disk_Pivot!N:N)</f>
        <v>Fail</v>
      </c>
      <c r="V219">
        <f>IF(U219="Fail",MacReports!N219,"")</f>
        <v>0</v>
      </c>
      <c r="AB219" t="str">
        <f t="shared" si="8"/>
        <v/>
      </c>
    </row>
    <row r="220" spans="1:28">
      <c r="A220" t="str">
        <f>MacReports!A220</f>
        <v/>
      </c>
      <c r="B220">
        <f>MacReports!B220</f>
        <v>0</v>
      </c>
      <c r="C220">
        <f>MacReports!C220</f>
        <v>0</v>
      </c>
      <c r="E220" t="e">
        <f>_xlfn.XLOOKUP(G220,Models!A:A,Models!F:F)</f>
        <v>#N/A</v>
      </c>
      <c r="F220" t="str">
        <f>_xlfn.XLOOKUP(B220,MacReports!B:B,MacReports!D:D,"")</f>
        <v/>
      </c>
      <c r="G220" s="13">
        <f>MacReports!E220</f>
        <v>0</v>
      </c>
      <c r="H220" t="e">
        <f>_xlfn.XLOOKUP(G220,Models!A:A,Models!B:B)</f>
        <v>#N/A</v>
      </c>
      <c r="I220" t="e">
        <f>_xlfn.XLOOKUP(G220,Models!A:A,Models!E:E)</f>
        <v>#N/A</v>
      </c>
      <c r="J220" t="e">
        <f>_xlfn.XLOOKUP(G220,Models!A:A,Models!D:D)</f>
        <v>#N/A</v>
      </c>
      <c r="K220">
        <f>MacReports!F220</f>
        <v>0</v>
      </c>
      <c r="L220">
        <f>MacReports!G220</f>
        <v>0</v>
      </c>
      <c r="M220" s="15" t="e" cm="1">
        <f t="array" ref="M220">--_xlfn.LET(
    _xlpm.txt, MacReports!H220,
    _xlpm.chars, MID(_xlpm.txt, _xlfn.SEQUENCE(LEN(_xlpm.txt)), 1),
    _xlfn.TEXTJOIN("", TRUE, IF(ISNUMBER(--_xlpm.chars), _xlpm.chars, ""))
)</f>
        <v>#VALUE!</v>
      </c>
      <c r="N220" s="16" t="str" cm="1">
        <f t="array" ref="N220">_xlfn.IFS(
   --MacReports!M220&lt;55,"Battery Defect",
  -- MacReports!M220&lt;=69,"Battery D",
  --MacReports!M220&lt;=80,"Battery C",
 --MacReports!M220&gt;80,""
)</f>
        <v>Battery Defect</v>
      </c>
      <c r="O220" s="16" t="str">
        <f>IF(MacReports!I220="Service","Battery Service","")</f>
        <v/>
      </c>
      <c r="P220" s="13">
        <f>MacReports!P220</f>
        <v>0</v>
      </c>
      <c r="Q220" s="13" t="str">
        <f>IF(MacReports!J220="Enabled","Apple ID Lock","")</f>
        <v/>
      </c>
      <c r="R220" s="13" t="str">
        <f>IF(MacReports!L220="y","Remote Locked","")</f>
        <v/>
      </c>
      <c r="S220" t="str">
        <f t="shared" si="7"/>
        <v>Battery Defect, 0</v>
      </c>
      <c r="T220" t="str">
        <f>_xlfn.XLOOKUP(B220,Disk_Pivot!G:G,Disk_Pivot!I:I)</f>
        <v>Yes</v>
      </c>
      <c r="U220" t="str">
        <f>_xlfn.XLOOKUP(B220,Disk_Pivot!G:G,Disk_Pivot!N:N)</f>
        <v>Fail</v>
      </c>
      <c r="V220">
        <f>IF(U220="Fail",MacReports!N220,"")</f>
        <v>0</v>
      </c>
      <c r="AB220" t="str">
        <f t="shared" si="8"/>
        <v/>
      </c>
    </row>
    <row r="221" spans="1:28">
      <c r="A221" t="str">
        <f>MacReports!A221</f>
        <v/>
      </c>
      <c r="B221">
        <f>MacReports!B221</f>
        <v>0</v>
      </c>
      <c r="C221">
        <f>MacReports!C221</f>
        <v>0</v>
      </c>
      <c r="E221" t="e">
        <f>_xlfn.XLOOKUP(G221,Models!A:A,Models!F:F)</f>
        <v>#N/A</v>
      </c>
      <c r="F221" t="str">
        <f>_xlfn.XLOOKUP(B221,MacReports!B:B,MacReports!D:D,"")</f>
        <v/>
      </c>
      <c r="G221" s="13">
        <f>MacReports!E221</f>
        <v>0</v>
      </c>
      <c r="H221" t="e">
        <f>_xlfn.XLOOKUP(G221,Models!A:A,Models!B:B)</f>
        <v>#N/A</v>
      </c>
      <c r="I221" t="e">
        <f>_xlfn.XLOOKUP(G221,Models!A:A,Models!E:E)</f>
        <v>#N/A</v>
      </c>
      <c r="J221" t="e">
        <f>_xlfn.XLOOKUP(G221,Models!A:A,Models!D:D)</f>
        <v>#N/A</v>
      </c>
      <c r="K221">
        <f>MacReports!F221</f>
        <v>0</v>
      </c>
      <c r="L221">
        <f>MacReports!G221</f>
        <v>0</v>
      </c>
      <c r="M221" s="15" t="e" cm="1">
        <f t="array" ref="M221">--_xlfn.LET(
    _xlpm.txt, MacReports!H221,
    _xlpm.chars, MID(_xlpm.txt, _xlfn.SEQUENCE(LEN(_xlpm.txt)), 1),
    _xlfn.TEXTJOIN("", TRUE, IF(ISNUMBER(--_xlpm.chars), _xlpm.chars, ""))
)</f>
        <v>#VALUE!</v>
      </c>
      <c r="N221" s="16" t="str" cm="1">
        <f t="array" ref="N221">_xlfn.IFS(
   --MacReports!M221&lt;55,"Battery Defect",
  -- MacReports!M221&lt;=69,"Battery D",
  --MacReports!M221&lt;=80,"Battery C",
 --MacReports!M221&gt;80,""
)</f>
        <v>Battery Defect</v>
      </c>
      <c r="O221" s="16" t="str">
        <f>IF(MacReports!I221="Service","Battery Service","")</f>
        <v/>
      </c>
      <c r="P221" s="13">
        <f>MacReports!P221</f>
        <v>0</v>
      </c>
      <c r="Q221" s="13" t="str">
        <f>IF(MacReports!J221="Enabled","Apple ID Lock","")</f>
        <v/>
      </c>
      <c r="R221" s="13" t="str">
        <f>IF(MacReports!L221="y","Remote Locked","")</f>
        <v/>
      </c>
      <c r="S221" t="str">
        <f t="shared" si="7"/>
        <v>Battery Defect, 0</v>
      </c>
      <c r="T221" t="str">
        <f>_xlfn.XLOOKUP(B221,Disk_Pivot!G:G,Disk_Pivot!I:I)</f>
        <v>Yes</v>
      </c>
      <c r="U221" t="str">
        <f>_xlfn.XLOOKUP(B221,Disk_Pivot!G:G,Disk_Pivot!N:N)</f>
        <v>Fail</v>
      </c>
      <c r="V221">
        <f>IF(U221="Fail",MacReports!N221,"")</f>
        <v>0</v>
      </c>
      <c r="AB221" t="str">
        <f t="shared" si="8"/>
        <v/>
      </c>
    </row>
    <row r="222" spans="1:28">
      <c r="A222" t="str">
        <f>MacReports!A222</f>
        <v/>
      </c>
      <c r="B222">
        <f>MacReports!B222</f>
        <v>0</v>
      </c>
      <c r="C222">
        <f>MacReports!C222</f>
        <v>0</v>
      </c>
      <c r="E222" t="e">
        <f>_xlfn.XLOOKUP(G222,Models!A:A,Models!F:F)</f>
        <v>#N/A</v>
      </c>
      <c r="F222" t="str">
        <f>_xlfn.XLOOKUP(B222,MacReports!B:B,MacReports!D:D,"")</f>
        <v/>
      </c>
      <c r="G222" s="13">
        <f>MacReports!E222</f>
        <v>0</v>
      </c>
      <c r="H222" t="e">
        <f>_xlfn.XLOOKUP(G222,Models!A:A,Models!B:B)</f>
        <v>#N/A</v>
      </c>
      <c r="I222" t="e">
        <f>_xlfn.XLOOKUP(G222,Models!A:A,Models!E:E)</f>
        <v>#N/A</v>
      </c>
      <c r="J222" t="e">
        <f>_xlfn.XLOOKUP(G222,Models!A:A,Models!D:D)</f>
        <v>#N/A</v>
      </c>
      <c r="K222">
        <f>MacReports!F222</f>
        <v>0</v>
      </c>
      <c r="L222">
        <f>MacReports!G222</f>
        <v>0</v>
      </c>
      <c r="M222" s="15" t="e" cm="1">
        <f t="array" ref="M222">--_xlfn.LET(
    _xlpm.txt, MacReports!H222,
    _xlpm.chars, MID(_xlpm.txt, _xlfn.SEQUENCE(LEN(_xlpm.txt)), 1),
    _xlfn.TEXTJOIN("", TRUE, IF(ISNUMBER(--_xlpm.chars), _xlpm.chars, ""))
)</f>
        <v>#VALUE!</v>
      </c>
      <c r="N222" s="16" t="str" cm="1">
        <f t="array" ref="N222">_xlfn.IFS(
   --MacReports!M222&lt;55,"Battery Defect",
  -- MacReports!M222&lt;=69,"Battery D",
  --MacReports!M222&lt;=80,"Battery C",
 --MacReports!M222&gt;80,""
)</f>
        <v>Battery Defect</v>
      </c>
      <c r="O222" s="16" t="str">
        <f>IF(MacReports!I222="Service","Battery Service","")</f>
        <v/>
      </c>
      <c r="P222" s="13">
        <f>MacReports!P222</f>
        <v>0</v>
      </c>
      <c r="Q222" s="13" t="str">
        <f>IF(MacReports!J222="Enabled","Apple ID Lock","")</f>
        <v/>
      </c>
      <c r="R222" s="13" t="str">
        <f>IF(MacReports!L222="y","Remote Locked","")</f>
        <v/>
      </c>
      <c r="S222" t="str">
        <f t="shared" si="7"/>
        <v>Battery Defect, 0</v>
      </c>
      <c r="T222" t="str">
        <f>_xlfn.XLOOKUP(B222,Disk_Pivot!G:G,Disk_Pivot!I:I)</f>
        <v>Yes</v>
      </c>
      <c r="U222" t="str">
        <f>_xlfn.XLOOKUP(B222,Disk_Pivot!G:G,Disk_Pivot!N:N)</f>
        <v>Fail</v>
      </c>
      <c r="V222">
        <f>IF(U222="Fail",MacReports!N222,"")</f>
        <v>0</v>
      </c>
      <c r="AB222" t="str">
        <f t="shared" si="8"/>
        <v/>
      </c>
    </row>
    <row r="223" spans="1:28">
      <c r="A223" t="str">
        <f>MacReports!A223</f>
        <v/>
      </c>
      <c r="B223">
        <f>MacReports!B223</f>
        <v>0</v>
      </c>
      <c r="C223">
        <f>MacReports!C223</f>
        <v>0</v>
      </c>
      <c r="E223" t="e">
        <f>_xlfn.XLOOKUP(G223,Models!A:A,Models!F:F)</f>
        <v>#N/A</v>
      </c>
      <c r="F223" t="str">
        <f>_xlfn.XLOOKUP(B223,MacReports!B:B,MacReports!D:D,"")</f>
        <v/>
      </c>
      <c r="G223" s="13">
        <f>MacReports!E223</f>
        <v>0</v>
      </c>
      <c r="H223" t="e">
        <f>_xlfn.XLOOKUP(G223,Models!A:A,Models!B:B)</f>
        <v>#N/A</v>
      </c>
      <c r="I223" t="e">
        <f>_xlfn.XLOOKUP(G223,Models!A:A,Models!E:E)</f>
        <v>#N/A</v>
      </c>
      <c r="J223" t="e">
        <f>_xlfn.XLOOKUP(G223,Models!A:A,Models!D:D)</f>
        <v>#N/A</v>
      </c>
      <c r="K223">
        <f>MacReports!F223</f>
        <v>0</v>
      </c>
      <c r="L223">
        <f>MacReports!G223</f>
        <v>0</v>
      </c>
      <c r="M223" s="15" t="e" cm="1">
        <f t="array" ref="M223">--_xlfn.LET(
    _xlpm.txt, MacReports!H223,
    _xlpm.chars, MID(_xlpm.txt, _xlfn.SEQUENCE(LEN(_xlpm.txt)), 1),
    _xlfn.TEXTJOIN("", TRUE, IF(ISNUMBER(--_xlpm.chars), _xlpm.chars, ""))
)</f>
        <v>#VALUE!</v>
      </c>
      <c r="N223" s="16" t="str" cm="1">
        <f t="array" ref="N223">_xlfn.IFS(
   --MacReports!M223&lt;55,"Battery Defect",
  -- MacReports!M223&lt;=69,"Battery D",
  --MacReports!M223&lt;=80,"Battery C",
 --MacReports!M223&gt;80,""
)</f>
        <v>Battery Defect</v>
      </c>
      <c r="O223" s="16" t="str">
        <f>IF(MacReports!I223="Service","Battery Service","")</f>
        <v/>
      </c>
      <c r="P223" s="13">
        <f>MacReports!P223</f>
        <v>0</v>
      </c>
      <c r="Q223" s="13" t="str">
        <f>IF(MacReports!J223="Enabled","Apple ID Lock","")</f>
        <v/>
      </c>
      <c r="R223" s="13" t="str">
        <f>IF(MacReports!L223="y","Remote Locked","")</f>
        <v/>
      </c>
      <c r="S223" t="str">
        <f t="shared" si="7"/>
        <v>Battery Defect, 0</v>
      </c>
      <c r="T223" t="str">
        <f>_xlfn.XLOOKUP(B223,Disk_Pivot!G:G,Disk_Pivot!I:I)</f>
        <v>Yes</v>
      </c>
      <c r="U223" t="str">
        <f>_xlfn.XLOOKUP(B223,Disk_Pivot!G:G,Disk_Pivot!N:N)</f>
        <v>Fail</v>
      </c>
      <c r="V223">
        <f>IF(U223="Fail",MacReports!N223,"")</f>
        <v>0</v>
      </c>
      <c r="AB223" t="str">
        <f t="shared" si="8"/>
        <v/>
      </c>
    </row>
    <row r="224" spans="1:28">
      <c r="A224" t="str">
        <f>MacReports!A224</f>
        <v/>
      </c>
      <c r="B224">
        <f>MacReports!B224</f>
        <v>0</v>
      </c>
      <c r="C224">
        <f>MacReports!C224</f>
        <v>0</v>
      </c>
      <c r="E224" t="e">
        <f>_xlfn.XLOOKUP(G224,Models!A:A,Models!F:F)</f>
        <v>#N/A</v>
      </c>
      <c r="F224" t="str">
        <f>_xlfn.XLOOKUP(B224,MacReports!B:B,MacReports!D:D,"")</f>
        <v/>
      </c>
      <c r="G224" s="13">
        <f>MacReports!E224</f>
        <v>0</v>
      </c>
      <c r="H224" t="e">
        <f>_xlfn.XLOOKUP(G224,Models!A:A,Models!B:B)</f>
        <v>#N/A</v>
      </c>
      <c r="I224" t="e">
        <f>_xlfn.XLOOKUP(G224,Models!A:A,Models!E:E)</f>
        <v>#N/A</v>
      </c>
      <c r="J224" t="e">
        <f>_xlfn.XLOOKUP(G224,Models!A:A,Models!D:D)</f>
        <v>#N/A</v>
      </c>
      <c r="K224">
        <f>MacReports!F224</f>
        <v>0</v>
      </c>
      <c r="L224">
        <f>MacReports!G224</f>
        <v>0</v>
      </c>
      <c r="M224" s="15" t="e" cm="1">
        <f t="array" ref="M224">--_xlfn.LET(
    _xlpm.txt, MacReports!H224,
    _xlpm.chars, MID(_xlpm.txt, _xlfn.SEQUENCE(LEN(_xlpm.txt)), 1),
    _xlfn.TEXTJOIN("", TRUE, IF(ISNUMBER(--_xlpm.chars), _xlpm.chars, ""))
)</f>
        <v>#VALUE!</v>
      </c>
      <c r="N224" s="16" t="str" cm="1">
        <f t="array" ref="N224">_xlfn.IFS(
   --MacReports!M224&lt;55,"Battery Defect",
  -- MacReports!M224&lt;=69,"Battery D",
  --MacReports!M224&lt;=80,"Battery C",
 --MacReports!M224&gt;80,""
)</f>
        <v>Battery Defect</v>
      </c>
      <c r="O224" s="16" t="str">
        <f>IF(MacReports!I224="Service","Battery Service","")</f>
        <v/>
      </c>
      <c r="P224" s="13">
        <f>MacReports!P224</f>
        <v>0</v>
      </c>
      <c r="Q224" s="13" t="str">
        <f>IF(MacReports!J224="Enabled","Apple ID Lock","")</f>
        <v/>
      </c>
      <c r="R224" s="13" t="str">
        <f>IF(MacReports!L224="y","Remote Locked","")</f>
        <v/>
      </c>
      <c r="S224" t="str">
        <f t="shared" si="7"/>
        <v>Battery Defect, 0</v>
      </c>
      <c r="T224" t="str">
        <f>_xlfn.XLOOKUP(B224,Disk_Pivot!G:G,Disk_Pivot!I:I)</f>
        <v>Yes</v>
      </c>
      <c r="U224" t="str">
        <f>_xlfn.XLOOKUP(B224,Disk_Pivot!G:G,Disk_Pivot!N:N)</f>
        <v>Fail</v>
      </c>
      <c r="V224">
        <f>IF(U224="Fail",MacReports!N224,"")</f>
        <v>0</v>
      </c>
      <c r="AB224" t="str">
        <f t="shared" si="8"/>
        <v/>
      </c>
    </row>
    <row r="225" spans="1:28">
      <c r="A225" t="str">
        <f>MacReports!A225</f>
        <v/>
      </c>
      <c r="B225">
        <f>MacReports!B225</f>
        <v>0</v>
      </c>
      <c r="C225">
        <f>MacReports!C225</f>
        <v>0</v>
      </c>
      <c r="E225" t="e">
        <f>_xlfn.XLOOKUP(G225,Models!A:A,Models!F:F)</f>
        <v>#N/A</v>
      </c>
      <c r="F225" t="str">
        <f>_xlfn.XLOOKUP(B225,MacReports!B:B,MacReports!D:D,"")</f>
        <v/>
      </c>
      <c r="G225" s="13">
        <f>MacReports!E225</f>
        <v>0</v>
      </c>
      <c r="H225" t="e">
        <f>_xlfn.XLOOKUP(G225,Models!A:A,Models!B:B)</f>
        <v>#N/A</v>
      </c>
      <c r="I225" t="e">
        <f>_xlfn.XLOOKUP(G225,Models!A:A,Models!E:E)</f>
        <v>#N/A</v>
      </c>
      <c r="J225" t="e">
        <f>_xlfn.XLOOKUP(G225,Models!A:A,Models!D:D)</f>
        <v>#N/A</v>
      </c>
      <c r="K225">
        <f>MacReports!F225</f>
        <v>0</v>
      </c>
      <c r="L225">
        <f>MacReports!G225</f>
        <v>0</v>
      </c>
      <c r="M225" s="15" t="e" cm="1">
        <f t="array" ref="M225">--_xlfn.LET(
    _xlpm.txt, MacReports!H225,
    _xlpm.chars, MID(_xlpm.txt, _xlfn.SEQUENCE(LEN(_xlpm.txt)), 1),
    _xlfn.TEXTJOIN("", TRUE, IF(ISNUMBER(--_xlpm.chars), _xlpm.chars, ""))
)</f>
        <v>#VALUE!</v>
      </c>
      <c r="N225" s="16" t="str" cm="1">
        <f t="array" ref="N225">_xlfn.IFS(
   --MacReports!M225&lt;55,"Battery Defect",
  -- MacReports!M225&lt;=69,"Battery D",
  --MacReports!M225&lt;=80,"Battery C",
 --MacReports!M225&gt;80,""
)</f>
        <v>Battery Defect</v>
      </c>
      <c r="O225" s="16" t="str">
        <f>IF(MacReports!I225="Service","Battery Service","")</f>
        <v/>
      </c>
      <c r="P225" s="13">
        <f>MacReports!P225</f>
        <v>0</v>
      </c>
      <c r="Q225" s="13" t="str">
        <f>IF(MacReports!J225="Enabled","Apple ID Lock","")</f>
        <v/>
      </c>
      <c r="R225" s="13" t="str">
        <f>IF(MacReports!L225="y","Remote Locked","")</f>
        <v/>
      </c>
      <c r="S225" t="str">
        <f t="shared" si="7"/>
        <v>Battery Defect, 0</v>
      </c>
      <c r="T225" t="str">
        <f>_xlfn.XLOOKUP(B225,Disk_Pivot!G:G,Disk_Pivot!I:I)</f>
        <v>Yes</v>
      </c>
      <c r="U225" t="str">
        <f>_xlfn.XLOOKUP(B225,Disk_Pivot!G:G,Disk_Pivot!N:N)</f>
        <v>Fail</v>
      </c>
      <c r="V225">
        <f>IF(U225="Fail",MacReports!N225,"")</f>
        <v>0</v>
      </c>
      <c r="AB225" t="str">
        <f t="shared" si="8"/>
        <v/>
      </c>
    </row>
    <row r="226" spans="1:28">
      <c r="A226" t="str">
        <f>MacReports!A226</f>
        <v/>
      </c>
      <c r="B226">
        <f>MacReports!B226</f>
        <v>0</v>
      </c>
      <c r="C226">
        <f>MacReports!C226</f>
        <v>0</v>
      </c>
      <c r="E226" t="e">
        <f>_xlfn.XLOOKUP(G226,Models!A:A,Models!F:F)</f>
        <v>#N/A</v>
      </c>
      <c r="F226" t="str">
        <f>_xlfn.XLOOKUP(B226,MacReports!B:B,MacReports!D:D,"")</f>
        <v/>
      </c>
      <c r="G226" s="13">
        <f>MacReports!E226</f>
        <v>0</v>
      </c>
      <c r="H226" t="e">
        <f>_xlfn.XLOOKUP(G226,Models!A:A,Models!B:B)</f>
        <v>#N/A</v>
      </c>
      <c r="I226" t="e">
        <f>_xlfn.XLOOKUP(G226,Models!A:A,Models!E:E)</f>
        <v>#N/A</v>
      </c>
      <c r="J226" t="e">
        <f>_xlfn.XLOOKUP(G226,Models!A:A,Models!D:D)</f>
        <v>#N/A</v>
      </c>
      <c r="K226">
        <f>MacReports!F226</f>
        <v>0</v>
      </c>
      <c r="L226">
        <f>MacReports!G226</f>
        <v>0</v>
      </c>
      <c r="M226" s="15" t="e" cm="1">
        <f t="array" ref="M226">--_xlfn.LET(
    _xlpm.txt, MacReports!H226,
    _xlpm.chars, MID(_xlpm.txt, _xlfn.SEQUENCE(LEN(_xlpm.txt)), 1),
    _xlfn.TEXTJOIN("", TRUE, IF(ISNUMBER(--_xlpm.chars), _xlpm.chars, ""))
)</f>
        <v>#VALUE!</v>
      </c>
      <c r="N226" s="16" t="str" cm="1">
        <f t="array" ref="N226">_xlfn.IFS(
   --MacReports!M226&lt;55,"Battery Defect",
  -- MacReports!M226&lt;=69,"Battery D",
  --MacReports!M226&lt;=80,"Battery C",
 --MacReports!M226&gt;80,""
)</f>
        <v>Battery Defect</v>
      </c>
      <c r="O226" s="16" t="str">
        <f>IF(MacReports!I226="Service","Battery Service","")</f>
        <v/>
      </c>
      <c r="P226" s="13">
        <f>MacReports!P226</f>
        <v>0</v>
      </c>
      <c r="Q226" s="13" t="str">
        <f>IF(MacReports!J226="Enabled","Apple ID Lock","")</f>
        <v/>
      </c>
      <c r="R226" s="13" t="str">
        <f>IF(MacReports!L226="y","Remote Locked","")</f>
        <v/>
      </c>
      <c r="S226" t="str">
        <f t="shared" si="7"/>
        <v>Battery Defect, 0</v>
      </c>
      <c r="T226" t="str">
        <f>_xlfn.XLOOKUP(B226,Disk_Pivot!G:G,Disk_Pivot!I:I)</f>
        <v>Yes</v>
      </c>
      <c r="U226" t="str">
        <f>_xlfn.XLOOKUP(B226,Disk_Pivot!G:G,Disk_Pivot!N:N)</f>
        <v>Fail</v>
      </c>
      <c r="V226">
        <f>IF(U226="Fail",MacReports!N226,"")</f>
        <v>0</v>
      </c>
      <c r="AB226" t="str">
        <f t="shared" si="8"/>
        <v/>
      </c>
    </row>
    <row r="227" spans="1:28">
      <c r="A227" t="str">
        <f>MacReports!A227</f>
        <v/>
      </c>
      <c r="B227">
        <f>MacReports!B227</f>
        <v>0</v>
      </c>
      <c r="C227">
        <f>MacReports!C227</f>
        <v>0</v>
      </c>
      <c r="E227" t="e">
        <f>_xlfn.XLOOKUP(G227,Models!A:A,Models!F:F)</f>
        <v>#N/A</v>
      </c>
      <c r="F227" t="str">
        <f>_xlfn.XLOOKUP(B227,MacReports!B:B,MacReports!D:D,"")</f>
        <v/>
      </c>
      <c r="G227" s="13">
        <f>MacReports!E227</f>
        <v>0</v>
      </c>
      <c r="H227" t="e">
        <f>_xlfn.XLOOKUP(G227,Models!A:A,Models!B:B)</f>
        <v>#N/A</v>
      </c>
      <c r="I227" t="e">
        <f>_xlfn.XLOOKUP(G227,Models!A:A,Models!E:E)</f>
        <v>#N/A</v>
      </c>
      <c r="J227" t="e">
        <f>_xlfn.XLOOKUP(G227,Models!A:A,Models!D:D)</f>
        <v>#N/A</v>
      </c>
      <c r="K227">
        <f>MacReports!F227</f>
        <v>0</v>
      </c>
      <c r="L227">
        <f>MacReports!G227</f>
        <v>0</v>
      </c>
      <c r="M227" s="15" t="e" cm="1">
        <f t="array" ref="M227">--_xlfn.LET(
    _xlpm.txt, MacReports!H227,
    _xlpm.chars, MID(_xlpm.txt, _xlfn.SEQUENCE(LEN(_xlpm.txt)), 1),
    _xlfn.TEXTJOIN("", TRUE, IF(ISNUMBER(--_xlpm.chars), _xlpm.chars, ""))
)</f>
        <v>#VALUE!</v>
      </c>
      <c r="N227" s="16" t="str" cm="1">
        <f t="array" ref="N227">_xlfn.IFS(
   --MacReports!M227&lt;55,"Battery Defect",
  -- MacReports!M227&lt;=69,"Battery D",
  --MacReports!M227&lt;=80,"Battery C",
 --MacReports!M227&gt;80,""
)</f>
        <v>Battery Defect</v>
      </c>
      <c r="O227" s="16" t="str">
        <f>IF(MacReports!I227="Service","Battery Service","")</f>
        <v/>
      </c>
      <c r="P227" s="13">
        <f>MacReports!P227</f>
        <v>0</v>
      </c>
      <c r="Q227" s="13" t="str">
        <f>IF(MacReports!J227="Enabled","Apple ID Lock","")</f>
        <v/>
      </c>
      <c r="R227" s="13" t="str">
        <f>IF(MacReports!L227="y","Remote Locked","")</f>
        <v/>
      </c>
      <c r="S227" t="str">
        <f t="shared" ref="S227:S290" si="9">_xlfn.TEXTJOIN(", ",TRUE,Q227,R227,N227,O227,P227)</f>
        <v>Battery Defect, 0</v>
      </c>
      <c r="T227" t="str">
        <f>_xlfn.XLOOKUP(B227,Disk_Pivot!G:G,Disk_Pivot!I:I)</f>
        <v>Yes</v>
      </c>
      <c r="U227" t="str">
        <f>_xlfn.XLOOKUP(B227,Disk_Pivot!G:G,Disk_Pivot!N:N)</f>
        <v>Fail</v>
      </c>
      <c r="V227">
        <f>IF(U227="Fail",MacReports!N227,"")</f>
        <v>0</v>
      </c>
      <c r="AB227" t="str">
        <f t="shared" ref="AB227:AB290" si="10">_xlfn.TEXTJOIN(", ",TRUE,Q227,R227)</f>
        <v/>
      </c>
    </row>
    <row r="228" spans="1:28">
      <c r="A228" t="str">
        <f>MacReports!A228</f>
        <v/>
      </c>
      <c r="B228">
        <f>MacReports!B228</f>
        <v>0</v>
      </c>
      <c r="C228">
        <f>MacReports!C228</f>
        <v>0</v>
      </c>
      <c r="E228" t="e">
        <f>_xlfn.XLOOKUP(G228,Models!A:A,Models!F:F)</f>
        <v>#N/A</v>
      </c>
      <c r="F228" t="str">
        <f>_xlfn.XLOOKUP(B228,MacReports!B:B,MacReports!D:D,"")</f>
        <v/>
      </c>
      <c r="G228" s="13">
        <f>MacReports!E228</f>
        <v>0</v>
      </c>
      <c r="H228" t="e">
        <f>_xlfn.XLOOKUP(G228,Models!A:A,Models!B:B)</f>
        <v>#N/A</v>
      </c>
      <c r="I228" t="e">
        <f>_xlfn.XLOOKUP(G228,Models!A:A,Models!E:E)</f>
        <v>#N/A</v>
      </c>
      <c r="J228" t="e">
        <f>_xlfn.XLOOKUP(G228,Models!A:A,Models!D:D)</f>
        <v>#N/A</v>
      </c>
      <c r="K228">
        <f>MacReports!F228</f>
        <v>0</v>
      </c>
      <c r="L228">
        <f>MacReports!G228</f>
        <v>0</v>
      </c>
      <c r="M228" s="15" t="e" cm="1">
        <f t="array" ref="M228">--_xlfn.LET(
    _xlpm.txt, MacReports!H228,
    _xlpm.chars, MID(_xlpm.txt, _xlfn.SEQUENCE(LEN(_xlpm.txt)), 1),
    _xlfn.TEXTJOIN("", TRUE, IF(ISNUMBER(--_xlpm.chars), _xlpm.chars, ""))
)</f>
        <v>#VALUE!</v>
      </c>
      <c r="N228" s="16" t="str" cm="1">
        <f t="array" ref="N228">_xlfn.IFS(
   --MacReports!M228&lt;55,"Battery Defect",
  -- MacReports!M228&lt;=69,"Battery D",
  --MacReports!M228&lt;=80,"Battery C",
 --MacReports!M228&gt;80,""
)</f>
        <v>Battery Defect</v>
      </c>
      <c r="O228" s="16" t="str">
        <f>IF(MacReports!I228="Service","Battery Service","")</f>
        <v/>
      </c>
      <c r="P228" s="13">
        <f>MacReports!P228</f>
        <v>0</v>
      </c>
      <c r="Q228" s="13" t="str">
        <f>IF(MacReports!J228="Enabled","Apple ID Lock","")</f>
        <v/>
      </c>
      <c r="R228" s="13" t="str">
        <f>IF(MacReports!L228="y","Remote Locked","")</f>
        <v/>
      </c>
      <c r="S228" t="str">
        <f t="shared" si="9"/>
        <v>Battery Defect, 0</v>
      </c>
      <c r="T228" t="str">
        <f>_xlfn.XLOOKUP(B228,Disk_Pivot!G:G,Disk_Pivot!I:I)</f>
        <v>Yes</v>
      </c>
      <c r="U228" t="str">
        <f>_xlfn.XLOOKUP(B228,Disk_Pivot!G:G,Disk_Pivot!N:N)</f>
        <v>Fail</v>
      </c>
      <c r="V228">
        <f>IF(U228="Fail",MacReports!N228,"")</f>
        <v>0</v>
      </c>
      <c r="AB228" t="str">
        <f t="shared" si="10"/>
        <v/>
      </c>
    </row>
    <row r="229" spans="1:28">
      <c r="A229" t="str">
        <f>MacReports!A229</f>
        <v/>
      </c>
      <c r="B229">
        <f>MacReports!B229</f>
        <v>0</v>
      </c>
      <c r="C229">
        <f>MacReports!C229</f>
        <v>0</v>
      </c>
      <c r="E229" t="e">
        <f>_xlfn.XLOOKUP(G229,Models!A:A,Models!F:F)</f>
        <v>#N/A</v>
      </c>
      <c r="F229" t="str">
        <f>_xlfn.XLOOKUP(B229,MacReports!B:B,MacReports!D:D,"")</f>
        <v/>
      </c>
      <c r="G229" s="13">
        <f>MacReports!E229</f>
        <v>0</v>
      </c>
      <c r="H229" t="e">
        <f>_xlfn.XLOOKUP(G229,Models!A:A,Models!B:B)</f>
        <v>#N/A</v>
      </c>
      <c r="I229" t="e">
        <f>_xlfn.XLOOKUP(G229,Models!A:A,Models!E:E)</f>
        <v>#N/A</v>
      </c>
      <c r="J229" t="e">
        <f>_xlfn.XLOOKUP(G229,Models!A:A,Models!D:D)</f>
        <v>#N/A</v>
      </c>
      <c r="K229">
        <f>MacReports!F229</f>
        <v>0</v>
      </c>
      <c r="L229">
        <f>MacReports!G229</f>
        <v>0</v>
      </c>
      <c r="M229" s="15" t="e" cm="1">
        <f t="array" ref="M229">--_xlfn.LET(
    _xlpm.txt, MacReports!H229,
    _xlpm.chars, MID(_xlpm.txt, _xlfn.SEQUENCE(LEN(_xlpm.txt)), 1),
    _xlfn.TEXTJOIN("", TRUE, IF(ISNUMBER(--_xlpm.chars), _xlpm.chars, ""))
)</f>
        <v>#VALUE!</v>
      </c>
      <c r="N229" s="16" t="str" cm="1">
        <f t="array" ref="N229">_xlfn.IFS(
   --MacReports!M229&lt;55,"Battery Defect",
  -- MacReports!M229&lt;=69,"Battery D",
  --MacReports!M229&lt;=80,"Battery C",
 --MacReports!M229&gt;80,""
)</f>
        <v>Battery Defect</v>
      </c>
      <c r="O229" s="16" t="str">
        <f>IF(MacReports!I229="Service","Battery Service","")</f>
        <v/>
      </c>
      <c r="P229" s="13">
        <f>MacReports!P229</f>
        <v>0</v>
      </c>
      <c r="Q229" s="13" t="str">
        <f>IF(MacReports!J229="Enabled","Apple ID Lock","")</f>
        <v/>
      </c>
      <c r="R229" s="13" t="str">
        <f>IF(MacReports!L229="y","Remote Locked","")</f>
        <v/>
      </c>
      <c r="S229" t="str">
        <f t="shared" si="9"/>
        <v>Battery Defect, 0</v>
      </c>
      <c r="T229" t="str">
        <f>_xlfn.XLOOKUP(B229,Disk_Pivot!G:G,Disk_Pivot!I:I)</f>
        <v>Yes</v>
      </c>
      <c r="U229" t="str">
        <f>_xlfn.XLOOKUP(B229,Disk_Pivot!G:G,Disk_Pivot!N:N)</f>
        <v>Fail</v>
      </c>
      <c r="V229">
        <f>IF(U229="Fail",MacReports!N229,"")</f>
        <v>0</v>
      </c>
      <c r="AB229" t="str">
        <f t="shared" si="10"/>
        <v/>
      </c>
    </row>
    <row r="230" spans="1:28">
      <c r="A230" t="str">
        <f>MacReports!A230</f>
        <v/>
      </c>
      <c r="B230">
        <f>MacReports!B230</f>
        <v>0</v>
      </c>
      <c r="C230">
        <f>MacReports!C230</f>
        <v>0</v>
      </c>
      <c r="E230" t="e">
        <f>_xlfn.XLOOKUP(G230,Models!A:A,Models!F:F)</f>
        <v>#N/A</v>
      </c>
      <c r="F230" t="str">
        <f>_xlfn.XLOOKUP(B230,MacReports!B:B,MacReports!D:D,"")</f>
        <v/>
      </c>
      <c r="G230" s="13">
        <f>MacReports!E230</f>
        <v>0</v>
      </c>
      <c r="H230" t="e">
        <f>_xlfn.XLOOKUP(G230,Models!A:A,Models!B:B)</f>
        <v>#N/A</v>
      </c>
      <c r="I230" t="e">
        <f>_xlfn.XLOOKUP(G230,Models!A:A,Models!E:E)</f>
        <v>#N/A</v>
      </c>
      <c r="J230" t="e">
        <f>_xlfn.XLOOKUP(G230,Models!A:A,Models!D:D)</f>
        <v>#N/A</v>
      </c>
      <c r="K230">
        <f>MacReports!F230</f>
        <v>0</v>
      </c>
      <c r="L230">
        <f>MacReports!G230</f>
        <v>0</v>
      </c>
      <c r="M230" s="15" t="e" cm="1">
        <f t="array" ref="M230">--_xlfn.LET(
    _xlpm.txt, MacReports!H230,
    _xlpm.chars, MID(_xlpm.txt, _xlfn.SEQUENCE(LEN(_xlpm.txt)), 1),
    _xlfn.TEXTJOIN("", TRUE, IF(ISNUMBER(--_xlpm.chars), _xlpm.chars, ""))
)</f>
        <v>#VALUE!</v>
      </c>
      <c r="N230" s="16" t="str" cm="1">
        <f t="array" ref="N230">_xlfn.IFS(
   --MacReports!M230&lt;55,"Battery Defect",
  -- MacReports!M230&lt;=69,"Battery D",
  --MacReports!M230&lt;=80,"Battery C",
 --MacReports!M230&gt;80,""
)</f>
        <v>Battery Defect</v>
      </c>
      <c r="O230" s="16" t="str">
        <f>IF(MacReports!I230="Service","Battery Service","")</f>
        <v/>
      </c>
      <c r="P230" s="13">
        <f>MacReports!P230</f>
        <v>0</v>
      </c>
      <c r="Q230" s="13" t="str">
        <f>IF(MacReports!J230="Enabled","Apple ID Lock","")</f>
        <v/>
      </c>
      <c r="R230" s="13" t="str">
        <f>IF(MacReports!L230="y","Remote Locked","")</f>
        <v/>
      </c>
      <c r="S230" t="str">
        <f t="shared" si="9"/>
        <v>Battery Defect, 0</v>
      </c>
      <c r="T230" t="str">
        <f>_xlfn.XLOOKUP(B230,Disk_Pivot!G:G,Disk_Pivot!I:I)</f>
        <v>Yes</v>
      </c>
      <c r="U230" t="str">
        <f>_xlfn.XLOOKUP(B230,Disk_Pivot!G:G,Disk_Pivot!N:N)</f>
        <v>Fail</v>
      </c>
      <c r="V230">
        <f>IF(U230="Fail",MacReports!N230,"")</f>
        <v>0</v>
      </c>
      <c r="AB230" t="str">
        <f t="shared" si="10"/>
        <v/>
      </c>
    </row>
    <row r="231" spans="1:28">
      <c r="A231" t="str">
        <f>MacReports!A231</f>
        <v/>
      </c>
      <c r="B231">
        <f>MacReports!B231</f>
        <v>0</v>
      </c>
      <c r="C231">
        <f>MacReports!C231</f>
        <v>0</v>
      </c>
      <c r="E231" t="e">
        <f>_xlfn.XLOOKUP(G231,Models!A:A,Models!F:F)</f>
        <v>#N/A</v>
      </c>
      <c r="F231" t="str">
        <f>_xlfn.XLOOKUP(B231,MacReports!B:B,MacReports!D:D,"")</f>
        <v/>
      </c>
      <c r="G231" s="13">
        <f>MacReports!E231</f>
        <v>0</v>
      </c>
      <c r="H231" t="e">
        <f>_xlfn.XLOOKUP(G231,Models!A:A,Models!B:B)</f>
        <v>#N/A</v>
      </c>
      <c r="I231" t="e">
        <f>_xlfn.XLOOKUP(G231,Models!A:A,Models!E:E)</f>
        <v>#N/A</v>
      </c>
      <c r="J231" t="e">
        <f>_xlfn.XLOOKUP(G231,Models!A:A,Models!D:D)</f>
        <v>#N/A</v>
      </c>
      <c r="K231">
        <f>MacReports!F231</f>
        <v>0</v>
      </c>
      <c r="L231">
        <f>MacReports!G231</f>
        <v>0</v>
      </c>
      <c r="M231" s="15" t="e" cm="1">
        <f t="array" ref="M231">--_xlfn.LET(
    _xlpm.txt, MacReports!H231,
    _xlpm.chars, MID(_xlpm.txt, _xlfn.SEQUENCE(LEN(_xlpm.txt)), 1),
    _xlfn.TEXTJOIN("", TRUE, IF(ISNUMBER(--_xlpm.chars), _xlpm.chars, ""))
)</f>
        <v>#VALUE!</v>
      </c>
      <c r="N231" s="16" t="str" cm="1">
        <f t="array" ref="N231">_xlfn.IFS(
   --MacReports!M231&lt;55,"Battery Defect",
  -- MacReports!M231&lt;=69,"Battery D",
  --MacReports!M231&lt;=80,"Battery C",
 --MacReports!M231&gt;80,""
)</f>
        <v>Battery Defect</v>
      </c>
      <c r="O231" s="16" t="str">
        <f>IF(MacReports!I231="Service","Battery Service","")</f>
        <v/>
      </c>
      <c r="P231" s="13">
        <f>MacReports!P231</f>
        <v>0</v>
      </c>
      <c r="Q231" s="13" t="str">
        <f>IF(MacReports!J231="Enabled","Apple ID Lock","")</f>
        <v/>
      </c>
      <c r="R231" s="13" t="str">
        <f>IF(MacReports!L231="y","Remote Locked","")</f>
        <v/>
      </c>
      <c r="S231" t="str">
        <f t="shared" si="9"/>
        <v>Battery Defect, 0</v>
      </c>
      <c r="T231" t="str">
        <f>_xlfn.XLOOKUP(B231,Disk_Pivot!G:G,Disk_Pivot!I:I)</f>
        <v>Yes</v>
      </c>
      <c r="U231" t="str">
        <f>_xlfn.XLOOKUP(B231,Disk_Pivot!G:G,Disk_Pivot!N:N)</f>
        <v>Fail</v>
      </c>
      <c r="V231">
        <f>IF(U231="Fail",MacReports!N231,"")</f>
        <v>0</v>
      </c>
      <c r="AB231" t="str">
        <f t="shared" si="10"/>
        <v/>
      </c>
    </row>
    <row r="232" spans="1:28">
      <c r="A232" t="str">
        <f>MacReports!A232</f>
        <v/>
      </c>
      <c r="B232">
        <f>MacReports!B232</f>
        <v>0</v>
      </c>
      <c r="C232">
        <f>MacReports!C232</f>
        <v>0</v>
      </c>
      <c r="E232" t="e">
        <f>_xlfn.XLOOKUP(G232,Models!A:A,Models!F:F)</f>
        <v>#N/A</v>
      </c>
      <c r="F232" t="str">
        <f>_xlfn.XLOOKUP(B232,MacReports!B:B,MacReports!D:D,"")</f>
        <v/>
      </c>
      <c r="G232" s="13">
        <f>MacReports!E232</f>
        <v>0</v>
      </c>
      <c r="H232" t="e">
        <f>_xlfn.XLOOKUP(G232,Models!A:A,Models!B:B)</f>
        <v>#N/A</v>
      </c>
      <c r="I232" t="e">
        <f>_xlfn.XLOOKUP(G232,Models!A:A,Models!E:E)</f>
        <v>#N/A</v>
      </c>
      <c r="J232" t="e">
        <f>_xlfn.XLOOKUP(G232,Models!A:A,Models!D:D)</f>
        <v>#N/A</v>
      </c>
      <c r="K232">
        <f>MacReports!F232</f>
        <v>0</v>
      </c>
      <c r="L232">
        <f>MacReports!G232</f>
        <v>0</v>
      </c>
      <c r="M232" s="15" t="e" cm="1">
        <f t="array" ref="M232">--_xlfn.LET(
    _xlpm.txt, MacReports!H232,
    _xlpm.chars, MID(_xlpm.txt, _xlfn.SEQUENCE(LEN(_xlpm.txt)), 1),
    _xlfn.TEXTJOIN("", TRUE, IF(ISNUMBER(--_xlpm.chars), _xlpm.chars, ""))
)</f>
        <v>#VALUE!</v>
      </c>
      <c r="N232" s="16" t="str" cm="1">
        <f t="array" ref="N232">_xlfn.IFS(
   --MacReports!M232&lt;55,"Battery Defect",
  -- MacReports!M232&lt;=69,"Battery D",
  --MacReports!M232&lt;=80,"Battery C",
 --MacReports!M232&gt;80,""
)</f>
        <v>Battery Defect</v>
      </c>
      <c r="O232" s="16" t="str">
        <f>IF(MacReports!I232="Service","Battery Service","")</f>
        <v/>
      </c>
      <c r="P232" s="13">
        <f>MacReports!P232</f>
        <v>0</v>
      </c>
      <c r="Q232" s="13" t="str">
        <f>IF(MacReports!J232="Enabled","Apple ID Lock","")</f>
        <v/>
      </c>
      <c r="R232" s="13" t="str">
        <f>IF(MacReports!L232="y","Remote Locked","")</f>
        <v/>
      </c>
      <c r="S232" t="str">
        <f t="shared" si="9"/>
        <v>Battery Defect, 0</v>
      </c>
      <c r="T232" t="str">
        <f>_xlfn.XLOOKUP(B232,Disk_Pivot!G:G,Disk_Pivot!I:I)</f>
        <v>Yes</v>
      </c>
      <c r="U232" t="str">
        <f>_xlfn.XLOOKUP(B232,Disk_Pivot!G:G,Disk_Pivot!N:N)</f>
        <v>Fail</v>
      </c>
      <c r="V232">
        <f>IF(U232="Fail",MacReports!N232,"")</f>
        <v>0</v>
      </c>
      <c r="AB232" t="str">
        <f t="shared" si="10"/>
        <v/>
      </c>
    </row>
    <row r="233" spans="1:28">
      <c r="A233" t="str">
        <f>MacReports!A233</f>
        <v/>
      </c>
      <c r="B233">
        <f>MacReports!B233</f>
        <v>0</v>
      </c>
      <c r="C233">
        <f>MacReports!C233</f>
        <v>0</v>
      </c>
      <c r="E233" t="e">
        <f>_xlfn.XLOOKUP(G233,Models!A:A,Models!F:F)</f>
        <v>#N/A</v>
      </c>
      <c r="F233" t="str">
        <f>_xlfn.XLOOKUP(B233,MacReports!B:B,MacReports!D:D,"")</f>
        <v/>
      </c>
      <c r="G233" s="13">
        <f>MacReports!E233</f>
        <v>0</v>
      </c>
      <c r="H233" t="e">
        <f>_xlfn.XLOOKUP(G233,Models!A:A,Models!B:B)</f>
        <v>#N/A</v>
      </c>
      <c r="I233" t="e">
        <f>_xlfn.XLOOKUP(G233,Models!A:A,Models!E:E)</f>
        <v>#N/A</v>
      </c>
      <c r="J233" t="e">
        <f>_xlfn.XLOOKUP(G233,Models!A:A,Models!D:D)</f>
        <v>#N/A</v>
      </c>
      <c r="K233">
        <f>MacReports!F233</f>
        <v>0</v>
      </c>
      <c r="L233">
        <f>MacReports!G233</f>
        <v>0</v>
      </c>
      <c r="M233" s="15" t="e" cm="1">
        <f t="array" ref="M233">--_xlfn.LET(
    _xlpm.txt, MacReports!H233,
    _xlpm.chars, MID(_xlpm.txt, _xlfn.SEQUENCE(LEN(_xlpm.txt)), 1),
    _xlfn.TEXTJOIN("", TRUE, IF(ISNUMBER(--_xlpm.chars), _xlpm.chars, ""))
)</f>
        <v>#VALUE!</v>
      </c>
      <c r="N233" s="16" t="str" cm="1">
        <f t="array" ref="N233">_xlfn.IFS(
   --MacReports!M233&lt;55,"Battery Defect",
  -- MacReports!M233&lt;=69,"Battery D",
  --MacReports!M233&lt;=80,"Battery C",
 --MacReports!M233&gt;80,""
)</f>
        <v>Battery Defect</v>
      </c>
      <c r="O233" s="16" t="str">
        <f>IF(MacReports!I233="Service","Battery Service","")</f>
        <v/>
      </c>
      <c r="P233" s="13">
        <f>MacReports!P233</f>
        <v>0</v>
      </c>
      <c r="Q233" s="13" t="str">
        <f>IF(MacReports!J233="Enabled","Apple ID Lock","")</f>
        <v/>
      </c>
      <c r="R233" s="13" t="str">
        <f>IF(MacReports!L233="y","Remote Locked","")</f>
        <v/>
      </c>
      <c r="S233" t="str">
        <f t="shared" si="9"/>
        <v>Battery Defect, 0</v>
      </c>
      <c r="T233" t="str">
        <f>_xlfn.XLOOKUP(B233,Disk_Pivot!G:G,Disk_Pivot!I:I)</f>
        <v>Yes</v>
      </c>
      <c r="U233" t="str">
        <f>_xlfn.XLOOKUP(B233,Disk_Pivot!G:G,Disk_Pivot!N:N)</f>
        <v>Fail</v>
      </c>
      <c r="V233">
        <f>IF(U233="Fail",MacReports!N233,"")</f>
        <v>0</v>
      </c>
      <c r="AB233" t="str">
        <f t="shared" si="10"/>
        <v/>
      </c>
    </row>
    <row r="234" spans="1:28">
      <c r="A234" t="str">
        <f>MacReports!A234</f>
        <v/>
      </c>
      <c r="B234">
        <f>MacReports!B234</f>
        <v>0</v>
      </c>
      <c r="C234">
        <f>MacReports!C234</f>
        <v>0</v>
      </c>
      <c r="E234" t="e">
        <f>_xlfn.XLOOKUP(G234,Models!A:A,Models!F:F)</f>
        <v>#N/A</v>
      </c>
      <c r="F234" t="str">
        <f>_xlfn.XLOOKUP(B234,MacReports!B:B,MacReports!D:D,"")</f>
        <v/>
      </c>
      <c r="G234" s="13">
        <f>MacReports!E234</f>
        <v>0</v>
      </c>
      <c r="H234" t="e">
        <f>_xlfn.XLOOKUP(G234,Models!A:A,Models!B:B)</f>
        <v>#N/A</v>
      </c>
      <c r="I234" t="e">
        <f>_xlfn.XLOOKUP(G234,Models!A:A,Models!E:E)</f>
        <v>#N/A</v>
      </c>
      <c r="J234" t="e">
        <f>_xlfn.XLOOKUP(G234,Models!A:A,Models!D:D)</f>
        <v>#N/A</v>
      </c>
      <c r="K234">
        <f>MacReports!F234</f>
        <v>0</v>
      </c>
      <c r="L234">
        <f>MacReports!G234</f>
        <v>0</v>
      </c>
      <c r="M234" s="15" t="e" cm="1">
        <f t="array" ref="M234">--_xlfn.LET(
    _xlpm.txt, MacReports!H234,
    _xlpm.chars, MID(_xlpm.txt, _xlfn.SEQUENCE(LEN(_xlpm.txt)), 1),
    _xlfn.TEXTJOIN("", TRUE, IF(ISNUMBER(--_xlpm.chars), _xlpm.chars, ""))
)</f>
        <v>#VALUE!</v>
      </c>
      <c r="N234" s="16" t="str" cm="1">
        <f t="array" ref="N234">_xlfn.IFS(
   --MacReports!M234&lt;55,"Battery Defect",
  -- MacReports!M234&lt;=69,"Battery D",
  --MacReports!M234&lt;=80,"Battery C",
 --MacReports!M234&gt;80,""
)</f>
        <v>Battery Defect</v>
      </c>
      <c r="O234" s="16" t="str">
        <f>IF(MacReports!I234="Service","Battery Service","")</f>
        <v/>
      </c>
      <c r="P234" s="13">
        <f>MacReports!P234</f>
        <v>0</v>
      </c>
      <c r="Q234" s="13" t="str">
        <f>IF(MacReports!J234="Enabled","Apple ID Lock","")</f>
        <v/>
      </c>
      <c r="R234" s="13" t="str">
        <f>IF(MacReports!L234="y","Remote Locked","")</f>
        <v/>
      </c>
      <c r="S234" t="str">
        <f t="shared" si="9"/>
        <v>Battery Defect, 0</v>
      </c>
      <c r="T234" t="str">
        <f>_xlfn.XLOOKUP(B234,Disk_Pivot!G:G,Disk_Pivot!I:I)</f>
        <v>Yes</v>
      </c>
      <c r="U234" t="str">
        <f>_xlfn.XLOOKUP(B234,Disk_Pivot!G:G,Disk_Pivot!N:N)</f>
        <v>Fail</v>
      </c>
      <c r="V234">
        <f>IF(U234="Fail",MacReports!N234,"")</f>
        <v>0</v>
      </c>
      <c r="AB234" t="str">
        <f t="shared" si="10"/>
        <v/>
      </c>
    </row>
    <row r="235" spans="1:28">
      <c r="A235" t="str">
        <f>MacReports!A235</f>
        <v/>
      </c>
      <c r="B235">
        <f>MacReports!B235</f>
        <v>0</v>
      </c>
      <c r="C235">
        <f>MacReports!C235</f>
        <v>0</v>
      </c>
      <c r="E235" t="e">
        <f>_xlfn.XLOOKUP(G235,Models!A:A,Models!F:F)</f>
        <v>#N/A</v>
      </c>
      <c r="F235" t="str">
        <f>_xlfn.XLOOKUP(B235,MacReports!B:B,MacReports!D:D,"")</f>
        <v/>
      </c>
      <c r="G235" s="13">
        <f>MacReports!E235</f>
        <v>0</v>
      </c>
      <c r="H235" t="e">
        <f>_xlfn.XLOOKUP(G235,Models!A:A,Models!B:B)</f>
        <v>#N/A</v>
      </c>
      <c r="I235" t="e">
        <f>_xlfn.XLOOKUP(G235,Models!A:A,Models!E:E)</f>
        <v>#N/A</v>
      </c>
      <c r="J235" t="e">
        <f>_xlfn.XLOOKUP(G235,Models!A:A,Models!D:D)</f>
        <v>#N/A</v>
      </c>
      <c r="K235">
        <f>MacReports!F235</f>
        <v>0</v>
      </c>
      <c r="L235">
        <f>MacReports!G235</f>
        <v>0</v>
      </c>
      <c r="M235" s="15" t="e" cm="1">
        <f t="array" ref="M235">--_xlfn.LET(
    _xlpm.txt, MacReports!H235,
    _xlpm.chars, MID(_xlpm.txt, _xlfn.SEQUENCE(LEN(_xlpm.txt)), 1),
    _xlfn.TEXTJOIN("", TRUE, IF(ISNUMBER(--_xlpm.chars), _xlpm.chars, ""))
)</f>
        <v>#VALUE!</v>
      </c>
      <c r="N235" s="16" t="str" cm="1">
        <f t="array" ref="N235">_xlfn.IFS(
   --MacReports!M235&lt;55,"Battery Defect",
  -- MacReports!M235&lt;=69,"Battery D",
  --MacReports!M235&lt;=80,"Battery C",
 --MacReports!M235&gt;80,""
)</f>
        <v>Battery Defect</v>
      </c>
      <c r="O235" s="16" t="str">
        <f>IF(MacReports!I235="Service","Battery Service","")</f>
        <v/>
      </c>
      <c r="P235" s="13">
        <f>MacReports!P235</f>
        <v>0</v>
      </c>
      <c r="Q235" s="13" t="str">
        <f>IF(MacReports!J235="Enabled","Apple ID Lock","")</f>
        <v/>
      </c>
      <c r="R235" s="13" t="str">
        <f>IF(MacReports!L235="y","Remote Locked","")</f>
        <v/>
      </c>
      <c r="S235" t="str">
        <f t="shared" si="9"/>
        <v>Battery Defect, 0</v>
      </c>
      <c r="T235" t="str">
        <f>_xlfn.XLOOKUP(B235,Disk_Pivot!G:G,Disk_Pivot!I:I)</f>
        <v>Yes</v>
      </c>
      <c r="U235" t="str">
        <f>_xlfn.XLOOKUP(B235,Disk_Pivot!G:G,Disk_Pivot!N:N)</f>
        <v>Fail</v>
      </c>
      <c r="V235">
        <f>IF(U235="Fail",MacReports!N235,"")</f>
        <v>0</v>
      </c>
      <c r="AB235" t="str">
        <f t="shared" si="10"/>
        <v/>
      </c>
    </row>
    <row r="236" spans="1:28">
      <c r="A236" t="str">
        <f>MacReports!A236</f>
        <v/>
      </c>
      <c r="B236">
        <f>MacReports!B236</f>
        <v>0</v>
      </c>
      <c r="C236">
        <f>MacReports!C236</f>
        <v>0</v>
      </c>
      <c r="E236" t="e">
        <f>_xlfn.XLOOKUP(G236,Models!A:A,Models!F:F)</f>
        <v>#N/A</v>
      </c>
      <c r="F236" t="str">
        <f>_xlfn.XLOOKUP(B236,MacReports!B:B,MacReports!D:D,"")</f>
        <v/>
      </c>
      <c r="G236" s="13">
        <f>MacReports!E236</f>
        <v>0</v>
      </c>
      <c r="H236" t="e">
        <f>_xlfn.XLOOKUP(G236,Models!A:A,Models!B:B)</f>
        <v>#N/A</v>
      </c>
      <c r="I236" t="e">
        <f>_xlfn.XLOOKUP(G236,Models!A:A,Models!E:E)</f>
        <v>#N/A</v>
      </c>
      <c r="J236" t="e">
        <f>_xlfn.XLOOKUP(G236,Models!A:A,Models!D:D)</f>
        <v>#N/A</v>
      </c>
      <c r="K236">
        <f>MacReports!F236</f>
        <v>0</v>
      </c>
      <c r="L236">
        <f>MacReports!G236</f>
        <v>0</v>
      </c>
      <c r="M236" s="15" t="e" cm="1">
        <f t="array" ref="M236">--_xlfn.LET(
    _xlpm.txt, MacReports!H236,
    _xlpm.chars, MID(_xlpm.txt, _xlfn.SEQUENCE(LEN(_xlpm.txt)), 1),
    _xlfn.TEXTJOIN("", TRUE, IF(ISNUMBER(--_xlpm.chars), _xlpm.chars, ""))
)</f>
        <v>#VALUE!</v>
      </c>
      <c r="N236" s="16" t="str" cm="1">
        <f t="array" ref="N236">_xlfn.IFS(
   --MacReports!M236&lt;55,"Battery Defect",
  -- MacReports!M236&lt;=69,"Battery D",
  --MacReports!M236&lt;=80,"Battery C",
 --MacReports!M236&gt;80,""
)</f>
        <v>Battery Defect</v>
      </c>
      <c r="O236" s="16" t="str">
        <f>IF(MacReports!I236="Service","Battery Service","")</f>
        <v/>
      </c>
      <c r="P236" s="13">
        <f>MacReports!P236</f>
        <v>0</v>
      </c>
      <c r="Q236" s="13" t="str">
        <f>IF(MacReports!J236="Enabled","Apple ID Lock","")</f>
        <v/>
      </c>
      <c r="R236" s="13" t="str">
        <f>IF(MacReports!L236="y","Remote Locked","")</f>
        <v/>
      </c>
      <c r="S236" t="str">
        <f t="shared" si="9"/>
        <v>Battery Defect, 0</v>
      </c>
      <c r="T236" t="str">
        <f>_xlfn.XLOOKUP(B236,Disk_Pivot!G:G,Disk_Pivot!I:I)</f>
        <v>Yes</v>
      </c>
      <c r="U236" t="str">
        <f>_xlfn.XLOOKUP(B236,Disk_Pivot!G:G,Disk_Pivot!N:N)</f>
        <v>Fail</v>
      </c>
      <c r="V236">
        <f>IF(U236="Fail",MacReports!N236,"")</f>
        <v>0</v>
      </c>
      <c r="AB236" t="str">
        <f t="shared" si="10"/>
        <v/>
      </c>
    </row>
    <row r="237" spans="1:28">
      <c r="A237" t="str">
        <f>MacReports!A237</f>
        <v/>
      </c>
      <c r="B237">
        <f>MacReports!B237</f>
        <v>0</v>
      </c>
      <c r="C237">
        <f>MacReports!C237</f>
        <v>0</v>
      </c>
      <c r="E237" t="e">
        <f>_xlfn.XLOOKUP(G237,Models!A:A,Models!F:F)</f>
        <v>#N/A</v>
      </c>
      <c r="F237" t="str">
        <f>_xlfn.XLOOKUP(B237,MacReports!B:B,MacReports!D:D,"")</f>
        <v/>
      </c>
      <c r="G237" s="13">
        <f>MacReports!E237</f>
        <v>0</v>
      </c>
      <c r="H237" t="e">
        <f>_xlfn.XLOOKUP(G237,Models!A:A,Models!B:B)</f>
        <v>#N/A</v>
      </c>
      <c r="I237" t="e">
        <f>_xlfn.XLOOKUP(G237,Models!A:A,Models!E:E)</f>
        <v>#N/A</v>
      </c>
      <c r="J237" t="e">
        <f>_xlfn.XLOOKUP(G237,Models!A:A,Models!D:D)</f>
        <v>#N/A</v>
      </c>
      <c r="K237">
        <f>MacReports!F237</f>
        <v>0</v>
      </c>
      <c r="L237">
        <f>MacReports!G237</f>
        <v>0</v>
      </c>
      <c r="M237" s="15" t="e" cm="1">
        <f t="array" ref="M237">--_xlfn.LET(
    _xlpm.txt, MacReports!H237,
    _xlpm.chars, MID(_xlpm.txt, _xlfn.SEQUENCE(LEN(_xlpm.txt)), 1),
    _xlfn.TEXTJOIN("", TRUE, IF(ISNUMBER(--_xlpm.chars), _xlpm.chars, ""))
)</f>
        <v>#VALUE!</v>
      </c>
      <c r="N237" s="16" t="str" cm="1">
        <f t="array" ref="N237">_xlfn.IFS(
   --MacReports!M237&lt;55,"Battery Defect",
  -- MacReports!M237&lt;=69,"Battery D",
  --MacReports!M237&lt;=80,"Battery C",
 --MacReports!M237&gt;80,""
)</f>
        <v>Battery Defect</v>
      </c>
      <c r="O237" s="16" t="str">
        <f>IF(MacReports!I237="Service","Battery Service","")</f>
        <v/>
      </c>
      <c r="P237" s="13">
        <f>MacReports!P237</f>
        <v>0</v>
      </c>
      <c r="Q237" s="13" t="str">
        <f>IF(MacReports!J237="Enabled","Apple ID Lock","")</f>
        <v/>
      </c>
      <c r="R237" s="13" t="str">
        <f>IF(MacReports!L237="y","Remote Locked","")</f>
        <v/>
      </c>
      <c r="S237" t="str">
        <f t="shared" si="9"/>
        <v>Battery Defect, 0</v>
      </c>
      <c r="T237" t="str">
        <f>_xlfn.XLOOKUP(B237,Disk_Pivot!G:G,Disk_Pivot!I:I)</f>
        <v>Yes</v>
      </c>
      <c r="U237" t="str">
        <f>_xlfn.XLOOKUP(B237,Disk_Pivot!G:G,Disk_Pivot!N:N)</f>
        <v>Fail</v>
      </c>
      <c r="V237">
        <f>IF(U237="Fail",MacReports!N237,"")</f>
        <v>0</v>
      </c>
      <c r="AB237" t="str">
        <f t="shared" si="10"/>
        <v/>
      </c>
    </row>
    <row r="238" spans="1:28">
      <c r="A238" t="str">
        <f>MacReports!A238</f>
        <v/>
      </c>
      <c r="B238">
        <f>MacReports!B238</f>
        <v>0</v>
      </c>
      <c r="C238">
        <f>MacReports!C238</f>
        <v>0</v>
      </c>
      <c r="E238" t="e">
        <f>_xlfn.XLOOKUP(G238,Models!A:A,Models!F:F)</f>
        <v>#N/A</v>
      </c>
      <c r="F238" t="str">
        <f>_xlfn.XLOOKUP(B238,MacReports!B:B,MacReports!D:D,"")</f>
        <v/>
      </c>
      <c r="G238" s="13">
        <f>MacReports!E238</f>
        <v>0</v>
      </c>
      <c r="H238" t="e">
        <f>_xlfn.XLOOKUP(G238,Models!A:A,Models!B:B)</f>
        <v>#N/A</v>
      </c>
      <c r="I238" t="e">
        <f>_xlfn.XLOOKUP(G238,Models!A:A,Models!E:E)</f>
        <v>#N/A</v>
      </c>
      <c r="J238" t="e">
        <f>_xlfn.XLOOKUP(G238,Models!A:A,Models!D:D)</f>
        <v>#N/A</v>
      </c>
      <c r="K238">
        <f>MacReports!F238</f>
        <v>0</v>
      </c>
      <c r="L238">
        <f>MacReports!G238</f>
        <v>0</v>
      </c>
      <c r="M238" s="15" t="e" cm="1">
        <f t="array" ref="M238">--_xlfn.LET(
    _xlpm.txt, MacReports!H238,
    _xlpm.chars, MID(_xlpm.txt, _xlfn.SEQUENCE(LEN(_xlpm.txt)), 1),
    _xlfn.TEXTJOIN("", TRUE, IF(ISNUMBER(--_xlpm.chars), _xlpm.chars, ""))
)</f>
        <v>#VALUE!</v>
      </c>
      <c r="N238" s="16" t="str" cm="1">
        <f t="array" ref="N238">_xlfn.IFS(
   --MacReports!M238&lt;55,"Battery Defect",
  -- MacReports!M238&lt;=69,"Battery D",
  --MacReports!M238&lt;=80,"Battery C",
 --MacReports!M238&gt;80,""
)</f>
        <v>Battery Defect</v>
      </c>
      <c r="O238" s="16" t="str">
        <f>IF(MacReports!I238="Service","Battery Service","")</f>
        <v/>
      </c>
      <c r="P238" s="13">
        <f>MacReports!P238</f>
        <v>0</v>
      </c>
      <c r="Q238" s="13" t="str">
        <f>IF(MacReports!J238="Enabled","Apple ID Lock","")</f>
        <v/>
      </c>
      <c r="R238" s="13" t="str">
        <f>IF(MacReports!L238="y","Remote Locked","")</f>
        <v/>
      </c>
      <c r="S238" t="str">
        <f t="shared" si="9"/>
        <v>Battery Defect, 0</v>
      </c>
      <c r="T238" t="str">
        <f>_xlfn.XLOOKUP(B238,Disk_Pivot!G:G,Disk_Pivot!I:I)</f>
        <v>Yes</v>
      </c>
      <c r="U238" t="str">
        <f>_xlfn.XLOOKUP(B238,Disk_Pivot!G:G,Disk_Pivot!N:N)</f>
        <v>Fail</v>
      </c>
      <c r="V238">
        <f>IF(U238="Fail",MacReports!N238,"")</f>
        <v>0</v>
      </c>
      <c r="AB238" t="str">
        <f t="shared" si="10"/>
        <v/>
      </c>
    </row>
    <row r="239" spans="1:28">
      <c r="A239" t="str">
        <f>MacReports!A239</f>
        <v/>
      </c>
      <c r="B239">
        <f>MacReports!B239</f>
        <v>0</v>
      </c>
      <c r="C239">
        <f>MacReports!C239</f>
        <v>0</v>
      </c>
      <c r="E239" t="e">
        <f>_xlfn.XLOOKUP(G239,Models!A:A,Models!F:F)</f>
        <v>#N/A</v>
      </c>
      <c r="F239" t="str">
        <f>_xlfn.XLOOKUP(B239,MacReports!B:B,MacReports!D:D,"")</f>
        <v/>
      </c>
      <c r="G239" s="13">
        <f>MacReports!E239</f>
        <v>0</v>
      </c>
      <c r="H239" t="e">
        <f>_xlfn.XLOOKUP(G239,Models!A:A,Models!B:B)</f>
        <v>#N/A</v>
      </c>
      <c r="I239" t="e">
        <f>_xlfn.XLOOKUP(G239,Models!A:A,Models!E:E)</f>
        <v>#N/A</v>
      </c>
      <c r="J239" t="e">
        <f>_xlfn.XLOOKUP(G239,Models!A:A,Models!D:D)</f>
        <v>#N/A</v>
      </c>
      <c r="K239">
        <f>MacReports!F239</f>
        <v>0</v>
      </c>
      <c r="L239">
        <f>MacReports!G239</f>
        <v>0</v>
      </c>
      <c r="M239" s="15" t="e" cm="1">
        <f t="array" ref="M239">--_xlfn.LET(
    _xlpm.txt, MacReports!H239,
    _xlpm.chars, MID(_xlpm.txt, _xlfn.SEQUENCE(LEN(_xlpm.txt)), 1),
    _xlfn.TEXTJOIN("", TRUE, IF(ISNUMBER(--_xlpm.chars), _xlpm.chars, ""))
)</f>
        <v>#VALUE!</v>
      </c>
      <c r="N239" s="16" t="str" cm="1">
        <f t="array" ref="N239">_xlfn.IFS(
   --MacReports!M239&lt;55,"Battery Defect",
  -- MacReports!M239&lt;=69,"Battery D",
  --MacReports!M239&lt;=80,"Battery C",
 --MacReports!M239&gt;80,""
)</f>
        <v>Battery Defect</v>
      </c>
      <c r="O239" s="16" t="str">
        <f>IF(MacReports!I239="Service","Battery Service","")</f>
        <v/>
      </c>
      <c r="P239" s="13">
        <f>MacReports!P239</f>
        <v>0</v>
      </c>
      <c r="Q239" s="13" t="str">
        <f>IF(MacReports!J239="Enabled","Apple ID Lock","")</f>
        <v/>
      </c>
      <c r="R239" s="13" t="str">
        <f>IF(MacReports!L239="y","Remote Locked","")</f>
        <v/>
      </c>
      <c r="S239" t="str">
        <f t="shared" si="9"/>
        <v>Battery Defect, 0</v>
      </c>
      <c r="T239" t="str">
        <f>_xlfn.XLOOKUP(B239,Disk_Pivot!G:G,Disk_Pivot!I:I)</f>
        <v>Yes</v>
      </c>
      <c r="U239" t="str">
        <f>_xlfn.XLOOKUP(B239,Disk_Pivot!G:G,Disk_Pivot!N:N)</f>
        <v>Fail</v>
      </c>
      <c r="V239">
        <f>IF(U239="Fail",MacReports!N239,"")</f>
        <v>0</v>
      </c>
      <c r="AB239" t="str">
        <f t="shared" si="10"/>
        <v/>
      </c>
    </row>
    <row r="240" spans="1:28">
      <c r="A240" t="str">
        <f>MacReports!A240</f>
        <v/>
      </c>
      <c r="B240">
        <f>MacReports!B240</f>
        <v>0</v>
      </c>
      <c r="C240">
        <f>MacReports!C240</f>
        <v>0</v>
      </c>
      <c r="E240" t="e">
        <f>_xlfn.XLOOKUP(G240,Models!A:A,Models!F:F)</f>
        <v>#N/A</v>
      </c>
      <c r="F240" t="str">
        <f>_xlfn.XLOOKUP(B240,MacReports!B:B,MacReports!D:D,"")</f>
        <v/>
      </c>
      <c r="G240" s="13">
        <f>MacReports!E240</f>
        <v>0</v>
      </c>
      <c r="H240" t="e">
        <f>_xlfn.XLOOKUP(G240,Models!A:A,Models!B:B)</f>
        <v>#N/A</v>
      </c>
      <c r="I240" t="e">
        <f>_xlfn.XLOOKUP(G240,Models!A:A,Models!E:E)</f>
        <v>#N/A</v>
      </c>
      <c r="J240" t="e">
        <f>_xlfn.XLOOKUP(G240,Models!A:A,Models!D:D)</f>
        <v>#N/A</v>
      </c>
      <c r="K240">
        <f>MacReports!F240</f>
        <v>0</v>
      </c>
      <c r="L240">
        <f>MacReports!G240</f>
        <v>0</v>
      </c>
      <c r="M240" s="15" t="e" cm="1">
        <f t="array" ref="M240">--_xlfn.LET(
    _xlpm.txt, MacReports!H240,
    _xlpm.chars, MID(_xlpm.txt, _xlfn.SEQUENCE(LEN(_xlpm.txt)), 1),
    _xlfn.TEXTJOIN("", TRUE, IF(ISNUMBER(--_xlpm.chars), _xlpm.chars, ""))
)</f>
        <v>#VALUE!</v>
      </c>
      <c r="N240" s="16" t="str" cm="1">
        <f t="array" ref="N240">_xlfn.IFS(
   --MacReports!M240&lt;55,"Battery Defect",
  -- MacReports!M240&lt;=69,"Battery D",
  --MacReports!M240&lt;=80,"Battery C",
 --MacReports!M240&gt;80,""
)</f>
        <v>Battery Defect</v>
      </c>
      <c r="O240" s="16" t="str">
        <f>IF(MacReports!I240="Service","Battery Service","")</f>
        <v/>
      </c>
      <c r="P240" s="13">
        <f>MacReports!P240</f>
        <v>0</v>
      </c>
      <c r="Q240" s="13" t="str">
        <f>IF(MacReports!J240="Enabled","Apple ID Lock","")</f>
        <v/>
      </c>
      <c r="R240" s="13" t="str">
        <f>IF(MacReports!L240="y","Remote Locked","")</f>
        <v/>
      </c>
      <c r="S240" t="str">
        <f t="shared" si="9"/>
        <v>Battery Defect, 0</v>
      </c>
      <c r="T240" t="str">
        <f>_xlfn.XLOOKUP(B240,Disk_Pivot!G:G,Disk_Pivot!I:I)</f>
        <v>Yes</v>
      </c>
      <c r="U240" t="str">
        <f>_xlfn.XLOOKUP(B240,Disk_Pivot!G:G,Disk_Pivot!N:N)</f>
        <v>Fail</v>
      </c>
      <c r="V240">
        <f>IF(U240="Fail",MacReports!N240,"")</f>
        <v>0</v>
      </c>
      <c r="AB240" t="str">
        <f t="shared" si="10"/>
        <v/>
      </c>
    </row>
    <row r="241" spans="1:28">
      <c r="A241" t="str">
        <f>MacReports!A241</f>
        <v/>
      </c>
      <c r="B241">
        <f>MacReports!B241</f>
        <v>0</v>
      </c>
      <c r="C241">
        <f>MacReports!C241</f>
        <v>0</v>
      </c>
      <c r="E241" t="e">
        <f>_xlfn.XLOOKUP(G241,Models!A:A,Models!F:F)</f>
        <v>#N/A</v>
      </c>
      <c r="F241" t="str">
        <f>_xlfn.XLOOKUP(B241,MacReports!B:B,MacReports!D:D,"")</f>
        <v/>
      </c>
      <c r="G241" s="13">
        <f>MacReports!E241</f>
        <v>0</v>
      </c>
      <c r="H241" t="e">
        <f>_xlfn.XLOOKUP(G241,Models!A:A,Models!B:B)</f>
        <v>#N/A</v>
      </c>
      <c r="I241" t="e">
        <f>_xlfn.XLOOKUP(G241,Models!A:A,Models!E:E)</f>
        <v>#N/A</v>
      </c>
      <c r="J241" t="e">
        <f>_xlfn.XLOOKUP(G241,Models!A:A,Models!D:D)</f>
        <v>#N/A</v>
      </c>
      <c r="K241">
        <f>MacReports!F241</f>
        <v>0</v>
      </c>
      <c r="L241">
        <f>MacReports!G241</f>
        <v>0</v>
      </c>
      <c r="M241" s="15" t="e" cm="1">
        <f t="array" ref="M241">--_xlfn.LET(
    _xlpm.txt, MacReports!H241,
    _xlpm.chars, MID(_xlpm.txt, _xlfn.SEQUENCE(LEN(_xlpm.txt)), 1),
    _xlfn.TEXTJOIN("", TRUE, IF(ISNUMBER(--_xlpm.chars), _xlpm.chars, ""))
)</f>
        <v>#VALUE!</v>
      </c>
      <c r="N241" s="16" t="str" cm="1">
        <f t="array" ref="N241">_xlfn.IFS(
   --MacReports!M241&lt;55,"Battery Defect",
  -- MacReports!M241&lt;=69,"Battery D",
  --MacReports!M241&lt;=80,"Battery C",
 --MacReports!M241&gt;80,""
)</f>
        <v>Battery Defect</v>
      </c>
      <c r="O241" s="16" t="str">
        <f>IF(MacReports!I241="Service","Battery Service","")</f>
        <v/>
      </c>
      <c r="P241" s="13">
        <f>MacReports!P241</f>
        <v>0</v>
      </c>
      <c r="Q241" s="13" t="str">
        <f>IF(MacReports!J241="Enabled","Apple ID Lock","")</f>
        <v/>
      </c>
      <c r="R241" s="13" t="str">
        <f>IF(MacReports!L241="y","Remote Locked","")</f>
        <v/>
      </c>
      <c r="S241" t="str">
        <f t="shared" si="9"/>
        <v>Battery Defect, 0</v>
      </c>
      <c r="T241" t="str">
        <f>_xlfn.XLOOKUP(B241,Disk_Pivot!G:G,Disk_Pivot!I:I)</f>
        <v>Yes</v>
      </c>
      <c r="U241" t="str">
        <f>_xlfn.XLOOKUP(B241,Disk_Pivot!G:G,Disk_Pivot!N:N)</f>
        <v>Fail</v>
      </c>
      <c r="V241">
        <f>IF(U241="Fail",MacReports!N241,"")</f>
        <v>0</v>
      </c>
      <c r="AB241" t="str">
        <f t="shared" si="10"/>
        <v/>
      </c>
    </row>
    <row r="242" spans="1:28">
      <c r="A242" t="str">
        <f>MacReports!A242</f>
        <v/>
      </c>
      <c r="B242">
        <f>MacReports!B242</f>
        <v>0</v>
      </c>
      <c r="C242">
        <f>MacReports!C242</f>
        <v>0</v>
      </c>
      <c r="E242" t="e">
        <f>_xlfn.XLOOKUP(G242,Models!A:A,Models!F:F)</f>
        <v>#N/A</v>
      </c>
      <c r="F242" t="str">
        <f>_xlfn.XLOOKUP(B242,MacReports!B:B,MacReports!D:D,"")</f>
        <v/>
      </c>
      <c r="G242" s="13">
        <f>MacReports!E242</f>
        <v>0</v>
      </c>
      <c r="H242" t="e">
        <f>_xlfn.XLOOKUP(G242,Models!A:A,Models!B:B)</f>
        <v>#N/A</v>
      </c>
      <c r="I242" t="e">
        <f>_xlfn.XLOOKUP(G242,Models!A:A,Models!E:E)</f>
        <v>#N/A</v>
      </c>
      <c r="J242" t="e">
        <f>_xlfn.XLOOKUP(G242,Models!A:A,Models!D:D)</f>
        <v>#N/A</v>
      </c>
      <c r="K242">
        <f>MacReports!F242</f>
        <v>0</v>
      </c>
      <c r="L242">
        <f>MacReports!G242</f>
        <v>0</v>
      </c>
      <c r="M242" s="15" t="e" cm="1">
        <f t="array" ref="M242">--_xlfn.LET(
    _xlpm.txt, MacReports!H242,
    _xlpm.chars, MID(_xlpm.txt, _xlfn.SEQUENCE(LEN(_xlpm.txt)), 1),
    _xlfn.TEXTJOIN("", TRUE, IF(ISNUMBER(--_xlpm.chars), _xlpm.chars, ""))
)</f>
        <v>#VALUE!</v>
      </c>
      <c r="N242" s="16" t="str" cm="1">
        <f t="array" ref="N242">_xlfn.IFS(
   --MacReports!M242&lt;55,"Battery Defect",
  -- MacReports!M242&lt;=69,"Battery D",
  --MacReports!M242&lt;=80,"Battery C",
 --MacReports!M242&gt;80,""
)</f>
        <v>Battery Defect</v>
      </c>
      <c r="O242" s="16" t="str">
        <f>IF(MacReports!I242="Service","Battery Service","")</f>
        <v/>
      </c>
      <c r="P242" s="13">
        <f>MacReports!P242</f>
        <v>0</v>
      </c>
      <c r="Q242" s="13" t="str">
        <f>IF(MacReports!J242="Enabled","Apple ID Lock","")</f>
        <v/>
      </c>
      <c r="R242" s="13" t="str">
        <f>IF(MacReports!L242="y","Remote Locked","")</f>
        <v/>
      </c>
      <c r="S242" t="str">
        <f t="shared" si="9"/>
        <v>Battery Defect, 0</v>
      </c>
      <c r="T242" t="str">
        <f>_xlfn.XLOOKUP(B242,Disk_Pivot!G:G,Disk_Pivot!I:I)</f>
        <v>Yes</v>
      </c>
      <c r="U242" t="str">
        <f>_xlfn.XLOOKUP(B242,Disk_Pivot!G:G,Disk_Pivot!N:N)</f>
        <v>Fail</v>
      </c>
      <c r="V242">
        <f>IF(U242="Fail",MacReports!N242,"")</f>
        <v>0</v>
      </c>
      <c r="AB242" t="str">
        <f t="shared" si="10"/>
        <v/>
      </c>
    </row>
    <row r="243" spans="1:28">
      <c r="A243" t="str">
        <f>MacReports!A243</f>
        <v/>
      </c>
      <c r="B243">
        <f>MacReports!B243</f>
        <v>0</v>
      </c>
      <c r="C243">
        <f>MacReports!C243</f>
        <v>0</v>
      </c>
      <c r="E243" t="e">
        <f>_xlfn.XLOOKUP(G243,Models!A:A,Models!F:F)</f>
        <v>#N/A</v>
      </c>
      <c r="F243" t="str">
        <f>_xlfn.XLOOKUP(B243,MacReports!B:B,MacReports!D:D,"")</f>
        <v/>
      </c>
      <c r="G243" s="13">
        <f>MacReports!E243</f>
        <v>0</v>
      </c>
      <c r="H243" t="e">
        <f>_xlfn.XLOOKUP(G243,Models!A:A,Models!B:B)</f>
        <v>#N/A</v>
      </c>
      <c r="I243" t="e">
        <f>_xlfn.XLOOKUP(G243,Models!A:A,Models!E:E)</f>
        <v>#N/A</v>
      </c>
      <c r="J243" t="e">
        <f>_xlfn.XLOOKUP(G243,Models!A:A,Models!D:D)</f>
        <v>#N/A</v>
      </c>
      <c r="K243">
        <f>MacReports!F243</f>
        <v>0</v>
      </c>
      <c r="L243">
        <f>MacReports!G243</f>
        <v>0</v>
      </c>
      <c r="M243" s="15" t="e" cm="1">
        <f t="array" ref="M243">--_xlfn.LET(
    _xlpm.txt, MacReports!H243,
    _xlpm.chars, MID(_xlpm.txt, _xlfn.SEQUENCE(LEN(_xlpm.txt)), 1),
    _xlfn.TEXTJOIN("", TRUE, IF(ISNUMBER(--_xlpm.chars), _xlpm.chars, ""))
)</f>
        <v>#VALUE!</v>
      </c>
      <c r="N243" s="16" t="str" cm="1">
        <f t="array" ref="N243">_xlfn.IFS(
   --MacReports!M243&lt;55,"Battery Defect",
  -- MacReports!M243&lt;=69,"Battery D",
  --MacReports!M243&lt;=80,"Battery C",
 --MacReports!M243&gt;80,""
)</f>
        <v>Battery Defect</v>
      </c>
      <c r="O243" s="16" t="str">
        <f>IF(MacReports!I243="Service","Battery Service","")</f>
        <v/>
      </c>
      <c r="P243" s="13">
        <f>MacReports!P243</f>
        <v>0</v>
      </c>
      <c r="Q243" s="13" t="str">
        <f>IF(MacReports!J243="Enabled","Apple ID Lock","")</f>
        <v/>
      </c>
      <c r="R243" s="13" t="str">
        <f>IF(MacReports!L243="y","Remote Locked","")</f>
        <v/>
      </c>
      <c r="S243" t="str">
        <f t="shared" si="9"/>
        <v>Battery Defect, 0</v>
      </c>
      <c r="T243" t="str">
        <f>_xlfn.XLOOKUP(B243,Disk_Pivot!G:G,Disk_Pivot!I:I)</f>
        <v>Yes</v>
      </c>
      <c r="U243" t="str">
        <f>_xlfn.XLOOKUP(B243,Disk_Pivot!G:G,Disk_Pivot!N:N)</f>
        <v>Fail</v>
      </c>
      <c r="V243">
        <f>IF(U243="Fail",MacReports!N243,"")</f>
        <v>0</v>
      </c>
      <c r="AB243" t="str">
        <f t="shared" si="10"/>
        <v/>
      </c>
    </row>
    <row r="244" spans="1:28">
      <c r="A244">
        <f>MacReports!A244</f>
        <v>0</v>
      </c>
      <c r="B244">
        <f>MacReports!B244</f>
        <v>0</v>
      </c>
      <c r="C244">
        <f>MacReports!C244</f>
        <v>0</v>
      </c>
      <c r="E244" t="e">
        <f>_xlfn.XLOOKUP(G244,Models!A:A,Models!F:F)</f>
        <v>#N/A</v>
      </c>
      <c r="F244" t="str">
        <f>_xlfn.XLOOKUP(B244,MacReports!B:B,MacReports!D:D,"")</f>
        <v/>
      </c>
      <c r="G244" s="13">
        <f>MacReports!E244</f>
        <v>0</v>
      </c>
      <c r="H244" t="e">
        <f>_xlfn.XLOOKUP(G244,Models!A:A,Models!B:B)</f>
        <v>#N/A</v>
      </c>
      <c r="I244" t="e">
        <f>_xlfn.XLOOKUP(G244,Models!A:A,Models!E:E)</f>
        <v>#N/A</v>
      </c>
      <c r="J244" t="e">
        <f>_xlfn.XLOOKUP(G244,Models!A:A,Models!D:D)</f>
        <v>#N/A</v>
      </c>
      <c r="K244">
        <f>MacReports!F244</f>
        <v>0</v>
      </c>
      <c r="L244">
        <f>MacReports!G244</f>
        <v>0</v>
      </c>
      <c r="M244" s="15" t="e" cm="1">
        <f t="array" ref="M244">--_xlfn.LET(
    _xlpm.txt, MacReports!H244,
    _xlpm.chars, MID(_xlpm.txt, _xlfn.SEQUENCE(LEN(_xlpm.txt)), 1),
    _xlfn.TEXTJOIN("", TRUE, IF(ISNUMBER(--_xlpm.chars), _xlpm.chars, ""))
)</f>
        <v>#VALUE!</v>
      </c>
      <c r="N244" s="16" t="str" cm="1">
        <f t="array" ref="N244">_xlfn.IFS(
   --MacReports!M244&lt;55,"Battery Defect",
  -- MacReports!M244&lt;=69,"Battery D",
  --MacReports!M244&lt;=80,"Battery C",
 --MacReports!M244&gt;80,""
)</f>
        <v>Battery Defect</v>
      </c>
      <c r="O244" s="16" t="str">
        <f>IF(MacReports!I244="Service","Battery Service","")</f>
        <v/>
      </c>
      <c r="P244" s="13">
        <f>MacReports!P244</f>
        <v>0</v>
      </c>
      <c r="Q244" s="13" t="str">
        <f>IF(MacReports!J244="Enabled","Apple ID Lock","")</f>
        <v/>
      </c>
      <c r="R244" s="13" t="str">
        <f>IF(MacReports!L244="y","Remote Locked","")</f>
        <v/>
      </c>
      <c r="S244" t="str">
        <f t="shared" si="9"/>
        <v>Battery Defect, 0</v>
      </c>
      <c r="T244" t="str">
        <f>_xlfn.XLOOKUP(B244,Disk_Pivot!G:G,Disk_Pivot!I:I)</f>
        <v>Yes</v>
      </c>
      <c r="U244" t="str">
        <f>_xlfn.XLOOKUP(B244,Disk_Pivot!G:G,Disk_Pivot!N:N)</f>
        <v>Fail</v>
      </c>
      <c r="V244">
        <f>IF(U244="Fail",MacReports!N244,"")</f>
        <v>0</v>
      </c>
      <c r="AB244" t="str">
        <f t="shared" si="10"/>
        <v/>
      </c>
    </row>
    <row r="245" spans="1:28">
      <c r="A245">
        <f>MacReports!A245</f>
        <v>0</v>
      </c>
      <c r="B245">
        <f>MacReports!B245</f>
        <v>0</v>
      </c>
      <c r="C245">
        <f>MacReports!C245</f>
        <v>0</v>
      </c>
      <c r="E245" t="e">
        <f>_xlfn.XLOOKUP(G245,Models!A:A,Models!F:F)</f>
        <v>#N/A</v>
      </c>
      <c r="F245" t="str">
        <f>_xlfn.XLOOKUP(B245,MacReports!B:B,MacReports!D:D,"")</f>
        <v/>
      </c>
      <c r="G245" s="13">
        <f>MacReports!E245</f>
        <v>0</v>
      </c>
      <c r="H245" t="e">
        <f>_xlfn.XLOOKUP(G245,Models!A:A,Models!B:B)</f>
        <v>#N/A</v>
      </c>
      <c r="I245" t="e">
        <f>_xlfn.XLOOKUP(G245,Models!A:A,Models!E:E)</f>
        <v>#N/A</v>
      </c>
      <c r="J245" t="e">
        <f>_xlfn.XLOOKUP(G245,Models!A:A,Models!D:D)</f>
        <v>#N/A</v>
      </c>
      <c r="K245">
        <f>MacReports!F245</f>
        <v>0</v>
      </c>
      <c r="L245">
        <f>MacReports!G245</f>
        <v>0</v>
      </c>
      <c r="M245" s="15" t="e" cm="1">
        <f t="array" ref="M245">--_xlfn.LET(
    _xlpm.txt, MacReports!H245,
    _xlpm.chars, MID(_xlpm.txt, _xlfn.SEQUENCE(LEN(_xlpm.txt)), 1),
    _xlfn.TEXTJOIN("", TRUE, IF(ISNUMBER(--_xlpm.chars), _xlpm.chars, ""))
)</f>
        <v>#VALUE!</v>
      </c>
      <c r="N245" s="16" t="str" cm="1">
        <f t="array" ref="N245">_xlfn.IFS(
   --MacReports!M245&lt;55,"Battery Defect",
  -- MacReports!M245&lt;=69,"Battery D",
  --MacReports!M245&lt;=80,"Battery C",
 --MacReports!M245&gt;80,""
)</f>
        <v>Battery Defect</v>
      </c>
      <c r="O245" s="16" t="str">
        <f>IF(MacReports!I245="Service","Battery Service","")</f>
        <v/>
      </c>
      <c r="P245" s="13">
        <f>MacReports!P245</f>
        <v>0</v>
      </c>
      <c r="Q245" s="13" t="str">
        <f>IF(MacReports!J245="Enabled","Apple ID Lock","")</f>
        <v/>
      </c>
      <c r="R245" s="13" t="str">
        <f>IF(MacReports!L245="y","Remote Locked","")</f>
        <v/>
      </c>
      <c r="S245" t="str">
        <f t="shared" si="9"/>
        <v>Battery Defect, 0</v>
      </c>
      <c r="T245" t="str">
        <f>_xlfn.XLOOKUP(B245,Disk_Pivot!G:G,Disk_Pivot!I:I)</f>
        <v>Yes</v>
      </c>
      <c r="U245" t="str">
        <f>_xlfn.XLOOKUP(B245,Disk_Pivot!G:G,Disk_Pivot!N:N)</f>
        <v>Fail</v>
      </c>
      <c r="V245">
        <f>IF(U245="Fail",MacReports!N245,"")</f>
        <v>0</v>
      </c>
      <c r="AB245" t="str">
        <f t="shared" si="10"/>
        <v/>
      </c>
    </row>
    <row r="246" spans="1:28">
      <c r="A246">
        <f>MacReports!A246</f>
        <v>0</v>
      </c>
      <c r="B246">
        <f>MacReports!B246</f>
        <v>0</v>
      </c>
      <c r="C246">
        <f>MacReports!C246</f>
        <v>0</v>
      </c>
      <c r="E246" t="e">
        <f>_xlfn.XLOOKUP(G246,Models!A:A,Models!F:F)</f>
        <v>#N/A</v>
      </c>
      <c r="F246" t="str">
        <f>_xlfn.XLOOKUP(B246,MacReports!B:B,MacReports!D:D,"")</f>
        <v/>
      </c>
      <c r="G246" s="13">
        <f>MacReports!E246</f>
        <v>0</v>
      </c>
      <c r="H246" t="e">
        <f>_xlfn.XLOOKUP(G246,Models!A:A,Models!B:B)</f>
        <v>#N/A</v>
      </c>
      <c r="I246" t="e">
        <f>_xlfn.XLOOKUP(G246,Models!A:A,Models!E:E)</f>
        <v>#N/A</v>
      </c>
      <c r="J246" t="e">
        <f>_xlfn.XLOOKUP(G246,Models!A:A,Models!D:D)</f>
        <v>#N/A</v>
      </c>
      <c r="K246">
        <f>MacReports!F246</f>
        <v>0</v>
      </c>
      <c r="L246">
        <f>MacReports!G246</f>
        <v>0</v>
      </c>
      <c r="M246" s="15" t="e" cm="1">
        <f t="array" ref="M246">--_xlfn.LET(
    _xlpm.txt, MacReports!H246,
    _xlpm.chars, MID(_xlpm.txt, _xlfn.SEQUENCE(LEN(_xlpm.txt)), 1),
    _xlfn.TEXTJOIN("", TRUE, IF(ISNUMBER(--_xlpm.chars), _xlpm.chars, ""))
)</f>
        <v>#VALUE!</v>
      </c>
      <c r="N246" s="16" t="str" cm="1">
        <f t="array" ref="N246">_xlfn.IFS(
   --MacReports!M246&lt;55,"Battery Defect",
  -- MacReports!M246&lt;=69,"Battery D",
  --MacReports!M246&lt;=80,"Battery C",
 --MacReports!M246&gt;80,""
)</f>
        <v>Battery Defect</v>
      </c>
      <c r="O246" s="16" t="str">
        <f>IF(MacReports!I246="Service","Battery Service","")</f>
        <v/>
      </c>
      <c r="P246" s="13">
        <f>MacReports!P246</f>
        <v>0</v>
      </c>
      <c r="Q246" s="13" t="str">
        <f>IF(MacReports!J246="Enabled","Apple ID Lock","")</f>
        <v/>
      </c>
      <c r="R246" s="13" t="str">
        <f>IF(MacReports!L246="y","Remote Locked","")</f>
        <v/>
      </c>
      <c r="S246" t="str">
        <f t="shared" si="9"/>
        <v>Battery Defect, 0</v>
      </c>
      <c r="T246" t="str">
        <f>_xlfn.XLOOKUP(B246,Disk_Pivot!G:G,Disk_Pivot!I:I)</f>
        <v>Yes</v>
      </c>
      <c r="U246" t="str">
        <f>_xlfn.XLOOKUP(B246,Disk_Pivot!G:G,Disk_Pivot!N:N)</f>
        <v>Fail</v>
      </c>
      <c r="V246">
        <f>IF(U246="Fail",MacReports!N246,"")</f>
        <v>0</v>
      </c>
      <c r="AB246" t="str">
        <f t="shared" si="10"/>
        <v/>
      </c>
    </row>
    <row r="247" spans="1:28">
      <c r="A247">
        <f>MacReports!A247</f>
        <v>0</v>
      </c>
      <c r="B247">
        <f>MacReports!B247</f>
        <v>0</v>
      </c>
      <c r="C247">
        <f>MacReports!C247</f>
        <v>0</v>
      </c>
      <c r="E247" t="e">
        <f>_xlfn.XLOOKUP(G247,Models!A:A,Models!F:F)</f>
        <v>#N/A</v>
      </c>
      <c r="F247" t="str">
        <f>_xlfn.XLOOKUP(B247,MacReports!B:B,MacReports!D:D,"")</f>
        <v/>
      </c>
      <c r="G247" s="13">
        <f>MacReports!E247</f>
        <v>0</v>
      </c>
      <c r="H247" t="e">
        <f>_xlfn.XLOOKUP(G247,Models!A:A,Models!B:B)</f>
        <v>#N/A</v>
      </c>
      <c r="I247" t="e">
        <f>_xlfn.XLOOKUP(G247,Models!A:A,Models!E:E)</f>
        <v>#N/A</v>
      </c>
      <c r="J247" t="e">
        <f>_xlfn.XLOOKUP(G247,Models!A:A,Models!D:D)</f>
        <v>#N/A</v>
      </c>
      <c r="K247">
        <f>MacReports!F247</f>
        <v>0</v>
      </c>
      <c r="L247">
        <f>MacReports!G247</f>
        <v>0</v>
      </c>
      <c r="M247" s="15" t="e" cm="1">
        <f t="array" ref="M247">--_xlfn.LET(
    _xlpm.txt, MacReports!H247,
    _xlpm.chars, MID(_xlpm.txt, _xlfn.SEQUENCE(LEN(_xlpm.txt)), 1),
    _xlfn.TEXTJOIN("", TRUE, IF(ISNUMBER(--_xlpm.chars), _xlpm.chars, ""))
)</f>
        <v>#VALUE!</v>
      </c>
      <c r="N247" s="16" t="str" cm="1">
        <f t="array" ref="N247">_xlfn.IFS(
   --MacReports!M247&lt;55,"Battery Defect",
  -- MacReports!M247&lt;=69,"Battery D",
  --MacReports!M247&lt;=80,"Battery C",
 --MacReports!M247&gt;80,""
)</f>
        <v>Battery Defect</v>
      </c>
      <c r="O247" s="16" t="str">
        <f>IF(MacReports!I247="Service","Battery Service","")</f>
        <v/>
      </c>
      <c r="P247" s="13">
        <f>MacReports!P247</f>
        <v>0</v>
      </c>
      <c r="Q247" s="13" t="str">
        <f>IF(MacReports!J247="Enabled","Apple ID Lock","")</f>
        <v/>
      </c>
      <c r="R247" s="13" t="str">
        <f>IF(MacReports!L247="y","Remote Locked","")</f>
        <v/>
      </c>
      <c r="S247" t="str">
        <f t="shared" si="9"/>
        <v>Battery Defect, 0</v>
      </c>
      <c r="T247" t="str">
        <f>_xlfn.XLOOKUP(B247,Disk_Pivot!G:G,Disk_Pivot!I:I)</f>
        <v>Yes</v>
      </c>
      <c r="U247" t="str">
        <f>_xlfn.XLOOKUP(B247,Disk_Pivot!G:G,Disk_Pivot!N:N)</f>
        <v>Fail</v>
      </c>
      <c r="V247">
        <f>IF(U247="Fail",MacReports!N247,"")</f>
        <v>0</v>
      </c>
      <c r="AB247" t="str">
        <f t="shared" si="10"/>
        <v/>
      </c>
    </row>
    <row r="248" spans="1:28">
      <c r="A248">
        <f>MacReports!A248</f>
        <v>0</v>
      </c>
      <c r="B248">
        <f>MacReports!B248</f>
        <v>0</v>
      </c>
      <c r="C248">
        <f>MacReports!C248</f>
        <v>0</v>
      </c>
      <c r="E248" t="e">
        <f>_xlfn.XLOOKUP(G248,Models!A:A,Models!F:F)</f>
        <v>#N/A</v>
      </c>
      <c r="F248" t="str">
        <f>_xlfn.XLOOKUP(B248,MacReports!B:B,MacReports!D:D,"")</f>
        <v/>
      </c>
      <c r="G248" s="13">
        <f>MacReports!E248</f>
        <v>0</v>
      </c>
      <c r="H248" t="e">
        <f>_xlfn.XLOOKUP(G248,Models!A:A,Models!B:B)</f>
        <v>#N/A</v>
      </c>
      <c r="I248" t="e">
        <f>_xlfn.XLOOKUP(G248,Models!A:A,Models!E:E)</f>
        <v>#N/A</v>
      </c>
      <c r="J248" t="e">
        <f>_xlfn.XLOOKUP(G248,Models!A:A,Models!D:D)</f>
        <v>#N/A</v>
      </c>
      <c r="K248">
        <f>MacReports!F248</f>
        <v>0</v>
      </c>
      <c r="L248">
        <f>MacReports!G248</f>
        <v>0</v>
      </c>
      <c r="M248" s="15" t="e" cm="1">
        <f t="array" ref="M248">--_xlfn.LET(
    _xlpm.txt, MacReports!H248,
    _xlpm.chars, MID(_xlpm.txt, _xlfn.SEQUENCE(LEN(_xlpm.txt)), 1),
    _xlfn.TEXTJOIN("", TRUE, IF(ISNUMBER(--_xlpm.chars), _xlpm.chars, ""))
)</f>
        <v>#VALUE!</v>
      </c>
      <c r="N248" s="16" t="str" cm="1">
        <f t="array" ref="N248">_xlfn.IFS(
   --MacReports!M248&lt;55,"Battery Defect",
  -- MacReports!M248&lt;=69,"Battery D",
  --MacReports!M248&lt;=80,"Battery C",
 --MacReports!M248&gt;80,""
)</f>
        <v>Battery Defect</v>
      </c>
      <c r="O248" s="16" t="str">
        <f>IF(MacReports!I248="Service","Battery Service","")</f>
        <v/>
      </c>
      <c r="P248" s="13">
        <f>MacReports!P248</f>
        <v>0</v>
      </c>
      <c r="Q248" s="13" t="str">
        <f>IF(MacReports!J248="Enabled","Apple ID Lock","")</f>
        <v/>
      </c>
      <c r="R248" s="13" t="str">
        <f>IF(MacReports!L248="y","Remote Locked","")</f>
        <v/>
      </c>
      <c r="S248" t="str">
        <f t="shared" si="9"/>
        <v>Battery Defect, 0</v>
      </c>
      <c r="T248" t="str">
        <f>_xlfn.XLOOKUP(B248,Disk_Pivot!G:G,Disk_Pivot!I:I)</f>
        <v>Yes</v>
      </c>
      <c r="U248" t="str">
        <f>_xlfn.XLOOKUP(B248,Disk_Pivot!G:G,Disk_Pivot!N:N)</f>
        <v>Fail</v>
      </c>
      <c r="V248">
        <f>IF(U248="Fail",MacReports!N248,"")</f>
        <v>0</v>
      </c>
      <c r="AB248" t="str">
        <f t="shared" si="10"/>
        <v/>
      </c>
    </row>
    <row r="249" spans="1:28">
      <c r="A249">
        <f>MacReports!A249</f>
        <v>0</v>
      </c>
      <c r="B249">
        <f>MacReports!B249</f>
        <v>0</v>
      </c>
      <c r="C249">
        <f>MacReports!C249</f>
        <v>0</v>
      </c>
      <c r="E249" t="e">
        <f>_xlfn.XLOOKUP(G249,Models!A:A,Models!F:F)</f>
        <v>#N/A</v>
      </c>
      <c r="F249" t="str">
        <f>_xlfn.XLOOKUP(B249,MacReports!B:B,MacReports!D:D,"")</f>
        <v/>
      </c>
      <c r="G249" s="13">
        <f>MacReports!E249</f>
        <v>0</v>
      </c>
      <c r="H249" t="e">
        <f>_xlfn.XLOOKUP(G249,Models!A:A,Models!B:B)</f>
        <v>#N/A</v>
      </c>
      <c r="I249" t="e">
        <f>_xlfn.XLOOKUP(G249,Models!A:A,Models!E:E)</f>
        <v>#N/A</v>
      </c>
      <c r="J249" t="e">
        <f>_xlfn.XLOOKUP(G249,Models!A:A,Models!D:D)</f>
        <v>#N/A</v>
      </c>
      <c r="K249">
        <f>MacReports!F249</f>
        <v>0</v>
      </c>
      <c r="L249">
        <f>MacReports!G249</f>
        <v>0</v>
      </c>
      <c r="M249" s="15" t="e" cm="1">
        <f t="array" ref="M249">--_xlfn.LET(
    _xlpm.txt, MacReports!H249,
    _xlpm.chars, MID(_xlpm.txt, _xlfn.SEQUENCE(LEN(_xlpm.txt)), 1),
    _xlfn.TEXTJOIN("", TRUE, IF(ISNUMBER(--_xlpm.chars), _xlpm.chars, ""))
)</f>
        <v>#VALUE!</v>
      </c>
      <c r="N249" s="16" t="str" cm="1">
        <f t="array" ref="N249">_xlfn.IFS(
   --MacReports!M249&lt;55,"Battery Defect",
  -- MacReports!M249&lt;=69,"Battery D",
  --MacReports!M249&lt;=80,"Battery C",
 --MacReports!M249&gt;80,""
)</f>
        <v>Battery Defect</v>
      </c>
      <c r="O249" s="16" t="str">
        <f>IF(MacReports!I249="Service","Battery Service","")</f>
        <v/>
      </c>
      <c r="P249" s="13">
        <f>MacReports!P249</f>
        <v>0</v>
      </c>
      <c r="Q249" s="13" t="str">
        <f>IF(MacReports!J249="Enabled","Apple ID Lock","")</f>
        <v/>
      </c>
      <c r="R249" s="13" t="str">
        <f>IF(MacReports!L249="y","Remote Locked","")</f>
        <v/>
      </c>
      <c r="S249" t="str">
        <f t="shared" si="9"/>
        <v>Battery Defect, 0</v>
      </c>
      <c r="T249" t="str">
        <f>_xlfn.XLOOKUP(B249,Disk_Pivot!G:G,Disk_Pivot!I:I)</f>
        <v>Yes</v>
      </c>
      <c r="U249" t="str">
        <f>_xlfn.XLOOKUP(B249,Disk_Pivot!G:G,Disk_Pivot!N:N)</f>
        <v>Fail</v>
      </c>
      <c r="V249">
        <f>IF(U249="Fail",MacReports!N249,"")</f>
        <v>0</v>
      </c>
      <c r="AB249" t="str">
        <f t="shared" si="10"/>
        <v/>
      </c>
    </row>
    <row r="250" spans="1:28">
      <c r="A250">
        <f>MacReports!A250</f>
        <v>0</v>
      </c>
      <c r="B250">
        <f>MacReports!B250</f>
        <v>0</v>
      </c>
      <c r="C250">
        <f>MacReports!C250</f>
        <v>0</v>
      </c>
      <c r="E250" t="e">
        <f>_xlfn.XLOOKUP(G250,Models!A:A,Models!F:F)</f>
        <v>#N/A</v>
      </c>
      <c r="F250" t="str">
        <f>_xlfn.XLOOKUP(B250,MacReports!B:B,MacReports!D:D,"")</f>
        <v/>
      </c>
      <c r="G250" s="13">
        <f>MacReports!E250</f>
        <v>0</v>
      </c>
      <c r="H250" t="e">
        <f>_xlfn.XLOOKUP(G250,Models!A:A,Models!B:B)</f>
        <v>#N/A</v>
      </c>
      <c r="I250" t="e">
        <f>_xlfn.XLOOKUP(G250,Models!A:A,Models!E:E)</f>
        <v>#N/A</v>
      </c>
      <c r="J250" t="e">
        <f>_xlfn.XLOOKUP(G250,Models!A:A,Models!D:D)</f>
        <v>#N/A</v>
      </c>
      <c r="K250">
        <f>MacReports!F250</f>
        <v>0</v>
      </c>
      <c r="L250">
        <f>MacReports!G250</f>
        <v>0</v>
      </c>
      <c r="M250" s="15" t="e" cm="1">
        <f t="array" ref="M250">--_xlfn.LET(
    _xlpm.txt, MacReports!H250,
    _xlpm.chars, MID(_xlpm.txt, _xlfn.SEQUENCE(LEN(_xlpm.txt)), 1),
    _xlfn.TEXTJOIN("", TRUE, IF(ISNUMBER(--_xlpm.chars), _xlpm.chars, ""))
)</f>
        <v>#VALUE!</v>
      </c>
      <c r="N250" s="16" t="str" cm="1">
        <f t="array" ref="N250">_xlfn.IFS(
   --MacReports!M250&lt;55,"Battery Defect",
  -- MacReports!M250&lt;=69,"Battery D",
  --MacReports!M250&lt;=80,"Battery C",
 --MacReports!M250&gt;80,""
)</f>
        <v>Battery Defect</v>
      </c>
      <c r="O250" s="16" t="str">
        <f>IF(MacReports!I250="Service","Battery Service","")</f>
        <v/>
      </c>
      <c r="P250" s="13">
        <f>MacReports!P250</f>
        <v>0</v>
      </c>
      <c r="Q250" s="13" t="str">
        <f>IF(MacReports!J250="Enabled","Apple ID Lock","")</f>
        <v/>
      </c>
      <c r="R250" s="13" t="str">
        <f>IF(MacReports!L250="y","Remote Locked","")</f>
        <v/>
      </c>
      <c r="S250" t="str">
        <f t="shared" si="9"/>
        <v>Battery Defect, 0</v>
      </c>
      <c r="T250" t="str">
        <f>_xlfn.XLOOKUP(B250,Disk_Pivot!G:G,Disk_Pivot!I:I)</f>
        <v>Yes</v>
      </c>
      <c r="U250" t="str">
        <f>_xlfn.XLOOKUP(B250,Disk_Pivot!G:G,Disk_Pivot!N:N)</f>
        <v>Fail</v>
      </c>
      <c r="V250">
        <f>IF(U250="Fail",MacReports!N250,"")</f>
        <v>0</v>
      </c>
      <c r="AB250" t="str">
        <f t="shared" si="10"/>
        <v/>
      </c>
    </row>
    <row r="251" spans="1:28">
      <c r="A251">
        <f>MacReports!A251</f>
        <v>0</v>
      </c>
      <c r="B251">
        <f>MacReports!B251</f>
        <v>0</v>
      </c>
      <c r="C251">
        <f>MacReports!C251</f>
        <v>0</v>
      </c>
      <c r="E251" t="e">
        <f>_xlfn.XLOOKUP(G251,Models!A:A,Models!F:F)</f>
        <v>#N/A</v>
      </c>
      <c r="F251" t="str">
        <f>_xlfn.XLOOKUP(B251,MacReports!B:B,MacReports!D:D,"")</f>
        <v/>
      </c>
      <c r="G251" s="13">
        <f>MacReports!E251</f>
        <v>0</v>
      </c>
      <c r="H251" t="e">
        <f>_xlfn.XLOOKUP(G251,Models!A:A,Models!B:B)</f>
        <v>#N/A</v>
      </c>
      <c r="I251" t="e">
        <f>_xlfn.XLOOKUP(G251,Models!A:A,Models!E:E)</f>
        <v>#N/A</v>
      </c>
      <c r="J251" t="e">
        <f>_xlfn.XLOOKUP(G251,Models!A:A,Models!D:D)</f>
        <v>#N/A</v>
      </c>
      <c r="K251">
        <f>MacReports!F251</f>
        <v>0</v>
      </c>
      <c r="L251">
        <f>MacReports!G251</f>
        <v>0</v>
      </c>
      <c r="M251" s="15" t="e" cm="1">
        <f t="array" ref="M251">--_xlfn.LET(
    _xlpm.txt, MacReports!H251,
    _xlpm.chars, MID(_xlpm.txt, _xlfn.SEQUENCE(LEN(_xlpm.txt)), 1),
    _xlfn.TEXTJOIN("", TRUE, IF(ISNUMBER(--_xlpm.chars), _xlpm.chars, ""))
)</f>
        <v>#VALUE!</v>
      </c>
      <c r="N251" s="16" t="str" cm="1">
        <f t="array" ref="N251">_xlfn.IFS(
   --MacReports!M251&lt;55,"Battery Defect",
  -- MacReports!M251&lt;=69,"Battery D",
  --MacReports!M251&lt;=80,"Battery C",
 --MacReports!M251&gt;80,""
)</f>
        <v>Battery Defect</v>
      </c>
      <c r="O251" s="16" t="str">
        <f>IF(MacReports!I251="Service","Battery Service","")</f>
        <v/>
      </c>
      <c r="P251" s="13">
        <f>MacReports!P251</f>
        <v>0</v>
      </c>
      <c r="Q251" s="13" t="str">
        <f>IF(MacReports!J251="Enabled","Apple ID Lock","")</f>
        <v/>
      </c>
      <c r="R251" s="13" t="str">
        <f>IF(MacReports!L251="y","Remote Locked","")</f>
        <v/>
      </c>
      <c r="S251" t="str">
        <f t="shared" si="9"/>
        <v>Battery Defect, 0</v>
      </c>
      <c r="T251" t="str">
        <f>_xlfn.XLOOKUP(B251,Disk_Pivot!G:G,Disk_Pivot!I:I)</f>
        <v>Yes</v>
      </c>
      <c r="U251" t="str">
        <f>_xlfn.XLOOKUP(B251,Disk_Pivot!G:G,Disk_Pivot!N:N)</f>
        <v>Fail</v>
      </c>
      <c r="V251">
        <f>IF(U251="Fail",MacReports!N251,"")</f>
        <v>0</v>
      </c>
      <c r="AB251" t="str">
        <f t="shared" si="10"/>
        <v/>
      </c>
    </row>
    <row r="252" spans="1:28">
      <c r="A252">
        <f>MacReports!A252</f>
        <v>0</v>
      </c>
      <c r="B252">
        <f>MacReports!B252</f>
        <v>0</v>
      </c>
      <c r="C252">
        <f>MacReports!C252</f>
        <v>0</v>
      </c>
      <c r="E252" t="e">
        <f>_xlfn.XLOOKUP(G252,Models!A:A,Models!F:F)</f>
        <v>#N/A</v>
      </c>
      <c r="F252" t="str">
        <f>_xlfn.XLOOKUP(B252,MacReports!B:B,MacReports!D:D,"")</f>
        <v/>
      </c>
      <c r="G252" s="13">
        <f>MacReports!E252</f>
        <v>0</v>
      </c>
      <c r="H252" t="e">
        <f>_xlfn.XLOOKUP(G252,Models!A:A,Models!B:B)</f>
        <v>#N/A</v>
      </c>
      <c r="I252" t="e">
        <f>_xlfn.XLOOKUP(G252,Models!A:A,Models!E:E)</f>
        <v>#N/A</v>
      </c>
      <c r="J252" t="e">
        <f>_xlfn.XLOOKUP(G252,Models!A:A,Models!D:D)</f>
        <v>#N/A</v>
      </c>
      <c r="K252">
        <f>MacReports!F252</f>
        <v>0</v>
      </c>
      <c r="L252">
        <f>MacReports!G252</f>
        <v>0</v>
      </c>
      <c r="M252" s="15" t="e" cm="1">
        <f t="array" ref="M252">--_xlfn.LET(
    _xlpm.txt, MacReports!H252,
    _xlpm.chars, MID(_xlpm.txt, _xlfn.SEQUENCE(LEN(_xlpm.txt)), 1),
    _xlfn.TEXTJOIN("", TRUE, IF(ISNUMBER(--_xlpm.chars), _xlpm.chars, ""))
)</f>
        <v>#VALUE!</v>
      </c>
      <c r="N252" s="16" t="str" cm="1">
        <f t="array" ref="N252">_xlfn.IFS(
   --MacReports!M252&lt;55,"Battery Defect",
  -- MacReports!M252&lt;=69,"Battery D",
  --MacReports!M252&lt;=80,"Battery C",
 --MacReports!M252&gt;80,""
)</f>
        <v>Battery Defect</v>
      </c>
      <c r="O252" s="16" t="str">
        <f>IF(MacReports!I252="Service","Battery Service","")</f>
        <v/>
      </c>
      <c r="P252" s="13">
        <f>MacReports!P252</f>
        <v>0</v>
      </c>
      <c r="Q252" s="13" t="str">
        <f>IF(MacReports!J252="Enabled","Apple ID Lock","")</f>
        <v/>
      </c>
      <c r="R252" s="13" t="str">
        <f>IF(MacReports!L252="y","Remote Locked","")</f>
        <v/>
      </c>
      <c r="S252" t="str">
        <f t="shared" si="9"/>
        <v>Battery Defect, 0</v>
      </c>
      <c r="T252" t="str">
        <f>_xlfn.XLOOKUP(B252,Disk_Pivot!G:G,Disk_Pivot!I:I)</f>
        <v>Yes</v>
      </c>
      <c r="U252" t="str">
        <f>_xlfn.XLOOKUP(B252,Disk_Pivot!G:G,Disk_Pivot!N:N)</f>
        <v>Fail</v>
      </c>
      <c r="V252">
        <f>IF(U252="Fail",MacReports!N252,"")</f>
        <v>0</v>
      </c>
      <c r="AB252" t="str">
        <f t="shared" si="10"/>
        <v/>
      </c>
    </row>
    <row r="253" spans="1:28">
      <c r="A253">
        <f>MacReports!A253</f>
        <v>0</v>
      </c>
      <c r="B253">
        <f>MacReports!B253</f>
        <v>0</v>
      </c>
      <c r="C253">
        <f>MacReports!C253</f>
        <v>0</v>
      </c>
      <c r="E253" t="e">
        <f>_xlfn.XLOOKUP(G253,Models!A:A,Models!F:F)</f>
        <v>#N/A</v>
      </c>
      <c r="F253" t="str">
        <f>_xlfn.XLOOKUP(B253,MacReports!B:B,MacReports!D:D,"")</f>
        <v/>
      </c>
      <c r="G253" s="13">
        <f>MacReports!E253</f>
        <v>0</v>
      </c>
      <c r="H253" t="e">
        <f>_xlfn.XLOOKUP(G253,Models!A:A,Models!B:B)</f>
        <v>#N/A</v>
      </c>
      <c r="I253" t="e">
        <f>_xlfn.XLOOKUP(G253,Models!A:A,Models!E:E)</f>
        <v>#N/A</v>
      </c>
      <c r="J253" t="e">
        <f>_xlfn.XLOOKUP(G253,Models!A:A,Models!D:D)</f>
        <v>#N/A</v>
      </c>
      <c r="K253">
        <f>MacReports!F253</f>
        <v>0</v>
      </c>
      <c r="L253">
        <f>MacReports!G253</f>
        <v>0</v>
      </c>
      <c r="M253" s="15" t="e" cm="1">
        <f t="array" ref="M253">--_xlfn.LET(
    _xlpm.txt, MacReports!H253,
    _xlpm.chars, MID(_xlpm.txt, _xlfn.SEQUENCE(LEN(_xlpm.txt)), 1),
    _xlfn.TEXTJOIN("", TRUE, IF(ISNUMBER(--_xlpm.chars), _xlpm.chars, ""))
)</f>
        <v>#VALUE!</v>
      </c>
      <c r="N253" s="16" t="str" cm="1">
        <f t="array" ref="N253">_xlfn.IFS(
   --MacReports!M253&lt;55,"Battery Defect",
  -- MacReports!M253&lt;=69,"Battery D",
  --MacReports!M253&lt;=80,"Battery C",
 --MacReports!M253&gt;80,""
)</f>
        <v>Battery Defect</v>
      </c>
      <c r="O253" s="16" t="str">
        <f>IF(MacReports!I253="Service","Battery Service","")</f>
        <v/>
      </c>
      <c r="P253" s="13">
        <f>MacReports!P253</f>
        <v>0</v>
      </c>
      <c r="Q253" s="13" t="str">
        <f>IF(MacReports!J253="Enabled","Apple ID Lock","")</f>
        <v/>
      </c>
      <c r="R253" s="13" t="str">
        <f>IF(MacReports!L253="y","Remote Locked","")</f>
        <v/>
      </c>
      <c r="S253" t="str">
        <f t="shared" si="9"/>
        <v>Battery Defect, 0</v>
      </c>
      <c r="T253" t="str">
        <f>_xlfn.XLOOKUP(B253,Disk_Pivot!G:G,Disk_Pivot!I:I)</f>
        <v>Yes</v>
      </c>
      <c r="U253" t="str">
        <f>_xlfn.XLOOKUP(B253,Disk_Pivot!G:G,Disk_Pivot!N:N)</f>
        <v>Fail</v>
      </c>
      <c r="V253">
        <f>IF(U253="Fail",MacReports!N253,"")</f>
        <v>0</v>
      </c>
      <c r="AB253" t="str">
        <f t="shared" si="10"/>
        <v/>
      </c>
    </row>
    <row r="254" spans="1:28">
      <c r="A254">
        <f>MacReports!A254</f>
        <v>0</v>
      </c>
      <c r="B254">
        <f>MacReports!B254</f>
        <v>0</v>
      </c>
      <c r="C254">
        <f>MacReports!C254</f>
        <v>0</v>
      </c>
      <c r="E254" t="e">
        <f>_xlfn.XLOOKUP(G254,Models!A:A,Models!F:F)</f>
        <v>#N/A</v>
      </c>
      <c r="F254" t="str">
        <f>_xlfn.XLOOKUP(B254,MacReports!B:B,MacReports!D:D,"")</f>
        <v/>
      </c>
      <c r="G254" s="13">
        <f>MacReports!E254</f>
        <v>0</v>
      </c>
      <c r="H254" t="e">
        <f>_xlfn.XLOOKUP(G254,Models!A:A,Models!B:B)</f>
        <v>#N/A</v>
      </c>
      <c r="I254" t="e">
        <f>_xlfn.XLOOKUP(G254,Models!A:A,Models!E:E)</f>
        <v>#N/A</v>
      </c>
      <c r="J254" t="e">
        <f>_xlfn.XLOOKUP(G254,Models!A:A,Models!D:D)</f>
        <v>#N/A</v>
      </c>
      <c r="K254">
        <f>MacReports!F254</f>
        <v>0</v>
      </c>
      <c r="L254">
        <f>MacReports!G254</f>
        <v>0</v>
      </c>
      <c r="M254" s="15" t="e" cm="1">
        <f t="array" ref="M254">--_xlfn.LET(
    _xlpm.txt, MacReports!H254,
    _xlpm.chars, MID(_xlpm.txt, _xlfn.SEQUENCE(LEN(_xlpm.txt)), 1),
    _xlfn.TEXTJOIN("", TRUE, IF(ISNUMBER(--_xlpm.chars), _xlpm.chars, ""))
)</f>
        <v>#VALUE!</v>
      </c>
      <c r="N254" s="16" t="str" cm="1">
        <f t="array" ref="N254">_xlfn.IFS(
   --MacReports!M254&lt;55,"Battery Defect",
  -- MacReports!M254&lt;=69,"Battery D",
  --MacReports!M254&lt;=80,"Battery C",
 --MacReports!M254&gt;80,""
)</f>
        <v>Battery Defect</v>
      </c>
      <c r="O254" s="16" t="str">
        <f>IF(MacReports!I254="Service","Battery Service","")</f>
        <v/>
      </c>
      <c r="P254" s="13">
        <f>MacReports!P254</f>
        <v>0</v>
      </c>
      <c r="Q254" s="13" t="str">
        <f>IF(MacReports!J254="Enabled","Apple ID Lock","")</f>
        <v/>
      </c>
      <c r="R254" s="13" t="str">
        <f>IF(MacReports!L254="y","Remote Locked","")</f>
        <v/>
      </c>
      <c r="S254" t="str">
        <f t="shared" si="9"/>
        <v>Battery Defect, 0</v>
      </c>
      <c r="T254" t="str">
        <f>_xlfn.XLOOKUP(B254,Disk_Pivot!G:G,Disk_Pivot!I:I)</f>
        <v>Yes</v>
      </c>
      <c r="U254" t="str">
        <f>_xlfn.XLOOKUP(B254,Disk_Pivot!G:G,Disk_Pivot!N:N)</f>
        <v>Fail</v>
      </c>
      <c r="V254">
        <f>IF(U254="Fail",MacReports!N254,"")</f>
        <v>0</v>
      </c>
      <c r="AB254" t="str">
        <f t="shared" si="10"/>
        <v/>
      </c>
    </row>
    <row r="255" spans="1:28">
      <c r="A255">
        <f>MacReports!A255</f>
        <v>0</v>
      </c>
      <c r="B255">
        <f>MacReports!B255</f>
        <v>0</v>
      </c>
      <c r="C255">
        <f>MacReports!C255</f>
        <v>0</v>
      </c>
      <c r="E255" t="e">
        <f>_xlfn.XLOOKUP(G255,Models!A:A,Models!F:F)</f>
        <v>#N/A</v>
      </c>
      <c r="F255" t="str">
        <f>_xlfn.XLOOKUP(B255,MacReports!B:B,MacReports!D:D,"")</f>
        <v/>
      </c>
      <c r="G255" s="13">
        <f>MacReports!E255</f>
        <v>0</v>
      </c>
      <c r="H255" t="e">
        <f>_xlfn.XLOOKUP(G255,Models!A:A,Models!B:B)</f>
        <v>#N/A</v>
      </c>
      <c r="I255" t="e">
        <f>_xlfn.XLOOKUP(G255,Models!A:A,Models!E:E)</f>
        <v>#N/A</v>
      </c>
      <c r="J255" t="e">
        <f>_xlfn.XLOOKUP(G255,Models!A:A,Models!D:D)</f>
        <v>#N/A</v>
      </c>
      <c r="K255">
        <f>MacReports!F255</f>
        <v>0</v>
      </c>
      <c r="L255">
        <f>MacReports!G255</f>
        <v>0</v>
      </c>
      <c r="M255" s="15" t="e" cm="1">
        <f t="array" ref="M255">--_xlfn.LET(
    _xlpm.txt, MacReports!H255,
    _xlpm.chars, MID(_xlpm.txt, _xlfn.SEQUENCE(LEN(_xlpm.txt)), 1),
    _xlfn.TEXTJOIN("", TRUE, IF(ISNUMBER(--_xlpm.chars), _xlpm.chars, ""))
)</f>
        <v>#VALUE!</v>
      </c>
      <c r="N255" s="16" t="str" cm="1">
        <f t="array" ref="N255">_xlfn.IFS(
   --MacReports!M255&lt;55,"Battery Defect",
  -- MacReports!M255&lt;=69,"Battery D",
  --MacReports!M255&lt;=80,"Battery C",
 --MacReports!M255&gt;80,""
)</f>
        <v>Battery Defect</v>
      </c>
      <c r="O255" s="16" t="str">
        <f>IF(MacReports!I255="Service","Battery Service","")</f>
        <v/>
      </c>
      <c r="P255" s="13">
        <f>MacReports!P255</f>
        <v>0</v>
      </c>
      <c r="Q255" s="13" t="str">
        <f>IF(MacReports!J255="Enabled","Apple ID Lock","")</f>
        <v/>
      </c>
      <c r="R255" s="13" t="str">
        <f>IF(MacReports!L255="y","Remote Locked","")</f>
        <v/>
      </c>
      <c r="S255" t="str">
        <f t="shared" si="9"/>
        <v>Battery Defect, 0</v>
      </c>
      <c r="T255" t="str">
        <f>_xlfn.XLOOKUP(B255,Disk_Pivot!G:G,Disk_Pivot!I:I)</f>
        <v>Yes</v>
      </c>
      <c r="U255" t="str">
        <f>_xlfn.XLOOKUP(B255,Disk_Pivot!G:G,Disk_Pivot!N:N)</f>
        <v>Fail</v>
      </c>
      <c r="V255">
        <f>IF(U255="Fail",MacReports!N255,"")</f>
        <v>0</v>
      </c>
      <c r="AB255" t="str">
        <f t="shared" si="10"/>
        <v/>
      </c>
    </row>
    <row r="256" spans="1:28">
      <c r="A256">
        <f>MacReports!A256</f>
        <v>0</v>
      </c>
      <c r="B256">
        <f>MacReports!B256</f>
        <v>0</v>
      </c>
      <c r="C256">
        <f>MacReports!C256</f>
        <v>0</v>
      </c>
      <c r="E256" t="e">
        <f>_xlfn.XLOOKUP(G256,Models!A:A,Models!F:F)</f>
        <v>#N/A</v>
      </c>
      <c r="F256" t="str">
        <f>_xlfn.XLOOKUP(B256,MacReports!B:B,MacReports!D:D,"")</f>
        <v/>
      </c>
      <c r="G256" s="13">
        <f>MacReports!E256</f>
        <v>0</v>
      </c>
      <c r="H256" t="e">
        <f>_xlfn.XLOOKUP(G256,Models!A:A,Models!B:B)</f>
        <v>#N/A</v>
      </c>
      <c r="I256" t="e">
        <f>_xlfn.XLOOKUP(G256,Models!A:A,Models!E:E)</f>
        <v>#N/A</v>
      </c>
      <c r="J256" t="e">
        <f>_xlfn.XLOOKUP(G256,Models!A:A,Models!D:D)</f>
        <v>#N/A</v>
      </c>
      <c r="K256">
        <f>MacReports!F256</f>
        <v>0</v>
      </c>
      <c r="L256">
        <f>MacReports!G256</f>
        <v>0</v>
      </c>
      <c r="M256" s="15" t="e" cm="1">
        <f t="array" ref="M256">--_xlfn.LET(
    _xlpm.txt, MacReports!H256,
    _xlpm.chars, MID(_xlpm.txt, _xlfn.SEQUENCE(LEN(_xlpm.txt)), 1),
    _xlfn.TEXTJOIN("", TRUE, IF(ISNUMBER(--_xlpm.chars), _xlpm.chars, ""))
)</f>
        <v>#VALUE!</v>
      </c>
      <c r="N256" s="16" t="str" cm="1">
        <f t="array" ref="N256">_xlfn.IFS(
   --MacReports!M256&lt;55,"Battery Defect",
  -- MacReports!M256&lt;=69,"Battery D",
  --MacReports!M256&lt;=80,"Battery C",
 --MacReports!M256&gt;80,""
)</f>
        <v>Battery Defect</v>
      </c>
      <c r="O256" s="16" t="str">
        <f>IF(MacReports!I256="Service","Battery Service","")</f>
        <v/>
      </c>
      <c r="P256" s="13">
        <f>MacReports!P256</f>
        <v>0</v>
      </c>
      <c r="Q256" s="13" t="str">
        <f>IF(MacReports!J256="Enabled","Apple ID Lock","")</f>
        <v/>
      </c>
      <c r="R256" s="13" t="str">
        <f>IF(MacReports!L256="y","Remote Locked","")</f>
        <v/>
      </c>
      <c r="S256" t="str">
        <f t="shared" si="9"/>
        <v>Battery Defect, 0</v>
      </c>
      <c r="T256" t="str">
        <f>_xlfn.XLOOKUP(B256,Disk_Pivot!G:G,Disk_Pivot!I:I)</f>
        <v>Yes</v>
      </c>
      <c r="U256" t="str">
        <f>_xlfn.XLOOKUP(B256,Disk_Pivot!G:G,Disk_Pivot!N:N)</f>
        <v>Fail</v>
      </c>
      <c r="V256">
        <f>IF(U256="Fail",MacReports!N256,"")</f>
        <v>0</v>
      </c>
      <c r="AB256" t="str">
        <f t="shared" si="10"/>
        <v/>
      </c>
    </row>
    <row r="257" spans="1:28">
      <c r="A257">
        <f>MacReports!A257</f>
        <v>0</v>
      </c>
      <c r="B257">
        <f>MacReports!B257</f>
        <v>0</v>
      </c>
      <c r="C257">
        <f>MacReports!C257</f>
        <v>0</v>
      </c>
      <c r="E257" t="e">
        <f>_xlfn.XLOOKUP(G257,Models!A:A,Models!F:F)</f>
        <v>#N/A</v>
      </c>
      <c r="F257" t="str">
        <f>_xlfn.XLOOKUP(B257,MacReports!B:B,MacReports!D:D,"")</f>
        <v/>
      </c>
      <c r="G257" s="13">
        <f>MacReports!E257</f>
        <v>0</v>
      </c>
      <c r="H257" t="e">
        <f>_xlfn.XLOOKUP(G257,Models!A:A,Models!B:B)</f>
        <v>#N/A</v>
      </c>
      <c r="I257" t="e">
        <f>_xlfn.XLOOKUP(G257,Models!A:A,Models!E:E)</f>
        <v>#N/A</v>
      </c>
      <c r="J257" t="e">
        <f>_xlfn.XLOOKUP(G257,Models!A:A,Models!D:D)</f>
        <v>#N/A</v>
      </c>
      <c r="K257">
        <f>MacReports!F257</f>
        <v>0</v>
      </c>
      <c r="L257">
        <f>MacReports!G257</f>
        <v>0</v>
      </c>
      <c r="M257" s="15" t="e" cm="1">
        <f t="array" ref="M257">--_xlfn.LET(
    _xlpm.txt, MacReports!H257,
    _xlpm.chars, MID(_xlpm.txt, _xlfn.SEQUENCE(LEN(_xlpm.txt)), 1),
    _xlfn.TEXTJOIN("", TRUE, IF(ISNUMBER(--_xlpm.chars), _xlpm.chars, ""))
)</f>
        <v>#VALUE!</v>
      </c>
      <c r="N257" s="16" t="str" cm="1">
        <f t="array" ref="N257">_xlfn.IFS(
   --MacReports!M257&lt;55,"Battery Defect",
  -- MacReports!M257&lt;=69,"Battery D",
  --MacReports!M257&lt;=80,"Battery C",
 --MacReports!M257&gt;80,""
)</f>
        <v>Battery Defect</v>
      </c>
      <c r="O257" s="16" t="str">
        <f>IF(MacReports!I257="Service","Battery Service","")</f>
        <v/>
      </c>
      <c r="P257" s="13">
        <f>MacReports!P257</f>
        <v>0</v>
      </c>
      <c r="Q257" s="13" t="str">
        <f>IF(MacReports!J257="Enabled","Apple ID Lock","")</f>
        <v/>
      </c>
      <c r="R257" s="13" t="str">
        <f>IF(MacReports!L257="y","Remote Locked","")</f>
        <v/>
      </c>
      <c r="S257" t="str">
        <f t="shared" si="9"/>
        <v>Battery Defect, 0</v>
      </c>
      <c r="T257" t="str">
        <f>_xlfn.XLOOKUP(B257,Disk_Pivot!G:G,Disk_Pivot!I:I)</f>
        <v>Yes</v>
      </c>
      <c r="U257" t="str">
        <f>_xlfn.XLOOKUP(B257,Disk_Pivot!G:G,Disk_Pivot!N:N)</f>
        <v>Fail</v>
      </c>
      <c r="V257">
        <f>IF(U257="Fail",MacReports!N257,"")</f>
        <v>0</v>
      </c>
      <c r="AB257" t="str">
        <f t="shared" si="10"/>
        <v/>
      </c>
    </row>
    <row r="258" spans="1:28">
      <c r="A258">
        <f>MacReports!A258</f>
        <v>0</v>
      </c>
      <c r="B258">
        <f>MacReports!B258</f>
        <v>0</v>
      </c>
      <c r="C258">
        <f>MacReports!C258</f>
        <v>0</v>
      </c>
      <c r="E258" t="e">
        <f>_xlfn.XLOOKUP(G258,Models!A:A,Models!F:F)</f>
        <v>#N/A</v>
      </c>
      <c r="F258" t="str">
        <f>_xlfn.XLOOKUP(B258,MacReports!B:B,MacReports!D:D,"")</f>
        <v/>
      </c>
      <c r="G258" s="13">
        <f>MacReports!E258</f>
        <v>0</v>
      </c>
      <c r="H258" t="e">
        <f>_xlfn.XLOOKUP(G258,Models!A:A,Models!B:B)</f>
        <v>#N/A</v>
      </c>
      <c r="I258" t="e">
        <f>_xlfn.XLOOKUP(G258,Models!A:A,Models!E:E)</f>
        <v>#N/A</v>
      </c>
      <c r="J258" t="e">
        <f>_xlfn.XLOOKUP(G258,Models!A:A,Models!D:D)</f>
        <v>#N/A</v>
      </c>
      <c r="K258">
        <f>MacReports!F258</f>
        <v>0</v>
      </c>
      <c r="L258">
        <f>MacReports!G258</f>
        <v>0</v>
      </c>
      <c r="M258" s="15" t="e" cm="1">
        <f t="array" ref="M258">--_xlfn.LET(
    _xlpm.txt, MacReports!H258,
    _xlpm.chars, MID(_xlpm.txt, _xlfn.SEQUENCE(LEN(_xlpm.txt)), 1),
    _xlfn.TEXTJOIN("", TRUE, IF(ISNUMBER(--_xlpm.chars), _xlpm.chars, ""))
)</f>
        <v>#VALUE!</v>
      </c>
      <c r="N258" s="16" t="str" cm="1">
        <f t="array" ref="N258">_xlfn.IFS(
   --MacReports!M258&lt;55,"Battery Defect",
  -- MacReports!M258&lt;=69,"Battery D",
  --MacReports!M258&lt;=80,"Battery C",
 --MacReports!M258&gt;80,""
)</f>
        <v>Battery Defect</v>
      </c>
      <c r="O258" s="16" t="str">
        <f>IF(MacReports!I258="Service","Battery Service","")</f>
        <v/>
      </c>
      <c r="P258" s="13">
        <f>MacReports!P258</f>
        <v>0</v>
      </c>
      <c r="Q258" s="13" t="str">
        <f>IF(MacReports!J258="Enabled","Apple ID Lock","")</f>
        <v/>
      </c>
      <c r="R258" s="13" t="str">
        <f>IF(MacReports!L258="y","Remote Locked","")</f>
        <v/>
      </c>
      <c r="S258" t="str">
        <f t="shared" si="9"/>
        <v>Battery Defect, 0</v>
      </c>
      <c r="T258" t="str">
        <f>_xlfn.XLOOKUP(B258,Disk_Pivot!G:G,Disk_Pivot!I:I)</f>
        <v>Yes</v>
      </c>
      <c r="U258" t="str">
        <f>_xlfn.XLOOKUP(B258,Disk_Pivot!G:G,Disk_Pivot!N:N)</f>
        <v>Fail</v>
      </c>
      <c r="V258">
        <f>IF(U258="Fail",MacReports!N258,"")</f>
        <v>0</v>
      </c>
      <c r="AB258" t="str">
        <f t="shared" si="10"/>
        <v/>
      </c>
    </row>
    <row r="259" spans="1:28">
      <c r="A259">
        <f>MacReports!A259</f>
        <v>0</v>
      </c>
      <c r="B259">
        <f>MacReports!B259</f>
        <v>0</v>
      </c>
      <c r="C259">
        <f>MacReports!C259</f>
        <v>0</v>
      </c>
      <c r="E259" t="e">
        <f>_xlfn.XLOOKUP(G259,Models!A:A,Models!F:F)</f>
        <v>#N/A</v>
      </c>
      <c r="F259" t="str">
        <f>_xlfn.XLOOKUP(B259,MacReports!B:B,MacReports!D:D,"")</f>
        <v/>
      </c>
      <c r="G259" s="13">
        <f>MacReports!E259</f>
        <v>0</v>
      </c>
      <c r="H259" t="e">
        <f>_xlfn.XLOOKUP(G259,Models!A:A,Models!B:B)</f>
        <v>#N/A</v>
      </c>
      <c r="I259" t="e">
        <f>_xlfn.XLOOKUP(G259,Models!A:A,Models!E:E)</f>
        <v>#N/A</v>
      </c>
      <c r="J259" t="e">
        <f>_xlfn.XLOOKUP(G259,Models!A:A,Models!D:D)</f>
        <v>#N/A</v>
      </c>
      <c r="K259">
        <f>MacReports!F259</f>
        <v>0</v>
      </c>
      <c r="L259">
        <f>MacReports!G259</f>
        <v>0</v>
      </c>
      <c r="M259" s="15" t="e" cm="1">
        <f t="array" ref="M259">--_xlfn.LET(
    _xlpm.txt, MacReports!H259,
    _xlpm.chars, MID(_xlpm.txt, _xlfn.SEQUENCE(LEN(_xlpm.txt)), 1),
    _xlfn.TEXTJOIN("", TRUE, IF(ISNUMBER(--_xlpm.chars), _xlpm.chars, ""))
)</f>
        <v>#VALUE!</v>
      </c>
      <c r="N259" s="16" t="str" cm="1">
        <f t="array" ref="N259">_xlfn.IFS(
   --MacReports!M259&lt;55,"Battery Defect",
  -- MacReports!M259&lt;=69,"Battery D",
  --MacReports!M259&lt;=80,"Battery C",
 --MacReports!M259&gt;80,""
)</f>
        <v>Battery Defect</v>
      </c>
      <c r="O259" s="16" t="str">
        <f>IF(MacReports!I259="Service","Battery Service","")</f>
        <v/>
      </c>
      <c r="P259" s="13">
        <f>MacReports!P259</f>
        <v>0</v>
      </c>
      <c r="Q259" s="13" t="str">
        <f>IF(MacReports!J259="Enabled","Apple ID Lock","")</f>
        <v/>
      </c>
      <c r="R259" s="13" t="str">
        <f>IF(MacReports!L259="y","Remote Locked","")</f>
        <v/>
      </c>
      <c r="S259" t="str">
        <f t="shared" si="9"/>
        <v>Battery Defect, 0</v>
      </c>
      <c r="T259" t="str">
        <f>_xlfn.XLOOKUP(B259,Disk_Pivot!G:G,Disk_Pivot!I:I)</f>
        <v>Yes</v>
      </c>
      <c r="U259" t="str">
        <f>_xlfn.XLOOKUP(B259,Disk_Pivot!G:G,Disk_Pivot!N:N)</f>
        <v>Fail</v>
      </c>
      <c r="V259">
        <f>IF(U259="Fail",MacReports!N259,"")</f>
        <v>0</v>
      </c>
      <c r="AB259" t="str">
        <f t="shared" si="10"/>
        <v/>
      </c>
    </row>
    <row r="260" spans="1:28">
      <c r="A260">
        <f>MacReports!A260</f>
        <v>0</v>
      </c>
      <c r="B260">
        <f>MacReports!B260</f>
        <v>0</v>
      </c>
      <c r="C260">
        <f>MacReports!C260</f>
        <v>0</v>
      </c>
      <c r="E260" t="e">
        <f>_xlfn.XLOOKUP(G260,Models!A:A,Models!F:F)</f>
        <v>#N/A</v>
      </c>
      <c r="F260" t="str">
        <f>_xlfn.XLOOKUP(B260,MacReports!B:B,MacReports!D:D,"")</f>
        <v/>
      </c>
      <c r="G260" s="13">
        <f>MacReports!E260</f>
        <v>0</v>
      </c>
      <c r="H260" t="e">
        <f>_xlfn.XLOOKUP(G260,Models!A:A,Models!B:B)</f>
        <v>#N/A</v>
      </c>
      <c r="I260" t="e">
        <f>_xlfn.XLOOKUP(G260,Models!A:A,Models!E:E)</f>
        <v>#N/A</v>
      </c>
      <c r="J260" t="e">
        <f>_xlfn.XLOOKUP(G260,Models!A:A,Models!D:D)</f>
        <v>#N/A</v>
      </c>
      <c r="K260">
        <f>MacReports!F260</f>
        <v>0</v>
      </c>
      <c r="L260">
        <f>MacReports!G260</f>
        <v>0</v>
      </c>
      <c r="M260" s="15" t="e" cm="1">
        <f t="array" ref="M260">--_xlfn.LET(
    _xlpm.txt, MacReports!H260,
    _xlpm.chars, MID(_xlpm.txt, _xlfn.SEQUENCE(LEN(_xlpm.txt)), 1),
    _xlfn.TEXTJOIN("", TRUE, IF(ISNUMBER(--_xlpm.chars), _xlpm.chars, ""))
)</f>
        <v>#VALUE!</v>
      </c>
      <c r="N260" s="16" t="str" cm="1">
        <f t="array" ref="N260">_xlfn.IFS(
   --MacReports!M260&lt;55,"Battery Defect",
  -- MacReports!M260&lt;=69,"Battery D",
  --MacReports!M260&lt;=80,"Battery C",
 --MacReports!M260&gt;80,""
)</f>
        <v>Battery Defect</v>
      </c>
      <c r="O260" s="16" t="str">
        <f>IF(MacReports!I260="Service","Battery Service","")</f>
        <v/>
      </c>
      <c r="P260" s="13">
        <f>MacReports!P260</f>
        <v>0</v>
      </c>
      <c r="Q260" s="13" t="str">
        <f>IF(MacReports!J260="Enabled","Apple ID Lock","")</f>
        <v/>
      </c>
      <c r="R260" s="13" t="str">
        <f>IF(MacReports!L260="y","Remote Locked","")</f>
        <v/>
      </c>
      <c r="S260" t="str">
        <f t="shared" si="9"/>
        <v>Battery Defect, 0</v>
      </c>
      <c r="T260" t="str">
        <f>_xlfn.XLOOKUP(B260,Disk_Pivot!G:G,Disk_Pivot!I:I)</f>
        <v>Yes</v>
      </c>
      <c r="U260" t="str">
        <f>_xlfn.XLOOKUP(B260,Disk_Pivot!G:G,Disk_Pivot!N:N)</f>
        <v>Fail</v>
      </c>
      <c r="V260">
        <f>IF(U260="Fail",MacReports!N260,"")</f>
        <v>0</v>
      </c>
      <c r="AB260" t="str">
        <f t="shared" si="10"/>
        <v/>
      </c>
    </row>
    <row r="261" spans="1:28">
      <c r="A261">
        <f>MacReports!A261</f>
        <v>0</v>
      </c>
      <c r="B261">
        <f>MacReports!B261</f>
        <v>0</v>
      </c>
      <c r="C261">
        <f>MacReports!C261</f>
        <v>0</v>
      </c>
      <c r="E261" t="e">
        <f>_xlfn.XLOOKUP(G261,Models!A:A,Models!F:F)</f>
        <v>#N/A</v>
      </c>
      <c r="F261" t="str">
        <f>_xlfn.XLOOKUP(B261,MacReports!B:B,MacReports!D:D,"")</f>
        <v/>
      </c>
      <c r="G261" s="13">
        <f>MacReports!E261</f>
        <v>0</v>
      </c>
      <c r="H261" t="e">
        <f>_xlfn.XLOOKUP(G261,Models!A:A,Models!B:B)</f>
        <v>#N/A</v>
      </c>
      <c r="I261" t="e">
        <f>_xlfn.XLOOKUP(G261,Models!A:A,Models!E:E)</f>
        <v>#N/A</v>
      </c>
      <c r="J261" t="e">
        <f>_xlfn.XLOOKUP(G261,Models!A:A,Models!D:D)</f>
        <v>#N/A</v>
      </c>
      <c r="K261">
        <f>MacReports!F261</f>
        <v>0</v>
      </c>
      <c r="L261">
        <f>MacReports!G261</f>
        <v>0</v>
      </c>
      <c r="M261" s="15" t="e" cm="1">
        <f t="array" ref="M261">--_xlfn.LET(
    _xlpm.txt, MacReports!H261,
    _xlpm.chars, MID(_xlpm.txt, _xlfn.SEQUENCE(LEN(_xlpm.txt)), 1),
    _xlfn.TEXTJOIN("", TRUE, IF(ISNUMBER(--_xlpm.chars), _xlpm.chars, ""))
)</f>
        <v>#VALUE!</v>
      </c>
      <c r="N261" s="16" t="str" cm="1">
        <f t="array" ref="N261">_xlfn.IFS(
   --MacReports!M261&lt;55,"Battery Defect",
  -- MacReports!M261&lt;=69,"Battery D",
  --MacReports!M261&lt;=80,"Battery C",
 --MacReports!M261&gt;80,""
)</f>
        <v>Battery Defect</v>
      </c>
      <c r="O261" s="16" t="str">
        <f>IF(MacReports!I261="Service","Battery Service","")</f>
        <v/>
      </c>
      <c r="P261" s="13">
        <f>MacReports!P261</f>
        <v>0</v>
      </c>
      <c r="Q261" s="13" t="str">
        <f>IF(MacReports!J261="Enabled","Apple ID Lock","")</f>
        <v/>
      </c>
      <c r="R261" s="13" t="str">
        <f>IF(MacReports!L261="y","Remote Locked","")</f>
        <v/>
      </c>
      <c r="S261" t="str">
        <f t="shared" si="9"/>
        <v>Battery Defect, 0</v>
      </c>
      <c r="T261" t="str">
        <f>_xlfn.XLOOKUP(B261,Disk_Pivot!G:G,Disk_Pivot!I:I)</f>
        <v>Yes</v>
      </c>
      <c r="U261" t="str">
        <f>_xlfn.XLOOKUP(B261,Disk_Pivot!G:G,Disk_Pivot!N:N)</f>
        <v>Fail</v>
      </c>
      <c r="V261">
        <f>IF(U261="Fail",MacReports!N261,"")</f>
        <v>0</v>
      </c>
      <c r="AB261" t="str">
        <f t="shared" si="10"/>
        <v/>
      </c>
    </row>
    <row r="262" spans="1:28">
      <c r="A262">
        <f>MacReports!A262</f>
        <v>0</v>
      </c>
      <c r="B262">
        <f>MacReports!B262</f>
        <v>0</v>
      </c>
      <c r="C262">
        <f>MacReports!C262</f>
        <v>0</v>
      </c>
      <c r="E262" t="e">
        <f>_xlfn.XLOOKUP(G262,Models!A:A,Models!F:F)</f>
        <v>#N/A</v>
      </c>
      <c r="F262" t="str">
        <f>_xlfn.XLOOKUP(B262,MacReports!B:B,MacReports!D:D,"")</f>
        <v/>
      </c>
      <c r="G262" s="13">
        <f>MacReports!E262</f>
        <v>0</v>
      </c>
      <c r="H262" t="e">
        <f>_xlfn.XLOOKUP(G262,Models!A:A,Models!B:B)</f>
        <v>#N/A</v>
      </c>
      <c r="I262" t="e">
        <f>_xlfn.XLOOKUP(G262,Models!A:A,Models!E:E)</f>
        <v>#N/A</v>
      </c>
      <c r="J262" t="e">
        <f>_xlfn.XLOOKUP(G262,Models!A:A,Models!D:D)</f>
        <v>#N/A</v>
      </c>
      <c r="K262">
        <f>MacReports!F262</f>
        <v>0</v>
      </c>
      <c r="L262">
        <f>MacReports!G262</f>
        <v>0</v>
      </c>
      <c r="M262" s="15" t="e" cm="1">
        <f t="array" ref="M262">--_xlfn.LET(
    _xlpm.txt, MacReports!H262,
    _xlpm.chars, MID(_xlpm.txt, _xlfn.SEQUENCE(LEN(_xlpm.txt)), 1),
    _xlfn.TEXTJOIN("", TRUE, IF(ISNUMBER(--_xlpm.chars), _xlpm.chars, ""))
)</f>
        <v>#VALUE!</v>
      </c>
      <c r="N262" s="16" t="str" cm="1">
        <f t="array" ref="N262">_xlfn.IFS(
   --MacReports!M262&lt;55,"Battery Defect",
  -- MacReports!M262&lt;=69,"Battery D",
  --MacReports!M262&lt;=80,"Battery C",
 --MacReports!M262&gt;80,""
)</f>
        <v>Battery Defect</v>
      </c>
      <c r="O262" s="16" t="str">
        <f>IF(MacReports!I262="Service","Battery Service","")</f>
        <v/>
      </c>
      <c r="P262" s="13">
        <f>MacReports!P262</f>
        <v>0</v>
      </c>
      <c r="Q262" s="13" t="str">
        <f>IF(MacReports!J262="Enabled","Apple ID Lock","")</f>
        <v/>
      </c>
      <c r="R262" s="13" t="str">
        <f>IF(MacReports!L262="y","Remote Locked","")</f>
        <v/>
      </c>
      <c r="S262" t="str">
        <f t="shared" si="9"/>
        <v>Battery Defect, 0</v>
      </c>
      <c r="T262" t="str">
        <f>_xlfn.XLOOKUP(B262,Disk_Pivot!G:G,Disk_Pivot!I:I)</f>
        <v>Yes</v>
      </c>
      <c r="U262" t="str">
        <f>_xlfn.XLOOKUP(B262,Disk_Pivot!G:G,Disk_Pivot!N:N)</f>
        <v>Fail</v>
      </c>
      <c r="V262">
        <f>IF(U262="Fail",MacReports!N262,"")</f>
        <v>0</v>
      </c>
      <c r="AB262" t="str">
        <f t="shared" si="10"/>
        <v/>
      </c>
    </row>
    <row r="263" spans="1:28">
      <c r="A263">
        <f>MacReports!A263</f>
        <v>0</v>
      </c>
      <c r="B263">
        <f>MacReports!B263</f>
        <v>0</v>
      </c>
      <c r="C263">
        <f>MacReports!C263</f>
        <v>0</v>
      </c>
      <c r="E263" t="e">
        <f>_xlfn.XLOOKUP(G263,Models!A:A,Models!F:F)</f>
        <v>#N/A</v>
      </c>
      <c r="F263" t="str">
        <f>_xlfn.XLOOKUP(B263,MacReports!B:B,MacReports!D:D,"")</f>
        <v/>
      </c>
      <c r="G263" s="13">
        <f>MacReports!E263</f>
        <v>0</v>
      </c>
      <c r="H263" t="e">
        <f>_xlfn.XLOOKUP(G263,Models!A:A,Models!B:B)</f>
        <v>#N/A</v>
      </c>
      <c r="I263" t="e">
        <f>_xlfn.XLOOKUP(G263,Models!A:A,Models!E:E)</f>
        <v>#N/A</v>
      </c>
      <c r="J263" t="e">
        <f>_xlfn.XLOOKUP(G263,Models!A:A,Models!D:D)</f>
        <v>#N/A</v>
      </c>
      <c r="K263">
        <f>MacReports!F263</f>
        <v>0</v>
      </c>
      <c r="L263">
        <f>MacReports!G263</f>
        <v>0</v>
      </c>
      <c r="M263" s="15" t="e" cm="1">
        <f t="array" ref="M263">--_xlfn.LET(
    _xlpm.txt, MacReports!H263,
    _xlpm.chars, MID(_xlpm.txt, _xlfn.SEQUENCE(LEN(_xlpm.txt)), 1),
    _xlfn.TEXTJOIN("", TRUE, IF(ISNUMBER(--_xlpm.chars), _xlpm.chars, ""))
)</f>
        <v>#VALUE!</v>
      </c>
      <c r="N263" s="16" t="str" cm="1">
        <f t="array" ref="N263">_xlfn.IFS(
   --MacReports!M263&lt;55,"Battery Defect",
  -- MacReports!M263&lt;=69,"Battery D",
  --MacReports!M263&lt;=80,"Battery C",
 --MacReports!M263&gt;80,""
)</f>
        <v>Battery Defect</v>
      </c>
      <c r="O263" s="16" t="str">
        <f>IF(MacReports!I263="Service","Battery Service","")</f>
        <v/>
      </c>
      <c r="P263" s="13">
        <f>MacReports!P263</f>
        <v>0</v>
      </c>
      <c r="Q263" s="13" t="str">
        <f>IF(MacReports!J263="Enabled","Apple ID Lock","")</f>
        <v/>
      </c>
      <c r="R263" s="13" t="str">
        <f>IF(MacReports!L263="y","Remote Locked","")</f>
        <v/>
      </c>
      <c r="S263" t="str">
        <f t="shared" si="9"/>
        <v>Battery Defect, 0</v>
      </c>
      <c r="T263" t="str">
        <f>_xlfn.XLOOKUP(B263,Disk_Pivot!G:G,Disk_Pivot!I:I)</f>
        <v>Yes</v>
      </c>
      <c r="U263" t="str">
        <f>_xlfn.XLOOKUP(B263,Disk_Pivot!G:G,Disk_Pivot!N:N)</f>
        <v>Fail</v>
      </c>
      <c r="V263">
        <f>IF(U263="Fail",MacReports!N263,"")</f>
        <v>0</v>
      </c>
      <c r="AB263" t="str">
        <f t="shared" si="10"/>
        <v/>
      </c>
    </row>
    <row r="264" spans="1:28">
      <c r="A264">
        <f>MacReports!A264</f>
        <v>0</v>
      </c>
      <c r="B264">
        <f>MacReports!B264</f>
        <v>0</v>
      </c>
      <c r="C264">
        <f>MacReports!C264</f>
        <v>0</v>
      </c>
      <c r="E264" t="e">
        <f>_xlfn.XLOOKUP(G264,Models!A:A,Models!F:F)</f>
        <v>#N/A</v>
      </c>
      <c r="F264" t="str">
        <f>_xlfn.XLOOKUP(B264,MacReports!B:B,MacReports!D:D,"")</f>
        <v/>
      </c>
      <c r="G264" s="13">
        <f>MacReports!E264</f>
        <v>0</v>
      </c>
      <c r="H264" t="e">
        <f>_xlfn.XLOOKUP(G264,Models!A:A,Models!B:B)</f>
        <v>#N/A</v>
      </c>
      <c r="I264" t="e">
        <f>_xlfn.XLOOKUP(G264,Models!A:A,Models!E:E)</f>
        <v>#N/A</v>
      </c>
      <c r="J264" t="e">
        <f>_xlfn.XLOOKUP(G264,Models!A:A,Models!D:D)</f>
        <v>#N/A</v>
      </c>
      <c r="K264">
        <f>MacReports!F264</f>
        <v>0</v>
      </c>
      <c r="L264">
        <f>MacReports!G264</f>
        <v>0</v>
      </c>
      <c r="M264" s="15" t="e" cm="1">
        <f t="array" ref="M264">--_xlfn.LET(
    _xlpm.txt, MacReports!H264,
    _xlpm.chars, MID(_xlpm.txt, _xlfn.SEQUENCE(LEN(_xlpm.txt)), 1),
    _xlfn.TEXTJOIN("", TRUE, IF(ISNUMBER(--_xlpm.chars), _xlpm.chars, ""))
)</f>
        <v>#VALUE!</v>
      </c>
      <c r="N264" s="16" t="str" cm="1">
        <f t="array" ref="N264">_xlfn.IFS(
   --MacReports!M264&lt;55,"Battery Defect",
  -- MacReports!M264&lt;=69,"Battery D",
  --MacReports!M264&lt;=80,"Battery C",
 --MacReports!M264&gt;80,""
)</f>
        <v>Battery Defect</v>
      </c>
      <c r="O264" s="16" t="str">
        <f>IF(MacReports!I264="Service","Battery Service","")</f>
        <v/>
      </c>
      <c r="P264" s="13">
        <f>MacReports!P264</f>
        <v>0</v>
      </c>
      <c r="Q264" s="13" t="str">
        <f>IF(MacReports!J264="Enabled","Apple ID Lock","")</f>
        <v/>
      </c>
      <c r="R264" s="13" t="str">
        <f>IF(MacReports!L264="y","Remote Locked","")</f>
        <v/>
      </c>
      <c r="S264" t="str">
        <f t="shared" si="9"/>
        <v>Battery Defect, 0</v>
      </c>
      <c r="T264" t="str">
        <f>_xlfn.XLOOKUP(B264,Disk_Pivot!G:G,Disk_Pivot!I:I)</f>
        <v>Yes</v>
      </c>
      <c r="U264" t="str">
        <f>_xlfn.XLOOKUP(B264,Disk_Pivot!G:G,Disk_Pivot!N:N)</f>
        <v>Fail</v>
      </c>
      <c r="V264">
        <f>IF(U264="Fail",MacReports!N264,"")</f>
        <v>0</v>
      </c>
      <c r="AB264" t="str">
        <f t="shared" si="10"/>
        <v/>
      </c>
    </row>
    <row r="265" spans="1:28">
      <c r="A265">
        <f>MacReports!A265</f>
        <v>0</v>
      </c>
      <c r="B265">
        <f>MacReports!B265</f>
        <v>0</v>
      </c>
      <c r="C265">
        <f>MacReports!C265</f>
        <v>0</v>
      </c>
      <c r="E265" t="e">
        <f>_xlfn.XLOOKUP(G265,Models!A:A,Models!F:F)</f>
        <v>#N/A</v>
      </c>
      <c r="F265" t="str">
        <f>_xlfn.XLOOKUP(B265,MacReports!B:B,MacReports!D:D,"")</f>
        <v/>
      </c>
      <c r="G265" s="13">
        <f>MacReports!E265</f>
        <v>0</v>
      </c>
      <c r="H265" t="e">
        <f>_xlfn.XLOOKUP(G265,Models!A:A,Models!B:B)</f>
        <v>#N/A</v>
      </c>
      <c r="I265" t="e">
        <f>_xlfn.XLOOKUP(G265,Models!A:A,Models!E:E)</f>
        <v>#N/A</v>
      </c>
      <c r="J265" t="e">
        <f>_xlfn.XLOOKUP(G265,Models!A:A,Models!D:D)</f>
        <v>#N/A</v>
      </c>
      <c r="K265">
        <f>MacReports!F265</f>
        <v>0</v>
      </c>
      <c r="L265">
        <f>MacReports!G265</f>
        <v>0</v>
      </c>
      <c r="M265" s="15" t="e" cm="1">
        <f t="array" ref="M265">--_xlfn.LET(
    _xlpm.txt, MacReports!H265,
    _xlpm.chars, MID(_xlpm.txt, _xlfn.SEQUENCE(LEN(_xlpm.txt)), 1),
    _xlfn.TEXTJOIN("", TRUE, IF(ISNUMBER(--_xlpm.chars), _xlpm.chars, ""))
)</f>
        <v>#VALUE!</v>
      </c>
      <c r="N265" s="16" t="str" cm="1">
        <f t="array" ref="N265">_xlfn.IFS(
   --MacReports!M265&lt;55,"Battery Defect",
  -- MacReports!M265&lt;=69,"Battery D",
  --MacReports!M265&lt;=80,"Battery C",
 --MacReports!M265&gt;80,""
)</f>
        <v>Battery Defect</v>
      </c>
      <c r="O265" s="16" t="str">
        <f>IF(MacReports!I265="Service","Battery Service","")</f>
        <v/>
      </c>
      <c r="P265" s="13">
        <f>MacReports!P265</f>
        <v>0</v>
      </c>
      <c r="Q265" s="13" t="str">
        <f>IF(MacReports!J265="Enabled","Apple ID Lock","")</f>
        <v/>
      </c>
      <c r="R265" s="13" t="str">
        <f>IF(MacReports!L265="y","Remote Locked","")</f>
        <v/>
      </c>
      <c r="S265" t="str">
        <f t="shared" si="9"/>
        <v>Battery Defect, 0</v>
      </c>
      <c r="T265" t="str">
        <f>_xlfn.XLOOKUP(B265,Disk_Pivot!G:G,Disk_Pivot!I:I)</f>
        <v>Yes</v>
      </c>
      <c r="U265" t="str">
        <f>_xlfn.XLOOKUP(B265,Disk_Pivot!G:G,Disk_Pivot!N:N)</f>
        <v>Fail</v>
      </c>
      <c r="V265">
        <f>IF(U265="Fail",MacReports!N265,"")</f>
        <v>0</v>
      </c>
      <c r="AB265" t="str">
        <f t="shared" si="10"/>
        <v/>
      </c>
    </row>
    <row r="266" spans="1:28">
      <c r="A266">
        <f>MacReports!A266</f>
        <v>0</v>
      </c>
      <c r="B266">
        <f>MacReports!B266</f>
        <v>0</v>
      </c>
      <c r="C266">
        <f>MacReports!C266</f>
        <v>0</v>
      </c>
      <c r="E266" t="e">
        <f>_xlfn.XLOOKUP(G266,Models!A:A,Models!F:F)</f>
        <v>#N/A</v>
      </c>
      <c r="F266" t="str">
        <f>_xlfn.XLOOKUP(B266,MacReports!B:B,MacReports!D:D,"")</f>
        <v/>
      </c>
      <c r="G266" s="13">
        <f>MacReports!E266</f>
        <v>0</v>
      </c>
      <c r="H266" t="e">
        <f>_xlfn.XLOOKUP(G266,Models!A:A,Models!B:B)</f>
        <v>#N/A</v>
      </c>
      <c r="I266" t="e">
        <f>_xlfn.XLOOKUP(G266,Models!A:A,Models!E:E)</f>
        <v>#N/A</v>
      </c>
      <c r="J266" t="e">
        <f>_xlfn.XLOOKUP(G266,Models!A:A,Models!D:D)</f>
        <v>#N/A</v>
      </c>
      <c r="K266">
        <f>MacReports!F266</f>
        <v>0</v>
      </c>
      <c r="L266">
        <f>MacReports!G266</f>
        <v>0</v>
      </c>
      <c r="M266" s="15" t="e" cm="1">
        <f t="array" ref="M266">--_xlfn.LET(
    _xlpm.txt, MacReports!H266,
    _xlpm.chars, MID(_xlpm.txt, _xlfn.SEQUENCE(LEN(_xlpm.txt)), 1),
    _xlfn.TEXTJOIN("", TRUE, IF(ISNUMBER(--_xlpm.chars), _xlpm.chars, ""))
)</f>
        <v>#VALUE!</v>
      </c>
      <c r="N266" s="16" t="str" cm="1">
        <f t="array" ref="N266">_xlfn.IFS(
   --MacReports!M266&lt;55,"Battery Defect",
  -- MacReports!M266&lt;=69,"Battery D",
  --MacReports!M266&lt;=80,"Battery C",
 --MacReports!M266&gt;80,""
)</f>
        <v>Battery Defect</v>
      </c>
      <c r="O266" s="16" t="str">
        <f>IF(MacReports!I266="Service","Battery Service","")</f>
        <v/>
      </c>
      <c r="P266" s="13">
        <f>MacReports!P266</f>
        <v>0</v>
      </c>
      <c r="Q266" s="13" t="str">
        <f>IF(MacReports!J266="Enabled","Apple ID Lock","")</f>
        <v/>
      </c>
      <c r="R266" s="13" t="str">
        <f>IF(MacReports!L266="y","Remote Locked","")</f>
        <v/>
      </c>
      <c r="S266" t="str">
        <f t="shared" si="9"/>
        <v>Battery Defect, 0</v>
      </c>
      <c r="T266" t="str">
        <f>_xlfn.XLOOKUP(B266,Disk_Pivot!G:G,Disk_Pivot!I:I)</f>
        <v>Yes</v>
      </c>
      <c r="U266" t="str">
        <f>_xlfn.XLOOKUP(B266,Disk_Pivot!G:G,Disk_Pivot!N:N)</f>
        <v>Fail</v>
      </c>
      <c r="V266">
        <f>IF(U266="Fail",MacReports!N266,"")</f>
        <v>0</v>
      </c>
      <c r="AB266" t="str">
        <f t="shared" si="10"/>
        <v/>
      </c>
    </row>
    <row r="267" spans="1:28">
      <c r="A267">
        <f>MacReports!A267</f>
        <v>0</v>
      </c>
      <c r="B267">
        <f>MacReports!B267</f>
        <v>0</v>
      </c>
      <c r="C267">
        <f>MacReports!C267</f>
        <v>0</v>
      </c>
      <c r="E267" t="e">
        <f>_xlfn.XLOOKUP(G267,Models!A:A,Models!F:F)</f>
        <v>#N/A</v>
      </c>
      <c r="F267" t="str">
        <f>_xlfn.XLOOKUP(B267,MacReports!B:B,MacReports!D:D,"")</f>
        <v/>
      </c>
      <c r="G267" s="13">
        <f>MacReports!E267</f>
        <v>0</v>
      </c>
      <c r="H267" t="e">
        <f>_xlfn.XLOOKUP(G267,Models!A:A,Models!B:B)</f>
        <v>#N/A</v>
      </c>
      <c r="I267" t="e">
        <f>_xlfn.XLOOKUP(G267,Models!A:A,Models!E:E)</f>
        <v>#N/A</v>
      </c>
      <c r="J267" t="e">
        <f>_xlfn.XLOOKUP(G267,Models!A:A,Models!D:D)</f>
        <v>#N/A</v>
      </c>
      <c r="K267">
        <f>MacReports!F267</f>
        <v>0</v>
      </c>
      <c r="L267">
        <f>MacReports!G267</f>
        <v>0</v>
      </c>
      <c r="M267" s="15" t="e" cm="1">
        <f t="array" ref="M267">--_xlfn.LET(
    _xlpm.txt, MacReports!H267,
    _xlpm.chars, MID(_xlpm.txt, _xlfn.SEQUENCE(LEN(_xlpm.txt)), 1),
    _xlfn.TEXTJOIN("", TRUE, IF(ISNUMBER(--_xlpm.chars), _xlpm.chars, ""))
)</f>
        <v>#VALUE!</v>
      </c>
      <c r="N267" s="16" t="str" cm="1">
        <f t="array" ref="N267">_xlfn.IFS(
   --MacReports!M267&lt;55,"Battery Defect",
  -- MacReports!M267&lt;=69,"Battery D",
  --MacReports!M267&lt;=80,"Battery C",
 --MacReports!M267&gt;80,""
)</f>
        <v>Battery Defect</v>
      </c>
      <c r="O267" s="16" t="str">
        <f>IF(MacReports!I267="Service","Battery Service","")</f>
        <v/>
      </c>
      <c r="P267" s="13">
        <f>MacReports!P267</f>
        <v>0</v>
      </c>
      <c r="Q267" s="13" t="str">
        <f>IF(MacReports!J267="Enabled","Apple ID Lock","")</f>
        <v/>
      </c>
      <c r="R267" s="13" t="str">
        <f>IF(MacReports!L267="y","Remote Locked","")</f>
        <v/>
      </c>
      <c r="S267" t="str">
        <f t="shared" si="9"/>
        <v>Battery Defect, 0</v>
      </c>
      <c r="T267" t="str">
        <f>_xlfn.XLOOKUP(B267,Disk_Pivot!G:G,Disk_Pivot!I:I)</f>
        <v>Yes</v>
      </c>
      <c r="U267" t="str">
        <f>_xlfn.XLOOKUP(B267,Disk_Pivot!G:G,Disk_Pivot!N:N)</f>
        <v>Fail</v>
      </c>
      <c r="V267">
        <f>IF(U267="Fail",MacReports!N267,"")</f>
        <v>0</v>
      </c>
      <c r="AB267" t="str">
        <f t="shared" si="10"/>
        <v/>
      </c>
    </row>
    <row r="268" spans="1:28">
      <c r="A268">
        <f>MacReports!A268</f>
        <v>0</v>
      </c>
      <c r="B268">
        <f>MacReports!B268</f>
        <v>0</v>
      </c>
      <c r="C268">
        <f>MacReports!C268</f>
        <v>0</v>
      </c>
      <c r="E268" t="e">
        <f>_xlfn.XLOOKUP(G268,Models!A:A,Models!F:F)</f>
        <v>#N/A</v>
      </c>
      <c r="F268" t="str">
        <f>_xlfn.XLOOKUP(B268,MacReports!B:B,MacReports!D:D,"")</f>
        <v/>
      </c>
      <c r="G268" s="13">
        <f>MacReports!E268</f>
        <v>0</v>
      </c>
      <c r="H268" t="e">
        <f>_xlfn.XLOOKUP(G268,Models!A:A,Models!B:B)</f>
        <v>#N/A</v>
      </c>
      <c r="I268" t="e">
        <f>_xlfn.XLOOKUP(G268,Models!A:A,Models!E:E)</f>
        <v>#N/A</v>
      </c>
      <c r="J268" t="e">
        <f>_xlfn.XLOOKUP(G268,Models!A:A,Models!D:D)</f>
        <v>#N/A</v>
      </c>
      <c r="K268">
        <f>MacReports!F268</f>
        <v>0</v>
      </c>
      <c r="L268">
        <f>MacReports!G268</f>
        <v>0</v>
      </c>
      <c r="M268" s="15" t="e" cm="1">
        <f t="array" ref="M268">--_xlfn.LET(
    _xlpm.txt, MacReports!H268,
    _xlpm.chars, MID(_xlpm.txt, _xlfn.SEQUENCE(LEN(_xlpm.txt)), 1),
    _xlfn.TEXTJOIN("", TRUE, IF(ISNUMBER(--_xlpm.chars), _xlpm.chars, ""))
)</f>
        <v>#VALUE!</v>
      </c>
      <c r="N268" s="16" t="str" cm="1">
        <f t="array" ref="N268">_xlfn.IFS(
   --MacReports!M268&lt;55,"Battery Defect",
  -- MacReports!M268&lt;=69,"Battery D",
  --MacReports!M268&lt;=80,"Battery C",
 --MacReports!M268&gt;80,""
)</f>
        <v>Battery Defect</v>
      </c>
      <c r="O268" s="16" t="str">
        <f>IF(MacReports!I268="Service","Battery Service","")</f>
        <v/>
      </c>
      <c r="P268" s="13">
        <f>MacReports!P268</f>
        <v>0</v>
      </c>
      <c r="Q268" s="13" t="str">
        <f>IF(MacReports!J268="Enabled","Apple ID Lock","")</f>
        <v/>
      </c>
      <c r="R268" s="13" t="str">
        <f>IF(MacReports!L268="y","Remote Locked","")</f>
        <v/>
      </c>
      <c r="S268" t="str">
        <f t="shared" si="9"/>
        <v>Battery Defect, 0</v>
      </c>
      <c r="T268" t="str">
        <f>_xlfn.XLOOKUP(B268,Disk_Pivot!G:G,Disk_Pivot!I:I)</f>
        <v>Yes</v>
      </c>
      <c r="U268" t="str">
        <f>_xlfn.XLOOKUP(B268,Disk_Pivot!G:G,Disk_Pivot!N:N)</f>
        <v>Fail</v>
      </c>
      <c r="V268">
        <f>IF(U268="Fail",MacReports!N268,"")</f>
        <v>0</v>
      </c>
      <c r="AB268" t="str">
        <f t="shared" si="10"/>
        <v/>
      </c>
    </row>
    <row r="269" spans="1:28">
      <c r="A269">
        <f>MacReports!A269</f>
        <v>0</v>
      </c>
      <c r="B269">
        <f>MacReports!B269</f>
        <v>0</v>
      </c>
      <c r="C269">
        <f>MacReports!C269</f>
        <v>0</v>
      </c>
      <c r="E269" t="e">
        <f>_xlfn.XLOOKUP(G269,Models!A:A,Models!F:F)</f>
        <v>#N/A</v>
      </c>
      <c r="F269" t="str">
        <f>_xlfn.XLOOKUP(B269,MacReports!B:B,MacReports!D:D,"")</f>
        <v/>
      </c>
      <c r="G269" s="13">
        <f>MacReports!E269</f>
        <v>0</v>
      </c>
      <c r="H269" t="e">
        <f>_xlfn.XLOOKUP(G269,Models!A:A,Models!B:B)</f>
        <v>#N/A</v>
      </c>
      <c r="I269" t="e">
        <f>_xlfn.XLOOKUP(G269,Models!A:A,Models!E:E)</f>
        <v>#N/A</v>
      </c>
      <c r="J269" t="e">
        <f>_xlfn.XLOOKUP(G269,Models!A:A,Models!D:D)</f>
        <v>#N/A</v>
      </c>
      <c r="K269">
        <f>MacReports!F269</f>
        <v>0</v>
      </c>
      <c r="L269">
        <f>MacReports!G269</f>
        <v>0</v>
      </c>
      <c r="M269" s="15" t="e" cm="1">
        <f t="array" ref="M269">--_xlfn.LET(
    _xlpm.txt, MacReports!H269,
    _xlpm.chars, MID(_xlpm.txt, _xlfn.SEQUENCE(LEN(_xlpm.txt)), 1),
    _xlfn.TEXTJOIN("", TRUE, IF(ISNUMBER(--_xlpm.chars), _xlpm.chars, ""))
)</f>
        <v>#VALUE!</v>
      </c>
      <c r="N269" s="16" t="str" cm="1">
        <f t="array" ref="N269">_xlfn.IFS(
   --MacReports!M269&lt;55,"Battery Defect",
  -- MacReports!M269&lt;=69,"Battery D",
  --MacReports!M269&lt;=80,"Battery C",
 --MacReports!M269&gt;80,""
)</f>
        <v>Battery Defect</v>
      </c>
      <c r="O269" s="16" t="str">
        <f>IF(MacReports!I269="Service","Battery Service","")</f>
        <v/>
      </c>
      <c r="P269" s="13">
        <f>MacReports!P269</f>
        <v>0</v>
      </c>
      <c r="Q269" s="13" t="str">
        <f>IF(MacReports!J269="Enabled","Apple ID Lock","")</f>
        <v/>
      </c>
      <c r="R269" s="13" t="str">
        <f>IF(MacReports!L269="y","Remote Locked","")</f>
        <v/>
      </c>
      <c r="S269" t="str">
        <f t="shared" si="9"/>
        <v>Battery Defect, 0</v>
      </c>
      <c r="T269" t="str">
        <f>_xlfn.XLOOKUP(B269,Disk_Pivot!G:G,Disk_Pivot!I:I)</f>
        <v>Yes</v>
      </c>
      <c r="U269" t="str">
        <f>_xlfn.XLOOKUP(B269,Disk_Pivot!G:G,Disk_Pivot!N:N)</f>
        <v>Fail</v>
      </c>
      <c r="V269">
        <f>IF(U269="Fail",MacReports!N269,"")</f>
        <v>0</v>
      </c>
      <c r="AB269" t="str">
        <f t="shared" si="10"/>
        <v/>
      </c>
    </row>
    <row r="270" spans="1:28">
      <c r="A270">
        <f>MacReports!A270</f>
        <v>0</v>
      </c>
      <c r="B270">
        <f>MacReports!B270</f>
        <v>0</v>
      </c>
      <c r="C270">
        <f>MacReports!C270</f>
        <v>0</v>
      </c>
      <c r="E270" t="e">
        <f>_xlfn.XLOOKUP(G270,Models!A:A,Models!F:F)</f>
        <v>#N/A</v>
      </c>
      <c r="F270" t="str">
        <f>_xlfn.XLOOKUP(B270,MacReports!B:B,MacReports!D:D,"")</f>
        <v/>
      </c>
      <c r="G270" s="13">
        <f>MacReports!E270</f>
        <v>0</v>
      </c>
      <c r="H270" t="e">
        <f>_xlfn.XLOOKUP(G270,Models!A:A,Models!B:B)</f>
        <v>#N/A</v>
      </c>
      <c r="I270" t="e">
        <f>_xlfn.XLOOKUP(G270,Models!A:A,Models!E:E)</f>
        <v>#N/A</v>
      </c>
      <c r="J270" t="e">
        <f>_xlfn.XLOOKUP(G270,Models!A:A,Models!D:D)</f>
        <v>#N/A</v>
      </c>
      <c r="K270">
        <f>MacReports!F270</f>
        <v>0</v>
      </c>
      <c r="L270">
        <f>MacReports!G270</f>
        <v>0</v>
      </c>
      <c r="M270" s="15" t="e" cm="1">
        <f t="array" ref="M270">--_xlfn.LET(
    _xlpm.txt, MacReports!H270,
    _xlpm.chars, MID(_xlpm.txt, _xlfn.SEQUENCE(LEN(_xlpm.txt)), 1),
    _xlfn.TEXTJOIN("", TRUE, IF(ISNUMBER(--_xlpm.chars), _xlpm.chars, ""))
)</f>
        <v>#VALUE!</v>
      </c>
      <c r="N270" s="16" t="str" cm="1">
        <f t="array" ref="N270">_xlfn.IFS(
   --MacReports!M270&lt;55,"Battery Defect",
  -- MacReports!M270&lt;=69,"Battery D",
  --MacReports!M270&lt;=80,"Battery C",
 --MacReports!M270&gt;80,""
)</f>
        <v>Battery Defect</v>
      </c>
      <c r="O270" s="16" t="str">
        <f>IF(MacReports!I270="Service","Battery Service","")</f>
        <v/>
      </c>
      <c r="P270" s="13">
        <f>MacReports!P270</f>
        <v>0</v>
      </c>
      <c r="Q270" s="13" t="str">
        <f>IF(MacReports!J270="Enabled","Apple ID Lock","")</f>
        <v/>
      </c>
      <c r="R270" s="13" t="str">
        <f>IF(MacReports!L270="y","Remote Locked","")</f>
        <v/>
      </c>
      <c r="S270" t="str">
        <f t="shared" si="9"/>
        <v>Battery Defect, 0</v>
      </c>
      <c r="T270" t="str">
        <f>_xlfn.XLOOKUP(B270,Disk_Pivot!G:G,Disk_Pivot!I:I)</f>
        <v>Yes</v>
      </c>
      <c r="U270" t="str">
        <f>_xlfn.XLOOKUP(B270,Disk_Pivot!G:G,Disk_Pivot!N:N)</f>
        <v>Fail</v>
      </c>
      <c r="V270">
        <f>IF(U270="Fail",MacReports!N270,"")</f>
        <v>0</v>
      </c>
      <c r="AB270" t="str">
        <f t="shared" si="10"/>
        <v/>
      </c>
    </row>
    <row r="271" spans="1:28">
      <c r="A271">
        <f>MacReports!A271</f>
        <v>0</v>
      </c>
      <c r="B271">
        <f>MacReports!B271</f>
        <v>0</v>
      </c>
      <c r="C271">
        <f>MacReports!C271</f>
        <v>0</v>
      </c>
      <c r="E271" t="e">
        <f>_xlfn.XLOOKUP(G271,Models!A:A,Models!F:F)</f>
        <v>#N/A</v>
      </c>
      <c r="F271" t="str">
        <f>_xlfn.XLOOKUP(B271,MacReports!B:B,MacReports!D:D,"")</f>
        <v/>
      </c>
      <c r="G271" s="13">
        <f>MacReports!E271</f>
        <v>0</v>
      </c>
      <c r="H271" t="e">
        <f>_xlfn.XLOOKUP(G271,Models!A:A,Models!B:B)</f>
        <v>#N/A</v>
      </c>
      <c r="I271" t="e">
        <f>_xlfn.XLOOKUP(G271,Models!A:A,Models!E:E)</f>
        <v>#N/A</v>
      </c>
      <c r="J271" t="e">
        <f>_xlfn.XLOOKUP(G271,Models!A:A,Models!D:D)</f>
        <v>#N/A</v>
      </c>
      <c r="K271">
        <f>MacReports!F271</f>
        <v>0</v>
      </c>
      <c r="L271">
        <f>MacReports!G271</f>
        <v>0</v>
      </c>
      <c r="M271" s="15" t="e" cm="1">
        <f t="array" ref="M271">--_xlfn.LET(
    _xlpm.txt, MacReports!H271,
    _xlpm.chars, MID(_xlpm.txt, _xlfn.SEQUENCE(LEN(_xlpm.txt)), 1),
    _xlfn.TEXTJOIN("", TRUE, IF(ISNUMBER(--_xlpm.chars), _xlpm.chars, ""))
)</f>
        <v>#VALUE!</v>
      </c>
      <c r="N271" s="16" t="str" cm="1">
        <f t="array" ref="N271">_xlfn.IFS(
   --MacReports!M271&lt;55,"Battery Defect",
  -- MacReports!M271&lt;=69,"Battery D",
  --MacReports!M271&lt;=80,"Battery C",
 --MacReports!M271&gt;80,""
)</f>
        <v>Battery Defect</v>
      </c>
      <c r="O271" s="16" t="str">
        <f>IF(MacReports!I271="Service","Battery Service","")</f>
        <v/>
      </c>
      <c r="P271" s="13">
        <f>MacReports!P271</f>
        <v>0</v>
      </c>
      <c r="Q271" s="13" t="str">
        <f>IF(MacReports!J271="Enabled","Apple ID Lock","")</f>
        <v/>
      </c>
      <c r="R271" s="13" t="str">
        <f>IF(MacReports!L271="y","Remote Locked","")</f>
        <v/>
      </c>
      <c r="S271" t="str">
        <f t="shared" si="9"/>
        <v>Battery Defect, 0</v>
      </c>
      <c r="T271" t="str">
        <f>_xlfn.XLOOKUP(B271,Disk_Pivot!G:G,Disk_Pivot!I:I)</f>
        <v>Yes</v>
      </c>
      <c r="U271" t="str">
        <f>_xlfn.XLOOKUP(B271,Disk_Pivot!G:G,Disk_Pivot!N:N)</f>
        <v>Fail</v>
      </c>
      <c r="V271">
        <f>IF(U271="Fail",MacReports!N271,"")</f>
        <v>0</v>
      </c>
      <c r="AB271" t="str">
        <f t="shared" si="10"/>
        <v/>
      </c>
    </row>
    <row r="272" spans="1:28">
      <c r="A272">
        <f>MacReports!A272</f>
        <v>0</v>
      </c>
      <c r="B272">
        <f>MacReports!B272</f>
        <v>0</v>
      </c>
      <c r="C272">
        <f>MacReports!C272</f>
        <v>0</v>
      </c>
      <c r="E272" t="e">
        <f>_xlfn.XLOOKUP(G272,Models!A:A,Models!F:F)</f>
        <v>#N/A</v>
      </c>
      <c r="F272" t="str">
        <f>_xlfn.XLOOKUP(B272,MacReports!B:B,MacReports!D:D,"")</f>
        <v/>
      </c>
      <c r="G272" s="13">
        <f>MacReports!E272</f>
        <v>0</v>
      </c>
      <c r="H272" t="e">
        <f>_xlfn.XLOOKUP(G272,Models!A:A,Models!B:B)</f>
        <v>#N/A</v>
      </c>
      <c r="I272" t="e">
        <f>_xlfn.XLOOKUP(G272,Models!A:A,Models!E:E)</f>
        <v>#N/A</v>
      </c>
      <c r="J272" t="e">
        <f>_xlfn.XLOOKUP(G272,Models!A:A,Models!D:D)</f>
        <v>#N/A</v>
      </c>
      <c r="K272">
        <f>MacReports!F272</f>
        <v>0</v>
      </c>
      <c r="L272">
        <f>MacReports!G272</f>
        <v>0</v>
      </c>
      <c r="M272" s="15" t="e" cm="1">
        <f t="array" ref="M272">--_xlfn.LET(
    _xlpm.txt, MacReports!H272,
    _xlpm.chars, MID(_xlpm.txt, _xlfn.SEQUENCE(LEN(_xlpm.txt)), 1),
    _xlfn.TEXTJOIN("", TRUE, IF(ISNUMBER(--_xlpm.chars), _xlpm.chars, ""))
)</f>
        <v>#VALUE!</v>
      </c>
      <c r="N272" s="16" t="str" cm="1">
        <f t="array" ref="N272">_xlfn.IFS(
   --MacReports!M272&lt;55,"Battery Defect",
  -- MacReports!M272&lt;=69,"Battery D",
  --MacReports!M272&lt;=80,"Battery C",
 --MacReports!M272&gt;80,""
)</f>
        <v>Battery Defect</v>
      </c>
      <c r="O272" s="16" t="str">
        <f>IF(MacReports!I272="Service","Battery Service","")</f>
        <v/>
      </c>
      <c r="P272" s="13">
        <f>MacReports!P272</f>
        <v>0</v>
      </c>
      <c r="Q272" s="13" t="str">
        <f>IF(MacReports!J272="Enabled","Apple ID Lock","")</f>
        <v/>
      </c>
      <c r="R272" s="13" t="str">
        <f>IF(MacReports!L272="y","Remote Locked","")</f>
        <v/>
      </c>
      <c r="S272" t="str">
        <f t="shared" si="9"/>
        <v>Battery Defect, 0</v>
      </c>
      <c r="T272" t="str">
        <f>_xlfn.XLOOKUP(B272,Disk_Pivot!G:G,Disk_Pivot!I:I)</f>
        <v>Yes</v>
      </c>
      <c r="U272" t="str">
        <f>_xlfn.XLOOKUP(B272,Disk_Pivot!G:G,Disk_Pivot!N:N)</f>
        <v>Fail</v>
      </c>
      <c r="V272">
        <f>IF(U272="Fail",MacReports!N272,"")</f>
        <v>0</v>
      </c>
      <c r="AB272" t="str">
        <f t="shared" si="10"/>
        <v/>
      </c>
    </row>
    <row r="273" spans="1:28">
      <c r="A273">
        <f>MacReports!A273</f>
        <v>0</v>
      </c>
      <c r="B273">
        <f>MacReports!B273</f>
        <v>0</v>
      </c>
      <c r="C273">
        <f>MacReports!C273</f>
        <v>0</v>
      </c>
      <c r="E273" t="e">
        <f>_xlfn.XLOOKUP(G273,Models!A:A,Models!F:F)</f>
        <v>#N/A</v>
      </c>
      <c r="F273" t="str">
        <f>_xlfn.XLOOKUP(B273,MacReports!B:B,MacReports!D:D,"")</f>
        <v/>
      </c>
      <c r="G273" s="13">
        <f>MacReports!E273</f>
        <v>0</v>
      </c>
      <c r="H273" t="e">
        <f>_xlfn.XLOOKUP(G273,Models!A:A,Models!B:B)</f>
        <v>#N/A</v>
      </c>
      <c r="I273" t="e">
        <f>_xlfn.XLOOKUP(G273,Models!A:A,Models!E:E)</f>
        <v>#N/A</v>
      </c>
      <c r="J273" t="e">
        <f>_xlfn.XLOOKUP(G273,Models!A:A,Models!D:D)</f>
        <v>#N/A</v>
      </c>
      <c r="K273">
        <f>MacReports!F273</f>
        <v>0</v>
      </c>
      <c r="L273">
        <f>MacReports!G273</f>
        <v>0</v>
      </c>
      <c r="M273" s="15" t="e" cm="1">
        <f t="array" ref="M273">--_xlfn.LET(
    _xlpm.txt, MacReports!H273,
    _xlpm.chars, MID(_xlpm.txt, _xlfn.SEQUENCE(LEN(_xlpm.txt)), 1),
    _xlfn.TEXTJOIN("", TRUE, IF(ISNUMBER(--_xlpm.chars), _xlpm.chars, ""))
)</f>
        <v>#VALUE!</v>
      </c>
      <c r="N273" s="16" t="str" cm="1">
        <f t="array" ref="N273">_xlfn.IFS(
   --MacReports!M273&lt;55,"Battery Defect",
  -- MacReports!M273&lt;=69,"Battery D",
  --MacReports!M273&lt;=80,"Battery C",
 --MacReports!M273&gt;80,""
)</f>
        <v>Battery Defect</v>
      </c>
      <c r="O273" s="16" t="str">
        <f>IF(MacReports!I273="Service","Battery Service","")</f>
        <v/>
      </c>
      <c r="P273" s="13">
        <f>MacReports!P273</f>
        <v>0</v>
      </c>
      <c r="Q273" s="13" t="str">
        <f>IF(MacReports!J273="Enabled","Apple ID Lock","")</f>
        <v/>
      </c>
      <c r="R273" s="13" t="str">
        <f>IF(MacReports!L273="y","Remote Locked","")</f>
        <v/>
      </c>
      <c r="S273" t="str">
        <f t="shared" si="9"/>
        <v>Battery Defect, 0</v>
      </c>
      <c r="T273" t="str">
        <f>_xlfn.XLOOKUP(B273,Disk_Pivot!G:G,Disk_Pivot!I:I)</f>
        <v>Yes</v>
      </c>
      <c r="U273" t="str">
        <f>_xlfn.XLOOKUP(B273,Disk_Pivot!G:G,Disk_Pivot!N:N)</f>
        <v>Fail</v>
      </c>
      <c r="V273">
        <f>IF(U273="Fail",MacReports!N273,"")</f>
        <v>0</v>
      </c>
      <c r="AB273" t="str">
        <f t="shared" si="10"/>
        <v/>
      </c>
    </row>
    <row r="274" spans="1:28">
      <c r="A274">
        <f>MacReports!A274</f>
        <v>0</v>
      </c>
      <c r="B274">
        <f>MacReports!B274</f>
        <v>0</v>
      </c>
      <c r="C274">
        <f>MacReports!C274</f>
        <v>0</v>
      </c>
      <c r="E274" t="e">
        <f>_xlfn.XLOOKUP(G274,Models!A:A,Models!F:F)</f>
        <v>#N/A</v>
      </c>
      <c r="F274" t="str">
        <f>_xlfn.XLOOKUP(B274,MacReports!B:B,MacReports!D:D,"")</f>
        <v/>
      </c>
      <c r="G274" s="13">
        <f>MacReports!E274</f>
        <v>0</v>
      </c>
      <c r="H274" t="e">
        <f>_xlfn.XLOOKUP(G274,Models!A:A,Models!B:B)</f>
        <v>#N/A</v>
      </c>
      <c r="I274" t="e">
        <f>_xlfn.XLOOKUP(G274,Models!A:A,Models!E:E)</f>
        <v>#N/A</v>
      </c>
      <c r="J274" t="e">
        <f>_xlfn.XLOOKUP(G274,Models!A:A,Models!D:D)</f>
        <v>#N/A</v>
      </c>
      <c r="K274">
        <f>MacReports!F274</f>
        <v>0</v>
      </c>
      <c r="L274">
        <f>MacReports!G274</f>
        <v>0</v>
      </c>
      <c r="M274" s="15" t="e" cm="1">
        <f t="array" ref="M274">--_xlfn.LET(
    _xlpm.txt, MacReports!H274,
    _xlpm.chars, MID(_xlpm.txt, _xlfn.SEQUENCE(LEN(_xlpm.txt)), 1),
    _xlfn.TEXTJOIN("", TRUE, IF(ISNUMBER(--_xlpm.chars), _xlpm.chars, ""))
)</f>
        <v>#VALUE!</v>
      </c>
      <c r="N274" s="16" t="str" cm="1">
        <f t="array" ref="N274">_xlfn.IFS(
   --MacReports!M274&lt;55,"Battery Defect",
  -- MacReports!M274&lt;=69,"Battery D",
  --MacReports!M274&lt;=80,"Battery C",
 --MacReports!M274&gt;80,""
)</f>
        <v>Battery Defect</v>
      </c>
      <c r="O274" s="16" t="str">
        <f>IF(MacReports!I274="Service","Battery Service","")</f>
        <v/>
      </c>
      <c r="P274" s="13">
        <f>MacReports!P274</f>
        <v>0</v>
      </c>
      <c r="Q274" s="13" t="str">
        <f>IF(MacReports!J274="Enabled","Apple ID Lock","")</f>
        <v/>
      </c>
      <c r="R274" s="13" t="str">
        <f>IF(MacReports!L274="y","Remote Locked","")</f>
        <v/>
      </c>
      <c r="S274" t="str">
        <f t="shared" si="9"/>
        <v>Battery Defect, 0</v>
      </c>
      <c r="T274" t="str">
        <f>_xlfn.XLOOKUP(B274,Disk_Pivot!G:G,Disk_Pivot!I:I)</f>
        <v>Yes</v>
      </c>
      <c r="U274" t="str">
        <f>_xlfn.XLOOKUP(B274,Disk_Pivot!G:G,Disk_Pivot!N:N)</f>
        <v>Fail</v>
      </c>
      <c r="V274">
        <f>IF(U274="Fail",MacReports!N274,"")</f>
        <v>0</v>
      </c>
      <c r="AB274" t="str">
        <f t="shared" si="10"/>
        <v/>
      </c>
    </row>
    <row r="275" spans="1:28">
      <c r="A275">
        <f>MacReports!A275</f>
        <v>0</v>
      </c>
      <c r="B275">
        <f>MacReports!B275</f>
        <v>0</v>
      </c>
      <c r="C275">
        <f>MacReports!C275</f>
        <v>0</v>
      </c>
      <c r="E275" t="e">
        <f>_xlfn.XLOOKUP(G275,Models!A:A,Models!F:F)</f>
        <v>#N/A</v>
      </c>
      <c r="F275" t="str">
        <f>_xlfn.XLOOKUP(B275,MacReports!B:B,MacReports!D:D,"")</f>
        <v/>
      </c>
      <c r="G275" s="13">
        <f>MacReports!E275</f>
        <v>0</v>
      </c>
      <c r="H275" t="e">
        <f>_xlfn.XLOOKUP(G275,Models!A:A,Models!B:B)</f>
        <v>#N/A</v>
      </c>
      <c r="I275" t="e">
        <f>_xlfn.XLOOKUP(G275,Models!A:A,Models!E:E)</f>
        <v>#N/A</v>
      </c>
      <c r="J275" t="e">
        <f>_xlfn.XLOOKUP(G275,Models!A:A,Models!D:D)</f>
        <v>#N/A</v>
      </c>
      <c r="K275">
        <f>MacReports!F275</f>
        <v>0</v>
      </c>
      <c r="L275">
        <f>MacReports!G275</f>
        <v>0</v>
      </c>
      <c r="M275" s="15" t="e" cm="1">
        <f t="array" ref="M275">--_xlfn.LET(
    _xlpm.txt, MacReports!H275,
    _xlpm.chars, MID(_xlpm.txt, _xlfn.SEQUENCE(LEN(_xlpm.txt)), 1),
    _xlfn.TEXTJOIN("", TRUE, IF(ISNUMBER(--_xlpm.chars), _xlpm.chars, ""))
)</f>
        <v>#VALUE!</v>
      </c>
      <c r="N275" s="16" t="str" cm="1">
        <f t="array" ref="N275">_xlfn.IFS(
   --MacReports!M275&lt;55,"Battery Defect",
  -- MacReports!M275&lt;=69,"Battery D",
  --MacReports!M275&lt;=80,"Battery C",
 --MacReports!M275&gt;80,""
)</f>
        <v>Battery Defect</v>
      </c>
      <c r="O275" s="16" t="str">
        <f>IF(MacReports!I275="Service","Battery Service","")</f>
        <v/>
      </c>
      <c r="P275" s="13">
        <f>MacReports!P275</f>
        <v>0</v>
      </c>
      <c r="Q275" s="13" t="str">
        <f>IF(MacReports!J275="Enabled","Apple ID Lock","")</f>
        <v/>
      </c>
      <c r="R275" s="13" t="str">
        <f>IF(MacReports!L275="y","Remote Locked","")</f>
        <v/>
      </c>
      <c r="S275" t="str">
        <f t="shared" si="9"/>
        <v>Battery Defect, 0</v>
      </c>
      <c r="T275" t="str">
        <f>_xlfn.XLOOKUP(B275,Disk_Pivot!G:G,Disk_Pivot!I:I)</f>
        <v>Yes</v>
      </c>
      <c r="U275" t="str">
        <f>_xlfn.XLOOKUP(B275,Disk_Pivot!G:G,Disk_Pivot!N:N)</f>
        <v>Fail</v>
      </c>
      <c r="V275">
        <f>IF(U275="Fail",MacReports!N275,"")</f>
        <v>0</v>
      </c>
      <c r="AB275" t="str">
        <f t="shared" si="10"/>
        <v/>
      </c>
    </row>
    <row r="276" spans="1:28">
      <c r="A276">
        <f>MacReports!A276</f>
        <v>0</v>
      </c>
      <c r="B276">
        <f>MacReports!B276</f>
        <v>0</v>
      </c>
      <c r="C276">
        <f>MacReports!C276</f>
        <v>0</v>
      </c>
      <c r="E276" t="e">
        <f>_xlfn.XLOOKUP(G276,Models!A:A,Models!F:F)</f>
        <v>#N/A</v>
      </c>
      <c r="F276" t="str">
        <f>_xlfn.XLOOKUP(B276,MacReports!B:B,MacReports!D:D,"")</f>
        <v/>
      </c>
      <c r="G276" s="13">
        <f>MacReports!E276</f>
        <v>0</v>
      </c>
      <c r="H276" t="e">
        <f>_xlfn.XLOOKUP(G276,Models!A:A,Models!B:B)</f>
        <v>#N/A</v>
      </c>
      <c r="I276" t="e">
        <f>_xlfn.XLOOKUP(G276,Models!A:A,Models!E:E)</f>
        <v>#N/A</v>
      </c>
      <c r="J276" t="e">
        <f>_xlfn.XLOOKUP(G276,Models!A:A,Models!D:D)</f>
        <v>#N/A</v>
      </c>
      <c r="K276">
        <f>MacReports!F276</f>
        <v>0</v>
      </c>
      <c r="L276">
        <f>MacReports!G276</f>
        <v>0</v>
      </c>
      <c r="M276" s="15" t="e" cm="1">
        <f t="array" ref="M276">--_xlfn.LET(
    _xlpm.txt, MacReports!H276,
    _xlpm.chars, MID(_xlpm.txt, _xlfn.SEQUENCE(LEN(_xlpm.txt)), 1),
    _xlfn.TEXTJOIN("", TRUE, IF(ISNUMBER(--_xlpm.chars), _xlpm.chars, ""))
)</f>
        <v>#VALUE!</v>
      </c>
      <c r="N276" s="16" t="str" cm="1">
        <f t="array" ref="N276">_xlfn.IFS(
   --MacReports!M276&lt;55,"Battery Defect",
  -- MacReports!M276&lt;=69,"Battery D",
  --MacReports!M276&lt;=80,"Battery C",
 --MacReports!M276&gt;80,""
)</f>
        <v>Battery Defect</v>
      </c>
      <c r="O276" s="16" t="str">
        <f>IF(MacReports!I276="Service","Battery Service","")</f>
        <v/>
      </c>
      <c r="P276" s="13">
        <f>MacReports!P276</f>
        <v>0</v>
      </c>
      <c r="Q276" s="13" t="str">
        <f>IF(MacReports!J276="Enabled","Apple ID Lock","")</f>
        <v/>
      </c>
      <c r="R276" s="13" t="str">
        <f>IF(MacReports!L276="y","Remote Locked","")</f>
        <v/>
      </c>
      <c r="S276" t="str">
        <f t="shared" si="9"/>
        <v>Battery Defect, 0</v>
      </c>
      <c r="T276" t="str">
        <f>_xlfn.XLOOKUP(B276,Disk_Pivot!G:G,Disk_Pivot!I:I)</f>
        <v>Yes</v>
      </c>
      <c r="U276" t="str">
        <f>_xlfn.XLOOKUP(B276,Disk_Pivot!G:G,Disk_Pivot!N:N)</f>
        <v>Fail</v>
      </c>
      <c r="V276">
        <f>IF(U276="Fail",MacReports!N276,"")</f>
        <v>0</v>
      </c>
      <c r="AB276" t="str">
        <f t="shared" si="10"/>
        <v/>
      </c>
    </row>
    <row r="277" spans="1:28">
      <c r="A277">
        <f>MacReports!A277</f>
        <v>0</v>
      </c>
      <c r="B277">
        <f>MacReports!B277</f>
        <v>0</v>
      </c>
      <c r="C277">
        <f>MacReports!C277</f>
        <v>0</v>
      </c>
      <c r="E277" t="e">
        <f>_xlfn.XLOOKUP(G277,Models!A:A,Models!F:F)</f>
        <v>#N/A</v>
      </c>
      <c r="F277" t="str">
        <f>_xlfn.XLOOKUP(B277,MacReports!B:B,MacReports!D:D,"")</f>
        <v/>
      </c>
      <c r="G277" s="13">
        <f>MacReports!E277</f>
        <v>0</v>
      </c>
      <c r="H277" t="e">
        <f>_xlfn.XLOOKUP(G277,Models!A:A,Models!B:B)</f>
        <v>#N/A</v>
      </c>
      <c r="I277" t="e">
        <f>_xlfn.XLOOKUP(G277,Models!A:A,Models!E:E)</f>
        <v>#N/A</v>
      </c>
      <c r="J277" t="e">
        <f>_xlfn.XLOOKUP(G277,Models!A:A,Models!D:D)</f>
        <v>#N/A</v>
      </c>
      <c r="K277">
        <f>MacReports!F277</f>
        <v>0</v>
      </c>
      <c r="L277">
        <f>MacReports!G277</f>
        <v>0</v>
      </c>
      <c r="M277" s="15" t="e" cm="1">
        <f t="array" ref="M277">--_xlfn.LET(
    _xlpm.txt, MacReports!H277,
    _xlpm.chars, MID(_xlpm.txt, _xlfn.SEQUENCE(LEN(_xlpm.txt)), 1),
    _xlfn.TEXTJOIN("", TRUE, IF(ISNUMBER(--_xlpm.chars), _xlpm.chars, ""))
)</f>
        <v>#VALUE!</v>
      </c>
      <c r="N277" s="16" t="str" cm="1">
        <f t="array" ref="N277">_xlfn.IFS(
   --MacReports!M277&lt;55,"Battery Defect",
  -- MacReports!M277&lt;=69,"Battery D",
  --MacReports!M277&lt;=80,"Battery C",
 --MacReports!M277&gt;80,""
)</f>
        <v>Battery Defect</v>
      </c>
      <c r="O277" s="16" t="str">
        <f>IF(MacReports!I277="Service","Battery Service","")</f>
        <v/>
      </c>
      <c r="P277" s="13">
        <f>MacReports!P277</f>
        <v>0</v>
      </c>
      <c r="Q277" s="13" t="str">
        <f>IF(MacReports!J277="Enabled","Apple ID Lock","")</f>
        <v/>
      </c>
      <c r="R277" s="13" t="str">
        <f>IF(MacReports!L277="y","Remote Locked","")</f>
        <v/>
      </c>
      <c r="S277" t="str">
        <f t="shared" si="9"/>
        <v>Battery Defect, 0</v>
      </c>
      <c r="T277" t="str">
        <f>_xlfn.XLOOKUP(B277,Disk_Pivot!G:G,Disk_Pivot!I:I)</f>
        <v>Yes</v>
      </c>
      <c r="U277" t="str">
        <f>_xlfn.XLOOKUP(B277,Disk_Pivot!G:G,Disk_Pivot!N:N)</f>
        <v>Fail</v>
      </c>
      <c r="V277">
        <f>IF(U277="Fail",MacReports!N277,"")</f>
        <v>0</v>
      </c>
      <c r="AB277" t="str">
        <f t="shared" si="10"/>
        <v/>
      </c>
    </row>
    <row r="278" spans="1:28">
      <c r="A278">
        <f>MacReports!A278</f>
        <v>0</v>
      </c>
      <c r="B278">
        <f>MacReports!B278</f>
        <v>0</v>
      </c>
      <c r="C278">
        <f>MacReports!C278</f>
        <v>0</v>
      </c>
      <c r="E278" t="e">
        <f>_xlfn.XLOOKUP(G278,Models!A:A,Models!F:F)</f>
        <v>#N/A</v>
      </c>
      <c r="F278" t="str">
        <f>_xlfn.XLOOKUP(B278,MacReports!B:B,MacReports!D:D,"")</f>
        <v/>
      </c>
      <c r="G278" s="13">
        <f>MacReports!E278</f>
        <v>0</v>
      </c>
      <c r="H278" t="e">
        <f>_xlfn.XLOOKUP(G278,Models!A:A,Models!B:B)</f>
        <v>#N/A</v>
      </c>
      <c r="I278" t="e">
        <f>_xlfn.XLOOKUP(G278,Models!A:A,Models!E:E)</f>
        <v>#N/A</v>
      </c>
      <c r="J278" t="e">
        <f>_xlfn.XLOOKUP(G278,Models!A:A,Models!D:D)</f>
        <v>#N/A</v>
      </c>
      <c r="K278">
        <f>MacReports!F278</f>
        <v>0</v>
      </c>
      <c r="L278">
        <f>MacReports!G278</f>
        <v>0</v>
      </c>
      <c r="M278" s="15" t="e" cm="1">
        <f t="array" ref="M278">--_xlfn.LET(
    _xlpm.txt, MacReports!H278,
    _xlpm.chars, MID(_xlpm.txt, _xlfn.SEQUENCE(LEN(_xlpm.txt)), 1),
    _xlfn.TEXTJOIN("", TRUE, IF(ISNUMBER(--_xlpm.chars), _xlpm.chars, ""))
)</f>
        <v>#VALUE!</v>
      </c>
      <c r="N278" s="16" t="str" cm="1">
        <f t="array" ref="N278">_xlfn.IFS(
   --MacReports!M278&lt;55,"Battery Defect",
  -- MacReports!M278&lt;=69,"Battery D",
  --MacReports!M278&lt;=80,"Battery C",
 --MacReports!M278&gt;80,""
)</f>
        <v>Battery Defect</v>
      </c>
      <c r="O278" s="16" t="str">
        <f>IF(MacReports!I278="Service","Battery Service","")</f>
        <v/>
      </c>
      <c r="P278" s="13">
        <f>MacReports!P278</f>
        <v>0</v>
      </c>
      <c r="Q278" s="13" t="str">
        <f>IF(MacReports!J278="Enabled","Apple ID Lock","")</f>
        <v/>
      </c>
      <c r="R278" s="13" t="str">
        <f>IF(MacReports!L278="y","Remote Locked","")</f>
        <v/>
      </c>
      <c r="S278" t="str">
        <f t="shared" si="9"/>
        <v>Battery Defect, 0</v>
      </c>
      <c r="T278" t="str">
        <f>_xlfn.XLOOKUP(B278,Disk_Pivot!G:G,Disk_Pivot!I:I)</f>
        <v>Yes</v>
      </c>
      <c r="U278" t="str">
        <f>_xlfn.XLOOKUP(B278,Disk_Pivot!G:G,Disk_Pivot!N:N)</f>
        <v>Fail</v>
      </c>
      <c r="V278">
        <f>IF(U278="Fail",MacReports!N278,"")</f>
        <v>0</v>
      </c>
      <c r="AB278" t="str">
        <f t="shared" si="10"/>
        <v/>
      </c>
    </row>
    <row r="279" spans="1:28">
      <c r="A279">
        <f>MacReports!A279</f>
        <v>0</v>
      </c>
      <c r="B279">
        <f>MacReports!B279</f>
        <v>0</v>
      </c>
      <c r="C279">
        <f>MacReports!C279</f>
        <v>0</v>
      </c>
      <c r="E279" t="e">
        <f>_xlfn.XLOOKUP(G279,Models!A:A,Models!F:F)</f>
        <v>#N/A</v>
      </c>
      <c r="F279" t="str">
        <f>_xlfn.XLOOKUP(B279,MacReports!B:B,MacReports!D:D,"")</f>
        <v/>
      </c>
      <c r="G279" s="13">
        <f>MacReports!E279</f>
        <v>0</v>
      </c>
      <c r="H279" t="e">
        <f>_xlfn.XLOOKUP(G279,Models!A:A,Models!B:B)</f>
        <v>#N/A</v>
      </c>
      <c r="I279" t="e">
        <f>_xlfn.XLOOKUP(G279,Models!A:A,Models!E:E)</f>
        <v>#N/A</v>
      </c>
      <c r="J279" t="e">
        <f>_xlfn.XLOOKUP(G279,Models!A:A,Models!D:D)</f>
        <v>#N/A</v>
      </c>
      <c r="K279">
        <f>MacReports!F279</f>
        <v>0</v>
      </c>
      <c r="L279">
        <f>MacReports!G279</f>
        <v>0</v>
      </c>
      <c r="M279" s="15" t="e" cm="1">
        <f t="array" ref="M279">--_xlfn.LET(
    _xlpm.txt, MacReports!H279,
    _xlpm.chars, MID(_xlpm.txt, _xlfn.SEQUENCE(LEN(_xlpm.txt)), 1),
    _xlfn.TEXTJOIN("", TRUE, IF(ISNUMBER(--_xlpm.chars), _xlpm.chars, ""))
)</f>
        <v>#VALUE!</v>
      </c>
      <c r="N279" s="16" t="str" cm="1">
        <f t="array" ref="N279">_xlfn.IFS(
   --MacReports!M279&lt;55,"Battery Defect",
  -- MacReports!M279&lt;=69,"Battery D",
  --MacReports!M279&lt;=80,"Battery C",
 --MacReports!M279&gt;80,""
)</f>
        <v>Battery Defect</v>
      </c>
      <c r="O279" s="16" t="str">
        <f>IF(MacReports!I279="Service","Battery Service","")</f>
        <v/>
      </c>
      <c r="P279" s="13">
        <f>MacReports!P279</f>
        <v>0</v>
      </c>
      <c r="Q279" s="13" t="str">
        <f>IF(MacReports!J279="Enabled","Apple ID Lock","")</f>
        <v/>
      </c>
      <c r="R279" s="13" t="str">
        <f>IF(MacReports!L279="y","Remote Locked","")</f>
        <v/>
      </c>
      <c r="S279" t="str">
        <f t="shared" si="9"/>
        <v>Battery Defect, 0</v>
      </c>
      <c r="T279" t="str">
        <f>_xlfn.XLOOKUP(B279,Disk_Pivot!G:G,Disk_Pivot!I:I)</f>
        <v>Yes</v>
      </c>
      <c r="U279" t="str">
        <f>_xlfn.XLOOKUP(B279,Disk_Pivot!G:G,Disk_Pivot!N:N)</f>
        <v>Fail</v>
      </c>
      <c r="V279">
        <f>IF(U279="Fail",MacReports!N279,"")</f>
        <v>0</v>
      </c>
      <c r="AB279" t="str">
        <f t="shared" si="10"/>
        <v/>
      </c>
    </row>
    <row r="280" spans="1:28">
      <c r="A280">
        <f>MacReports!A280</f>
        <v>0</v>
      </c>
      <c r="B280">
        <f>MacReports!B280</f>
        <v>0</v>
      </c>
      <c r="C280">
        <f>MacReports!C280</f>
        <v>0</v>
      </c>
      <c r="E280" t="e">
        <f>_xlfn.XLOOKUP(G280,Models!A:A,Models!F:F)</f>
        <v>#N/A</v>
      </c>
      <c r="F280" t="str">
        <f>_xlfn.XLOOKUP(B280,MacReports!B:B,MacReports!D:D,"")</f>
        <v/>
      </c>
      <c r="G280" s="13">
        <f>MacReports!E280</f>
        <v>0</v>
      </c>
      <c r="H280" t="e">
        <f>_xlfn.XLOOKUP(G280,Models!A:A,Models!B:B)</f>
        <v>#N/A</v>
      </c>
      <c r="I280" t="e">
        <f>_xlfn.XLOOKUP(G280,Models!A:A,Models!E:E)</f>
        <v>#N/A</v>
      </c>
      <c r="J280" t="e">
        <f>_xlfn.XLOOKUP(G280,Models!A:A,Models!D:D)</f>
        <v>#N/A</v>
      </c>
      <c r="K280">
        <f>MacReports!F280</f>
        <v>0</v>
      </c>
      <c r="L280">
        <f>MacReports!G280</f>
        <v>0</v>
      </c>
      <c r="M280" s="15" t="e" cm="1">
        <f t="array" ref="M280">--_xlfn.LET(
    _xlpm.txt, MacReports!H280,
    _xlpm.chars, MID(_xlpm.txt, _xlfn.SEQUENCE(LEN(_xlpm.txt)), 1),
    _xlfn.TEXTJOIN("", TRUE, IF(ISNUMBER(--_xlpm.chars), _xlpm.chars, ""))
)</f>
        <v>#VALUE!</v>
      </c>
      <c r="N280" s="16" t="str" cm="1">
        <f t="array" ref="N280">_xlfn.IFS(
   --MacReports!M280&lt;55,"Battery Defect",
  -- MacReports!M280&lt;=69,"Battery D",
  --MacReports!M280&lt;=80,"Battery C",
 --MacReports!M280&gt;80,""
)</f>
        <v>Battery Defect</v>
      </c>
      <c r="O280" s="16" t="str">
        <f>IF(MacReports!I280="Service","Battery Service","")</f>
        <v/>
      </c>
      <c r="P280" s="13">
        <f>MacReports!P280</f>
        <v>0</v>
      </c>
      <c r="Q280" s="13" t="str">
        <f>IF(MacReports!J280="Enabled","Apple ID Lock","")</f>
        <v/>
      </c>
      <c r="R280" s="13" t="str">
        <f>IF(MacReports!L280="y","Remote Locked","")</f>
        <v/>
      </c>
      <c r="S280" t="str">
        <f t="shared" si="9"/>
        <v>Battery Defect, 0</v>
      </c>
      <c r="T280" t="str">
        <f>_xlfn.XLOOKUP(B280,Disk_Pivot!G:G,Disk_Pivot!I:I)</f>
        <v>Yes</v>
      </c>
      <c r="U280" t="str">
        <f>_xlfn.XLOOKUP(B280,Disk_Pivot!G:G,Disk_Pivot!N:N)</f>
        <v>Fail</v>
      </c>
      <c r="V280">
        <f>IF(U280="Fail",MacReports!N280,"")</f>
        <v>0</v>
      </c>
      <c r="AB280" t="str">
        <f t="shared" si="10"/>
        <v/>
      </c>
    </row>
    <row r="281" spans="1:28">
      <c r="A281">
        <f>MacReports!A281</f>
        <v>0</v>
      </c>
      <c r="B281">
        <f>MacReports!B281</f>
        <v>0</v>
      </c>
      <c r="C281">
        <f>MacReports!C281</f>
        <v>0</v>
      </c>
      <c r="E281" t="e">
        <f>_xlfn.XLOOKUP(G281,Models!A:A,Models!F:F)</f>
        <v>#N/A</v>
      </c>
      <c r="F281" t="str">
        <f>_xlfn.XLOOKUP(B281,MacReports!B:B,MacReports!D:D,"")</f>
        <v/>
      </c>
      <c r="G281" s="13">
        <f>MacReports!E281</f>
        <v>0</v>
      </c>
      <c r="H281" t="e">
        <f>_xlfn.XLOOKUP(G281,Models!A:A,Models!B:B)</f>
        <v>#N/A</v>
      </c>
      <c r="I281" t="e">
        <f>_xlfn.XLOOKUP(G281,Models!A:A,Models!E:E)</f>
        <v>#N/A</v>
      </c>
      <c r="J281" t="e">
        <f>_xlfn.XLOOKUP(G281,Models!A:A,Models!D:D)</f>
        <v>#N/A</v>
      </c>
      <c r="K281">
        <f>MacReports!F281</f>
        <v>0</v>
      </c>
      <c r="L281">
        <f>MacReports!G281</f>
        <v>0</v>
      </c>
      <c r="M281" s="15" t="e" cm="1">
        <f t="array" ref="M281">--_xlfn.LET(
    _xlpm.txt, MacReports!H281,
    _xlpm.chars, MID(_xlpm.txt, _xlfn.SEQUENCE(LEN(_xlpm.txt)), 1),
    _xlfn.TEXTJOIN("", TRUE, IF(ISNUMBER(--_xlpm.chars), _xlpm.chars, ""))
)</f>
        <v>#VALUE!</v>
      </c>
      <c r="N281" s="16" t="str" cm="1">
        <f t="array" ref="N281">_xlfn.IFS(
   --MacReports!M281&lt;55,"Battery Defect",
  -- MacReports!M281&lt;=69,"Battery D",
  --MacReports!M281&lt;=80,"Battery C",
 --MacReports!M281&gt;80,""
)</f>
        <v>Battery Defect</v>
      </c>
      <c r="O281" s="16" t="str">
        <f>IF(MacReports!I281="Service","Battery Service","")</f>
        <v/>
      </c>
      <c r="P281" s="13">
        <f>MacReports!P281</f>
        <v>0</v>
      </c>
      <c r="Q281" s="13" t="str">
        <f>IF(MacReports!J281="Enabled","Apple ID Lock","")</f>
        <v/>
      </c>
      <c r="R281" s="13" t="str">
        <f>IF(MacReports!L281="y","Remote Locked","")</f>
        <v/>
      </c>
      <c r="S281" t="str">
        <f t="shared" si="9"/>
        <v>Battery Defect, 0</v>
      </c>
      <c r="T281" t="str">
        <f>_xlfn.XLOOKUP(B281,Disk_Pivot!G:G,Disk_Pivot!I:I)</f>
        <v>Yes</v>
      </c>
      <c r="U281" t="str">
        <f>_xlfn.XLOOKUP(B281,Disk_Pivot!G:G,Disk_Pivot!N:N)</f>
        <v>Fail</v>
      </c>
      <c r="V281">
        <f>IF(U281="Fail",MacReports!N281,"")</f>
        <v>0</v>
      </c>
      <c r="AB281" t="str">
        <f t="shared" si="10"/>
        <v/>
      </c>
    </row>
    <row r="282" spans="1:28">
      <c r="A282">
        <f>MacReports!A282</f>
        <v>0</v>
      </c>
      <c r="B282">
        <f>MacReports!B282</f>
        <v>0</v>
      </c>
      <c r="C282">
        <f>MacReports!C282</f>
        <v>0</v>
      </c>
      <c r="E282" t="e">
        <f>_xlfn.XLOOKUP(G282,Models!A:A,Models!F:F)</f>
        <v>#N/A</v>
      </c>
      <c r="F282" t="str">
        <f>_xlfn.XLOOKUP(B282,MacReports!B:B,MacReports!D:D,"")</f>
        <v/>
      </c>
      <c r="G282" s="13">
        <f>MacReports!E282</f>
        <v>0</v>
      </c>
      <c r="H282" t="e">
        <f>_xlfn.XLOOKUP(G282,Models!A:A,Models!B:B)</f>
        <v>#N/A</v>
      </c>
      <c r="I282" t="e">
        <f>_xlfn.XLOOKUP(G282,Models!A:A,Models!E:E)</f>
        <v>#N/A</v>
      </c>
      <c r="J282" t="e">
        <f>_xlfn.XLOOKUP(G282,Models!A:A,Models!D:D)</f>
        <v>#N/A</v>
      </c>
      <c r="K282">
        <f>MacReports!F282</f>
        <v>0</v>
      </c>
      <c r="L282">
        <f>MacReports!G282</f>
        <v>0</v>
      </c>
      <c r="M282" s="15" t="e" cm="1">
        <f t="array" ref="M282">--_xlfn.LET(
    _xlpm.txt, MacReports!H282,
    _xlpm.chars, MID(_xlpm.txt, _xlfn.SEQUENCE(LEN(_xlpm.txt)), 1),
    _xlfn.TEXTJOIN("", TRUE, IF(ISNUMBER(--_xlpm.chars), _xlpm.chars, ""))
)</f>
        <v>#VALUE!</v>
      </c>
      <c r="N282" s="16" t="str" cm="1">
        <f t="array" ref="N282">_xlfn.IFS(
   --MacReports!M282&lt;55,"Battery Defect",
  -- MacReports!M282&lt;=69,"Battery D",
  --MacReports!M282&lt;=80,"Battery C",
 --MacReports!M282&gt;80,""
)</f>
        <v>Battery Defect</v>
      </c>
      <c r="O282" s="16" t="str">
        <f>IF(MacReports!I282="Service","Battery Service","")</f>
        <v/>
      </c>
      <c r="P282" s="13">
        <f>MacReports!P282</f>
        <v>0</v>
      </c>
      <c r="Q282" s="13" t="str">
        <f>IF(MacReports!J282="Enabled","Apple ID Lock","")</f>
        <v/>
      </c>
      <c r="R282" s="13" t="str">
        <f>IF(MacReports!L282="y","Remote Locked","")</f>
        <v/>
      </c>
      <c r="S282" t="str">
        <f t="shared" si="9"/>
        <v>Battery Defect, 0</v>
      </c>
      <c r="T282" t="str">
        <f>_xlfn.XLOOKUP(B282,Disk_Pivot!G:G,Disk_Pivot!I:I)</f>
        <v>Yes</v>
      </c>
      <c r="U282" t="str">
        <f>_xlfn.XLOOKUP(B282,Disk_Pivot!G:G,Disk_Pivot!N:N)</f>
        <v>Fail</v>
      </c>
      <c r="V282">
        <f>IF(U282="Fail",MacReports!N282,"")</f>
        <v>0</v>
      </c>
      <c r="AB282" t="str">
        <f t="shared" si="10"/>
        <v/>
      </c>
    </row>
    <row r="283" spans="1:28">
      <c r="A283">
        <f>MacReports!A283</f>
        <v>0</v>
      </c>
      <c r="B283">
        <f>MacReports!B283</f>
        <v>0</v>
      </c>
      <c r="C283">
        <f>MacReports!C283</f>
        <v>0</v>
      </c>
      <c r="E283" t="e">
        <f>_xlfn.XLOOKUP(G283,Models!A:A,Models!F:F)</f>
        <v>#N/A</v>
      </c>
      <c r="F283" t="str">
        <f>_xlfn.XLOOKUP(B283,MacReports!B:B,MacReports!D:D,"")</f>
        <v/>
      </c>
      <c r="G283" s="13">
        <f>MacReports!E283</f>
        <v>0</v>
      </c>
      <c r="H283" t="e">
        <f>_xlfn.XLOOKUP(G283,Models!A:A,Models!B:B)</f>
        <v>#N/A</v>
      </c>
      <c r="I283" t="e">
        <f>_xlfn.XLOOKUP(G283,Models!A:A,Models!E:E)</f>
        <v>#N/A</v>
      </c>
      <c r="J283" t="e">
        <f>_xlfn.XLOOKUP(G283,Models!A:A,Models!D:D)</f>
        <v>#N/A</v>
      </c>
      <c r="K283">
        <f>MacReports!F283</f>
        <v>0</v>
      </c>
      <c r="L283">
        <f>MacReports!G283</f>
        <v>0</v>
      </c>
      <c r="M283" s="15" t="e" cm="1">
        <f t="array" ref="M283">--_xlfn.LET(
    _xlpm.txt, MacReports!H283,
    _xlpm.chars, MID(_xlpm.txt, _xlfn.SEQUENCE(LEN(_xlpm.txt)), 1),
    _xlfn.TEXTJOIN("", TRUE, IF(ISNUMBER(--_xlpm.chars), _xlpm.chars, ""))
)</f>
        <v>#VALUE!</v>
      </c>
      <c r="N283" s="16" t="str" cm="1">
        <f t="array" ref="N283">_xlfn.IFS(
   --MacReports!M283&lt;55,"Battery Defect",
  -- MacReports!M283&lt;=69,"Battery D",
  --MacReports!M283&lt;=80,"Battery C",
 --MacReports!M283&gt;80,""
)</f>
        <v>Battery Defect</v>
      </c>
      <c r="O283" s="16" t="str">
        <f>IF(MacReports!I283="Service","Battery Service","")</f>
        <v/>
      </c>
      <c r="P283" s="13">
        <f>MacReports!P283</f>
        <v>0</v>
      </c>
      <c r="Q283" s="13" t="str">
        <f>IF(MacReports!J283="Enabled","Apple ID Lock","")</f>
        <v/>
      </c>
      <c r="R283" s="13" t="str">
        <f>IF(MacReports!L283="y","Remote Locked","")</f>
        <v/>
      </c>
      <c r="S283" t="str">
        <f t="shared" si="9"/>
        <v>Battery Defect, 0</v>
      </c>
      <c r="T283" t="str">
        <f>_xlfn.XLOOKUP(B283,Disk_Pivot!G:G,Disk_Pivot!I:I)</f>
        <v>Yes</v>
      </c>
      <c r="U283" t="str">
        <f>_xlfn.XLOOKUP(B283,Disk_Pivot!G:G,Disk_Pivot!N:N)</f>
        <v>Fail</v>
      </c>
      <c r="V283">
        <f>IF(U283="Fail",MacReports!N283,"")</f>
        <v>0</v>
      </c>
      <c r="AB283" t="str">
        <f t="shared" si="10"/>
        <v/>
      </c>
    </row>
    <row r="284" spans="1:28">
      <c r="A284">
        <f>MacReports!A284</f>
        <v>0</v>
      </c>
      <c r="B284">
        <f>MacReports!B284</f>
        <v>0</v>
      </c>
      <c r="C284">
        <f>MacReports!C284</f>
        <v>0</v>
      </c>
      <c r="E284" t="e">
        <f>_xlfn.XLOOKUP(G284,Models!A:A,Models!F:F)</f>
        <v>#N/A</v>
      </c>
      <c r="F284" t="str">
        <f>_xlfn.XLOOKUP(B284,MacReports!B:B,MacReports!D:D,"")</f>
        <v/>
      </c>
      <c r="G284" s="13">
        <f>MacReports!E284</f>
        <v>0</v>
      </c>
      <c r="H284" t="e">
        <f>_xlfn.XLOOKUP(G284,Models!A:A,Models!B:B)</f>
        <v>#N/A</v>
      </c>
      <c r="I284" t="e">
        <f>_xlfn.XLOOKUP(G284,Models!A:A,Models!E:E)</f>
        <v>#N/A</v>
      </c>
      <c r="J284" t="e">
        <f>_xlfn.XLOOKUP(G284,Models!A:A,Models!D:D)</f>
        <v>#N/A</v>
      </c>
      <c r="K284">
        <f>MacReports!F284</f>
        <v>0</v>
      </c>
      <c r="L284">
        <f>MacReports!G284</f>
        <v>0</v>
      </c>
      <c r="M284" s="15" t="e" cm="1">
        <f t="array" ref="M284">--_xlfn.LET(
    _xlpm.txt, MacReports!H284,
    _xlpm.chars, MID(_xlpm.txt, _xlfn.SEQUENCE(LEN(_xlpm.txt)), 1),
    _xlfn.TEXTJOIN("", TRUE, IF(ISNUMBER(--_xlpm.chars), _xlpm.chars, ""))
)</f>
        <v>#VALUE!</v>
      </c>
      <c r="N284" s="16" t="str" cm="1">
        <f t="array" ref="N284">_xlfn.IFS(
   --MacReports!M284&lt;55,"Battery Defect",
  -- MacReports!M284&lt;=69,"Battery D",
  --MacReports!M284&lt;=80,"Battery C",
 --MacReports!M284&gt;80,""
)</f>
        <v>Battery Defect</v>
      </c>
      <c r="O284" s="16" t="str">
        <f>IF(MacReports!I284="Service","Battery Service","")</f>
        <v/>
      </c>
      <c r="P284" s="13">
        <f>MacReports!P284</f>
        <v>0</v>
      </c>
      <c r="Q284" s="13" t="str">
        <f>IF(MacReports!J284="Enabled","Apple ID Lock","")</f>
        <v/>
      </c>
      <c r="R284" s="13" t="str">
        <f>IF(MacReports!L284="y","Remote Locked","")</f>
        <v/>
      </c>
      <c r="S284" t="str">
        <f t="shared" si="9"/>
        <v>Battery Defect, 0</v>
      </c>
      <c r="T284" t="str">
        <f>_xlfn.XLOOKUP(B284,Disk_Pivot!G:G,Disk_Pivot!I:I)</f>
        <v>Yes</v>
      </c>
      <c r="U284" t="str">
        <f>_xlfn.XLOOKUP(B284,Disk_Pivot!G:G,Disk_Pivot!N:N)</f>
        <v>Fail</v>
      </c>
      <c r="V284">
        <f>IF(U284="Fail",MacReports!N284,"")</f>
        <v>0</v>
      </c>
      <c r="AB284" t="str">
        <f t="shared" si="10"/>
        <v/>
      </c>
    </row>
    <row r="285" spans="1:28">
      <c r="A285">
        <f>MacReports!A285</f>
        <v>0</v>
      </c>
      <c r="B285">
        <f>MacReports!B285</f>
        <v>0</v>
      </c>
      <c r="C285">
        <f>MacReports!C285</f>
        <v>0</v>
      </c>
      <c r="E285" t="e">
        <f>_xlfn.XLOOKUP(G285,Models!A:A,Models!F:F)</f>
        <v>#N/A</v>
      </c>
      <c r="F285" t="str">
        <f>_xlfn.XLOOKUP(B285,MacReports!B:B,MacReports!D:D,"")</f>
        <v/>
      </c>
      <c r="G285" s="13">
        <f>MacReports!E285</f>
        <v>0</v>
      </c>
      <c r="H285" t="e">
        <f>_xlfn.XLOOKUP(G285,Models!A:A,Models!B:B)</f>
        <v>#N/A</v>
      </c>
      <c r="I285" t="e">
        <f>_xlfn.XLOOKUP(G285,Models!A:A,Models!E:E)</f>
        <v>#N/A</v>
      </c>
      <c r="J285" t="e">
        <f>_xlfn.XLOOKUP(G285,Models!A:A,Models!D:D)</f>
        <v>#N/A</v>
      </c>
      <c r="K285">
        <f>MacReports!F285</f>
        <v>0</v>
      </c>
      <c r="L285">
        <f>MacReports!G285</f>
        <v>0</v>
      </c>
      <c r="M285" s="15" t="e" cm="1">
        <f t="array" ref="M285">--_xlfn.LET(
    _xlpm.txt, MacReports!H285,
    _xlpm.chars, MID(_xlpm.txt, _xlfn.SEQUENCE(LEN(_xlpm.txt)), 1),
    _xlfn.TEXTJOIN("", TRUE, IF(ISNUMBER(--_xlpm.chars), _xlpm.chars, ""))
)</f>
        <v>#VALUE!</v>
      </c>
      <c r="N285" s="16" t="str" cm="1">
        <f t="array" ref="N285">_xlfn.IFS(
   --MacReports!M285&lt;55,"Battery Defect",
  -- MacReports!M285&lt;=69,"Battery D",
  --MacReports!M285&lt;=80,"Battery C",
 --MacReports!M285&gt;80,""
)</f>
        <v>Battery Defect</v>
      </c>
      <c r="O285" s="16" t="str">
        <f>IF(MacReports!I285="Service","Battery Service","")</f>
        <v/>
      </c>
      <c r="P285" s="13">
        <f>MacReports!P285</f>
        <v>0</v>
      </c>
      <c r="Q285" s="13" t="str">
        <f>IF(MacReports!J285="Enabled","Apple ID Lock","")</f>
        <v/>
      </c>
      <c r="R285" s="13" t="str">
        <f>IF(MacReports!L285="y","Remote Locked","")</f>
        <v/>
      </c>
      <c r="S285" t="str">
        <f t="shared" si="9"/>
        <v>Battery Defect, 0</v>
      </c>
      <c r="T285" t="str">
        <f>_xlfn.XLOOKUP(B285,Disk_Pivot!G:G,Disk_Pivot!I:I)</f>
        <v>Yes</v>
      </c>
      <c r="U285" t="str">
        <f>_xlfn.XLOOKUP(B285,Disk_Pivot!G:G,Disk_Pivot!N:N)</f>
        <v>Fail</v>
      </c>
      <c r="V285">
        <f>IF(U285="Fail",MacReports!N285,"")</f>
        <v>0</v>
      </c>
      <c r="AB285" t="str">
        <f t="shared" si="10"/>
        <v/>
      </c>
    </row>
    <row r="286" spans="1:28">
      <c r="A286">
        <f>MacReports!A286</f>
        <v>0</v>
      </c>
      <c r="B286">
        <f>MacReports!B286</f>
        <v>0</v>
      </c>
      <c r="C286">
        <f>MacReports!C286</f>
        <v>0</v>
      </c>
      <c r="E286" t="e">
        <f>_xlfn.XLOOKUP(G286,Models!A:A,Models!F:F)</f>
        <v>#N/A</v>
      </c>
      <c r="F286" t="str">
        <f>_xlfn.XLOOKUP(B286,MacReports!B:B,MacReports!D:D,"")</f>
        <v/>
      </c>
      <c r="G286" s="13">
        <f>MacReports!E286</f>
        <v>0</v>
      </c>
      <c r="H286" t="e">
        <f>_xlfn.XLOOKUP(G286,Models!A:A,Models!B:B)</f>
        <v>#N/A</v>
      </c>
      <c r="I286" t="e">
        <f>_xlfn.XLOOKUP(G286,Models!A:A,Models!E:E)</f>
        <v>#N/A</v>
      </c>
      <c r="J286" t="e">
        <f>_xlfn.XLOOKUP(G286,Models!A:A,Models!D:D)</f>
        <v>#N/A</v>
      </c>
      <c r="K286">
        <f>MacReports!F286</f>
        <v>0</v>
      </c>
      <c r="L286">
        <f>MacReports!G286</f>
        <v>0</v>
      </c>
      <c r="M286" s="15" t="e" cm="1">
        <f t="array" ref="M286">--_xlfn.LET(
    _xlpm.txt, MacReports!H286,
    _xlpm.chars, MID(_xlpm.txt, _xlfn.SEQUENCE(LEN(_xlpm.txt)), 1),
    _xlfn.TEXTJOIN("", TRUE, IF(ISNUMBER(--_xlpm.chars), _xlpm.chars, ""))
)</f>
        <v>#VALUE!</v>
      </c>
      <c r="N286" s="16" t="str" cm="1">
        <f t="array" ref="N286">_xlfn.IFS(
   --MacReports!M286&lt;55,"Battery Defect",
  -- MacReports!M286&lt;=69,"Battery D",
  --MacReports!M286&lt;=80,"Battery C",
 --MacReports!M286&gt;80,""
)</f>
        <v>Battery Defect</v>
      </c>
      <c r="O286" s="16" t="str">
        <f>IF(MacReports!I286="Service","Battery Service","")</f>
        <v/>
      </c>
      <c r="P286" s="13">
        <f>MacReports!P286</f>
        <v>0</v>
      </c>
      <c r="Q286" s="13" t="str">
        <f>IF(MacReports!J286="Enabled","Apple ID Lock","")</f>
        <v/>
      </c>
      <c r="R286" s="13" t="str">
        <f>IF(MacReports!L286="y","Remote Locked","")</f>
        <v/>
      </c>
      <c r="S286" t="str">
        <f t="shared" si="9"/>
        <v>Battery Defect, 0</v>
      </c>
      <c r="T286" t="str">
        <f>_xlfn.XLOOKUP(B286,Disk_Pivot!G:G,Disk_Pivot!I:I)</f>
        <v>Yes</v>
      </c>
      <c r="U286" t="str">
        <f>_xlfn.XLOOKUP(B286,Disk_Pivot!G:G,Disk_Pivot!N:N)</f>
        <v>Fail</v>
      </c>
      <c r="V286">
        <f>IF(U286="Fail",MacReports!N286,"")</f>
        <v>0</v>
      </c>
      <c r="AB286" t="str">
        <f t="shared" si="10"/>
        <v/>
      </c>
    </row>
    <row r="287" spans="1:28">
      <c r="A287">
        <f>MacReports!A287</f>
        <v>0</v>
      </c>
      <c r="B287">
        <f>MacReports!B287</f>
        <v>0</v>
      </c>
      <c r="C287">
        <f>MacReports!C287</f>
        <v>0</v>
      </c>
      <c r="E287" t="e">
        <f>_xlfn.XLOOKUP(G287,Models!A:A,Models!F:F)</f>
        <v>#N/A</v>
      </c>
      <c r="F287" t="str">
        <f>_xlfn.XLOOKUP(B287,MacReports!B:B,MacReports!D:D,"")</f>
        <v/>
      </c>
      <c r="G287" s="13">
        <f>MacReports!E287</f>
        <v>0</v>
      </c>
      <c r="H287" t="e">
        <f>_xlfn.XLOOKUP(G287,Models!A:A,Models!B:B)</f>
        <v>#N/A</v>
      </c>
      <c r="I287" t="e">
        <f>_xlfn.XLOOKUP(G287,Models!A:A,Models!E:E)</f>
        <v>#N/A</v>
      </c>
      <c r="J287" t="e">
        <f>_xlfn.XLOOKUP(G287,Models!A:A,Models!D:D)</f>
        <v>#N/A</v>
      </c>
      <c r="K287">
        <f>MacReports!F287</f>
        <v>0</v>
      </c>
      <c r="L287">
        <f>MacReports!G287</f>
        <v>0</v>
      </c>
      <c r="M287" s="15" t="e" cm="1">
        <f t="array" ref="M287">--_xlfn.LET(
    _xlpm.txt, MacReports!H287,
    _xlpm.chars, MID(_xlpm.txt, _xlfn.SEQUENCE(LEN(_xlpm.txt)), 1),
    _xlfn.TEXTJOIN("", TRUE, IF(ISNUMBER(--_xlpm.chars), _xlpm.chars, ""))
)</f>
        <v>#VALUE!</v>
      </c>
      <c r="N287" s="16" t="str" cm="1">
        <f t="array" ref="N287">_xlfn.IFS(
   --MacReports!M287&lt;55,"Battery Defect",
  -- MacReports!M287&lt;=69,"Battery D",
  --MacReports!M287&lt;=80,"Battery C",
 --MacReports!M287&gt;80,""
)</f>
        <v>Battery Defect</v>
      </c>
      <c r="O287" s="16" t="str">
        <f>IF(MacReports!I287="Service","Battery Service","")</f>
        <v/>
      </c>
      <c r="P287" s="13">
        <f>MacReports!P287</f>
        <v>0</v>
      </c>
      <c r="Q287" s="13" t="str">
        <f>IF(MacReports!J287="Enabled","Apple ID Lock","")</f>
        <v/>
      </c>
      <c r="R287" s="13" t="str">
        <f>IF(MacReports!L287="y","Remote Locked","")</f>
        <v/>
      </c>
      <c r="S287" t="str">
        <f t="shared" si="9"/>
        <v>Battery Defect, 0</v>
      </c>
      <c r="T287" t="str">
        <f>_xlfn.XLOOKUP(B287,Disk_Pivot!G:G,Disk_Pivot!I:I)</f>
        <v>Yes</v>
      </c>
      <c r="U287" t="str">
        <f>_xlfn.XLOOKUP(B287,Disk_Pivot!G:G,Disk_Pivot!N:N)</f>
        <v>Fail</v>
      </c>
      <c r="V287">
        <f>IF(U287="Fail",MacReports!N287,"")</f>
        <v>0</v>
      </c>
      <c r="AB287" t="str">
        <f t="shared" si="10"/>
        <v/>
      </c>
    </row>
    <row r="288" spans="1:28">
      <c r="A288">
        <f>MacReports!A288</f>
        <v>0</v>
      </c>
      <c r="B288">
        <f>MacReports!B288</f>
        <v>0</v>
      </c>
      <c r="C288">
        <f>MacReports!C288</f>
        <v>0</v>
      </c>
      <c r="E288" t="e">
        <f>_xlfn.XLOOKUP(G288,Models!A:A,Models!F:F)</f>
        <v>#N/A</v>
      </c>
      <c r="F288" t="str">
        <f>_xlfn.XLOOKUP(B288,MacReports!B:B,MacReports!D:D,"")</f>
        <v/>
      </c>
      <c r="G288" s="13">
        <f>MacReports!E288</f>
        <v>0</v>
      </c>
      <c r="H288" t="e">
        <f>_xlfn.XLOOKUP(G288,Models!A:A,Models!B:B)</f>
        <v>#N/A</v>
      </c>
      <c r="I288" t="e">
        <f>_xlfn.XLOOKUP(G288,Models!A:A,Models!E:E)</f>
        <v>#N/A</v>
      </c>
      <c r="J288" t="e">
        <f>_xlfn.XLOOKUP(G288,Models!A:A,Models!D:D)</f>
        <v>#N/A</v>
      </c>
      <c r="K288">
        <f>MacReports!F288</f>
        <v>0</v>
      </c>
      <c r="L288">
        <f>MacReports!G288</f>
        <v>0</v>
      </c>
      <c r="M288" s="15" t="e" cm="1">
        <f t="array" ref="M288">--_xlfn.LET(
    _xlpm.txt, MacReports!H288,
    _xlpm.chars, MID(_xlpm.txt, _xlfn.SEQUENCE(LEN(_xlpm.txt)), 1),
    _xlfn.TEXTJOIN("", TRUE, IF(ISNUMBER(--_xlpm.chars), _xlpm.chars, ""))
)</f>
        <v>#VALUE!</v>
      </c>
      <c r="N288" s="16" t="str" cm="1">
        <f t="array" ref="N288">_xlfn.IFS(
   --MacReports!M288&lt;55,"Battery Defect",
  -- MacReports!M288&lt;=69,"Battery D",
  --MacReports!M288&lt;=80,"Battery C",
 --MacReports!M288&gt;80,""
)</f>
        <v>Battery Defect</v>
      </c>
      <c r="O288" s="16" t="str">
        <f>IF(MacReports!I288="Service","Battery Service","")</f>
        <v/>
      </c>
      <c r="P288" s="13">
        <f>MacReports!P288</f>
        <v>0</v>
      </c>
      <c r="Q288" s="13" t="str">
        <f>IF(MacReports!J288="Enabled","Apple ID Lock","")</f>
        <v/>
      </c>
      <c r="R288" s="13" t="str">
        <f>IF(MacReports!L288="y","Remote Locked","")</f>
        <v/>
      </c>
      <c r="S288" t="str">
        <f t="shared" si="9"/>
        <v>Battery Defect, 0</v>
      </c>
      <c r="T288" t="str">
        <f>_xlfn.XLOOKUP(B288,Disk_Pivot!G:G,Disk_Pivot!I:I)</f>
        <v>Yes</v>
      </c>
      <c r="U288" t="str">
        <f>_xlfn.XLOOKUP(B288,Disk_Pivot!G:G,Disk_Pivot!N:N)</f>
        <v>Fail</v>
      </c>
      <c r="V288">
        <f>IF(U288="Fail",MacReports!N288,"")</f>
        <v>0</v>
      </c>
      <c r="AB288" t="str">
        <f t="shared" si="10"/>
        <v/>
      </c>
    </row>
    <row r="289" spans="1:28">
      <c r="A289">
        <f>MacReports!A289</f>
        <v>0</v>
      </c>
      <c r="B289">
        <f>MacReports!B289</f>
        <v>0</v>
      </c>
      <c r="C289">
        <f>MacReports!C289</f>
        <v>0</v>
      </c>
      <c r="E289" t="e">
        <f>_xlfn.XLOOKUP(G289,Models!A:A,Models!F:F)</f>
        <v>#N/A</v>
      </c>
      <c r="F289" t="str">
        <f>_xlfn.XLOOKUP(B289,MacReports!B:B,MacReports!D:D,"")</f>
        <v/>
      </c>
      <c r="G289" s="13">
        <f>MacReports!E289</f>
        <v>0</v>
      </c>
      <c r="H289" t="e">
        <f>_xlfn.XLOOKUP(G289,Models!A:A,Models!B:B)</f>
        <v>#N/A</v>
      </c>
      <c r="I289" t="e">
        <f>_xlfn.XLOOKUP(G289,Models!A:A,Models!E:E)</f>
        <v>#N/A</v>
      </c>
      <c r="J289" t="e">
        <f>_xlfn.XLOOKUP(G289,Models!A:A,Models!D:D)</f>
        <v>#N/A</v>
      </c>
      <c r="K289">
        <f>MacReports!F289</f>
        <v>0</v>
      </c>
      <c r="L289">
        <f>MacReports!G289</f>
        <v>0</v>
      </c>
      <c r="M289" s="15" t="e" cm="1">
        <f t="array" ref="M289">--_xlfn.LET(
    _xlpm.txt, MacReports!H289,
    _xlpm.chars, MID(_xlpm.txt, _xlfn.SEQUENCE(LEN(_xlpm.txt)), 1),
    _xlfn.TEXTJOIN("", TRUE, IF(ISNUMBER(--_xlpm.chars), _xlpm.chars, ""))
)</f>
        <v>#VALUE!</v>
      </c>
      <c r="N289" s="16" t="str" cm="1">
        <f t="array" ref="N289">_xlfn.IFS(
   --MacReports!M289&lt;55,"Battery Defect",
  -- MacReports!M289&lt;=69,"Battery D",
  --MacReports!M289&lt;=80,"Battery C",
 --MacReports!M289&gt;80,""
)</f>
        <v>Battery Defect</v>
      </c>
      <c r="O289" s="16" t="str">
        <f>IF(MacReports!I289="Service","Battery Service","")</f>
        <v/>
      </c>
      <c r="P289" s="13">
        <f>MacReports!P289</f>
        <v>0</v>
      </c>
      <c r="Q289" s="13" t="str">
        <f>IF(MacReports!J289="Enabled","Apple ID Lock","")</f>
        <v/>
      </c>
      <c r="R289" s="13" t="str">
        <f>IF(MacReports!L289="y","Remote Locked","")</f>
        <v/>
      </c>
      <c r="S289" t="str">
        <f t="shared" si="9"/>
        <v>Battery Defect, 0</v>
      </c>
      <c r="T289" t="str">
        <f>_xlfn.XLOOKUP(B289,Disk_Pivot!G:G,Disk_Pivot!I:I)</f>
        <v>Yes</v>
      </c>
      <c r="U289" t="str">
        <f>_xlfn.XLOOKUP(B289,Disk_Pivot!G:G,Disk_Pivot!N:N)</f>
        <v>Fail</v>
      </c>
      <c r="V289">
        <f>IF(U289="Fail",MacReports!N289,"")</f>
        <v>0</v>
      </c>
      <c r="AB289" t="str">
        <f t="shared" si="10"/>
        <v/>
      </c>
    </row>
    <row r="290" spans="1:28">
      <c r="A290">
        <f>MacReports!A290</f>
        <v>0</v>
      </c>
      <c r="B290">
        <f>MacReports!B290</f>
        <v>0</v>
      </c>
      <c r="C290">
        <f>MacReports!C290</f>
        <v>0</v>
      </c>
      <c r="E290" t="e">
        <f>_xlfn.XLOOKUP(G290,Models!A:A,Models!F:F)</f>
        <v>#N/A</v>
      </c>
      <c r="F290" t="str">
        <f>_xlfn.XLOOKUP(B290,MacReports!B:B,MacReports!D:D,"")</f>
        <v/>
      </c>
      <c r="G290" s="13">
        <f>MacReports!E290</f>
        <v>0</v>
      </c>
      <c r="H290" t="e">
        <f>_xlfn.XLOOKUP(G290,Models!A:A,Models!B:B)</f>
        <v>#N/A</v>
      </c>
      <c r="I290" t="e">
        <f>_xlfn.XLOOKUP(G290,Models!A:A,Models!E:E)</f>
        <v>#N/A</v>
      </c>
      <c r="J290" t="e">
        <f>_xlfn.XLOOKUP(G290,Models!A:A,Models!D:D)</f>
        <v>#N/A</v>
      </c>
      <c r="K290">
        <f>MacReports!F290</f>
        <v>0</v>
      </c>
      <c r="L290">
        <f>MacReports!G290</f>
        <v>0</v>
      </c>
      <c r="M290" s="15" t="e" cm="1">
        <f t="array" ref="M290">--_xlfn.LET(
    _xlpm.txt, MacReports!H290,
    _xlpm.chars, MID(_xlpm.txt, _xlfn.SEQUENCE(LEN(_xlpm.txt)), 1),
    _xlfn.TEXTJOIN("", TRUE, IF(ISNUMBER(--_xlpm.chars), _xlpm.chars, ""))
)</f>
        <v>#VALUE!</v>
      </c>
      <c r="N290" s="16" t="str" cm="1">
        <f t="array" ref="N290">_xlfn.IFS(
   --MacReports!M290&lt;55,"Battery Defect",
  -- MacReports!M290&lt;=69,"Battery D",
  --MacReports!M290&lt;=80,"Battery C",
 --MacReports!M290&gt;80,""
)</f>
        <v>Battery Defect</v>
      </c>
      <c r="O290" s="16" t="str">
        <f>IF(MacReports!I290="Service","Battery Service","")</f>
        <v/>
      </c>
      <c r="P290" s="13">
        <f>MacReports!P290</f>
        <v>0</v>
      </c>
      <c r="Q290" s="13" t="str">
        <f>IF(MacReports!J290="Enabled","Apple ID Lock","")</f>
        <v/>
      </c>
      <c r="R290" s="13" t="str">
        <f>IF(MacReports!L290="y","Remote Locked","")</f>
        <v/>
      </c>
      <c r="S290" t="str">
        <f t="shared" si="9"/>
        <v>Battery Defect, 0</v>
      </c>
      <c r="T290" t="str">
        <f>_xlfn.XLOOKUP(B290,Disk_Pivot!G:G,Disk_Pivot!I:I)</f>
        <v>Yes</v>
      </c>
      <c r="U290" t="str">
        <f>_xlfn.XLOOKUP(B290,Disk_Pivot!G:G,Disk_Pivot!N:N)</f>
        <v>Fail</v>
      </c>
      <c r="V290">
        <f>IF(U290="Fail",MacReports!N290,"")</f>
        <v>0</v>
      </c>
      <c r="AB290" t="str">
        <f t="shared" si="10"/>
        <v/>
      </c>
    </row>
    <row r="291" spans="1:28">
      <c r="A291">
        <f>MacReports!A291</f>
        <v>0</v>
      </c>
      <c r="B291">
        <f>MacReports!B291</f>
        <v>0</v>
      </c>
      <c r="C291">
        <f>MacReports!C291</f>
        <v>0</v>
      </c>
      <c r="E291" t="e">
        <f>_xlfn.XLOOKUP(G291,Models!A:A,Models!F:F)</f>
        <v>#N/A</v>
      </c>
      <c r="F291" t="str">
        <f>_xlfn.XLOOKUP(B291,MacReports!B:B,MacReports!D:D,"")</f>
        <v/>
      </c>
      <c r="G291" s="13">
        <f>MacReports!E291</f>
        <v>0</v>
      </c>
      <c r="H291" t="e">
        <f>_xlfn.XLOOKUP(G291,Models!A:A,Models!B:B)</f>
        <v>#N/A</v>
      </c>
      <c r="I291" t="e">
        <f>_xlfn.XLOOKUP(G291,Models!A:A,Models!E:E)</f>
        <v>#N/A</v>
      </c>
      <c r="J291" t="e">
        <f>_xlfn.XLOOKUP(G291,Models!A:A,Models!D:D)</f>
        <v>#N/A</v>
      </c>
      <c r="K291">
        <f>MacReports!F291</f>
        <v>0</v>
      </c>
      <c r="L291">
        <f>MacReports!G291</f>
        <v>0</v>
      </c>
      <c r="M291" s="15" t="e" cm="1">
        <f t="array" ref="M291">--_xlfn.LET(
    _xlpm.txt, MacReports!H291,
    _xlpm.chars, MID(_xlpm.txt, _xlfn.SEQUENCE(LEN(_xlpm.txt)), 1),
    _xlfn.TEXTJOIN("", TRUE, IF(ISNUMBER(--_xlpm.chars), _xlpm.chars, ""))
)</f>
        <v>#VALUE!</v>
      </c>
      <c r="N291" s="16" t="str" cm="1">
        <f t="array" ref="N291">_xlfn.IFS(
   --MacReports!M291&lt;55,"Battery Defect",
  -- MacReports!M291&lt;=69,"Battery D",
  --MacReports!M291&lt;=80,"Battery C",
 --MacReports!M291&gt;80,""
)</f>
        <v>Battery Defect</v>
      </c>
      <c r="O291" s="16" t="str">
        <f>IF(MacReports!I291="Service","Battery Service","")</f>
        <v/>
      </c>
      <c r="P291" s="13">
        <f>MacReports!P291</f>
        <v>0</v>
      </c>
      <c r="Q291" s="13" t="str">
        <f>IF(MacReports!J291="Enabled","Apple ID Lock","")</f>
        <v/>
      </c>
      <c r="R291" s="13" t="str">
        <f>IF(MacReports!L291="y","Remote Locked","")</f>
        <v/>
      </c>
      <c r="S291" t="str">
        <f t="shared" ref="S291:S354" si="11">_xlfn.TEXTJOIN(", ",TRUE,Q291,R291,N291,O291,P291)</f>
        <v>Battery Defect, 0</v>
      </c>
      <c r="T291" t="str">
        <f>_xlfn.XLOOKUP(B291,Disk_Pivot!G:G,Disk_Pivot!I:I)</f>
        <v>Yes</v>
      </c>
      <c r="U291" t="str">
        <f>_xlfn.XLOOKUP(B291,Disk_Pivot!G:G,Disk_Pivot!N:N)</f>
        <v>Fail</v>
      </c>
      <c r="V291">
        <f>IF(U291="Fail",MacReports!N291,"")</f>
        <v>0</v>
      </c>
      <c r="AB291" t="str">
        <f t="shared" ref="AB291:AB354" si="12">_xlfn.TEXTJOIN(", ",TRUE,Q291,R291)</f>
        <v/>
      </c>
    </row>
    <row r="292" spans="1:28">
      <c r="A292">
        <f>MacReports!A292</f>
        <v>0</v>
      </c>
      <c r="B292">
        <f>MacReports!B292</f>
        <v>0</v>
      </c>
      <c r="C292">
        <f>MacReports!C292</f>
        <v>0</v>
      </c>
      <c r="E292" t="e">
        <f>_xlfn.XLOOKUP(G292,Models!A:A,Models!F:F)</f>
        <v>#N/A</v>
      </c>
      <c r="F292" t="str">
        <f>_xlfn.XLOOKUP(B292,MacReports!B:B,MacReports!D:D,"")</f>
        <v/>
      </c>
      <c r="G292" s="13">
        <f>MacReports!E292</f>
        <v>0</v>
      </c>
      <c r="H292" t="e">
        <f>_xlfn.XLOOKUP(G292,Models!A:A,Models!B:B)</f>
        <v>#N/A</v>
      </c>
      <c r="I292" t="e">
        <f>_xlfn.XLOOKUP(G292,Models!A:A,Models!E:E)</f>
        <v>#N/A</v>
      </c>
      <c r="J292" t="e">
        <f>_xlfn.XLOOKUP(G292,Models!A:A,Models!D:D)</f>
        <v>#N/A</v>
      </c>
      <c r="K292">
        <f>MacReports!F292</f>
        <v>0</v>
      </c>
      <c r="L292">
        <f>MacReports!G292</f>
        <v>0</v>
      </c>
      <c r="M292" s="15" t="e" cm="1">
        <f t="array" ref="M292">--_xlfn.LET(
    _xlpm.txt, MacReports!H292,
    _xlpm.chars, MID(_xlpm.txt, _xlfn.SEQUENCE(LEN(_xlpm.txt)), 1),
    _xlfn.TEXTJOIN("", TRUE, IF(ISNUMBER(--_xlpm.chars), _xlpm.chars, ""))
)</f>
        <v>#VALUE!</v>
      </c>
      <c r="N292" s="16" t="str" cm="1">
        <f t="array" ref="N292">_xlfn.IFS(
   --MacReports!M292&lt;55,"Battery Defect",
  -- MacReports!M292&lt;=69,"Battery D",
  --MacReports!M292&lt;=80,"Battery C",
 --MacReports!M292&gt;80,""
)</f>
        <v>Battery Defect</v>
      </c>
      <c r="O292" s="16" t="str">
        <f>IF(MacReports!I292="Service","Battery Service","")</f>
        <v/>
      </c>
      <c r="P292" s="13">
        <f>MacReports!P292</f>
        <v>0</v>
      </c>
      <c r="Q292" s="13" t="str">
        <f>IF(MacReports!J292="Enabled","Apple ID Lock","")</f>
        <v/>
      </c>
      <c r="R292" s="13" t="str">
        <f>IF(MacReports!L292="y","Remote Locked","")</f>
        <v/>
      </c>
      <c r="S292" t="str">
        <f t="shared" si="11"/>
        <v>Battery Defect, 0</v>
      </c>
      <c r="T292" t="str">
        <f>_xlfn.XLOOKUP(B292,Disk_Pivot!G:G,Disk_Pivot!I:I)</f>
        <v>Yes</v>
      </c>
      <c r="U292" t="str">
        <f>_xlfn.XLOOKUP(B292,Disk_Pivot!G:G,Disk_Pivot!N:N)</f>
        <v>Fail</v>
      </c>
      <c r="V292">
        <f>IF(U292="Fail",MacReports!N292,"")</f>
        <v>0</v>
      </c>
      <c r="AB292" t="str">
        <f t="shared" si="12"/>
        <v/>
      </c>
    </row>
    <row r="293" spans="1:28">
      <c r="A293">
        <f>MacReports!A293</f>
        <v>0</v>
      </c>
      <c r="B293">
        <f>MacReports!B293</f>
        <v>0</v>
      </c>
      <c r="C293">
        <f>MacReports!C293</f>
        <v>0</v>
      </c>
      <c r="E293" t="e">
        <f>_xlfn.XLOOKUP(G293,Models!A:A,Models!F:F)</f>
        <v>#N/A</v>
      </c>
      <c r="F293" t="str">
        <f>_xlfn.XLOOKUP(B293,MacReports!B:B,MacReports!D:D,"")</f>
        <v/>
      </c>
      <c r="G293" s="13">
        <f>MacReports!E293</f>
        <v>0</v>
      </c>
      <c r="H293" t="e">
        <f>_xlfn.XLOOKUP(G293,Models!A:A,Models!B:B)</f>
        <v>#N/A</v>
      </c>
      <c r="I293" t="e">
        <f>_xlfn.XLOOKUP(G293,Models!A:A,Models!E:E)</f>
        <v>#N/A</v>
      </c>
      <c r="J293" t="e">
        <f>_xlfn.XLOOKUP(G293,Models!A:A,Models!D:D)</f>
        <v>#N/A</v>
      </c>
      <c r="K293">
        <f>MacReports!F293</f>
        <v>0</v>
      </c>
      <c r="L293">
        <f>MacReports!G293</f>
        <v>0</v>
      </c>
      <c r="M293" s="15" t="e" cm="1">
        <f t="array" ref="M293">--_xlfn.LET(
    _xlpm.txt, MacReports!H293,
    _xlpm.chars, MID(_xlpm.txt, _xlfn.SEQUENCE(LEN(_xlpm.txt)), 1),
    _xlfn.TEXTJOIN("", TRUE, IF(ISNUMBER(--_xlpm.chars), _xlpm.chars, ""))
)</f>
        <v>#VALUE!</v>
      </c>
      <c r="N293" s="16" t="str" cm="1">
        <f t="array" ref="N293">_xlfn.IFS(
   --MacReports!M293&lt;55,"Battery Defect",
  -- MacReports!M293&lt;=69,"Battery D",
  --MacReports!M293&lt;=80,"Battery C",
 --MacReports!M293&gt;80,""
)</f>
        <v>Battery Defect</v>
      </c>
      <c r="O293" s="16" t="str">
        <f>IF(MacReports!I293="Service","Battery Service","")</f>
        <v/>
      </c>
      <c r="P293" s="13">
        <f>MacReports!P293</f>
        <v>0</v>
      </c>
      <c r="Q293" s="13" t="str">
        <f>IF(MacReports!J293="Enabled","Apple ID Lock","")</f>
        <v/>
      </c>
      <c r="R293" s="13" t="str">
        <f>IF(MacReports!L293="y","Remote Locked","")</f>
        <v/>
      </c>
      <c r="S293" t="str">
        <f t="shared" si="11"/>
        <v>Battery Defect, 0</v>
      </c>
      <c r="T293" t="str">
        <f>_xlfn.XLOOKUP(B293,Disk_Pivot!G:G,Disk_Pivot!I:I)</f>
        <v>Yes</v>
      </c>
      <c r="U293" t="str">
        <f>_xlfn.XLOOKUP(B293,Disk_Pivot!G:G,Disk_Pivot!N:N)</f>
        <v>Fail</v>
      </c>
      <c r="V293">
        <f>IF(U293="Fail",MacReports!N293,"")</f>
        <v>0</v>
      </c>
      <c r="AB293" t="str">
        <f t="shared" si="12"/>
        <v/>
      </c>
    </row>
    <row r="294" spans="1:28">
      <c r="A294">
        <f>MacReports!A294</f>
        <v>0</v>
      </c>
      <c r="B294">
        <f>MacReports!B294</f>
        <v>0</v>
      </c>
      <c r="C294">
        <f>MacReports!C294</f>
        <v>0</v>
      </c>
      <c r="E294" t="e">
        <f>_xlfn.XLOOKUP(G294,Models!A:A,Models!F:F)</f>
        <v>#N/A</v>
      </c>
      <c r="F294" t="str">
        <f>_xlfn.XLOOKUP(B294,MacReports!B:B,MacReports!D:D,"")</f>
        <v/>
      </c>
      <c r="G294" s="13">
        <f>MacReports!E294</f>
        <v>0</v>
      </c>
      <c r="H294" t="e">
        <f>_xlfn.XLOOKUP(G294,Models!A:A,Models!B:B)</f>
        <v>#N/A</v>
      </c>
      <c r="I294" t="e">
        <f>_xlfn.XLOOKUP(G294,Models!A:A,Models!E:E)</f>
        <v>#N/A</v>
      </c>
      <c r="J294" t="e">
        <f>_xlfn.XLOOKUP(G294,Models!A:A,Models!D:D)</f>
        <v>#N/A</v>
      </c>
      <c r="K294">
        <f>MacReports!F294</f>
        <v>0</v>
      </c>
      <c r="L294">
        <f>MacReports!G294</f>
        <v>0</v>
      </c>
      <c r="M294" s="15" t="e" cm="1">
        <f t="array" ref="M294">--_xlfn.LET(
    _xlpm.txt, MacReports!H294,
    _xlpm.chars, MID(_xlpm.txt, _xlfn.SEQUENCE(LEN(_xlpm.txt)), 1),
    _xlfn.TEXTJOIN("", TRUE, IF(ISNUMBER(--_xlpm.chars), _xlpm.chars, ""))
)</f>
        <v>#VALUE!</v>
      </c>
      <c r="N294" s="16" t="str" cm="1">
        <f t="array" ref="N294">_xlfn.IFS(
   --MacReports!M294&lt;55,"Battery Defect",
  -- MacReports!M294&lt;=69,"Battery D",
  --MacReports!M294&lt;=80,"Battery C",
 --MacReports!M294&gt;80,""
)</f>
        <v>Battery Defect</v>
      </c>
      <c r="O294" s="16" t="str">
        <f>IF(MacReports!I294="Service","Battery Service","")</f>
        <v/>
      </c>
      <c r="P294" s="13">
        <f>MacReports!P294</f>
        <v>0</v>
      </c>
      <c r="Q294" s="13" t="str">
        <f>IF(MacReports!J294="Enabled","Apple ID Lock","")</f>
        <v/>
      </c>
      <c r="R294" s="13" t="str">
        <f>IF(MacReports!L294="y","Remote Locked","")</f>
        <v/>
      </c>
      <c r="S294" t="str">
        <f t="shared" si="11"/>
        <v>Battery Defect, 0</v>
      </c>
      <c r="T294" t="str">
        <f>_xlfn.XLOOKUP(B294,Disk_Pivot!G:G,Disk_Pivot!I:I)</f>
        <v>Yes</v>
      </c>
      <c r="U294" t="str">
        <f>_xlfn.XLOOKUP(B294,Disk_Pivot!G:G,Disk_Pivot!N:N)</f>
        <v>Fail</v>
      </c>
      <c r="V294">
        <f>IF(U294="Fail",MacReports!N294,"")</f>
        <v>0</v>
      </c>
      <c r="AB294" t="str">
        <f t="shared" si="12"/>
        <v/>
      </c>
    </row>
    <row r="295" spans="1:28">
      <c r="A295">
        <f>MacReports!A295</f>
        <v>0</v>
      </c>
      <c r="B295">
        <f>MacReports!B295</f>
        <v>0</v>
      </c>
      <c r="C295">
        <f>MacReports!C295</f>
        <v>0</v>
      </c>
      <c r="E295" t="e">
        <f>_xlfn.XLOOKUP(G295,Models!A:A,Models!F:F)</f>
        <v>#N/A</v>
      </c>
      <c r="F295" t="str">
        <f>_xlfn.XLOOKUP(B295,MacReports!B:B,MacReports!D:D,"")</f>
        <v/>
      </c>
      <c r="G295" s="13">
        <f>MacReports!E295</f>
        <v>0</v>
      </c>
      <c r="H295" t="e">
        <f>_xlfn.XLOOKUP(G295,Models!A:A,Models!B:B)</f>
        <v>#N/A</v>
      </c>
      <c r="I295" t="e">
        <f>_xlfn.XLOOKUP(G295,Models!A:A,Models!E:E)</f>
        <v>#N/A</v>
      </c>
      <c r="J295" t="e">
        <f>_xlfn.XLOOKUP(G295,Models!A:A,Models!D:D)</f>
        <v>#N/A</v>
      </c>
      <c r="K295">
        <f>MacReports!F295</f>
        <v>0</v>
      </c>
      <c r="L295">
        <f>MacReports!G295</f>
        <v>0</v>
      </c>
      <c r="M295" s="15" t="e" cm="1">
        <f t="array" ref="M295">--_xlfn.LET(
    _xlpm.txt, MacReports!H295,
    _xlpm.chars, MID(_xlpm.txt, _xlfn.SEQUENCE(LEN(_xlpm.txt)), 1),
    _xlfn.TEXTJOIN("", TRUE, IF(ISNUMBER(--_xlpm.chars), _xlpm.chars, ""))
)</f>
        <v>#VALUE!</v>
      </c>
      <c r="N295" s="16" t="str" cm="1">
        <f t="array" ref="N295">_xlfn.IFS(
   --MacReports!M295&lt;55,"Battery Defect",
  -- MacReports!M295&lt;=69,"Battery D",
  --MacReports!M295&lt;=80,"Battery C",
 --MacReports!M295&gt;80,""
)</f>
        <v>Battery Defect</v>
      </c>
      <c r="O295" s="16" t="str">
        <f>IF(MacReports!I295="Service","Battery Service","")</f>
        <v/>
      </c>
      <c r="P295" s="13">
        <f>MacReports!P295</f>
        <v>0</v>
      </c>
      <c r="Q295" s="13" t="str">
        <f>IF(MacReports!J295="Enabled","Apple ID Lock","")</f>
        <v/>
      </c>
      <c r="R295" s="13" t="str">
        <f>IF(MacReports!L295="y","Remote Locked","")</f>
        <v/>
      </c>
      <c r="S295" t="str">
        <f t="shared" si="11"/>
        <v>Battery Defect, 0</v>
      </c>
      <c r="T295" t="str">
        <f>_xlfn.XLOOKUP(B295,Disk_Pivot!G:G,Disk_Pivot!I:I)</f>
        <v>Yes</v>
      </c>
      <c r="U295" t="str">
        <f>_xlfn.XLOOKUP(B295,Disk_Pivot!G:G,Disk_Pivot!N:N)</f>
        <v>Fail</v>
      </c>
      <c r="V295">
        <f>IF(U295="Fail",MacReports!N295,"")</f>
        <v>0</v>
      </c>
      <c r="AB295" t="str">
        <f t="shared" si="12"/>
        <v/>
      </c>
    </row>
    <row r="296" spans="1:28">
      <c r="A296">
        <f>MacReports!A296</f>
        <v>0</v>
      </c>
      <c r="B296">
        <f>MacReports!B296</f>
        <v>0</v>
      </c>
      <c r="C296">
        <f>MacReports!C296</f>
        <v>0</v>
      </c>
      <c r="E296" t="e">
        <f>_xlfn.XLOOKUP(G296,Models!A:A,Models!F:F)</f>
        <v>#N/A</v>
      </c>
      <c r="F296" t="str">
        <f>_xlfn.XLOOKUP(B296,MacReports!B:B,MacReports!D:D,"")</f>
        <v/>
      </c>
      <c r="G296" s="13">
        <f>MacReports!E296</f>
        <v>0</v>
      </c>
      <c r="H296" t="e">
        <f>_xlfn.XLOOKUP(G296,Models!A:A,Models!B:B)</f>
        <v>#N/A</v>
      </c>
      <c r="I296" t="e">
        <f>_xlfn.XLOOKUP(G296,Models!A:A,Models!E:E)</f>
        <v>#N/A</v>
      </c>
      <c r="J296" t="e">
        <f>_xlfn.XLOOKUP(G296,Models!A:A,Models!D:D)</f>
        <v>#N/A</v>
      </c>
      <c r="K296">
        <f>MacReports!F296</f>
        <v>0</v>
      </c>
      <c r="L296">
        <f>MacReports!G296</f>
        <v>0</v>
      </c>
      <c r="M296" s="15" t="e" cm="1">
        <f t="array" ref="M296">--_xlfn.LET(
    _xlpm.txt, MacReports!H296,
    _xlpm.chars, MID(_xlpm.txt, _xlfn.SEQUENCE(LEN(_xlpm.txt)), 1),
    _xlfn.TEXTJOIN("", TRUE, IF(ISNUMBER(--_xlpm.chars), _xlpm.chars, ""))
)</f>
        <v>#VALUE!</v>
      </c>
      <c r="N296" s="16" t="str" cm="1">
        <f t="array" ref="N296">_xlfn.IFS(
   --MacReports!M296&lt;55,"Battery Defect",
  -- MacReports!M296&lt;=69,"Battery D",
  --MacReports!M296&lt;=80,"Battery C",
 --MacReports!M296&gt;80,""
)</f>
        <v>Battery Defect</v>
      </c>
      <c r="O296" s="16" t="str">
        <f>IF(MacReports!I296="Service","Battery Service","")</f>
        <v/>
      </c>
      <c r="P296" s="13">
        <f>MacReports!P296</f>
        <v>0</v>
      </c>
      <c r="Q296" s="13" t="str">
        <f>IF(MacReports!J296="Enabled","Apple ID Lock","")</f>
        <v/>
      </c>
      <c r="R296" s="13" t="str">
        <f>IF(MacReports!L296="y","Remote Locked","")</f>
        <v/>
      </c>
      <c r="S296" t="str">
        <f t="shared" si="11"/>
        <v>Battery Defect, 0</v>
      </c>
      <c r="T296" t="str">
        <f>_xlfn.XLOOKUP(B296,Disk_Pivot!G:G,Disk_Pivot!I:I)</f>
        <v>Yes</v>
      </c>
      <c r="U296" t="str">
        <f>_xlfn.XLOOKUP(B296,Disk_Pivot!G:G,Disk_Pivot!N:N)</f>
        <v>Fail</v>
      </c>
      <c r="V296">
        <f>IF(U296="Fail",MacReports!N296,"")</f>
        <v>0</v>
      </c>
      <c r="AB296" t="str">
        <f t="shared" si="12"/>
        <v/>
      </c>
    </row>
    <row r="297" spans="1:28">
      <c r="A297">
        <f>MacReports!A297</f>
        <v>0</v>
      </c>
      <c r="B297">
        <f>MacReports!B297</f>
        <v>0</v>
      </c>
      <c r="C297">
        <f>MacReports!C297</f>
        <v>0</v>
      </c>
      <c r="E297" t="e">
        <f>_xlfn.XLOOKUP(G297,Models!A:A,Models!F:F)</f>
        <v>#N/A</v>
      </c>
      <c r="F297" t="str">
        <f>_xlfn.XLOOKUP(B297,MacReports!B:B,MacReports!D:D,"")</f>
        <v/>
      </c>
      <c r="G297" s="13">
        <f>MacReports!E297</f>
        <v>0</v>
      </c>
      <c r="H297" t="e">
        <f>_xlfn.XLOOKUP(G297,Models!A:A,Models!B:B)</f>
        <v>#N/A</v>
      </c>
      <c r="I297" t="e">
        <f>_xlfn.XLOOKUP(G297,Models!A:A,Models!E:E)</f>
        <v>#N/A</v>
      </c>
      <c r="J297" t="e">
        <f>_xlfn.XLOOKUP(G297,Models!A:A,Models!D:D)</f>
        <v>#N/A</v>
      </c>
      <c r="K297">
        <f>MacReports!F297</f>
        <v>0</v>
      </c>
      <c r="L297">
        <f>MacReports!G297</f>
        <v>0</v>
      </c>
      <c r="M297" s="15" t="e" cm="1">
        <f t="array" ref="M297">--_xlfn.LET(
    _xlpm.txt, MacReports!H297,
    _xlpm.chars, MID(_xlpm.txt, _xlfn.SEQUENCE(LEN(_xlpm.txt)), 1),
    _xlfn.TEXTJOIN("", TRUE, IF(ISNUMBER(--_xlpm.chars), _xlpm.chars, ""))
)</f>
        <v>#VALUE!</v>
      </c>
      <c r="N297" s="16" t="str" cm="1">
        <f t="array" ref="N297">_xlfn.IFS(
   --MacReports!M297&lt;55,"Battery Defect",
  -- MacReports!M297&lt;=69,"Battery D",
  --MacReports!M297&lt;=80,"Battery C",
 --MacReports!M297&gt;80,""
)</f>
        <v>Battery Defect</v>
      </c>
      <c r="O297" s="16" t="str">
        <f>IF(MacReports!I297="Service","Battery Service","")</f>
        <v/>
      </c>
      <c r="P297" s="13">
        <f>MacReports!P297</f>
        <v>0</v>
      </c>
      <c r="Q297" s="13" t="str">
        <f>IF(MacReports!J297="Enabled","Apple ID Lock","")</f>
        <v/>
      </c>
      <c r="R297" s="13" t="str">
        <f>IF(MacReports!L297="y","Remote Locked","")</f>
        <v/>
      </c>
      <c r="S297" t="str">
        <f t="shared" si="11"/>
        <v>Battery Defect, 0</v>
      </c>
      <c r="T297" t="str">
        <f>_xlfn.XLOOKUP(B297,Disk_Pivot!G:G,Disk_Pivot!I:I)</f>
        <v>Yes</v>
      </c>
      <c r="U297" t="str">
        <f>_xlfn.XLOOKUP(B297,Disk_Pivot!G:G,Disk_Pivot!N:N)</f>
        <v>Fail</v>
      </c>
      <c r="V297">
        <f>IF(U297="Fail",MacReports!N297,"")</f>
        <v>0</v>
      </c>
      <c r="AB297" t="str">
        <f t="shared" si="12"/>
        <v/>
      </c>
    </row>
    <row r="298" spans="1:28">
      <c r="A298">
        <f>MacReports!A298</f>
        <v>0</v>
      </c>
      <c r="B298">
        <f>MacReports!B298</f>
        <v>0</v>
      </c>
      <c r="C298">
        <f>MacReports!C298</f>
        <v>0</v>
      </c>
      <c r="E298" t="e">
        <f>_xlfn.XLOOKUP(G298,Models!A:A,Models!F:F)</f>
        <v>#N/A</v>
      </c>
      <c r="F298" t="str">
        <f>_xlfn.XLOOKUP(B298,MacReports!B:B,MacReports!D:D,"")</f>
        <v/>
      </c>
      <c r="G298" s="13">
        <f>MacReports!E298</f>
        <v>0</v>
      </c>
      <c r="H298" t="e">
        <f>_xlfn.XLOOKUP(G298,Models!A:A,Models!B:B)</f>
        <v>#N/A</v>
      </c>
      <c r="I298" t="e">
        <f>_xlfn.XLOOKUP(G298,Models!A:A,Models!E:E)</f>
        <v>#N/A</v>
      </c>
      <c r="J298" t="e">
        <f>_xlfn.XLOOKUP(G298,Models!A:A,Models!D:D)</f>
        <v>#N/A</v>
      </c>
      <c r="K298">
        <f>MacReports!F298</f>
        <v>0</v>
      </c>
      <c r="L298">
        <f>MacReports!G298</f>
        <v>0</v>
      </c>
      <c r="M298" s="15" t="e" cm="1">
        <f t="array" ref="M298">--_xlfn.LET(
    _xlpm.txt, MacReports!H298,
    _xlpm.chars, MID(_xlpm.txt, _xlfn.SEQUENCE(LEN(_xlpm.txt)), 1),
    _xlfn.TEXTJOIN("", TRUE, IF(ISNUMBER(--_xlpm.chars), _xlpm.chars, ""))
)</f>
        <v>#VALUE!</v>
      </c>
      <c r="N298" s="16" t="str" cm="1">
        <f t="array" ref="N298">_xlfn.IFS(
   --MacReports!M298&lt;55,"Battery Defect",
  -- MacReports!M298&lt;=69,"Battery D",
  --MacReports!M298&lt;=80,"Battery C",
 --MacReports!M298&gt;80,""
)</f>
        <v>Battery Defect</v>
      </c>
      <c r="O298" s="16" t="str">
        <f>IF(MacReports!I298="Service","Battery Service","")</f>
        <v/>
      </c>
      <c r="P298" s="13">
        <f>MacReports!P298</f>
        <v>0</v>
      </c>
      <c r="Q298" s="13" t="str">
        <f>IF(MacReports!J298="Enabled","Apple ID Lock","")</f>
        <v/>
      </c>
      <c r="R298" s="13" t="str">
        <f>IF(MacReports!L298="y","Remote Locked","")</f>
        <v/>
      </c>
      <c r="S298" t="str">
        <f t="shared" si="11"/>
        <v>Battery Defect, 0</v>
      </c>
      <c r="T298" t="str">
        <f>_xlfn.XLOOKUP(B298,Disk_Pivot!G:G,Disk_Pivot!I:I)</f>
        <v>Yes</v>
      </c>
      <c r="U298" t="str">
        <f>_xlfn.XLOOKUP(B298,Disk_Pivot!G:G,Disk_Pivot!N:N)</f>
        <v>Fail</v>
      </c>
      <c r="V298">
        <f>IF(U298="Fail",MacReports!N298,"")</f>
        <v>0</v>
      </c>
      <c r="AB298" t="str">
        <f t="shared" si="12"/>
        <v/>
      </c>
    </row>
    <row r="299" spans="1:28">
      <c r="A299">
        <f>MacReports!A299</f>
        <v>0</v>
      </c>
      <c r="B299">
        <f>MacReports!B299</f>
        <v>0</v>
      </c>
      <c r="C299">
        <f>MacReports!C299</f>
        <v>0</v>
      </c>
      <c r="E299" t="e">
        <f>_xlfn.XLOOKUP(G299,Models!A:A,Models!F:F)</f>
        <v>#N/A</v>
      </c>
      <c r="F299" t="str">
        <f>_xlfn.XLOOKUP(B299,MacReports!B:B,MacReports!D:D,"")</f>
        <v/>
      </c>
      <c r="G299" s="13">
        <f>MacReports!E299</f>
        <v>0</v>
      </c>
      <c r="H299" t="e">
        <f>_xlfn.XLOOKUP(G299,Models!A:A,Models!B:B)</f>
        <v>#N/A</v>
      </c>
      <c r="I299" t="e">
        <f>_xlfn.XLOOKUP(G299,Models!A:A,Models!E:E)</f>
        <v>#N/A</v>
      </c>
      <c r="J299" t="e">
        <f>_xlfn.XLOOKUP(G299,Models!A:A,Models!D:D)</f>
        <v>#N/A</v>
      </c>
      <c r="K299">
        <f>MacReports!F299</f>
        <v>0</v>
      </c>
      <c r="L299">
        <f>MacReports!G299</f>
        <v>0</v>
      </c>
      <c r="M299" s="15" t="e" cm="1">
        <f t="array" ref="M299">--_xlfn.LET(
    _xlpm.txt, MacReports!H299,
    _xlpm.chars, MID(_xlpm.txt, _xlfn.SEQUENCE(LEN(_xlpm.txt)), 1),
    _xlfn.TEXTJOIN("", TRUE, IF(ISNUMBER(--_xlpm.chars), _xlpm.chars, ""))
)</f>
        <v>#VALUE!</v>
      </c>
      <c r="N299" s="16" t="str" cm="1">
        <f t="array" ref="N299">_xlfn.IFS(
   --MacReports!M299&lt;55,"Battery Defect",
  -- MacReports!M299&lt;=69,"Battery D",
  --MacReports!M299&lt;=80,"Battery C",
 --MacReports!M299&gt;80,""
)</f>
        <v>Battery Defect</v>
      </c>
      <c r="O299" s="16" t="str">
        <f>IF(MacReports!I299="Service","Battery Service","")</f>
        <v/>
      </c>
      <c r="P299" s="13">
        <f>MacReports!P299</f>
        <v>0</v>
      </c>
      <c r="Q299" s="13" t="str">
        <f>IF(MacReports!J299="Enabled","Apple ID Lock","")</f>
        <v/>
      </c>
      <c r="R299" s="13" t="str">
        <f>IF(MacReports!L299="y","Remote Locked","")</f>
        <v/>
      </c>
      <c r="S299" t="str">
        <f t="shared" si="11"/>
        <v>Battery Defect, 0</v>
      </c>
      <c r="T299" t="str">
        <f>_xlfn.XLOOKUP(B299,Disk_Pivot!G:G,Disk_Pivot!I:I)</f>
        <v>Yes</v>
      </c>
      <c r="U299" t="str">
        <f>_xlfn.XLOOKUP(B299,Disk_Pivot!G:G,Disk_Pivot!N:N)</f>
        <v>Fail</v>
      </c>
      <c r="V299">
        <f>IF(U299="Fail",MacReports!N299,"")</f>
        <v>0</v>
      </c>
      <c r="AB299" t="str">
        <f t="shared" si="12"/>
        <v/>
      </c>
    </row>
    <row r="300" spans="1:28">
      <c r="A300">
        <f>MacReports!A300</f>
        <v>0</v>
      </c>
      <c r="B300">
        <f>MacReports!B300</f>
        <v>0</v>
      </c>
      <c r="C300">
        <f>MacReports!C300</f>
        <v>0</v>
      </c>
      <c r="E300" t="e">
        <f>_xlfn.XLOOKUP(G300,Models!A:A,Models!F:F)</f>
        <v>#N/A</v>
      </c>
      <c r="F300" t="str">
        <f>_xlfn.XLOOKUP(B300,MacReports!B:B,MacReports!D:D,"")</f>
        <v/>
      </c>
      <c r="G300" s="13">
        <f>MacReports!E300</f>
        <v>0</v>
      </c>
      <c r="H300" t="e">
        <f>_xlfn.XLOOKUP(G300,Models!A:A,Models!B:B)</f>
        <v>#N/A</v>
      </c>
      <c r="I300" t="e">
        <f>_xlfn.XLOOKUP(G300,Models!A:A,Models!E:E)</f>
        <v>#N/A</v>
      </c>
      <c r="J300" t="e">
        <f>_xlfn.XLOOKUP(G300,Models!A:A,Models!D:D)</f>
        <v>#N/A</v>
      </c>
      <c r="K300">
        <f>MacReports!F300</f>
        <v>0</v>
      </c>
      <c r="L300">
        <f>MacReports!G300</f>
        <v>0</v>
      </c>
      <c r="M300" s="15" t="e" cm="1">
        <f t="array" ref="M300">--_xlfn.LET(
    _xlpm.txt, MacReports!H300,
    _xlpm.chars, MID(_xlpm.txt, _xlfn.SEQUENCE(LEN(_xlpm.txt)), 1),
    _xlfn.TEXTJOIN("", TRUE, IF(ISNUMBER(--_xlpm.chars), _xlpm.chars, ""))
)</f>
        <v>#VALUE!</v>
      </c>
      <c r="N300" s="16" t="str" cm="1">
        <f t="array" ref="N300">_xlfn.IFS(
   --MacReports!M300&lt;55,"Battery Defect",
  -- MacReports!M300&lt;=69,"Battery D",
  --MacReports!M300&lt;=80,"Battery C",
 --MacReports!M300&gt;80,""
)</f>
        <v>Battery Defect</v>
      </c>
      <c r="O300" s="16" t="str">
        <f>IF(MacReports!I300="Service","Battery Service","")</f>
        <v/>
      </c>
      <c r="P300" s="13">
        <f>MacReports!P300</f>
        <v>0</v>
      </c>
      <c r="Q300" s="13" t="str">
        <f>IF(MacReports!J300="Enabled","Apple ID Lock","")</f>
        <v/>
      </c>
      <c r="R300" s="13" t="str">
        <f>IF(MacReports!L300="y","Remote Locked","")</f>
        <v/>
      </c>
      <c r="S300" t="str">
        <f t="shared" si="11"/>
        <v>Battery Defect, 0</v>
      </c>
      <c r="T300" t="str">
        <f>_xlfn.XLOOKUP(B300,Disk_Pivot!G:G,Disk_Pivot!I:I)</f>
        <v>Yes</v>
      </c>
      <c r="U300" t="str">
        <f>_xlfn.XLOOKUP(B300,Disk_Pivot!G:G,Disk_Pivot!N:N)</f>
        <v>Fail</v>
      </c>
      <c r="V300">
        <f>IF(U300="Fail",MacReports!N300,"")</f>
        <v>0</v>
      </c>
      <c r="AB300" t="str">
        <f t="shared" si="12"/>
        <v/>
      </c>
    </row>
    <row r="301" spans="1:28">
      <c r="A301">
        <f>MacReports!A301</f>
        <v>0</v>
      </c>
      <c r="B301">
        <f>MacReports!B301</f>
        <v>0</v>
      </c>
      <c r="C301">
        <f>MacReports!C301</f>
        <v>0</v>
      </c>
      <c r="E301" t="e">
        <f>_xlfn.XLOOKUP(G301,Models!A:A,Models!F:F)</f>
        <v>#N/A</v>
      </c>
      <c r="F301" t="str">
        <f>_xlfn.XLOOKUP(B301,MacReports!B:B,MacReports!D:D,"")</f>
        <v/>
      </c>
      <c r="G301" s="13">
        <f>MacReports!E301</f>
        <v>0</v>
      </c>
      <c r="H301" t="e">
        <f>_xlfn.XLOOKUP(G301,Models!A:A,Models!B:B)</f>
        <v>#N/A</v>
      </c>
      <c r="I301" t="e">
        <f>_xlfn.XLOOKUP(G301,Models!A:A,Models!E:E)</f>
        <v>#N/A</v>
      </c>
      <c r="J301" t="e">
        <f>_xlfn.XLOOKUP(G301,Models!A:A,Models!D:D)</f>
        <v>#N/A</v>
      </c>
      <c r="K301">
        <f>MacReports!F301</f>
        <v>0</v>
      </c>
      <c r="L301">
        <f>MacReports!G301</f>
        <v>0</v>
      </c>
      <c r="M301" s="15" t="e" cm="1">
        <f t="array" ref="M301">--_xlfn.LET(
    _xlpm.txt, MacReports!H301,
    _xlpm.chars, MID(_xlpm.txt, _xlfn.SEQUENCE(LEN(_xlpm.txt)), 1),
    _xlfn.TEXTJOIN("", TRUE, IF(ISNUMBER(--_xlpm.chars), _xlpm.chars, ""))
)</f>
        <v>#VALUE!</v>
      </c>
      <c r="N301" s="16" t="str" cm="1">
        <f t="array" ref="N301">_xlfn.IFS(
   --MacReports!M301&lt;55,"Battery Defect",
  -- MacReports!M301&lt;=69,"Battery D",
  --MacReports!M301&lt;=80,"Battery C",
 --MacReports!M301&gt;80,""
)</f>
        <v>Battery Defect</v>
      </c>
      <c r="O301" s="16" t="str">
        <f>IF(MacReports!I301="Service","Battery Service","")</f>
        <v/>
      </c>
      <c r="P301" s="13">
        <f>MacReports!P301</f>
        <v>0</v>
      </c>
      <c r="Q301" s="13" t="str">
        <f>IF(MacReports!J301="Enabled","Apple ID Lock","")</f>
        <v/>
      </c>
      <c r="R301" s="13" t="str">
        <f>IF(MacReports!L301="y","Remote Locked","")</f>
        <v/>
      </c>
      <c r="S301" t="str">
        <f t="shared" si="11"/>
        <v>Battery Defect, 0</v>
      </c>
      <c r="T301" t="str">
        <f>_xlfn.XLOOKUP(B301,Disk_Pivot!G:G,Disk_Pivot!I:I)</f>
        <v>Yes</v>
      </c>
      <c r="U301" t="str">
        <f>_xlfn.XLOOKUP(B301,Disk_Pivot!G:G,Disk_Pivot!N:N)</f>
        <v>Fail</v>
      </c>
      <c r="V301">
        <f>IF(U301="Fail",MacReports!N301,"")</f>
        <v>0</v>
      </c>
      <c r="AB301" t="str">
        <f t="shared" si="12"/>
        <v/>
      </c>
    </row>
    <row r="302" spans="1:28">
      <c r="A302">
        <f>MacReports!A302</f>
        <v>0</v>
      </c>
      <c r="B302">
        <f>MacReports!B302</f>
        <v>0</v>
      </c>
      <c r="C302">
        <f>MacReports!C302</f>
        <v>0</v>
      </c>
      <c r="E302" t="e">
        <f>_xlfn.XLOOKUP(G302,Models!A:A,Models!F:F)</f>
        <v>#N/A</v>
      </c>
      <c r="F302" t="str">
        <f>_xlfn.XLOOKUP(B302,MacReports!B:B,MacReports!D:D,"")</f>
        <v/>
      </c>
      <c r="G302" s="13">
        <f>MacReports!E302</f>
        <v>0</v>
      </c>
      <c r="H302" t="e">
        <f>_xlfn.XLOOKUP(G302,Models!A:A,Models!B:B)</f>
        <v>#N/A</v>
      </c>
      <c r="I302" t="e">
        <f>_xlfn.XLOOKUP(G302,Models!A:A,Models!E:E)</f>
        <v>#N/A</v>
      </c>
      <c r="J302" t="e">
        <f>_xlfn.XLOOKUP(G302,Models!A:A,Models!D:D)</f>
        <v>#N/A</v>
      </c>
      <c r="K302">
        <f>MacReports!F302</f>
        <v>0</v>
      </c>
      <c r="L302">
        <f>MacReports!G302</f>
        <v>0</v>
      </c>
      <c r="M302" s="15" t="e" cm="1">
        <f t="array" ref="M302">--_xlfn.LET(
    _xlpm.txt, MacReports!H302,
    _xlpm.chars, MID(_xlpm.txt, _xlfn.SEQUENCE(LEN(_xlpm.txt)), 1),
    _xlfn.TEXTJOIN("", TRUE, IF(ISNUMBER(--_xlpm.chars), _xlpm.chars, ""))
)</f>
        <v>#VALUE!</v>
      </c>
      <c r="N302" s="16" t="str" cm="1">
        <f t="array" ref="N302">_xlfn.IFS(
   --MacReports!M302&lt;55,"Battery Defect",
  -- MacReports!M302&lt;=69,"Battery D",
  --MacReports!M302&lt;=80,"Battery C",
 --MacReports!M302&gt;80,""
)</f>
        <v>Battery Defect</v>
      </c>
      <c r="O302" s="16" t="str">
        <f>IF(MacReports!I302="Service","Battery Service","")</f>
        <v/>
      </c>
      <c r="P302" s="13">
        <f>MacReports!P302</f>
        <v>0</v>
      </c>
      <c r="Q302" s="13" t="str">
        <f>IF(MacReports!J302="Enabled","Apple ID Lock","")</f>
        <v/>
      </c>
      <c r="R302" s="13" t="str">
        <f>IF(MacReports!L302="y","Remote Locked","")</f>
        <v/>
      </c>
      <c r="S302" t="str">
        <f t="shared" si="11"/>
        <v>Battery Defect, 0</v>
      </c>
      <c r="T302" t="str">
        <f>_xlfn.XLOOKUP(B302,Disk_Pivot!G:G,Disk_Pivot!I:I)</f>
        <v>Yes</v>
      </c>
      <c r="U302" t="str">
        <f>_xlfn.XLOOKUP(B302,Disk_Pivot!G:G,Disk_Pivot!N:N)</f>
        <v>Fail</v>
      </c>
      <c r="V302">
        <f>IF(U302="Fail",MacReports!N302,"")</f>
        <v>0</v>
      </c>
      <c r="AB302" t="str">
        <f t="shared" si="12"/>
        <v/>
      </c>
    </row>
    <row r="303" spans="1:28">
      <c r="A303">
        <f>MacReports!A303</f>
        <v>0</v>
      </c>
      <c r="B303">
        <f>MacReports!B303</f>
        <v>0</v>
      </c>
      <c r="C303">
        <f>MacReports!C303</f>
        <v>0</v>
      </c>
      <c r="E303" t="e">
        <f>_xlfn.XLOOKUP(G303,Models!A:A,Models!F:F)</f>
        <v>#N/A</v>
      </c>
      <c r="F303" t="str">
        <f>_xlfn.XLOOKUP(B303,MacReports!B:B,MacReports!D:D,"")</f>
        <v/>
      </c>
      <c r="G303" s="13">
        <f>MacReports!E303</f>
        <v>0</v>
      </c>
      <c r="H303" t="e">
        <f>_xlfn.XLOOKUP(G303,Models!A:A,Models!B:B)</f>
        <v>#N/A</v>
      </c>
      <c r="I303" t="e">
        <f>_xlfn.XLOOKUP(G303,Models!A:A,Models!E:E)</f>
        <v>#N/A</v>
      </c>
      <c r="J303" t="e">
        <f>_xlfn.XLOOKUP(G303,Models!A:A,Models!D:D)</f>
        <v>#N/A</v>
      </c>
      <c r="K303">
        <f>MacReports!F303</f>
        <v>0</v>
      </c>
      <c r="L303">
        <f>MacReports!G303</f>
        <v>0</v>
      </c>
      <c r="M303" s="15" t="e" cm="1">
        <f t="array" ref="M303">--_xlfn.LET(
    _xlpm.txt, MacReports!H303,
    _xlpm.chars, MID(_xlpm.txt, _xlfn.SEQUENCE(LEN(_xlpm.txt)), 1),
    _xlfn.TEXTJOIN("", TRUE, IF(ISNUMBER(--_xlpm.chars), _xlpm.chars, ""))
)</f>
        <v>#VALUE!</v>
      </c>
      <c r="N303" s="16" t="str" cm="1">
        <f t="array" ref="N303">_xlfn.IFS(
   --MacReports!M303&lt;55,"Battery Defect",
  -- MacReports!M303&lt;=69,"Battery D",
  --MacReports!M303&lt;=80,"Battery C",
 --MacReports!M303&gt;80,""
)</f>
        <v>Battery Defect</v>
      </c>
      <c r="O303" s="16" t="str">
        <f>IF(MacReports!I303="Service","Battery Service","")</f>
        <v/>
      </c>
      <c r="P303" s="13">
        <f>MacReports!P303</f>
        <v>0</v>
      </c>
      <c r="Q303" s="13" t="str">
        <f>IF(MacReports!J303="Enabled","Apple ID Lock","")</f>
        <v/>
      </c>
      <c r="R303" s="13" t="str">
        <f>IF(MacReports!L303="y","Remote Locked","")</f>
        <v/>
      </c>
      <c r="S303" t="str">
        <f t="shared" si="11"/>
        <v>Battery Defect, 0</v>
      </c>
      <c r="T303" t="str">
        <f>_xlfn.XLOOKUP(B303,Disk_Pivot!G:G,Disk_Pivot!I:I)</f>
        <v>Yes</v>
      </c>
      <c r="U303" t="str">
        <f>_xlfn.XLOOKUP(B303,Disk_Pivot!G:G,Disk_Pivot!N:N)</f>
        <v>Fail</v>
      </c>
      <c r="V303">
        <f>IF(U303="Fail",MacReports!N303,"")</f>
        <v>0</v>
      </c>
      <c r="AB303" t="str">
        <f t="shared" si="12"/>
        <v/>
      </c>
    </row>
    <row r="304" spans="1:28">
      <c r="A304">
        <f>MacReports!A304</f>
        <v>0</v>
      </c>
      <c r="B304">
        <f>MacReports!B304</f>
        <v>0</v>
      </c>
      <c r="C304">
        <f>MacReports!C304</f>
        <v>0</v>
      </c>
      <c r="E304" t="e">
        <f>_xlfn.XLOOKUP(G304,Models!A:A,Models!F:F)</f>
        <v>#N/A</v>
      </c>
      <c r="F304" t="str">
        <f>_xlfn.XLOOKUP(B304,MacReports!B:B,MacReports!D:D,"")</f>
        <v/>
      </c>
      <c r="G304" s="13">
        <f>MacReports!E304</f>
        <v>0</v>
      </c>
      <c r="H304" t="e">
        <f>_xlfn.XLOOKUP(G304,Models!A:A,Models!B:B)</f>
        <v>#N/A</v>
      </c>
      <c r="I304" t="e">
        <f>_xlfn.XLOOKUP(G304,Models!A:A,Models!E:E)</f>
        <v>#N/A</v>
      </c>
      <c r="J304" t="e">
        <f>_xlfn.XLOOKUP(G304,Models!A:A,Models!D:D)</f>
        <v>#N/A</v>
      </c>
      <c r="K304">
        <f>MacReports!F304</f>
        <v>0</v>
      </c>
      <c r="L304">
        <f>MacReports!G304</f>
        <v>0</v>
      </c>
      <c r="M304" s="15" t="e" cm="1">
        <f t="array" ref="M304">--_xlfn.LET(
    _xlpm.txt, MacReports!H304,
    _xlpm.chars, MID(_xlpm.txt, _xlfn.SEQUENCE(LEN(_xlpm.txt)), 1),
    _xlfn.TEXTJOIN("", TRUE, IF(ISNUMBER(--_xlpm.chars), _xlpm.chars, ""))
)</f>
        <v>#VALUE!</v>
      </c>
      <c r="N304" s="16" t="str" cm="1">
        <f t="array" ref="N304">_xlfn.IFS(
   --MacReports!M304&lt;55,"Battery Defect",
  -- MacReports!M304&lt;=69,"Battery D",
  --MacReports!M304&lt;=80,"Battery C",
 --MacReports!M304&gt;80,""
)</f>
        <v>Battery Defect</v>
      </c>
      <c r="O304" s="16" t="str">
        <f>IF(MacReports!I304="Service","Battery Service","")</f>
        <v/>
      </c>
      <c r="P304" s="13">
        <f>MacReports!P304</f>
        <v>0</v>
      </c>
      <c r="Q304" s="13" t="str">
        <f>IF(MacReports!J304="Enabled","Apple ID Lock","")</f>
        <v/>
      </c>
      <c r="R304" s="13" t="str">
        <f>IF(MacReports!L304="y","Remote Locked","")</f>
        <v/>
      </c>
      <c r="S304" t="str">
        <f t="shared" si="11"/>
        <v>Battery Defect, 0</v>
      </c>
      <c r="T304" t="str">
        <f>_xlfn.XLOOKUP(B304,Disk_Pivot!G:G,Disk_Pivot!I:I)</f>
        <v>Yes</v>
      </c>
      <c r="U304" t="str">
        <f>_xlfn.XLOOKUP(B304,Disk_Pivot!G:G,Disk_Pivot!N:N)</f>
        <v>Fail</v>
      </c>
      <c r="V304">
        <f>IF(U304="Fail",MacReports!N304,"")</f>
        <v>0</v>
      </c>
      <c r="AB304" t="str">
        <f t="shared" si="12"/>
        <v/>
      </c>
    </row>
    <row r="305" spans="1:28">
      <c r="A305">
        <f>MacReports!A305</f>
        <v>0</v>
      </c>
      <c r="B305">
        <f>MacReports!B305</f>
        <v>0</v>
      </c>
      <c r="C305">
        <f>MacReports!C305</f>
        <v>0</v>
      </c>
      <c r="E305" t="e">
        <f>_xlfn.XLOOKUP(G305,Models!A:A,Models!F:F)</f>
        <v>#N/A</v>
      </c>
      <c r="F305" t="str">
        <f>_xlfn.XLOOKUP(B305,MacReports!B:B,MacReports!D:D,"")</f>
        <v/>
      </c>
      <c r="G305" s="13">
        <f>MacReports!E305</f>
        <v>0</v>
      </c>
      <c r="H305" t="e">
        <f>_xlfn.XLOOKUP(G305,Models!A:A,Models!B:B)</f>
        <v>#N/A</v>
      </c>
      <c r="I305" t="e">
        <f>_xlfn.XLOOKUP(G305,Models!A:A,Models!E:E)</f>
        <v>#N/A</v>
      </c>
      <c r="J305" t="e">
        <f>_xlfn.XLOOKUP(G305,Models!A:A,Models!D:D)</f>
        <v>#N/A</v>
      </c>
      <c r="K305">
        <f>MacReports!F305</f>
        <v>0</v>
      </c>
      <c r="L305">
        <f>MacReports!G305</f>
        <v>0</v>
      </c>
      <c r="M305" s="15" t="e" cm="1">
        <f t="array" ref="M305">--_xlfn.LET(
    _xlpm.txt, MacReports!H305,
    _xlpm.chars, MID(_xlpm.txt, _xlfn.SEQUENCE(LEN(_xlpm.txt)), 1),
    _xlfn.TEXTJOIN("", TRUE, IF(ISNUMBER(--_xlpm.chars), _xlpm.chars, ""))
)</f>
        <v>#VALUE!</v>
      </c>
      <c r="N305" s="16" t="str" cm="1">
        <f t="array" ref="N305">_xlfn.IFS(
   --MacReports!M305&lt;55,"Battery Defect",
  -- MacReports!M305&lt;=69,"Battery D",
  --MacReports!M305&lt;=80,"Battery C",
 --MacReports!M305&gt;80,""
)</f>
        <v>Battery Defect</v>
      </c>
      <c r="O305" s="16" t="str">
        <f>IF(MacReports!I305="Service","Battery Service","")</f>
        <v/>
      </c>
      <c r="P305" s="13">
        <f>MacReports!P305</f>
        <v>0</v>
      </c>
      <c r="Q305" s="13" t="str">
        <f>IF(MacReports!J305="Enabled","Apple ID Lock","")</f>
        <v/>
      </c>
      <c r="R305" s="13" t="str">
        <f>IF(MacReports!L305="y","Remote Locked","")</f>
        <v/>
      </c>
      <c r="S305" t="str">
        <f t="shared" si="11"/>
        <v>Battery Defect, 0</v>
      </c>
      <c r="T305" t="str">
        <f>_xlfn.XLOOKUP(B305,Disk_Pivot!G:G,Disk_Pivot!I:I)</f>
        <v>Yes</v>
      </c>
      <c r="U305" t="str">
        <f>_xlfn.XLOOKUP(B305,Disk_Pivot!G:G,Disk_Pivot!N:N)</f>
        <v>Fail</v>
      </c>
      <c r="V305">
        <f>IF(U305="Fail",MacReports!N305,"")</f>
        <v>0</v>
      </c>
      <c r="AB305" t="str">
        <f t="shared" si="12"/>
        <v/>
      </c>
    </row>
    <row r="306" spans="1:28">
      <c r="A306">
        <f>MacReports!A306</f>
        <v>0</v>
      </c>
      <c r="B306">
        <f>MacReports!B306</f>
        <v>0</v>
      </c>
      <c r="C306">
        <f>MacReports!C306</f>
        <v>0</v>
      </c>
      <c r="E306" t="e">
        <f>_xlfn.XLOOKUP(G306,Models!A:A,Models!F:F)</f>
        <v>#N/A</v>
      </c>
      <c r="F306" t="str">
        <f>_xlfn.XLOOKUP(B306,MacReports!B:B,MacReports!D:D,"")</f>
        <v/>
      </c>
      <c r="G306" s="13">
        <f>MacReports!E306</f>
        <v>0</v>
      </c>
      <c r="H306" t="e">
        <f>_xlfn.XLOOKUP(G306,Models!A:A,Models!B:B)</f>
        <v>#N/A</v>
      </c>
      <c r="I306" t="e">
        <f>_xlfn.XLOOKUP(G306,Models!A:A,Models!E:E)</f>
        <v>#N/A</v>
      </c>
      <c r="J306" t="e">
        <f>_xlfn.XLOOKUP(G306,Models!A:A,Models!D:D)</f>
        <v>#N/A</v>
      </c>
      <c r="K306">
        <f>MacReports!F306</f>
        <v>0</v>
      </c>
      <c r="L306">
        <f>MacReports!G306</f>
        <v>0</v>
      </c>
      <c r="M306" s="15" t="e" cm="1">
        <f t="array" ref="M306">--_xlfn.LET(
    _xlpm.txt, MacReports!H306,
    _xlpm.chars, MID(_xlpm.txt, _xlfn.SEQUENCE(LEN(_xlpm.txt)), 1),
    _xlfn.TEXTJOIN("", TRUE, IF(ISNUMBER(--_xlpm.chars), _xlpm.chars, ""))
)</f>
        <v>#VALUE!</v>
      </c>
      <c r="N306" s="16" t="str" cm="1">
        <f t="array" ref="N306">_xlfn.IFS(
   --MacReports!M306&lt;55,"Battery Defect",
  -- MacReports!M306&lt;=69,"Battery D",
  --MacReports!M306&lt;=80,"Battery C",
 --MacReports!M306&gt;80,""
)</f>
        <v>Battery Defect</v>
      </c>
      <c r="O306" s="16" t="str">
        <f>IF(MacReports!I306="Service","Battery Service","")</f>
        <v/>
      </c>
      <c r="P306" s="13">
        <f>MacReports!P306</f>
        <v>0</v>
      </c>
      <c r="Q306" s="13" t="str">
        <f>IF(MacReports!J306="Enabled","Apple ID Lock","")</f>
        <v/>
      </c>
      <c r="R306" s="13" t="str">
        <f>IF(MacReports!L306="y","Remote Locked","")</f>
        <v/>
      </c>
      <c r="S306" t="str">
        <f t="shared" si="11"/>
        <v>Battery Defect, 0</v>
      </c>
      <c r="T306" t="str">
        <f>_xlfn.XLOOKUP(B306,Disk_Pivot!G:G,Disk_Pivot!I:I)</f>
        <v>Yes</v>
      </c>
      <c r="U306" t="str">
        <f>_xlfn.XLOOKUP(B306,Disk_Pivot!G:G,Disk_Pivot!N:N)</f>
        <v>Fail</v>
      </c>
      <c r="V306">
        <f>IF(U306="Fail",MacReports!N306,"")</f>
        <v>0</v>
      </c>
      <c r="AB306" t="str">
        <f t="shared" si="12"/>
        <v/>
      </c>
    </row>
    <row r="307" spans="1:28">
      <c r="A307">
        <f>MacReports!A307</f>
        <v>0</v>
      </c>
      <c r="B307">
        <f>MacReports!B307</f>
        <v>0</v>
      </c>
      <c r="C307">
        <f>MacReports!C307</f>
        <v>0</v>
      </c>
      <c r="E307" t="e">
        <f>_xlfn.XLOOKUP(G307,Models!A:A,Models!F:F)</f>
        <v>#N/A</v>
      </c>
      <c r="F307" t="str">
        <f>_xlfn.XLOOKUP(B307,MacReports!B:B,MacReports!D:D,"")</f>
        <v/>
      </c>
      <c r="G307" s="13">
        <f>MacReports!E307</f>
        <v>0</v>
      </c>
      <c r="H307" t="e">
        <f>_xlfn.XLOOKUP(G307,Models!A:A,Models!B:B)</f>
        <v>#N/A</v>
      </c>
      <c r="I307" t="e">
        <f>_xlfn.XLOOKUP(G307,Models!A:A,Models!E:E)</f>
        <v>#N/A</v>
      </c>
      <c r="J307" t="e">
        <f>_xlfn.XLOOKUP(G307,Models!A:A,Models!D:D)</f>
        <v>#N/A</v>
      </c>
      <c r="K307">
        <f>MacReports!F307</f>
        <v>0</v>
      </c>
      <c r="L307">
        <f>MacReports!G307</f>
        <v>0</v>
      </c>
      <c r="M307" s="15" t="e" cm="1">
        <f t="array" ref="M307">--_xlfn.LET(
    _xlpm.txt, MacReports!H307,
    _xlpm.chars, MID(_xlpm.txt, _xlfn.SEQUENCE(LEN(_xlpm.txt)), 1),
    _xlfn.TEXTJOIN("", TRUE, IF(ISNUMBER(--_xlpm.chars), _xlpm.chars, ""))
)</f>
        <v>#VALUE!</v>
      </c>
      <c r="N307" s="16" t="str" cm="1">
        <f t="array" ref="N307">_xlfn.IFS(
   --MacReports!M307&lt;55,"Battery Defect",
  -- MacReports!M307&lt;=69,"Battery D",
  --MacReports!M307&lt;=80,"Battery C",
 --MacReports!M307&gt;80,""
)</f>
        <v>Battery Defect</v>
      </c>
      <c r="O307" s="16" t="str">
        <f>IF(MacReports!I307="Service","Battery Service","")</f>
        <v/>
      </c>
      <c r="P307" s="13">
        <f>MacReports!P307</f>
        <v>0</v>
      </c>
      <c r="Q307" s="13" t="str">
        <f>IF(MacReports!J307="Enabled","Apple ID Lock","")</f>
        <v/>
      </c>
      <c r="R307" s="13" t="str">
        <f>IF(MacReports!L307="y","Remote Locked","")</f>
        <v/>
      </c>
      <c r="S307" t="str">
        <f t="shared" si="11"/>
        <v>Battery Defect, 0</v>
      </c>
      <c r="T307" t="str">
        <f>_xlfn.XLOOKUP(B307,Disk_Pivot!G:G,Disk_Pivot!I:I)</f>
        <v>Yes</v>
      </c>
      <c r="U307" t="str">
        <f>_xlfn.XLOOKUP(B307,Disk_Pivot!G:G,Disk_Pivot!N:N)</f>
        <v>Fail</v>
      </c>
      <c r="V307">
        <f>IF(U307="Fail",MacReports!N307,"")</f>
        <v>0</v>
      </c>
      <c r="AB307" t="str">
        <f t="shared" si="12"/>
        <v/>
      </c>
    </row>
    <row r="308" spans="1:28">
      <c r="A308">
        <f>MacReports!A308</f>
        <v>0</v>
      </c>
      <c r="B308">
        <f>MacReports!B308</f>
        <v>0</v>
      </c>
      <c r="C308">
        <f>MacReports!C308</f>
        <v>0</v>
      </c>
      <c r="E308" t="e">
        <f>_xlfn.XLOOKUP(G308,Models!A:A,Models!F:F)</f>
        <v>#N/A</v>
      </c>
      <c r="F308" t="str">
        <f>_xlfn.XLOOKUP(B308,MacReports!B:B,MacReports!D:D,"")</f>
        <v/>
      </c>
      <c r="G308" s="13">
        <f>MacReports!E308</f>
        <v>0</v>
      </c>
      <c r="H308" t="e">
        <f>_xlfn.XLOOKUP(G308,Models!A:A,Models!B:B)</f>
        <v>#N/A</v>
      </c>
      <c r="I308" t="e">
        <f>_xlfn.XLOOKUP(G308,Models!A:A,Models!E:E)</f>
        <v>#N/A</v>
      </c>
      <c r="J308" t="e">
        <f>_xlfn.XLOOKUP(G308,Models!A:A,Models!D:D)</f>
        <v>#N/A</v>
      </c>
      <c r="K308">
        <f>MacReports!F308</f>
        <v>0</v>
      </c>
      <c r="L308">
        <f>MacReports!G308</f>
        <v>0</v>
      </c>
      <c r="M308" s="15" t="e" cm="1">
        <f t="array" ref="M308">--_xlfn.LET(
    _xlpm.txt, MacReports!H308,
    _xlpm.chars, MID(_xlpm.txt, _xlfn.SEQUENCE(LEN(_xlpm.txt)), 1),
    _xlfn.TEXTJOIN("", TRUE, IF(ISNUMBER(--_xlpm.chars), _xlpm.chars, ""))
)</f>
        <v>#VALUE!</v>
      </c>
      <c r="N308" s="16" t="str" cm="1">
        <f t="array" ref="N308">_xlfn.IFS(
   --MacReports!M308&lt;55,"Battery Defect",
  -- MacReports!M308&lt;=69,"Battery D",
  --MacReports!M308&lt;=80,"Battery C",
 --MacReports!M308&gt;80,""
)</f>
        <v>Battery Defect</v>
      </c>
      <c r="O308" s="16" t="str">
        <f>IF(MacReports!I308="Service","Battery Service","")</f>
        <v/>
      </c>
      <c r="P308" s="13">
        <f>MacReports!P308</f>
        <v>0</v>
      </c>
      <c r="Q308" s="13" t="str">
        <f>IF(MacReports!J308="Enabled","Apple ID Lock","")</f>
        <v/>
      </c>
      <c r="R308" s="13" t="str">
        <f>IF(MacReports!L308="y","Remote Locked","")</f>
        <v/>
      </c>
      <c r="S308" t="str">
        <f t="shared" si="11"/>
        <v>Battery Defect, 0</v>
      </c>
      <c r="T308" t="str">
        <f>_xlfn.XLOOKUP(B308,Disk_Pivot!G:G,Disk_Pivot!I:I)</f>
        <v>Yes</v>
      </c>
      <c r="U308" t="str">
        <f>_xlfn.XLOOKUP(B308,Disk_Pivot!G:G,Disk_Pivot!N:N)</f>
        <v>Fail</v>
      </c>
      <c r="V308">
        <f>IF(U308="Fail",MacReports!N308,"")</f>
        <v>0</v>
      </c>
      <c r="AB308" t="str">
        <f t="shared" si="12"/>
        <v/>
      </c>
    </row>
    <row r="309" spans="1:28">
      <c r="A309">
        <f>MacReports!A309</f>
        <v>0</v>
      </c>
      <c r="B309">
        <f>MacReports!B309</f>
        <v>0</v>
      </c>
      <c r="C309">
        <f>MacReports!C309</f>
        <v>0</v>
      </c>
      <c r="E309" t="e">
        <f>_xlfn.XLOOKUP(G309,Models!A:A,Models!F:F)</f>
        <v>#N/A</v>
      </c>
      <c r="F309" t="str">
        <f>_xlfn.XLOOKUP(B309,MacReports!B:B,MacReports!D:D,"")</f>
        <v/>
      </c>
      <c r="G309" s="13">
        <f>MacReports!E309</f>
        <v>0</v>
      </c>
      <c r="H309" t="e">
        <f>_xlfn.XLOOKUP(G309,Models!A:A,Models!B:B)</f>
        <v>#N/A</v>
      </c>
      <c r="I309" t="e">
        <f>_xlfn.XLOOKUP(G309,Models!A:A,Models!E:E)</f>
        <v>#N/A</v>
      </c>
      <c r="J309" t="e">
        <f>_xlfn.XLOOKUP(G309,Models!A:A,Models!D:D)</f>
        <v>#N/A</v>
      </c>
      <c r="K309">
        <f>MacReports!F309</f>
        <v>0</v>
      </c>
      <c r="L309">
        <f>MacReports!G309</f>
        <v>0</v>
      </c>
      <c r="M309" s="15" t="e" cm="1">
        <f t="array" ref="M309">--_xlfn.LET(
    _xlpm.txt, MacReports!H309,
    _xlpm.chars, MID(_xlpm.txt, _xlfn.SEQUENCE(LEN(_xlpm.txt)), 1),
    _xlfn.TEXTJOIN("", TRUE, IF(ISNUMBER(--_xlpm.chars), _xlpm.chars, ""))
)</f>
        <v>#VALUE!</v>
      </c>
      <c r="N309" s="16" t="str" cm="1">
        <f t="array" ref="N309">_xlfn.IFS(
   --MacReports!M309&lt;55,"Battery Defect",
  -- MacReports!M309&lt;=69,"Battery D",
  --MacReports!M309&lt;=80,"Battery C",
 --MacReports!M309&gt;80,""
)</f>
        <v>Battery Defect</v>
      </c>
      <c r="O309" s="16" t="str">
        <f>IF(MacReports!I309="Service","Battery Service","")</f>
        <v/>
      </c>
      <c r="P309" s="13">
        <f>MacReports!P309</f>
        <v>0</v>
      </c>
      <c r="Q309" s="13" t="str">
        <f>IF(MacReports!J309="Enabled","Apple ID Lock","")</f>
        <v/>
      </c>
      <c r="R309" s="13" t="str">
        <f>IF(MacReports!L309="y","Remote Locked","")</f>
        <v/>
      </c>
      <c r="S309" t="str">
        <f t="shared" si="11"/>
        <v>Battery Defect, 0</v>
      </c>
      <c r="T309" t="str">
        <f>_xlfn.XLOOKUP(B309,Disk_Pivot!G:G,Disk_Pivot!I:I)</f>
        <v>Yes</v>
      </c>
      <c r="U309" t="str">
        <f>_xlfn.XLOOKUP(B309,Disk_Pivot!G:G,Disk_Pivot!N:N)</f>
        <v>Fail</v>
      </c>
      <c r="V309">
        <f>IF(U309="Fail",MacReports!N309,"")</f>
        <v>0</v>
      </c>
      <c r="AB309" t="str">
        <f t="shared" si="12"/>
        <v/>
      </c>
    </row>
    <row r="310" spans="1:28">
      <c r="A310">
        <f>MacReports!A310</f>
        <v>0</v>
      </c>
      <c r="B310">
        <f>MacReports!B310</f>
        <v>0</v>
      </c>
      <c r="C310">
        <f>MacReports!C310</f>
        <v>0</v>
      </c>
      <c r="E310" t="e">
        <f>_xlfn.XLOOKUP(G310,Models!A:A,Models!F:F)</f>
        <v>#N/A</v>
      </c>
      <c r="F310" t="str">
        <f>_xlfn.XLOOKUP(B310,MacReports!B:B,MacReports!D:D,"")</f>
        <v/>
      </c>
      <c r="G310" s="13">
        <f>MacReports!E310</f>
        <v>0</v>
      </c>
      <c r="H310" t="e">
        <f>_xlfn.XLOOKUP(G310,Models!A:A,Models!B:B)</f>
        <v>#N/A</v>
      </c>
      <c r="I310" t="e">
        <f>_xlfn.XLOOKUP(G310,Models!A:A,Models!E:E)</f>
        <v>#N/A</v>
      </c>
      <c r="J310" t="e">
        <f>_xlfn.XLOOKUP(G310,Models!A:A,Models!D:D)</f>
        <v>#N/A</v>
      </c>
      <c r="K310">
        <f>MacReports!F310</f>
        <v>0</v>
      </c>
      <c r="L310">
        <f>MacReports!G310</f>
        <v>0</v>
      </c>
      <c r="M310" s="15" t="e" cm="1">
        <f t="array" ref="M310">--_xlfn.LET(
    _xlpm.txt, MacReports!H310,
    _xlpm.chars, MID(_xlpm.txt, _xlfn.SEQUENCE(LEN(_xlpm.txt)), 1),
    _xlfn.TEXTJOIN("", TRUE, IF(ISNUMBER(--_xlpm.chars), _xlpm.chars, ""))
)</f>
        <v>#VALUE!</v>
      </c>
      <c r="N310" s="16" t="str" cm="1">
        <f t="array" ref="N310">_xlfn.IFS(
   --MacReports!M310&lt;55,"Battery Defect",
  -- MacReports!M310&lt;=69,"Battery D",
  --MacReports!M310&lt;=80,"Battery C",
 --MacReports!M310&gt;80,""
)</f>
        <v>Battery Defect</v>
      </c>
      <c r="O310" s="16" t="str">
        <f>IF(MacReports!I310="Service","Battery Service","")</f>
        <v/>
      </c>
      <c r="P310" s="13">
        <f>MacReports!P310</f>
        <v>0</v>
      </c>
      <c r="Q310" s="13" t="str">
        <f>IF(MacReports!J310="Enabled","Apple ID Lock","")</f>
        <v/>
      </c>
      <c r="R310" s="13" t="str">
        <f>IF(MacReports!L310="y","Remote Locked","")</f>
        <v/>
      </c>
      <c r="S310" t="str">
        <f t="shared" si="11"/>
        <v>Battery Defect, 0</v>
      </c>
      <c r="T310" t="str">
        <f>_xlfn.XLOOKUP(B310,Disk_Pivot!G:G,Disk_Pivot!I:I)</f>
        <v>Yes</v>
      </c>
      <c r="U310" t="str">
        <f>_xlfn.XLOOKUP(B310,Disk_Pivot!G:G,Disk_Pivot!N:N)</f>
        <v>Fail</v>
      </c>
      <c r="V310">
        <f>IF(U310="Fail",MacReports!N310,"")</f>
        <v>0</v>
      </c>
      <c r="AB310" t="str">
        <f t="shared" si="12"/>
        <v/>
      </c>
    </row>
    <row r="311" spans="1:28">
      <c r="A311">
        <f>MacReports!A311</f>
        <v>0</v>
      </c>
      <c r="B311">
        <f>MacReports!B311</f>
        <v>0</v>
      </c>
      <c r="C311">
        <f>MacReports!C311</f>
        <v>0</v>
      </c>
      <c r="E311" t="e">
        <f>_xlfn.XLOOKUP(G311,Models!A:A,Models!F:F)</f>
        <v>#N/A</v>
      </c>
      <c r="F311" t="str">
        <f>_xlfn.XLOOKUP(B311,MacReports!B:B,MacReports!D:D,"")</f>
        <v/>
      </c>
      <c r="G311" s="13">
        <f>MacReports!E311</f>
        <v>0</v>
      </c>
      <c r="H311" t="e">
        <f>_xlfn.XLOOKUP(G311,Models!A:A,Models!B:B)</f>
        <v>#N/A</v>
      </c>
      <c r="I311" t="e">
        <f>_xlfn.XLOOKUP(G311,Models!A:A,Models!E:E)</f>
        <v>#N/A</v>
      </c>
      <c r="J311" t="e">
        <f>_xlfn.XLOOKUP(G311,Models!A:A,Models!D:D)</f>
        <v>#N/A</v>
      </c>
      <c r="K311">
        <f>MacReports!F311</f>
        <v>0</v>
      </c>
      <c r="L311">
        <f>MacReports!G311</f>
        <v>0</v>
      </c>
      <c r="M311" s="15" t="e" cm="1">
        <f t="array" ref="M311">--_xlfn.LET(
    _xlpm.txt, MacReports!H311,
    _xlpm.chars, MID(_xlpm.txt, _xlfn.SEQUENCE(LEN(_xlpm.txt)), 1),
    _xlfn.TEXTJOIN("", TRUE, IF(ISNUMBER(--_xlpm.chars), _xlpm.chars, ""))
)</f>
        <v>#VALUE!</v>
      </c>
      <c r="N311" s="16" t="str" cm="1">
        <f t="array" ref="N311">_xlfn.IFS(
   --MacReports!M311&lt;55,"Battery Defect",
  -- MacReports!M311&lt;=69,"Battery D",
  --MacReports!M311&lt;=80,"Battery C",
 --MacReports!M311&gt;80,""
)</f>
        <v>Battery Defect</v>
      </c>
      <c r="O311" s="16" t="str">
        <f>IF(MacReports!I311="Service","Battery Service","")</f>
        <v/>
      </c>
      <c r="P311" s="13">
        <f>MacReports!P311</f>
        <v>0</v>
      </c>
      <c r="Q311" s="13" t="str">
        <f>IF(MacReports!J311="Enabled","Apple ID Lock","")</f>
        <v/>
      </c>
      <c r="R311" s="13" t="str">
        <f>IF(MacReports!L311="y","Remote Locked","")</f>
        <v/>
      </c>
      <c r="S311" t="str">
        <f t="shared" si="11"/>
        <v>Battery Defect, 0</v>
      </c>
      <c r="T311" t="str">
        <f>_xlfn.XLOOKUP(B311,Disk_Pivot!G:G,Disk_Pivot!I:I)</f>
        <v>Yes</v>
      </c>
      <c r="U311" t="str">
        <f>_xlfn.XLOOKUP(B311,Disk_Pivot!G:G,Disk_Pivot!N:N)</f>
        <v>Fail</v>
      </c>
      <c r="V311">
        <f>IF(U311="Fail",MacReports!N311,"")</f>
        <v>0</v>
      </c>
      <c r="AB311" t="str">
        <f t="shared" si="12"/>
        <v/>
      </c>
    </row>
    <row r="312" spans="1:28">
      <c r="A312">
        <f>MacReports!A312</f>
        <v>0</v>
      </c>
      <c r="B312">
        <f>MacReports!B312</f>
        <v>0</v>
      </c>
      <c r="C312">
        <f>MacReports!C312</f>
        <v>0</v>
      </c>
      <c r="E312" t="e">
        <f>_xlfn.XLOOKUP(G312,Models!A:A,Models!F:F)</f>
        <v>#N/A</v>
      </c>
      <c r="F312" t="str">
        <f>_xlfn.XLOOKUP(B312,MacReports!B:B,MacReports!D:D,"")</f>
        <v/>
      </c>
      <c r="G312" s="13">
        <f>MacReports!E312</f>
        <v>0</v>
      </c>
      <c r="H312" t="e">
        <f>_xlfn.XLOOKUP(G312,Models!A:A,Models!B:B)</f>
        <v>#N/A</v>
      </c>
      <c r="I312" t="e">
        <f>_xlfn.XLOOKUP(G312,Models!A:A,Models!E:E)</f>
        <v>#N/A</v>
      </c>
      <c r="J312" t="e">
        <f>_xlfn.XLOOKUP(G312,Models!A:A,Models!D:D)</f>
        <v>#N/A</v>
      </c>
      <c r="K312">
        <f>MacReports!F312</f>
        <v>0</v>
      </c>
      <c r="L312">
        <f>MacReports!G312</f>
        <v>0</v>
      </c>
      <c r="M312" s="15" t="e" cm="1">
        <f t="array" ref="M312">--_xlfn.LET(
    _xlpm.txt, MacReports!H312,
    _xlpm.chars, MID(_xlpm.txt, _xlfn.SEQUENCE(LEN(_xlpm.txt)), 1),
    _xlfn.TEXTJOIN("", TRUE, IF(ISNUMBER(--_xlpm.chars), _xlpm.chars, ""))
)</f>
        <v>#VALUE!</v>
      </c>
      <c r="N312" s="16" t="str" cm="1">
        <f t="array" ref="N312">_xlfn.IFS(
   --MacReports!M312&lt;55,"Battery Defect",
  -- MacReports!M312&lt;=69,"Battery D",
  --MacReports!M312&lt;=80,"Battery C",
 --MacReports!M312&gt;80,""
)</f>
        <v>Battery Defect</v>
      </c>
      <c r="O312" s="16" t="str">
        <f>IF(MacReports!I312="Service","Battery Service","")</f>
        <v/>
      </c>
      <c r="P312" s="13">
        <f>MacReports!P312</f>
        <v>0</v>
      </c>
      <c r="Q312" s="13" t="str">
        <f>IF(MacReports!J312="Enabled","Apple ID Lock","")</f>
        <v/>
      </c>
      <c r="R312" s="13" t="str">
        <f>IF(MacReports!L312="y","Remote Locked","")</f>
        <v/>
      </c>
      <c r="S312" t="str">
        <f t="shared" si="11"/>
        <v>Battery Defect, 0</v>
      </c>
      <c r="T312" t="str">
        <f>_xlfn.XLOOKUP(B312,Disk_Pivot!G:G,Disk_Pivot!I:I)</f>
        <v>Yes</v>
      </c>
      <c r="U312" t="str">
        <f>_xlfn.XLOOKUP(B312,Disk_Pivot!G:G,Disk_Pivot!N:N)</f>
        <v>Fail</v>
      </c>
      <c r="V312">
        <f>IF(U312="Fail",MacReports!N312,"")</f>
        <v>0</v>
      </c>
      <c r="AB312" t="str">
        <f t="shared" si="12"/>
        <v/>
      </c>
    </row>
    <row r="313" spans="1:28">
      <c r="A313">
        <f>MacReports!A313</f>
        <v>0</v>
      </c>
      <c r="B313">
        <f>MacReports!B313</f>
        <v>0</v>
      </c>
      <c r="C313">
        <f>MacReports!C313</f>
        <v>0</v>
      </c>
      <c r="E313" t="e">
        <f>_xlfn.XLOOKUP(G313,Models!A:A,Models!F:F)</f>
        <v>#N/A</v>
      </c>
      <c r="F313" t="str">
        <f>_xlfn.XLOOKUP(B313,MacReports!B:B,MacReports!D:D,"")</f>
        <v/>
      </c>
      <c r="G313" s="13">
        <f>MacReports!E313</f>
        <v>0</v>
      </c>
      <c r="H313" t="e">
        <f>_xlfn.XLOOKUP(G313,Models!A:A,Models!B:B)</f>
        <v>#N/A</v>
      </c>
      <c r="I313" t="e">
        <f>_xlfn.XLOOKUP(G313,Models!A:A,Models!E:E)</f>
        <v>#N/A</v>
      </c>
      <c r="J313" t="e">
        <f>_xlfn.XLOOKUP(G313,Models!A:A,Models!D:D)</f>
        <v>#N/A</v>
      </c>
      <c r="K313">
        <f>MacReports!F313</f>
        <v>0</v>
      </c>
      <c r="L313">
        <f>MacReports!G313</f>
        <v>0</v>
      </c>
      <c r="M313" s="15" t="e" cm="1">
        <f t="array" ref="M313">--_xlfn.LET(
    _xlpm.txt, MacReports!H313,
    _xlpm.chars, MID(_xlpm.txt, _xlfn.SEQUENCE(LEN(_xlpm.txt)), 1),
    _xlfn.TEXTJOIN("", TRUE, IF(ISNUMBER(--_xlpm.chars), _xlpm.chars, ""))
)</f>
        <v>#VALUE!</v>
      </c>
      <c r="N313" s="16" t="str" cm="1">
        <f t="array" ref="N313">_xlfn.IFS(
   --MacReports!M313&lt;55,"Battery Defect",
  -- MacReports!M313&lt;=69,"Battery D",
  --MacReports!M313&lt;=80,"Battery C",
 --MacReports!M313&gt;80,""
)</f>
        <v>Battery Defect</v>
      </c>
      <c r="O313" s="16" t="str">
        <f>IF(MacReports!I313="Service","Battery Service","")</f>
        <v/>
      </c>
      <c r="P313" s="13">
        <f>MacReports!P313</f>
        <v>0</v>
      </c>
      <c r="Q313" s="13" t="str">
        <f>IF(MacReports!J313="Enabled","Apple ID Lock","")</f>
        <v/>
      </c>
      <c r="R313" s="13" t="str">
        <f>IF(MacReports!L313="y","Remote Locked","")</f>
        <v/>
      </c>
      <c r="S313" t="str">
        <f t="shared" si="11"/>
        <v>Battery Defect, 0</v>
      </c>
      <c r="T313" t="str">
        <f>_xlfn.XLOOKUP(B313,Disk_Pivot!G:G,Disk_Pivot!I:I)</f>
        <v>Yes</v>
      </c>
      <c r="U313" t="str">
        <f>_xlfn.XLOOKUP(B313,Disk_Pivot!G:G,Disk_Pivot!N:N)</f>
        <v>Fail</v>
      </c>
      <c r="V313">
        <f>IF(U313="Fail",MacReports!N313,"")</f>
        <v>0</v>
      </c>
      <c r="AB313" t="str">
        <f t="shared" si="12"/>
        <v/>
      </c>
    </row>
    <row r="314" spans="1:28">
      <c r="A314">
        <f>MacReports!A314</f>
        <v>0</v>
      </c>
      <c r="B314">
        <f>MacReports!B314</f>
        <v>0</v>
      </c>
      <c r="C314">
        <f>MacReports!C314</f>
        <v>0</v>
      </c>
      <c r="E314" t="e">
        <f>_xlfn.XLOOKUP(G314,Models!A:A,Models!F:F)</f>
        <v>#N/A</v>
      </c>
      <c r="F314" t="str">
        <f>_xlfn.XLOOKUP(B314,MacReports!B:B,MacReports!D:D,"")</f>
        <v/>
      </c>
      <c r="G314" s="13">
        <f>MacReports!E314</f>
        <v>0</v>
      </c>
      <c r="H314" t="e">
        <f>_xlfn.XLOOKUP(G314,Models!A:A,Models!B:B)</f>
        <v>#N/A</v>
      </c>
      <c r="I314" t="e">
        <f>_xlfn.XLOOKUP(G314,Models!A:A,Models!E:E)</f>
        <v>#N/A</v>
      </c>
      <c r="J314" t="e">
        <f>_xlfn.XLOOKUP(G314,Models!A:A,Models!D:D)</f>
        <v>#N/A</v>
      </c>
      <c r="K314">
        <f>MacReports!F314</f>
        <v>0</v>
      </c>
      <c r="L314">
        <f>MacReports!G314</f>
        <v>0</v>
      </c>
      <c r="M314" s="15" t="e" cm="1">
        <f t="array" ref="M314">--_xlfn.LET(
    _xlpm.txt, MacReports!H314,
    _xlpm.chars, MID(_xlpm.txt, _xlfn.SEQUENCE(LEN(_xlpm.txt)), 1),
    _xlfn.TEXTJOIN("", TRUE, IF(ISNUMBER(--_xlpm.chars), _xlpm.chars, ""))
)</f>
        <v>#VALUE!</v>
      </c>
      <c r="N314" s="16" t="str" cm="1">
        <f t="array" ref="N314">_xlfn.IFS(
   --MacReports!M314&lt;55,"Battery Defect",
  -- MacReports!M314&lt;=69,"Battery D",
  --MacReports!M314&lt;=80,"Battery C",
 --MacReports!M314&gt;80,""
)</f>
        <v>Battery Defect</v>
      </c>
      <c r="O314" s="16" t="str">
        <f>IF(MacReports!I314="Service","Battery Service","")</f>
        <v/>
      </c>
      <c r="P314" s="13">
        <f>MacReports!P314</f>
        <v>0</v>
      </c>
      <c r="Q314" s="13" t="str">
        <f>IF(MacReports!J314="Enabled","Apple ID Lock","")</f>
        <v/>
      </c>
      <c r="R314" s="13" t="str">
        <f>IF(MacReports!L314="y","Remote Locked","")</f>
        <v/>
      </c>
      <c r="S314" t="str">
        <f t="shared" si="11"/>
        <v>Battery Defect, 0</v>
      </c>
      <c r="T314" t="str">
        <f>_xlfn.XLOOKUP(B314,Disk_Pivot!G:G,Disk_Pivot!I:I)</f>
        <v>Yes</v>
      </c>
      <c r="U314" t="str">
        <f>_xlfn.XLOOKUP(B314,Disk_Pivot!G:G,Disk_Pivot!N:N)</f>
        <v>Fail</v>
      </c>
      <c r="V314">
        <f>IF(U314="Fail",MacReports!N314,"")</f>
        <v>0</v>
      </c>
      <c r="AB314" t="str">
        <f t="shared" si="12"/>
        <v/>
      </c>
    </row>
    <row r="315" spans="1:28">
      <c r="A315">
        <f>MacReports!A315</f>
        <v>0</v>
      </c>
      <c r="B315">
        <f>MacReports!B315</f>
        <v>0</v>
      </c>
      <c r="C315">
        <f>MacReports!C315</f>
        <v>0</v>
      </c>
      <c r="E315" t="e">
        <f>_xlfn.XLOOKUP(G315,Models!A:A,Models!F:F)</f>
        <v>#N/A</v>
      </c>
      <c r="F315" t="str">
        <f>_xlfn.XLOOKUP(B315,MacReports!B:B,MacReports!D:D,"")</f>
        <v/>
      </c>
      <c r="G315" s="13">
        <f>MacReports!E315</f>
        <v>0</v>
      </c>
      <c r="H315" t="e">
        <f>_xlfn.XLOOKUP(G315,Models!A:A,Models!B:B)</f>
        <v>#N/A</v>
      </c>
      <c r="I315" t="e">
        <f>_xlfn.XLOOKUP(G315,Models!A:A,Models!E:E)</f>
        <v>#N/A</v>
      </c>
      <c r="J315" t="e">
        <f>_xlfn.XLOOKUP(G315,Models!A:A,Models!D:D)</f>
        <v>#N/A</v>
      </c>
      <c r="K315">
        <f>MacReports!F315</f>
        <v>0</v>
      </c>
      <c r="L315">
        <f>MacReports!G315</f>
        <v>0</v>
      </c>
      <c r="M315" s="15" t="e" cm="1">
        <f t="array" ref="M315">--_xlfn.LET(
    _xlpm.txt, MacReports!H315,
    _xlpm.chars, MID(_xlpm.txt, _xlfn.SEQUENCE(LEN(_xlpm.txt)), 1),
    _xlfn.TEXTJOIN("", TRUE, IF(ISNUMBER(--_xlpm.chars), _xlpm.chars, ""))
)</f>
        <v>#VALUE!</v>
      </c>
      <c r="N315" s="16" t="str" cm="1">
        <f t="array" ref="N315">_xlfn.IFS(
   --MacReports!M315&lt;55,"Battery Defect",
  -- MacReports!M315&lt;=69,"Battery D",
  --MacReports!M315&lt;=80,"Battery C",
 --MacReports!M315&gt;80,""
)</f>
        <v>Battery Defect</v>
      </c>
      <c r="O315" s="16" t="str">
        <f>IF(MacReports!I315="Service","Battery Service","")</f>
        <v/>
      </c>
      <c r="P315" s="13">
        <f>MacReports!P315</f>
        <v>0</v>
      </c>
      <c r="Q315" s="13" t="str">
        <f>IF(MacReports!J315="Enabled","Apple ID Lock","")</f>
        <v/>
      </c>
      <c r="R315" s="13" t="str">
        <f>IF(MacReports!L315="y","Remote Locked","")</f>
        <v/>
      </c>
      <c r="S315" t="str">
        <f t="shared" si="11"/>
        <v>Battery Defect, 0</v>
      </c>
      <c r="T315" t="str">
        <f>_xlfn.XLOOKUP(B315,Disk_Pivot!G:G,Disk_Pivot!I:I)</f>
        <v>Yes</v>
      </c>
      <c r="U315" t="str">
        <f>_xlfn.XLOOKUP(B315,Disk_Pivot!G:G,Disk_Pivot!N:N)</f>
        <v>Fail</v>
      </c>
      <c r="V315">
        <f>IF(U315="Fail",MacReports!N315,"")</f>
        <v>0</v>
      </c>
      <c r="AB315" t="str">
        <f t="shared" si="12"/>
        <v/>
      </c>
    </row>
    <row r="316" spans="1:28">
      <c r="A316">
        <f>MacReports!A316</f>
        <v>0</v>
      </c>
      <c r="B316">
        <f>MacReports!B316</f>
        <v>0</v>
      </c>
      <c r="C316">
        <f>MacReports!C316</f>
        <v>0</v>
      </c>
      <c r="E316" t="e">
        <f>_xlfn.XLOOKUP(G316,Models!A:A,Models!F:F)</f>
        <v>#N/A</v>
      </c>
      <c r="F316" t="str">
        <f>_xlfn.XLOOKUP(B316,MacReports!B:B,MacReports!D:D,"")</f>
        <v/>
      </c>
      <c r="G316" s="13">
        <f>MacReports!E316</f>
        <v>0</v>
      </c>
      <c r="H316" t="e">
        <f>_xlfn.XLOOKUP(G316,Models!A:A,Models!B:B)</f>
        <v>#N/A</v>
      </c>
      <c r="I316" t="e">
        <f>_xlfn.XLOOKUP(G316,Models!A:A,Models!E:E)</f>
        <v>#N/A</v>
      </c>
      <c r="J316" t="e">
        <f>_xlfn.XLOOKUP(G316,Models!A:A,Models!D:D)</f>
        <v>#N/A</v>
      </c>
      <c r="K316">
        <f>MacReports!F316</f>
        <v>0</v>
      </c>
      <c r="L316">
        <f>MacReports!G316</f>
        <v>0</v>
      </c>
      <c r="M316" s="15" t="e" cm="1">
        <f t="array" ref="M316">--_xlfn.LET(
    _xlpm.txt, MacReports!H316,
    _xlpm.chars, MID(_xlpm.txt, _xlfn.SEQUENCE(LEN(_xlpm.txt)), 1),
    _xlfn.TEXTJOIN("", TRUE, IF(ISNUMBER(--_xlpm.chars), _xlpm.chars, ""))
)</f>
        <v>#VALUE!</v>
      </c>
      <c r="N316" s="16" t="str" cm="1">
        <f t="array" ref="N316">_xlfn.IFS(
   --MacReports!M316&lt;55,"Battery Defect",
  -- MacReports!M316&lt;=69,"Battery D",
  --MacReports!M316&lt;=80,"Battery C",
 --MacReports!M316&gt;80,""
)</f>
        <v>Battery Defect</v>
      </c>
      <c r="O316" s="16" t="str">
        <f>IF(MacReports!I316="Service","Battery Service","")</f>
        <v/>
      </c>
      <c r="P316" s="13">
        <f>MacReports!P316</f>
        <v>0</v>
      </c>
      <c r="Q316" s="13" t="str">
        <f>IF(MacReports!J316="Enabled","Apple ID Lock","")</f>
        <v/>
      </c>
      <c r="R316" s="13" t="str">
        <f>IF(MacReports!L316="y","Remote Locked","")</f>
        <v/>
      </c>
      <c r="S316" t="str">
        <f t="shared" si="11"/>
        <v>Battery Defect, 0</v>
      </c>
      <c r="T316" t="str">
        <f>_xlfn.XLOOKUP(B316,Disk_Pivot!G:G,Disk_Pivot!I:I)</f>
        <v>Yes</v>
      </c>
      <c r="U316" t="str">
        <f>_xlfn.XLOOKUP(B316,Disk_Pivot!G:G,Disk_Pivot!N:N)</f>
        <v>Fail</v>
      </c>
      <c r="V316">
        <f>IF(U316="Fail",MacReports!N316,"")</f>
        <v>0</v>
      </c>
      <c r="AB316" t="str">
        <f t="shared" si="12"/>
        <v/>
      </c>
    </row>
    <row r="317" spans="1:28">
      <c r="A317">
        <f>MacReports!A317</f>
        <v>0</v>
      </c>
      <c r="B317">
        <f>MacReports!B317</f>
        <v>0</v>
      </c>
      <c r="C317">
        <f>MacReports!C317</f>
        <v>0</v>
      </c>
      <c r="E317" t="e">
        <f>_xlfn.XLOOKUP(G317,Models!A:A,Models!F:F)</f>
        <v>#N/A</v>
      </c>
      <c r="F317" t="str">
        <f>_xlfn.XLOOKUP(B317,MacReports!B:B,MacReports!D:D,"")</f>
        <v/>
      </c>
      <c r="G317" s="13">
        <f>MacReports!E317</f>
        <v>0</v>
      </c>
      <c r="H317" t="e">
        <f>_xlfn.XLOOKUP(G317,Models!A:A,Models!B:B)</f>
        <v>#N/A</v>
      </c>
      <c r="I317" t="e">
        <f>_xlfn.XLOOKUP(G317,Models!A:A,Models!E:E)</f>
        <v>#N/A</v>
      </c>
      <c r="J317" t="e">
        <f>_xlfn.XLOOKUP(G317,Models!A:A,Models!D:D)</f>
        <v>#N/A</v>
      </c>
      <c r="K317">
        <f>MacReports!F317</f>
        <v>0</v>
      </c>
      <c r="L317">
        <f>MacReports!G317</f>
        <v>0</v>
      </c>
      <c r="M317" s="15" t="e" cm="1">
        <f t="array" ref="M317">--_xlfn.LET(
    _xlpm.txt, MacReports!H317,
    _xlpm.chars, MID(_xlpm.txt, _xlfn.SEQUENCE(LEN(_xlpm.txt)), 1),
    _xlfn.TEXTJOIN("", TRUE, IF(ISNUMBER(--_xlpm.chars), _xlpm.chars, ""))
)</f>
        <v>#VALUE!</v>
      </c>
      <c r="N317" s="16" t="str" cm="1">
        <f t="array" ref="N317">_xlfn.IFS(
   --MacReports!M317&lt;55,"Battery Defect",
  -- MacReports!M317&lt;=69,"Battery D",
  --MacReports!M317&lt;=80,"Battery C",
 --MacReports!M317&gt;80,""
)</f>
        <v>Battery Defect</v>
      </c>
      <c r="O317" s="16" t="str">
        <f>IF(MacReports!I317="Service","Battery Service","")</f>
        <v/>
      </c>
      <c r="P317" s="13">
        <f>MacReports!P317</f>
        <v>0</v>
      </c>
      <c r="Q317" s="13" t="str">
        <f>IF(MacReports!J317="Enabled","Apple ID Lock","")</f>
        <v/>
      </c>
      <c r="R317" s="13" t="str">
        <f>IF(MacReports!L317="y","Remote Locked","")</f>
        <v/>
      </c>
      <c r="S317" t="str">
        <f t="shared" si="11"/>
        <v>Battery Defect, 0</v>
      </c>
      <c r="T317" t="str">
        <f>_xlfn.XLOOKUP(B317,Disk_Pivot!G:G,Disk_Pivot!I:I)</f>
        <v>Yes</v>
      </c>
      <c r="U317" t="str">
        <f>_xlfn.XLOOKUP(B317,Disk_Pivot!G:G,Disk_Pivot!N:N)</f>
        <v>Fail</v>
      </c>
      <c r="V317">
        <f>IF(U317="Fail",MacReports!N317,"")</f>
        <v>0</v>
      </c>
      <c r="AB317" t="str">
        <f t="shared" si="12"/>
        <v/>
      </c>
    </row>
    <row r="318" spans="1:28">
      <c r="A318">
        <f>MacReports!A318</f>
        <v>0</v>
      </c>
      <c r="B318">
        <f>MacReports!B318</f>
        <v>0</v>
      </c>
      <c r="C318">
        <f>MacReports!C318</f>
        <v>0</v>
      </c>
      <c r="E318" t="e">
        <f>_xlfn.XLOOKUP(G318,Models!A:A,Models!F:F)</f>
        <v>#N/A</v>
      </c>
      <c r="F318" t="str">
        <f>_xlfn.XLOOKUP(B318,MacReports!B:B,MacReports!D:D,"")</f>
        <v/>
      </c>
      <c r="G318" s="13">
        <f>MacReports!E318</f>
        <v>0</v>
      </c>
      <c r="H318" t="e">
        <f>_xlfn.XLOOKUP(G318,Models!A:A,Models!B:B)</f>
        <v>#N/A</v>
      </c>
      <c r="I318" t="e">
        <f>_xlfn.XLOOKUP(G318,Models!A:A,Models!E:E)</f>
        <v>#N/A</v>
      </c>
      <c r="J318" t="e">
        <f>_xlfn.XLOOKUP(G318,Models!A:A,Models!D:D)</f>
        <v>#N/A</v>
      </c>
      <c r="K318">
        <f>MacReports!F318</f>
        <v>0</v>
      </c>
      <c r="L318">
        <f>MacReports!G318</f>
        <v>0</v>
      </c>
      <c r="M318" s="15" t="e" cm="1">
        <f t="array" ref="M318">--_xlfn.LET(
    _xlpm.txt, MacReports!H318,
    _xlpm.chars, MID(_xlpm.txt, _xlfn.SEQUENCE(LEN(_xlpm.txt)), 1),
    _xlfn.TEXTJOIN("", TRUE, IF(ISNUMBER(--_xlpm.chars), _xlpm.chars, ""))
)</f>
        <v>#VALUE!</v>
      </c>
      <c r="N318" s="16" t="str" cm="1">
        <f t="array" ref="N318">_xlfn.IFS(
   --MacReports!M318&lt;55,"Battery Defect",
  -- MacReports!M318&lt;=69,"Battery D",
  --MacReports!M318&lt;=80,"Battery C",
 --MacReports!M318&gt;80,""
)</f>
        <v>Battery Defect</v>
      </c>
      <c r="O318" s="16" t="str">
        <f>IF(MacReports!I318="Service","Battery Service","")</f>
        <v/>
      </c>
      <c r="P318" s="13">
        <f>MacReports!P318</f>
        <v>0</v>
      </c>
      <c r="Q318" s="13" t="str">
        <f>IF(MacReports!J318="Enabled","Apple ID Lock","")</f>
        <v/>
      </c>
      <c r="R318" s="13" t="str">
        <f>IF(MacReports!L318="y","Remote Locked","")</f>
        <v/>
      </c>
      <c r="S318" t="str">
        <f t="shared" si="11"/>
        <v>Battery Defect, 0</v>
      </c>
      <c r="T318" t="str">
        <f>_xlfn.XLOOKUP(B318,Disk_Pivot!G:G,Disk_Pivot!I:I)</f>
        <v>Yes</v>
      </c>
      <c r="U318" t="str">
        <f>_xlfn.XLOOKUP(B318,Disk_Pivot!G:G,Disk_Pivot!N:N)</f>
        <v>Fail</v>
      </c>
      <c r="V318">
        <f>IF(U318="Fail",MacReports!N318,"")</f>
        <v>0</v>
      </c>
      <c r="AB318" t="str">
        <f t="shared" si="12"/>
        <v/>
      </c>
    </row>
    <row r="319" spans="1:28">
      <c r="A319">
        <f>MacReports!A319</f>
        <v>0</v>
      </c>
      <c r="B319">
        <f>MacReports!B319</f>
        <v>0</v>
      </c>
      <c r="C319">
        <f>MacReports!C319</f>
        <v>0</v>
      </c>
      <c r="E319" t="e">
        <f>_xlfn.XLOOKUP(G319,Models!A:A,Models!F:F)</f>
        <v>#N/A</v>
      </c>
      <c r="F319" t="str">
        <f>_xlfn.XLOOKUP(B319,MacReports!B:B,MacReports!D:D,"")</f>
        <v/>
      </c>
      <c r="G319" s="13">
        <f>MacReports!E319</f>
        <v>0</v>
      </c>
      <c r="H319" t="e">
        <f>_xlfn.XLOOKUP(G319,Models!A:A,Models!B:B)</f>
        <v>#N/A</v>
      </c>
      <c r="I319" t="e">
        <f>_xlfn.XLOOKUP(G319,Models!A:A,Models!E:E)</f>
        <v>#N/A</v>
      </c>
      <c r="J319" t="e">
        <f>_xlfn.XLOOKUP(G319,Models!A:A,Models!D:D)</f>
        <v>#N/A</v>
      </c>
      <c r="K319">
        <f>MacReports!F319</f>
        <v>0</v>
      </c>
      <c r="L319">
        <f>MacReports!G319</f>
        <v>0</v>
      </c>
      <c r="M319" s="15" t="e" cm="1">
        <f t="array" ref="M319">--_xlfn.LET(
    _xlpm.txt, MacReports!H319,
    _xlpm.chars, MID(_xlpm.txt, _xlfn.SEQUENCE(LEN(_xlpm.txt)), 1),
    _xlfn.TEXTJOIN("", TRUE, IF(ISNUMBER(--_xlpm.chars), _xlpm.chars, ""))
)</f>
        <v>#VALUE!</v>
      </c>
      <c r="N319" s="16" t="str" cm="1">
        <f t="array" ref="N319">_xlfn.IFS(
   --MacReports!M319&lt;55,"Battery Defect",
  -- MacReports!M319&lt;=69,"Battery D",
  --MacReports!M319&lt;=80,"Battery C",
 --MacReports!M319&gt;80,""
)</f>
        <v>Battery Defect</v>
      </c>
      <c r="O319" s="16" t="str">
        <f>IF(MacReports!I319="Service","Battery Service","")</f>
        <v/>
      </c>
      <c r="P319" s="13">
        <f>MacReports!P319</f>
        <v>0</v>
      </c>
      <c r="Q319" s="13" t="str">
        <f>IF(MacReports!J319="Enabled","Apple ID Lock","")</f>
        <v/>
      </c>
      <c r="R319" s="13" t="str">
        <f>IF(MacReports!L319="y","Remote Locked","")</f>
        <v/>
      </c>
      <c r="S319" t="str">
        <f t="shared" si="11"/>
        <v>Battery Defect, 0</v>
      </c>
      <c r="T319" t="str">
        <f>_xlfn.XLOOKUP(B319,Disk_Pivot!G:G,Disk_Pivot!I:I)</f>
        <v>Yes</v>
      </c>
      <c r="U319" t="str">
        <f>_xlfn.XLOOKUP(B319,Disk_Pivot!G:G,Disk_Pivot!N:N)</f>
        <v>Fail</v>
      </c>
      <c r="V319">
        <f>IF(U319="Fail",MacReports!N319,"")</f>
        <v>0</v>
      </c>
      <c r="AB319" t="str">
        <f t="shared" si="12"/>
        <v/>
      </c>
    </row>
    <row r="320" spans="1:28">
      <c r="A320">
        <f>MacReports!A320</f>
        <v>0</v>
      </c>
      <c r="B320">
        <f>MacReports!B320</f>
        <v>0</v>
      </c>
      <c r="C320">
        <f>MacReports!C320</f>
        <v>0</v>
      </c>
      <c r="E320" t="e">
        <f>_xlfn.XLOOKUP(G320,Models!A:A,Models!F:F)</f>
        <v>#N/A</v>
      </c>
      <c r="F320" t="str">
        <f>_xlfn.XLOOKUP(B320,MacReports!B:B,MacReports!D:D,"")</f>
        <v/>
      </c>
      <c r="G320" s="13">
        <f>MacReports!E320</f>
        <v>0</v>
      </c>
      <c r="H320" t="e">
        <f>_xlfn.XLOOKUP(G320,Models!A:A,Models!B:B)</f>
        <v>#N/A</v>
      </c>
      <c r="I320" t="e">
        <f>_xlfn.XLOOKUP(G320,Models!A:A,Models!E:E)</f>
        <v>#N/A</v>
      </c>
      <c r="J320" t="e">
        <f>_xlfn.XLOOKUP(G320,Models!A:A,Models!D:D)</f>
        <v>#N/A</v>
      </c>
      <c r="K320">
        <f>MacReports!F320</f>
        <v>0</v>
      </c>
      <c r="L320">
        <f>MacReports!G320</f>
        <v>0</v>
      </c>
      <c r="M320" s="15" t="e" cm="1">
        <f t="array" ref="M320">--_xlfn.LET(
    _xlpm.txt, MacReports!H320,
    _xlpm.chars, MID(_xlpm.txt, _xlfn.SEQUENCE(LEN(_xlpm.txt)), 1),
    _xlfn.TEXTJOIN("", TRUE, IF(ISNUMBER(--_xlpm.chars), _xlpm.chars, ""))
)</f>
        <v>#VALUE!</v>
      </c>
      <c r="N320" s="16" t="str" cm="1">
        <f t="array" ref="N320">_xlfn.IFS(
   --MacReports!M320&lt;55,"Battery Defect",
  -- MacReports!M320&lt;=69,"Battery D",
  --MacReports!M320&lt;=80,"Battery C",
 --MacReports!M320&gt;80,""
)</f>
        <v>Battery Defect</v>
      </c>
      <c r="O320" s="16" t="str">
        <f>IF(MacReports!I320="Service","Battery Service","")</f>
        <v/>
      </c>
      <c r="P320" s="13">
        <f>MacReports!P320</f>
        <v>0</v>
      </c>
      <c r="Q320" s="13" t="str">
        <f>IF(MacReports!J320="Enabled","Apple ID Lock","")</f>
        <v/>
      </c>
      <c r="R320" s="13" t="str">
        <f>IF(MacReports!L320="y","Remote Locked","")</f>
        <v/>
      </c>
      <c r="S320" t="str">
        <f t="shared" si="11"/>
        <v>Battery Defect, 0</v>
      </c>
      <c r="T320" t="str">
        <f>_xlfn.XLOOKUP(B320,Disk_Pivot!G:G,Disk_Pivot!I:I)</f>
        <v>Yes</v>
      </c>
      <c r="U320" t="str">
        <f>_xlfn.XLOOKUP(B320,Disk_Pivot!G:G,Disk_Pivot!N:N)</f>
        <v>Fail</v>
      </c>
      <c r="V320">
        <f>IF(U320="Fail",MacReports!N320,"")</f>
        <v>0</v>
      </c>
      <c r="AB320" t="str">
        <f t="shared" si="12"/>
        <v/>
      </c>
    </row>
    <row r="321" spans="1:28">
      <c r="A321">
        <f>MacReports!A321</f>
        <v>0</v>
      </c>
      <c r="B321">
        <f>MacReports!B321</f>
        <v>0</v>
      </c>
      <c r="C321">
        <f>MacReports!C321</f>
        <v>0</v>
      </c>
      <c r="E321" t="e">
        <f>_xlfn.XLOOKUP(G321,Models!A:A,Models!F:F)</f>
        <v>#N/A</v>
      </c>
      <c r="F321" t="str">
        <f>_xlfn.XLOOKUP(B321,MacReports!B:B,MacReports!D:D,"")</f>
        <v/>
      </c>
      <c r="G321" s="13">
        <f>MacReports!E321</f>
        <v>0</v>
      </c>
      <c r="H321" t="e">
        <f>_xlfn.XLOOKUP(G321,Models!A:A,Models!B:B)</f>
        <v>#N/A</v>
      </c>
      <c r="I321" t="e">
        <f>_xlfn.XLOOKUP(G321,Models!A:A,Models!E:E)</f>
        <v>#N/A</v>
      </c>
      <c r="J321" t="e">
        <f>_xlfn.XLOOKUP(G321,Models!A:A,Models!D:D)</f>
        <v>#N/A</v>
      </c>
      <c r="K321">
        <f>MacReports!F321</f>
        <v>0</v>
      </c>
      <c r="L321">
        <f>MacReports!G321</f>
        <v>0</v>
      </c>
      <c r="M321" s="15" t="e" cm="1">
        <f t="array" ref="M321">--_xlfn.LET(
    _xlpm.txt, MacReports!H321,
    _xlpm.chars, MID(_xlpm.txt, _xlfn.SEQUENCE(LEN(_xlpm.txt)), 1),
    _xlfn.TEXTJOIN("", TRUE, IF(ISNUMBER(--_xlpm.chars), _xlpm.chars, ""))
)</f>
        <v>#VALUE!</v>
      </c>
      <c r="N321" s="16" t="str" cm="1">
        <f t="array" ref="N321">_xlfn.IFS(
   --MacReports!M321&lt;55,"Battery Defect",
  -- MacReports!M321&lt;=69,"Battery D",
  --MacReports!M321&lt;=80,"Battery C",
 --MacReports!M321&gt;80,""
)</f>
        <v>Battery Defect</v>
      </c>
      <c r="O321" s="16" t="str">
        <f>IF(MacReports!I321="Service","Battery Service","")</f>
        <v/>
      </c>
      <c r="P321" s="13">
        <f>MacReports!P321</f>
        <v>0</v>
      </c>
      <c r="Q321" s="13" t="str">
        <f>IF(MacReports!J321="Enabled","Apple ID Lock","")</f>
        <v/>
      </c>
      <c r="R321" s="13" t="str">
        <f>IF(MacReports!L321="y","Remote Locked","")</f>
        <v/>
      </c>
      <c r="S321" t="str">
        <f t="shared" si="11"/>
        <v>Battery Defect, 0</v>
      </c>
      <c r="T321" t="str">
        <f>_xlfn.XLOOKUP(B321,Disk_Pivot!G:G,Disk_Pivot!I:I)</f>
        <v>Yes</v>
      </c>
      <c r="U321" t="str">
        <f>_xlfn.XLOOKUP(B321,Disk_Pivot!G:G,Disk_Pivot!N:N)</f>
        <v>Fail</v>
      </c>
      <c r="V321">
        <f>IF(U321="Fail",MacReports!N321,"")</f>
        <v>0</v>
      </c>
      <c r="AB321" t="str">
        <f t="shared" si="12"/>
        <v/>
      </c>
    </row>
    <row r="322" spans="1:28">
      <c r="A322">
        <f>MacReports!A322</f>
        <v>0</v>
      </c>
      <c r="B322">
        <f>MacReports!B322</f>
        <v>0</v>
      </c>
      <c r="C322">
        <f>MacReports!C322</f>
        <v>0</v>
      </c>
      <c r="E322" t="e">
        <f>_xlfn.XLOOKUP(G322,Models!A:A,Models!F:F)</f>
        <v>#N/A</v>
      </c>
      <c r="F322" t="str">
        <f>_xlfn.XLOOKUP(B322,MacReports!B:B,MacReports!D:D,"")</f>
        <v/>
      </c>
      <c r="G322" s="13">
        <f>MacReports!E322</f>
        <v>0</v>
      </c>
      <c r="H322" t="e">
        <f>_xlfn.XLOOKUP(G322,Models!A:A,Models!B:B)</f>
        <v>#N/A</v>
      </c>
      <c r="I322" t="e">
        <f>_xlfn.XLOOKUP(G322,Models!A:A,Models!E:E)</f>
        <v>#N/A</v>
      </c>
      <c r="J322" t="e">
        <f>_xlfn.XLOOKUP(G322,Models!A:A,Models!D:D)</f>
        <v>#N/A</v>
      </c>
      <c r="K322">
        <f>MacReports!F322</f>
        <v>0</v>
      </c>
      <c r="L322">
        <f>MacReports!G322</f>
        <v>0</v>
      </c>
      <c r="M322" s="15" t="e" cm="1">
        <f t="array" ref="M322">--_xlfn.LET(
    _xlpm.txt, MacReports!H322,
    _xlpm.chars, MID(_xlpm.txt, _xlfn.SEQUENCE(LEN(_xlpm.txt)), 1),
    _xlfn.TEXTJOIN("", TRUE, IF(ISNUMBER(--_xlpm.chars), _xlpm.chars, ""))
)</f>
        <v>#VALUE!</v>
      </c>
      <c r="N322" s="16" t="str" cm="1">
        <f t="array" ref="N322">_xlfn.IFS(
   --MacReports!M322&lt;55,"Battery Defect",
  -- MacReports!M322&lt;=69,"Battery D",
  --MacReports!M322&lt;=80,"Battery C",
 --MacReports!M322&gt;80,""
)</f>
        <v>Battery Defect</v>
      </c>
      <c r="O322" s="16" t="str">
        <f>IF(MacReports!I322="Service","Battery Service","")</f>
        <v/>
      </c>
      <c r="P322" s="13">
        <f>MacReports!P322</f>
        <v>0</v>
      </c>
      <c r="Q322" s="13" t="str">
        <f>IF(MacReports!J322="Enabled","Apple ID Lock","")</f>
        <v/>
      </c>
      <c r="R322" s="13" t="str">
        <f>IF(MacReports!L322="y","Remote Locked","")</f>
        <v/>
      </c>
      <c r="S322" t="str">
        <f t="shared" si="11"/>
        <v>Battery Defect, 0</v>
      </c>
      <c r="T322" t="str">
        <f>_xlfn.XLOOKUP(B322,Disk_Pivot!G:G,Disk_Pivot!I:I)</f>
        <v>Yes</v>
      </c>
      <c r="U322" t="str">
        <f>_xlfn.XLOOKUP(B322,Disk_Pivot!G:G,Disk_Pivot!N:N)</f>
        <v>Fail</v>
      </c>
      <c r="V322">
        <f>IF(U322="Fail",MacReports!N322,"")</f>
        <v>0</v>
      </c>
      <c r="AB322" t="str">
        <f t="shared" si="12"/>
        <v/>
      </c>
    </row>
    <row r="323" spans="1:28">
      <c r="A323">
        <f>MacReports!A323</f>
        <v>0</v>
      </c>
      <c r="B323">
        <f>MacReports!B323</f>
        <v>0</v>
      </c>
      <c r="C323">
        <f>MacReports!C323</f>
        <v>0</v>
      </c>
      <c r="E323" t="e">
        <f>_xlfn.XLOOKUP(G323,Models!A:A,Models!F:F)</f>
        <v>#N/A</v>
      </c>
      <c r="F323" t="str">
        <f>_xlfn.XLOOKUP(B323,MacReports!B:B,MacReports!D:D,"")</f>
        <v/>
      </c>
      <c r="G323" s="13">
        <f>MacReports!E323</f>
        <v>0</v>
      </c>
      <c r="H323" t="e">
        <f>_xlfn.XLOOKUP(G323,Models!A:A,Models!B:B)</f>
        <v>#N/A</v>
      </c>
      <c r="I323" t="e">
        <f>_xlfn.XLOOKUP(G323,Models!A:A,Models!E:E)</f>
        <v>#N/A</v>
      </c>
      <c r="J323" t="e">
        <f>_xlfn.XLOOKUP(G323,Models!A:A,Models!D:D)</f>
        <v>#N/A</v>
      </c>
      <c r="K323">
        <f>MacReports!F323</f>
        <v>0</v>
      </c>
      <c r="L323">
        <f>MacReports!G323</f>
        <v>0</v>
      </c>
      <c r="M323" s="15" t="e" cm="1">
        <f t="array" ref="M323">--_xlfn.LET(
    _xlpm.txt, MacReports!H323,
    _xlpm.chars, MID(_xlpm.txt, _xlfn.SEQUENCE(LEN(_xlpm.txt)), 1),
    _xlfn.TEXTJOIN("", TRUE, IF(ISNUMBER(--_xlpm.chars), _xlpm.chars, ""))
)</f>
        <v>#VALUE!</v>
      </c>
      <c r="N323" s="16" t="str" cm="1">
        <f t="array" ref="N323">_xlfn.IFS(
   --MacReports!M323&lt;55,"Battery Defect",
  -- MacReports!M323&lt;=69,"Battery D",
  --MacReports!M323&lt;=80,"Battery C",
 --MacReports!M323&gt;80,""
)</f>
        <v>Battery Defect</v>
      </c>
      <c r="O323" s="16" t="str">
        <f>IF(MacReports!I323="Service","Battery Service","")</f>
        <v/>
      </c>
      <c r="P323" s="13">
        <f>MacReports!P323</f>
        <v>0</v>
      </c>
      <c r="Q323" s="13" t="str">
        <f>IF(MacReports!J323="Enabled","Apple ID Lock","")</f>
        <v/>
      </c>
      <c r="R323" s="13" t="str">
        <f>IF(MacReports!L323="y","Remote Locked","")</f>
        <v/>
      </c>
      <c r="S323" t="str">
        <f t="shared" si="11"/>
        <v>Battery Defect, 0</v>
      </c>
      <c r="T323" t="str">
        <f>_xlfn.XLOOKUP(B323,Disk_Pivot!G:G,Disk_Pivot!I:I)</f>
        <v>Yes</v>
      </c>
      <c r="U323" t="str">
        <f>_xlfn.XLOOKUP(B323,Disk_Pivot!G:G,Disk_Pivot!N:N)</f>
        <v>Fail</v>
      </c>
      <c r="V323">
        <f>IF(U323="Fail",MacReports!N323,"")</f>
        <v>0</v>
      </c>
      <c r="AB323" t="str">
        <f t="shared" si="12"/>
        <v/>
      </c>
    </row>
    <row r="324" spans="1:28">
      <c r="A324">
        <f>MacReports!A324</f>
        <v>0</v>
      </c>
      <c r="B324">
        <f>MacReports!B324</f>
        <v>0</v>
      </c>
      <c r="C324">
        <f>MacReports!C324</f>
        <v>0</v>
      </c>
      <c r="E324" t="e">
        <f>_xlfn.XLOOKUP(G324,Models!A:A,Models!F:F)</f>
        <v>#N/A</v>
      </c>
      <c r="F324" t="str">
        <f>_xlfn.XLOOKUP(B324,MacReports!B:B,MacReports!D:D,"")</f>
        <v/>
      </c>
      <c r="G324" s="13">
        <f>MacReports!E324</f>
        <v>0</v>
      </c>
      <c r="H324" t="e">
        <f>_xlfn.XLOOKUP(G324,Models!A:A,Models!B:B)</f>
        <v>#N/A</v>
      </c>
      <c r="I324" t="e">
        <f>_xlfn.XLOOKUP(G324,Models!A:A,Models!E:E)</f>
        <v>#N/A</v>
      </c>
      <c r="J324" t="e">
        <f>_xlfn.XLOOKUP(G324,Models!A:A,Models!D:D)</f>
        <v>#N/A</v>
      </c>
      <c r="K324">
        <f>MacReports!F324</f>
        <v>0</v>
      </c>
      <c r="L324">
        <f>MacReports!G324</f>
        <v>0</v>
      </c>
      <c r="M324" s="15" t="e" cm="1">
        <f t="array" ref="M324">--_xlfn.LET(
    _xlpm.txt, MacReports!H324,
    _xlpm.chars, MID(_xlpm.txt, _xlfn.SEQUENCE(LEN(_xlpm.txt)), 1),
    _xlfn.TEXTJOIN("", TRUE, IF(ISNUMBER(--_xlpm.chars), _xlpm.chars, ""))
)</f>
        <v>#VALUE!</v>
      </c>
      <c r="N324" s="16" t="str" cm="1">
        <f t="array" ref="N324">_xlfn.IFS(
   --MacReports!M324&lt;55,"Battery Defect",
  -- MacReports!M324&lt;=69,"Battery D",
  --MacReports!M324&lt;=80,"Battery C",
 --MacReports!M324&gt;80,""
)</f>
        <v>Battery Defect</v>
      </c>
      <c r="O324" s="16" t="str">
        <f>IF(MacReports!I324="Service","Battery Service","")</f>
        <v/>
      </c>
      <c r="P324" s="13">
        <f>MacReports!P324</f>
        <v>0</v>
      </c>
      <c r="Q324" s="13" t="str">
        <f>IF(MacReports!J324="Enabled","Apple ID Lock","")</f>
        <v/>
      </c>
      <c r="R324" s="13" t="str">
        <f>IF(MacReports!L324="y","Remote Locked","")</f>
        <v/>
      </c>
      <c r="S324" t="str">
        <f t="shared" si="11"/>
        <v>Battery Defect, 0</v>
      </c>
      <c r="T324" t="str">
        <f>_xlfn.XLOOKUP(B324,Disk_Pivot!G:G,Disk_Pivot!I:I)</f>
        <v>Yes</v>
      </c>
      <c r="U324" t="str">
        <f>_xlfn.XLOOKUP(B324,Disk_Pivot!G:G,Disk_Pivot!N:N)</f>
        <v>Fail</v>
      </c>
      <c r="V324">
        <f>IF(U324="Fail",MacReports!N324,"")</f>
        <v>0</v>
      </c>
      <c r="AB324" t="str">
        <f t="shared" si="12"/>
        <v/>
      </c>
    </row>
    <row r="325" spans="1:28">
      <c r="A325">
        <f>MacReports!A325</f>
        <v>0</v>
      </c>
      <c r="B325">
        <f>MacReports!B325</f>
        <v>0</v>
      </c>
      <c r="C325">
        <f>MacReports!C325</f>
        <v>0</v>
      </c>
      <c r="E325" t="e">
        <f>_xlfn.XLOOKUP(G325,Models!A:A,Models!F:F)</f>
        <v>#N/A</v>
      </c>
      <c r="F325" t="str">
        <f>_xlfn.XLOOKUP(B325,MacReports!B:B,MacReports!D:D,"")</f>
        <v/>
      </c>
      <c r="G325" s="13">
        <f>MacReports!E325</f>
        <v>0</v>
      </c>
      <c r="H325" t="e">
        <f>_xlfn.XLOOKUP(G325,Models!A:A,Models!B:B)</f>
        <v>#N/A</v>
      </c>
      <c r="I325" t="e">
        <f>_xlfn.XLOOKUP(G325,Models!A:A,Models!E:E)</f>
        <v>#N/A</v>
      </c>
      <c r="J325" t="e">
        <f>_xlfn.XLOOKUP(G325,Models!A:A,Models!D:D)</f>
        <v>#N/A</v>
      </c>
      <c r="K325">
        <f>MacReports!F325</f>
        <v>0</v>
      </c>
      <c r="L325">
        <f>MacReports!G325</f>
        <v>0</v>
      </c>
      <c r="M325" s="15" t="e" cm="1">
        <f t="array" ref="M325">--_xlfn.LET(
    _xlpm.txt, MacReports!H325,
    _xlpm.chars, MID(_xlpm.txt, _xlfn.SEQUENCE(LEN(_xlpm.txt)), 1),
    _xlfn.TEXTJOIN("", TRUE, IF(ISNUMBER(--_xlpm.chars), _xlpm.chars, ""))
)</f>
        <v>#VALUE!</v>
      </c>
      <c r="N325" s="16" t="str" cm="1">
        <f t="array" ref="N325">_xlfn.IFS(
   --MacReports!M325&lt;55,"Battery Defect",
  -- MacReports!M325&lt;=69,"Battery D",
  --MacReports!M325&lt;=80,"Battery C",
 --MacReports!M325&gt;80,""
)</f>
        <v>Battery Defect</v>
      </c>
      <c r="O325" s="16" t="str">
        <f>IF(MacReports!I325="Service","Battery Service","")</f>
        <v/>
      </c>
      <c r="P325" s="13">
        <f>MacReports!P325</f>
        <v>0</v>
      </c>
      <c r="Q325" s="13" t="str">
        <f>IF(MacReports!J325="Enabled","Apple ID Lock","")</f>
        <v/>
      </c>
      <c r="R325" s="13" t="str">
        <f>IF(MacReports!L325="y","Remote Locked","")</f>
        <v/>
      </c>
      <c r="S325" t="str">
        <f t="shared" si="11"/>
        <v>Battery Defect, 0</v>
      </c>
      <c r="T325" t="str">
        <f>_xlfn.XLOOKUP(B325,Disk_Pivot!G:G,Disk_Pivot!I:I)</f>
        <v>Yes</v>
      </c>
      <c r="U325" t="str">
        <f>_xlfn.XLOOKUP(B325,Disk_Pivot!G:G,Disk_Pivot!N:N)</f>
        <v>Fail</v>
      </c>
      <c r="V325">
        <f>IF(U325="Fail",MacReports!N325,"")</f>
        <v>0</v>
      </c>
      <c r="AB325" t="str">
        <f t="shared" si="12"/>
        <v/>
      </c>
    </row>
    <row r="326" spans="1:28">
      <c r="A326">
        <f>MacReports!A326</f>
        <v>0</v>
      </c>
      <c r="B326">
        <f>MacReports!B326</f>
        <v>0</v>
      </c>
      <c r="C326">
        <f>MacReports!C326</f>
        <v>0</v>
      </c>
      <c r="E326" t="e">
        <f>_xlfn.XLOOKUP(G326,Models!A:A,Models!F:F)</f>
        <v>#N/A</v>
      </c>
      <c r="F326" t="str">
        <f>_xlfn.XLOOKUP(B326,MacReports!B:B,MacReports!D:D,"")</f>
        <v/>
      </c>
      <c r="G326" s="13">
        <f>MacReports!E326</f>
        <v>0</v>
      </c>
      <c r="H326" t="e">
        <f>_xlfn.XLOOKUP(G326,Models!A:A,Models!B:B)</f>
        <v>#N/A</v>
      </c>
      <c r="I326" t="e">
        <f>_xlfn.XLOOKUP(G326,Models!A:A,Models!E:E)</f>
        <v>#N/A</v>
      </c>
      <c r="J326" t="e">
        <f>_xlfn.XLOOKUP(G326,Models!A:A,Models!D:D)</f>
        <v>#N/A</v>
      </c>
      <c r="K326">
        <f>MacReports!F326</f>
        <v>0</v>
      </c>
      <c r="L326">
        <f>MacReports!G326</f>
        <v>0</v>
      </c>
      <c r="M326" s="15" t="e" cm="1">
        <f t="array" ref="M326">--_xlfn.LET(
    _xlpm.txt, MacReports!H326,
    _xlpm.chars, MID(_xlpm.txt, _xlfn.SEQUENCE(LEN(_xlpm.txt)), 1),
    _xlfn.TEXTJOIN("", TRUE, IF(ISNUMBER(--_xlpm.chars), _xlpm.chars, ""))
)</f>
        <v>#VALUE!</v>
      </c>
      <c r="N326" s="16" t="str" cm="1">
        <f t="array" ref="N326">_xlfn.IFS(
   --MacReports!M326&lt;55,"Battery Defect",
  -- MacReports!M326&lt;=69,"Battery D",
  --MacReports!M326&lt;=80,"Battery C",
 --MacReports!M326&gt;80,""
)</f>
        <v>Battery Defect</v>
      </c>
      <c r="O326" s="16" t="str">
        <f>IF(MacReports!I326="Service","Battery Service","")</f>
        <v/>
      </c>
      <c r="P326" s="13">
        <f>MacReports!P326</f>
        <v>0</v>
      </c>
      <c r="Q326" s="13" t="str">
        <f>IF(MacReports!J326="Enabled","Apple ID Lock","")</f>
        <v/>
      </c>
      <c r="R326" s="13" t="str">
        <f>IF(MacReports!L326="y","Remote Locked","")</f>
        <v/>
      </c>
      <c r="S326" t="str">
        <f t="shared" si="11"/>
        <v>Battery Defect, 0</v>
      </c>
      <c r="T326" t="str">
        <f>_xlfn.XLOOKUP(B326,Disk_Pivot!G:G,Disk_Pivot!I:I)</f>
        <v>Yes</v>
      </c>
      <c r="U326" t="str">
        <f>_xlfn.XLOOKUP(B326,Disk_Pivot!G:G,Disk_Pivot!N:N)</f>
        <v>Fail</v>
      </c>
      <c r="V326">
        <f>IF(U326="Fail",MacReports!N326,"")</f>
        <v>0</v>
      </c>
      <c r="AB326" t="str">
        <f t="shared" si="12"/>
        <v/>
      </c>
    </row>
    <row r="327" spans="1:28">
      <c r="A327">
        <f>MacReports!A327</f>
        <v>0</v>
      </c>
      <c r="B327">
        <f>MacReports!B327</f>
        <v>0</v>
      </c>
      <c r="C327">
        <f>MacReports!C327</f>
        <v>0</v>
      </c>
      <c r="E327" t="e">
        <f>_xlfn.XLOOKUP(G327,Models!A:A,Models!F:F)</f>
        <v>#N/A</v>
      </c>
      <c r="F327" t="str">
        <f>_xlfn.XLOOKUP(B327,MacReports!B:B,MacReports!D:D,"")</f>
        <v/>
      </c>
      <c r="G327" s="13">
        <f>MacReports!E327</f>
        <v>0</v>
      </c>
      <c r="H327" t="e">
        <f>_xlfn.XLOOKUP(G327,Models!A:A,Models!B:B)</f>
        <v>#N/A</v>
      </c>
      <c r="I327" t="e">
        <f>_xlfn.XLOOKUP(G327,Models!A:A,Models!E:E)</f>
        <v>#N/A</v>
      </c>
      <c r="J327" t="e">
        <f>_xlfn.XLOOKUP(G327,Models!A:A,Models!D:D)</f>
        <v>#N/A</v>
      </c>
      <c r="K327">
        <f>MacReports!F327</f>
        <v>0</v>
      </c>
      <c r="L327">
        <f>MacReports!G327</f>
        <v>0</v>
      </c>
      <c r="M327" s="15" t="e" cm="1">
        <f t="array" ref="M327">--_xlfn.LET(
    _xlpm.txt, MacReports!H327,
    _xlpm.chars, MID(_xlpm.txt, _xlfn.SEQUENCE(LEN(_xlpm.txt)), 1),
    _xlfn.TEXTJOIN("", TRUE, IF(ISNUMBER(--_xlpm.chars), _xlpm.chars, ""))
)</f>
        <v>#VALUE!</v>
      </c>
      <c r="N327" s="16" t="str" cm="1">
        <f t="array" ref="N327">_xlfn.IFS(
   --MacReports!M327&lt;55,"Battery Defect",
  -- MacReports!M327&lt;=69,"Battery D",
  --MacReports!M327&lt;=80,"Battery C",
 --MacReports!M327&gt;80,""
)</f>
        <v>Battery Defect</v>
      </c>
      <c r="O327" s="16" t="str">
        <f>IF(MacReports!I327="Service","Battery Service","")</f>
        <v/>
      </c>
      <c r="P327" s="13">
        <f>MacReports!P327</f>
        <v>0</v>
      </c>
      <c r="Q327" s="13" t="str">
        <f>IF(MacReports!J327="Enabled","Apple ID Lock","")</f>
        <v/>
      </c>
      <c r="R327" s="13" t="str">
        <f>IF(MacReports!L327="y","Remote Locked","")</f>
        <v/>
      </c>
      <c r="S327" t="str">
        <f t="shared" si="11"/>
        <v>Battery Defect, 0</v>
      </c>
      <c r="T327" t="str">
        <f>_xlfn.XLOOKUP(B327,Disk_Pivot!G:G,Disk_Pivot!I:I)</f>
        <v>Yes</v>
      </c>
      <c r="U327" t="str">
        <f>_xlfn.XLOOKUP(B327,Disk_Pivot!G:G,Disk_Pivot!N:N)</f>
        <v>Fail</v>
      </c>
      <c r="V327">
        <f>IF(U327="Fail",MacReports!N327,"")</f>
        <v>0</v>
      </c>
      <c r="AB327" t="str">
        <f t="shared" si="12"/>
        <v/>
      </c>
    </row>
    <row r="328" spans="1:28">
      <c r="A328">
        <f>MacReports!A328</f>
        <v>0</v>
      </c>
      <c r="B328">
        <f>MacReports!B328</f>
        <v>0</v>
      </c>
      <c r="C328">
        <f>MacReports!C328</f>
        <v>0</v>
      </c>
      <c r="E328" t="e">
        <f>_xlfn.XLOOKUP(G328,Models!A:A,Models!F:F)</f>
        <v>#N/A</v>
      </c>
      <c r="F328" t="str">
        <f>_xlfn.XLOOKUP(B328,MacReports!B:B,MacReports!D:D,"")</f>
        <v/>
      </c>
      <c r="G328" s="13">
        <f>MacReports!E328</f>
        <v>0</v>
      </c>
      <c r="H328" t="e">
        <f>_xlfn.XLOOKUP(G328,Models!A:A,Models!B:B)</f>
        <v>#N/A</v>
      </c>
      <c r="I328" t="e">
        <f>_xlfn.XLOOKUP(G328,Models!A:A,Models!E:E)</f>
        <v>#N/A</v>
      </c>
      <c r="J328" t="e">
        <f>_xlfn.XLOOKUP(G328,Models!A:A,Models!D:D)</f>
        <v>#N/A</v>
      </c>
      <c r="K328">
        <f>MacReports!F328</f>
        <v>0</v>
      </c>
      <c r="L328">
        <f>MacReports!G328</f>
        <v>0</v>
      </c>
      <c r="M328" s="15" t="e" cm="1">
        <f t="array" ref="M328">--_xlfn.LET(
    _xlpm.txt, MacReports!H328,
    _xlpm.chars, MID(_xlpm.txt, _xlfn.SEQUENCE(LEN(_xlpm.txt)), 1),
    _xlfn.TEXTJOIN("", TRUE, IF(ISNUMBER(--_xlpm.chars), _xlpm.chars, ""))
)</f>
        <v>#VALUE!</v>
      </c>
      <c r="N328" s="16" t="str" cm="1">
        <f t="array" ref="N328">_xlfn.IFS(
   --MacReports!M328&lt;55,"Battery Defect",
  -- MacReports!M328&lt;=69,"Battery D",
  --MacReports!M328&lt;=80,"Battery C",
 --MacReports!M328&gt;80,""
)</f>
        <v>Battery Defect</v>
      </c>
      <c r="O328" s="16" t="str">
        <f>IF(MacReports!I328="Service","Battery Service","")</f>
        <v/>
      </c>
      <c r="P328" s="13">
        <f>MacReports!P328</f>
        <v>0</v>
      </c>
      <c r="Q328" s="13" t="str">
        <f>IF(MacReports!J328="Enabled","Apple ID Lock","")</f>
        <v/>
      </c>
      <c r="R328" s="13" t="str">
        <f>IF(MacReports!L328="y","Remote Locked","")</f>
        <v/>
      </c>
      <c r="S328" t="str">
        <f t="shared" si="11"/>
        <v>Battery Defect, 0</v>
      </c>
      <c r="T328" t="str">
        <f>_xlfn.XLOOKUP(B328,Disk_Pivot!G:G,Disk_Pivot!I:I)</f>
        <v>Yes</v>
      </c>
      <c r="U328" t="str">
        <f>_xlfn.XLOOKUP(B328,Disk_Pivot!G:G,Disk_Pivot!N:N)</f>
        <v>Fail</v>
      </c>
      <c r="V328">
        <f>IF(U328="Fail",MacReports!N328,"")</f>
        <v>0</v>
      </c>
      <c r="AB328" t="str">
        <f t="shared" si="12"/>
        <v/>
      </c>
    </row>
    <row r="329" spans="1:28">
      <c r="A329">
        <f>MacReports!A329</f>
        <v>0</v>
      </c>
      <c r="B329">
        <f>MacReports!B329</f>
        <v>0</v>
      </c>
      <c r="C329">
        <f>MacReports!C329</f>
        <v>0</v>
      </c>
      <c r="E329" t="e">
        <f>_xlfn.XLOOKUP(G329,Models!A:A,Models!F:F)</f>
        <v>#N/A</v>
      </c>
      <c r="F329" t="str">
        <f>_xlfn.XLOOKUP(B329,MacReports!B:B,MacReports!D:D,"")</f>
        <v/>
      </c>
      <c r="G329" s="13">
        <f>MacReports!E329</f>
        <v>0</v>
      </c>
      <c r="H329" t="e">
        <f>_xlfn.XLOOKUP(G329,Models!A:A,Models!B:B)</f>
        <v>#N/A</v>
      </c>
      <c r="I329" t="e">
        <f>_xlfn.XLOOKUP(G329,Models!A:A,Models!E:E)</f>
        <v>#N/A</v>
      </c>
      <c r="J329" t="e">
        <f>_xlfn.XLOOKUP(G329,Models!A:A,Models!D:D)</f>
        <v>#N/A</v>
      </c>
      <c r="K329">
        <f>MacReports!F329</f>
        <v>0</v>
      </c>
      <c r="L329">
        <f>MacReports!G329</f>
        <v>0</v>
      </c>
      <c r="M329" s="15" t="e" cm="1">
        <f t="array" ref="M329">--_xlfn.LET(
    _xlpm.txt, MacReports!H329,
    _xlpm.chars, MID(_xlpm.txt, _xlfn.SEQUENCE(LEN(_xlpm.txt)), 1),
    _xlfn.TEXTJOIN("", TRUE, IF(ISNUMBER(--_xlpm.chars), _xlpm.chars, ""))
)</f>
        <v>#VALUE!</v>
      </c>
      <c r="N329" s="16" t="str" cm="1">
        <f t="array" ref="N329">_xlfn.IFS(
   --MacReports!M329&lt;55,"Battery Defect",
  -- MacReports!M329&lt;=69,"Battery D",
  --MacReports!M329&lt;=80,"Battery C",
 --MacReports!M329&gt;80,""
)</f>
        <v>Battery Defect</v>
      </c>
      <c r="O329" s="16" t="str">
        <f>IF(MacReports!I329="Service","Battery Service","")</f>
        <v/>
      </c>
      <c r="P329" s="13">
        <f>MacReports!P329</f>
        <v>0</v>
      </c>
      <c r="Q329" s="13" t="str">
        <f>IF(MacReports!J329="Enabled","Apple ID Lock","")</f>
        <v/>
      </c>
      <c r="R329" s="13" t="str">
        <f>IF(MacReports!L329="y","Remote Locked","")</f>
        <v/>
      </c>
      <c r="S329" t="str">
        <f t="shared" si="11"/>
        <v>Battery Defect, 0</v>
      </c>
      <c r="T329" t="str">
        <f>_xlfn.XLOOKUP(B329,Disk_Pivot!G:G,Disk_Pivot!I:I)</f>
        <v>Yes</v>
      </c>
      <c r="U329" t="str">
        <f>_xlfn.XLOOKUP(B329,Disk_Pivot!G:G,Disk_Pivot!N:N)</f>
        <v>Fail</v>
      </c>
      <c r="V329">
        <f>IF(U329="Fail",MacReports!N329,"")</f>
        <v>0</v>
      </c>
      <c r="AB329" t="str">
        <f t="shared" si="12"/>
        <v/>
      </c>
    </row>
    <row r="330" spans="1:28">
      <c r="A330">
        <f>MacReports!A330</f>
        <v>0</v>
      </c>
      <c r="B330">
        <f>MacReports!B330</f>
        <v>0</v>
      </c>
      <c r="C330">
        <f>MacReports!C330</f>
        <v>0</v>
      </c>
      <c r="E330" t="e">
        <f>_xlfn.XLOOKUP(G330,Models!A:A,Models!F:F)</f>
        <v>#N/A</v>
      </c>
      <c r="F330" t="str">
        <f>_xlfn.XLOOKUP(B330,MacReports!B:B,MacReports!D:D,"")</f>
        <v/>
      </c>
      <c r="G330" s="13">
        <f>MacReports!E330</f>
        <v>0</v>
      </c>
      <c r="H330" t="e">
        <f>_xlfn.XLOOKUP(G330,Models!A:A,Models!B:B)</f>
        <v>#N/A</v>
      </c>
      <c r="I330" t="e">
        <f>_xlfn.XLOOKUP(G330,Models!A:A,Models!E:E)</f>
        <v>#N/A</v>
      </c>
      <c r="J330" t="e">
        <f>_xlfn.XLOOKUP(G330,Models!A:A,Models!D:D)</f>
        <v>#N/A</v>
      </c>
      <c r="K330">
        <f>MacReports!F330</f>
        <v>0</v>
      </c>
      <c r="L330">
        <f>MacReports!G330</f>
        <v>0</v>
      </c>
      <c r="M330" s="15" t="e" cm="1">
        <f t="array" ref="M330">--_xlfn.LET(
    _xlpm.txt, MacReports!H330,
    _xlpm.chars, MID(_xlpm.txt, _xlfn.SEQUENCE(LEN(_xlpm.txt)), 1),
    _xlfn.TEXTJOIN("", TRUE, IF(ISNUMBER(--_xlpm.chars), _xlpm.chars, ""))
)</f>
        <v>#VALUE!</v>
      </c>
      <c r="N330" s="16" t="str" cm="1">
        <f t="array" ref="N330">_xlfn.IFS(
   --MacReports!M330&lt;55,"Battery Defect",
  -- MacReports!M330&lt;=69,"Battery D",
  --MacReports!M330&lt;=80,"Battery C",
 --MacReports!M330&gt;80,""
)</f>
        <v>Battery Defect</v>
      </c>
      <c r="O330" s="16" t="str">
        <f>IF(MacReports!I330="Service","Battery Service","")</f>
        <v/>
      </c>
      <c r="P330" s="13">
        <f>MacReports!P330</f>
        <v>0</v>
      </c>
      <c r="Q330" s="13" t="str">
        <f>IF(MacReports!J330="Enabled","Apple ID Lock","")</f>
        <v/>
      </c>
      <c r="R330" s="13" t="str">
        <f>IF(MacReports!L330="y","Remote Locked","")</f>
        <v/>
      </c>
      <c r="S330" t="str">
        <f t="shared" si="11"/>
        <v>Battery Defect, 0</v>
      </c>
      <c r="T330" t="str">
        <f>_xlfn.XLOOKUP(B330,Disk_Pivot!G:G,Disk_Pivot!I:I)</f>
        <v>Yes</v>
      </c>
      <c r="U330" t="str">
        <f>_xlfn.XLOOKUP(B330,Disk_Pivot!G:G,Disk_Pivot!N:N)</f>
        <v>Fail</v>
      </c>
      <c r="V330">
        <f>IF(U330="Fail",MacReports!N330,"")</f>
        <v>0</v>
      </c>
      <c r="AB330" t="str">
        <f t="shared" si="12"/>
        <v/>
      </c>
    </row>
    <row r="331" spans="1:28">
      <c r="A331">
        <f>MacReports!A331</f>
        <v>0</v>
      </c>
      <c r="B331">
        <f>MacReports!B331</f>
        <v>0</v>
      </c>
      <c r="C331">
        <f>MacReports!C331</f>
        <v>0</v>
      </c>
      <c r="E331" t="e">
        <f>_xlfn.XLOOKUP(G331,Models!A:A,Models!F:F)</f>
        <v>#N/A</v>
      </c>
      <c r="F331" t="str">
        <f>_xlfn.XLOOKUP(B331,MacReports!B:B,MacReports!D:D,"")</f>
        <v/>
      </c>
      <c r="G331" s="13">
        <f>MacReports!E331</f>
        <v>0</v>
      </c>
      <c r="H331" t="e">
        <f>_xlfn.XLOOKUP(G331,Models!A:A,Models!B:B)</f>
        <v>#N/A</v>
      </c>
      <c r="I331" t="e">
        <f>_xlfn.XLOOKUP(G331,Models!A:A,Models!E:E)</f>
        <v>#N/A</v>
      </c>
      <c r="J331" t="e">
        <f>_xlfn.XLOOKUP(G331,Models!A:A,Models!D:D)</f>
        <v>#N/A</v>
      </c>
      <c r="K331">
        <f>MacReports!F331</f>
        <v>0</v>
      </c>
      <c r="L331">
        <f>MacReports!G331</f>
        <v>0</v>
      </c>
      <c r="M331" s="15" t="e" cm="1">
        <f t="array" ref="M331">--_xlfn.LET(
    _xlpm.txt, MacReports!H331,
    _xlpm.chars, MID(_xlpm.txt, _xlfn.SEQUENCE(LEN(_xlpm.txt)), 1),
    _xlfn.TEXTJOIN("", TRUE, IF(ISNUMBER(--_xlpm.chars), _xlpm.chars, ""))
)</f>
        <v>#VALUE!</v>
      </c>
      <c r="N331" s="16" t="str" cm="1">
        <f t="array" ref="N331">_xlfn.IFS(
   --MacReports!M331&lt;55,"Battery Defect",
  -- MacReports!M331&lt;=69,"Battery D",
  --MacReports!M331&lt;=80,"Battery C",
 --MacReports!M331&gt;80,""
)</f>
        <v>Battery Defect</v>
      </c>
      <c r="O331" s="16" t="str">
        <f>IF(MacReports!I331="Service","Battery Service","")</f>
        <v/>
      </c>
      <c r="P331" s="13">
        <f>MacReports!P331</f>
        <v>0</v>
      </c>
      <c r="Q331" s="13" t="str">
        <f>IF(MacReports!J331="Enabled","Apple ID Lock","")</f>
        <v/>
      </c>
      <c r="R331" s="13" t="str">
        <f>IF(MacReports!L331="y","Remote Locked","")</f>
        <v/>
      </c>
      <c r="S331" t="str">
        <f t="shared" si="11"/>
        <v>Battery Defect, 0</v>
      </c>
      <c r="T331" t="str">
        <f>_xlfn.XLOOKUP(B331,Disk_Pivot!G:G,Disk_Pivot!I:I)</f>
        <v>Yes</v>
      </c>
      <c r="U331" t="str">
        <f>_xlfn.XLOOKUP(B331,Disk_Pivot!G:G,Disk_Pivot!N:N)</f>
        <v>Fail</v>
      </c>
      <c r="V331">
        <f>IF(U331="Fail",MacReports!N331,"")</f>
        <v>0</v>
      </c>
      <c r="AB331" t="str">
        <f t="shared" si="12"/>
        <v/>
      </c>
    </row>
    <row r="332" spans="1:28">
      <c r="A332">
        <f>MacReports!A332</f>
        <v>0</v>
      </c>
      <c r="B332">
        <f>MacReports!B332</f>
        <v>0</v>
      </c>
      <c r="C332">
        <f>MacReports!C332</f>
        <v>0</v>
      </c>
      <c r="E332" t="e">
        <f>_xlfn.XLOOKUP(G332,Models!A:A,Models!F:F)</f>
        <v>#N/A</v>
      </c>
      <c r="F332" t="str">
        <f>_xlfn.XLOOKUP(B332,MacReports!B:B,MacReports!D:D,"")</f>
        <v/>
      </c>
      <c r="G332" s="13">
        <f>MacReports!E332</f>
        <v>0</v>
      </c>
      <c r="H332" t="e">
        <f>_xlfn.XLOOKUP(G332,Models!A:A,Models!B:B)</f>
        <v>#N/A</v>
      </c>
      <c r="I332" t="e">
        <f>_xlfn.XLOOKUP(G332,Models!A:A,Models!E:E)</f>
        <v>#N/A</v>
      </c>
      <c r="J332" t="e">
        <f>_xlfn.XLOOKUP(G332,Models!A:A,Models!D:D)</f>
        <v>#N/A</v>
      </c>
      <c r="K332">
        <f>MacReports!F332</f>
        <v>0</v>
      </c>
      <c r="L332">
        <f>MacReports!G332</f>
        <v>0</v>
      </c>
      <c r="M332" s="15" t="e" cm="1">
        <f t="array" ref="M332">--_xlfn.LET(
    _xlpm.txt, MacReports!H332,
    _xlpm.chars, MID(_xlpm.txt, _xlfn.SEQUENCE(LEN(_xlpm.txt)), 1),
    _xlfn.TEXTJOIN("", TRUE, IF(ISNUMBER(--_xlpm.chars), _xlpm.chars, ""))
)</f>
        <v>#VALUE!</v>
      </c>
      <c r="N332" s="16" t="str" cm="1">
        <f t="array" ref="N332">_xlfn.IFS(
   --MacReports!M332&lt;55,"Battery Defect",
  -- MacReports!M332&lt;=69,"Battery D",
  --MacReports!M332&lt;=80,"Battery C",
 --MacReports!M332&gt;80,""
)</f>
        <v>Battery Defect</v>
      </c>
      <c r="O332" s="16" t="str">
        <f>IF(MacReports!I332="Service","Battery Service","")</f>
        <v/>
      </c>
      <c r="P332" s="13">
        <f>MacReports!P332</f>
        <v>0</v>
      </c>
      <c r="Q332" s="13" t="str">
        <f>IF(MacReports!J332="Enabled","Apple ID Lock","")</f>
        <v/>
      </c>
      <c r="R332" s="13" t="str">
        <f>IF(MacReports!L332="y","Remote Locked","")</f>
        <v/>
      </c>
      <c r="S332" t="str">
        <f t="shared" si="11"/>
        <v>Battery Defect, 0</v>
      </c>
      <c r="T332" t="str">
        <f>_xlfn.XLOOKUP(B332,Disk_Pivot!G:G,Disk_Pivot!I:I)</f>
        <v>Yes</v>
      </c>
      <c r="U332" t="str">
        <f>_xlfn.XLOOKUP(B332,Disk_Pivot!G:G,Disk_Pivot!N:N)</f>
        <v>Fail</v>
      </c>
      <c r="V332">
        <f>IF(U332="Fail",MacReports!N332,"")</f>
        <v>0</v>
      </c>
      <c r="AB332" t="str">
        <f t="shared" si="12"/>
        <v/>
      </c>
    </row>
    <row r="333" spans="1:28">
      <c r="A333">
        <f>MacReports!A333</f>
        <v>0</v>
      </c>
      <c r="B333">
        <f>MacReports!B333</f>
        <v>0</v>
      </c>
      <c r="C333">
        <f>MacReports!C333</f>
        <v>0</v>
      </c>
      <c r="E333" t="e">
        <f>_xlfn.XLOOKUP(G333,Models!A:A,Models!F:F)</f>
        <v>#N/A</v>
      </c>
      <c r="F333" t="str">
        <f>_xlfn.XLOOKUP(B333,MacReports!B:B,MacReports!D:D,"")</f>
        <v/>
      </c>
      <c r="G333" s="13">
        <f>MacReports!E333</f>
        <v>0</v>
      </c>
      <c r="H333" t="e">
        <f>_xlfn.XLOOKUP(G333,Models!A:A,Models!B:B)</f>
        <v>#N/A</v>
      </c>
      <c r="I333" t="e">
        <f>_xlfn.XLOOKUP(G333,Models!A:A,Models!E:E)</f>
        <v>#N/A</v>
      </c>
      <c r="J333" t="e">
        <f>_xlfn.XLOOKUP(G333,Models!A:A,Models!D:D)</f>
        <v>#N/A</v>
      </c>
      <c r="K333">
        <f>MacReports!F333</f>
        <v>0</v>
      </c>
      <c r="L333">
        <f>MacReports!G333</f>
        <v>0</v>
      </c>
      <c r="M333" s="15" t="e" cm="1">
        <f t="array" ref="M333">--_xlfn.LET(
    _xlpm.txt, MacReports!H333,
    _xlpm.chars, MID(_xlpm.txt, _xlfn.SEQUENCE(LEN(_xlpm.txt)), 1),
    _xlfn.TEXTJOIN("", TRUE, IF(ISNUMBER(--_xlpm.chars), _xlpm.chars, ""))
)</f>
        <v>#VALUE!</v>
      </c>
      <c r="N333" s="16" t="str" cm="1">
        <f t="array" ref="N333">_xlfn.IFS(
   --MacReports!M333&lt;55,"Battery Defect",
  -- MacReports!M333&lt;=69,"Battery D",
  --MacReports!M333&lt;=80,"Battery C",
 --MacReports!M333&gt;80,""
)</f>
        <v>Battery Defect</v>
      </c>
      <c r="O333" s="16" t="str">
        <f>IF(MacReports!I333="Service","Battery Service","")</f>
        <v/>
      </c>
      <c r="P333" s="13">
        <f>MacReports!P333</f>
        <v>0</v>
      </c>
      <c r="Q333" s="13" t="str">
        <f>IF(MacReports!J333="Enabled","Apple ID Lock","")</f>
        <v/>
      </c>
      <c r="R333" s="13" t="str">
        <f>IF(MacReports!L333="y","Remote Locked","")</f>
        <v/>
      </c>
      <c r="S333" t="str">
        <f t="shared" si="11"/>
        <v>Battery Defect, 0</v>
      </c>
      <c r="T333" t="str">
        <f>_xlfn.XLOOKUP(B333,Disk_Pivot!G:G,Disk_Pivot!I:I)</f>
        <v>Yes</v>
      </c>
      <c r="U333" t="str">
        <f>_xlfn.XLOOKUP(B333,Disk_Pivot!G:G,Disk_Pivot!N:N)</f>
        <v>Fail</v>
      </c>
      <c r="V333">
        <f>IF(U333="Fail",MacReports!N333,"")</f>
        <v>0</v>
      </c>
      <c r="AB333" t="str">
        <f t="shared" si="12"/>
        <v/>
      </c>
    </row>
    <row r="334" spans="1:28">
      <c r="A334">
        <f>MacReports!A334</f>
        <v>0</v>
      </c>
      <c r="B334">
        <f>MacReports!B334</f>
        <v>0</v>
      </c>
      <c r="C334">
        <f>MacReports!C334</f>
        <v>0</v>
      </c>
      <c r="E334" t="e">
        <f>_xlfn.XLOOKUP(G334,Models!A:A,Models!F:F)</f>
        <v>#N/A</v>
      </c>
      <c r="F334" t="str">
        <f>_xlfn.XLOOKUP(B334,MacReports!B:B,MacReports!D:D,"")</f>
        <v/>
      </c>
      <c r="G334" s="13">
        <f>MacReports!E334</f>
        <v>0</v>
      </c>
      <c r="H334" t="e">
        <f>_xlfn.XLOOKUP(G334,Models!A:A,Models!B:B)</f>
        <v>#N/A</v>
      </c>
      <c r="I334" t="e">
        <f>_xlfn.XLOOKUP(G334,Models!A:A,Models!E:E)</f>
        <v>#N/A</v>
      </c>
      <c r="J334" t="e">
        <f>_xlfn.XLOOKUP(G334,Models!A:A,Models!D:D)</f>
        <v>#N/A</v>
      </c>
      <c r="K334">
        <f>MacReports!F334</f>
        <v>0</v>
      </c>
      <c r="L334">
        <f>MacReports!G334</f>
        <v>0</v>
      </c>
      <c r="M334" s="15" t="e" cm="1">
        <f t="array" ref="M334">--_xlfn.LET(
    _xlpm.txt, MacReports!H334,
    _xlpm.chars, MID(_xlpm.txt, _xlfn.SEQUENCE(LEN(_xlpm.txt)), 1),
    _xlfn.TEXTJOIN("", TRUE, IF(ISNUMBER(--_xlpm.chars), _xlpm.chars, ""))
)</f>
        <v>#VALUE!</v>
      </c>
      <c r="N334" s="16" t="str" cm="1">
        <f t="array" ref="N334">_xlfn.IFS(
   --MacReports!M334&lt;55,"Battery Defect",
  -- MacReports!M334&lt;=69,"Battery D",
  --MacReports!M334&lt;=80,"Battery C",
 --MacReports!M334&gt;80,""
)</f>
        <v>Battery Defect</v>
      </c>
      <c r="O334" s="16" t="str">
        <f>IF(MacReports!I334="Service","Battery Service","")</f>
        <v/>
      </c>
      <c r="P334" s="13">
        <f>MacReports!P334</f>
        <v>0</v>
      </c>
      <c r="Q334" s="13" t="str">
        <f>IF(MacReports!J334="Enabled","Apple ID Lock","")</f>
        <v/>
      </c>
      <c r="R334" s="13" t="str">
        <f>IF(MacReports!L334="y","Remote Locked","")</f>
        <v/>
      </c>
      <c r="S334" t="str">
        <f t="shared" si="11"/>
        <v>Battery Defect, 0</v>
      </c>
      <c r="T334" t="str">
        <f>_xlfn.XLOOKUP(B334,Disk_Pivot!G:G,Disk_Pivot!I:I)</f>
        <v>Yes</v>
      </c>
      <c r="U334" t="str">
        <f>_xlfn.XLOOKUP(B334,Disk_Pivot!G:G,Disk_Pivot!N:N)</f>
        <v>Fail</v>
      </c>
      <c r="V334">
        <f>IF(U334="Fail",MacReports!N334,"")</f>
        <v>0</v>
      </c>
      <c r="AB334" t="str">
        <f t="shared" si="12"/>
        <v/>
      </c>
    </row>
    <row r="335" spans="1:28">
      <c r="A335">
        <f>MacReports!A335</f>
        <v>0</v>
      </c>
      <c r="B335">
        <f>MacReports!B335</f>
        <v>0</v>
      </c>
      <c r="C335">
        <f>MacReports!C335</f>
        <v>0</v>
      </c>
      <c r="E335" t="e">
        <f>_xlfn.XLOOKUP(G335,Models!A:A,Models!F:F)</f>
        <v>#N/A</v>
      </c>
      <c r="F335" t="str">
        <f>_xlfn.XLOOKUP(B335,MacReports!B:B,MacReports!D:D,"")</f>
        <v/>
      </c>
      <c r="G335" s="13">
        <f>MacReports!E335</f>
        <v>0</v>
      </c>
      <c r="H335" t="e">
        <f>_xlfn.XLOOKUP(G335,Models!A:A,Models!B:B)</f>
        <v>#N/A</v>
      </c>
      <c r="I335" t="e">
        <f>_xlfn.XLOOKUP(G335,Models!A:A,Models!E:E)</f>
        <v>#N/A</v>
      </c>
      <c r="J335" t="e">
        <f>_xlfn.XLOOKUP(G335,Models!A:A,Models!D:D)</f>
        <v>#N/A</v>
      </c>
      <c r="K335">
        <f>MacReports!F335</f>
        <v>0</v>
      </c>
      <c r="L335">
        <f>MacReports!G335</f>
        <v>0</v>
      </c>
      <c r="M335" s="15" t="e" cm="1">
        <f t="array" ref="M335">--_xlfn.LET(
    _xlpm.txt, MacReports!H335,
    _xlpm.chars, MID(_xlpm.txt, _xlfn.SEQUENCE(LEN(_xlpm.txt)), 1),
    _xlfn.TEXTJOIN("", TRUE, IF(ISNUMBER(--_xlpm.chars), _xlpm.chars, ""))
)</f>
        <v>#VALUE!</v>
      </c>
      <c r="N335" s="16" t="str" cm="1">
        <f t="array" ref="N335">_xlfn.IFS(
   --MacReports!M335&lt;55,"Battery Defect",
  -- MacReports!M335&lt;=69,"Battery D",
  --MacReports!M335&lt;=80,"Battery C",
 --MacReports!M335&gt;80,""
)</f>
        <v>Battery Defect</v>
      </c>
      <c r="O335" s="16" t="str">
        <f>IF(MacReports!I335="Service","Battery Service","")</f>
        <v/>
      </c>
      <c r="P335" s="13">
        <f>MacReports!P335</f>
        <v>0</v>
      </c>
      <c r="Q335" s="13" t="str">
        <f>IF(MacReports!J335="Enabled","Apple ID Lock","")</f>
        <v/>
      </c>
      <c r="R335" s="13" t="str">
        <f>IF(MacReports!L335="y","Remote Locked","")</f>
        <v/>
      </c>
      <c r="S335" t="str">
        <f t="shared" si="11"/>
        <v>Battery Defect, 0</v>
      </c>
      <c r="T335" t="str">
        <f>_xlfn.XLOOKUP(B335,Disk_Pivot!G:G,Disk_Pivot!I:I)</f>
        <v>Yes</v>
      </c>
      <c r="U335" t="str">
        <f>_xlfn.XLOOKUP(B335,Disk_Pivot!G:G,Disk_Pivot!N:N)</f>
        <v>Fail</v>
      </c>
      <c r="V335">
        <f>IF(U335="Fail",MacReports!N335,"")</f>
        <v>0</v>
      </c>
      <c r="AB335" t="str">
        <f t="shared" si="12"/>
        <v/>
      </c>
    </row>
    <row r="336" spans="1:28">
      <c r="A336">
        <f>MacReports!A336</f>
        <v>0</v>
      </c>
      <c r="B336">
        <f>MacReports!B336</f>
        <v>0</v>
      </c>
      <c r="C336">
        <f>MacReports!C336</f>
        <v>0</v>
      </c>
      <c r="E336" t="e">
        <f>_xlfn.XLOOKUP(G336,Models!A:A,Models!F:F)</f>
        <v>#N/A</v>
      </c>
      <c r="F336" t="str">
        <f>_xlfn.XLOOKUP(B336,MacReports!B:B,MacReports!D:D,"")</f>
        <v/>
      </c>
      <c r="G336" s="13">
        <f>MacReports!E336</f>
        <v>0</v>
      </c>
      <c r="H336" t="e">
        <f>_xlfn.XLOOKUP(G336,Models!A:A,Models!B:B)</f>
        <v>#N/A</v>
      </c>
      <c r="I336" t="e">
        <f>_xlfn.XLOOKUP(G336,Models!A:A,Models!E:E)</f>
        <v>#N/A</v>
      </c>
      <c r="J336" t="e">
        <f>_xlfn.XLOOKUP(G336,Models!A:A,Models!D:D)</f>
        <v>#N/A</v>
      </c>
      <c r="K336">
        <f>MacReports!F336</f>
        <v>0</v>
      </c>
      <c r="L336">
        <f>MacReports!G336</f>
        <v>0</v>
      </c>
      <c r="M336" s="15" t="e" cm="1">
        <f t="array" ref="M336">--_xlfn.LET(
    _xlpm.txt, MacReports!H336,
    _xlpm.chars, MID(_xlpm.txt, _xlfn.SEQUENCE(LEN(_xlpm.txt)), 1),
    _xlfn.TEXTJOIN("", TRUE, IF(ISNUMBER(--_xlpm.chars), _xlpm.chars, ""))
)</f>
        <v>#VALUE!</v>
      </c>
      <c r="N336" s="16" t="str" cm="1">
        <f t="array" ref="N336">_xlfn.IFS(
   --MacReports!M336&lt;55,"Battery Defect",
  -- MacReports!M336&lt;=69,"Battery D",
  --MacReports!M336&lt;=80,"Battery C",
 --MacReports!M336&gt;80,""
)</f>
        <v>Battery Defect</v>
      </c>
      <c r="O336" s="16" t="str">
        <f>IF(MacReports!I336="Service","Battery Service","")</f>
        <v/>
      </c>
      <c r="P336" s="13">
        <f>MacReports!P336</f>
        <v>0</v>
      </c>
      <c r="Q336" s="13" t="str">
        <f>IF(MacReports!J336="Enabled","Apple ID Lock","")</f>
        <v/>
      </c>
      <c r="R336" s="13" t="str">
        <f>IF(MacReports!L336="y","Remote Locked","")</f>
        <v/>
      </c>
      <c r="S336" t="str">
        <f t="shared" si="11"/>
        <v>Battery Defect, 0</v>
      </c>
      <c r="T336" t="str">
        <f>_xlfn.XLOOKUP(B336,Disk_Pivot!G:G,Disk_Pivot!I:I)</f>
        <v>Yes</v>
      </c>
      <c r="U336" t="str">
        <f>_xlfn.XLOOKUP(B336,Disk_Pivot!G:G,Disk_Pivot!N:N)</f>
        <v>Fail</v>
      </c>
      <c r="V336">
        <f>IF(U336="Fail",MacReports!N336,"")</f>
        <v>0</v>
      </c>
      <c r="AB336" t="str">
        <f t="shared" si="12"/>
        <v/>
      </c>
    </row>
    <row r="337" spans="1:28">
      <c r="A337">
        <f>MacReports!A337</f>
        <v>0</v>
      </c>
      <c r="B337">
        <f>MacReports!B337</f>
        <v>0</v>
      </c>
      <c r="C337">
        <f>MacReports!C337</f>
        <v>0</v>
      </c>
      <c r="E337" t="e">
        <f>_xlfn.XLOOKUP(G337,Models!A:A,Models!F:F)</f>
        <v>#N/A</v>
      </c>
      <c r="F337" t="str">
        <f>_xlfn.XLOOKUP(B337,MacReports!B:B,MacReports!D:D,"")</f>
        <v/>
      </c>
      <c r="G337" s="13">
        <f>MacReports!E337</f>
        <v>0</v>
      </c>
      <c r="H337" t="e">
        <f>_xlfn.XLOOKUP(G337,Models!A:A,Models!B:B)</f>
        <v>#N/A</v>
      </c>
      <c r="I337" t="e">
        <f>_xlfn.XLOOKUP(G337,Models!A:A,Models!E:E)</f>
        <v>#N/A</v>
      </c>
      <c r="J337" t="e">
        <f>_xlfn.XLOOKUP(G337,Models!A:A,Models!D:D)</f>
        <v>#N/A</v>
      </c>
      <c r="K337">
        <f>MacReports!F337</f>
        <v>0</v>
      </c>
      <c r="L337">
        <f>MacReports!G337</f>
        <v>0</v>
      </c>
      <c r="M337" s="15" t="e" cm="1">
        <f t="array" ref="M337">--_xlfn.LET(
    _xlpm.txt, MacReports!H337,
    _xlpm.chars, MID(_xlpm.txt, _xlfn.SEQUENCE(LEN(_xlpm.txt)), 1),
    _xlfn.TEXTJOIN("", TRUE, IF(ISNUMBER(--_xlpm.chars), _xlpm.chars, ""))
)</f>
        <v>#VALUE!</v>
      </c>
      <c r="N337" s="16" t="str" cm="1">
        <f t="array" ref="N337">_xlfn.IFS(
   --MacReports!M337&lt;55,"Battery Defect",
  -- MacReports!M337&lt;=69,"Battery D",
  --MacReports!M337&lt;=80,"Battery C",
 --MacReports!M337&gt;80,""
)</f>
        <v>Battery Defect</v>
      </c>
      <c r="O337" s="16" t="str">
        <f>IF(MacReports!I337="Service","Battery Service","")</f>
        <v/>
      </c>
      <c r="P337" s="13">
        <f>MacReports!P337</f>
        <v>0</v>
      </c>
      <c r="Q337" s="13" t="str">
        <f>IF(MacReports!J337="Enabled","Apple ID Lock","")</f>
        <v/>
      </c>
      <c r="R337" s="13" t="str">
        <f>IF(MacReports!L337="y","Remote Locked","")</f>
        <v/>
      </c>
      <c r="S337" t="str">
        <f t="shared" si="11"/>
        <v>Battery Defect, 0</v>
      </c>
      <c r="T337" t="str">
        <f>_xlfn.XLOOKUP(B337,Disk_Pivot!G:G,Disk_Pivot!I:I)</f>
        <v>Yes</v>
      </c>
      <c r="U337" t="str">
        <f>_xlfn.XLOOKUP(B337,Disk_Pivot!G:G,Disk_Pivot!N:N)</f>
        <v>Fail</v>
      </c>
      <c r="V337">
        <f>IF(U337="Fail",MacReports!N337,"")</f>
        <v>0</v>
      </c>
      <c r="AB337" t="str">
        <f t="shared" si="12"/>
        <v/>
      </c>
    </row>
    <row r="338" spans="1:28">
      <c r="A338">
        <f>MacReports!A338</f>
        <v>0</v>
      </c>
      <c r="B338">
        <f>MacReports!B338</f>
        <v>0</v>
      </c>
      <c r="C338">
        <f>MacReports!C338</f>
        <v>0</v>
      </c>
      <c r="E338" t="e">
        <f>_xlfn.XLOOKUP(G338,Models!A:A,Models!F:F)</f>
        <v>#N/A</v>
      </c>
      <c r="F338" t="str">
        <f>_xlfn.XLOOKUP(B338,MacReports!B:B,MacReports!D:D,"")</f>
        <v/>
      </c>
      <c r="G338" s="13">
        <f>MacReports!E338</f>
        <v>0</v>
      </c>
      <c r="H338" t="e">
        <f>_xlfn.XLOOKUP(G338,Models!A:A,Models!B:B)</f>
        <v>#N/A</v>
      </c>
      <c r="I338" t="e">
        <f>_xlfn.XLOOKUP(G338,Models!A:A,Models!E:E)</f>
        <v>#N/A</v>
      </c>
      <c r="J338" t="e">
        <f>_xlfn.XLOOKUP(G338,Models!A:A,Models!D:D)</f>
        <v>#N/A</v>
      </c>
      <c r="K338">
        <f>MacReports!F338</f>
        <v>0</v>
      </c>
      <c r="L338">
        <f>MacReports!G338</f>
        <v>0</v>
      </c>
      <c r="M338" s="15" t="e" cm="1">
        <f t="array" ref="M338">--_xlfn.LET(
    _xlpm.txt, MacReports!H338,
    _xlpm.chars, MID(_xlpm.txt, _xlfn.SEQUENCE(LEN(_xlpm.txt)), 1),
    _xlfn.TEXTJOIN("", TRUE, IF(ISNUMBER(--_xlpm.chars), _xlpm.chars, ""))
)</f>
        <v>#VALUE!</v>
      </c>
      <c r="N338" s="16" t="str" cm="1">
        <f t="array" ref="N338">_xlfn.IFS(
   --MacReports!M338&lt;55,"Battery Defect",
  -- MacReports!M338&lt;=69,"Battery D",
  --MacReports!M338&lt;=80,"Battery C",
 --MacReports!M338&gt;80,""
)</f>
        <v>Battery Defect</v>
      </c>
      <c r="O338" s="16" t="str">
        <f>IF(MacReports!I338="Service","Battery Service","")</f>
        <v/>
      </c>
      <c r="P338" s="13">
        <f>MacReports!P338</f>
        <v>0</v>
      </c>
      <c r="Q338" s="13" t="str">
        <f>IF(MacReports!J338="Enabled","Apple ID Lock","")</f>
        <v/>
      </c>
      <c r="R338" s="13" t="str">
        <f>IF(MacReports!L338="y","Remote Locked","")</f>
        <v/>
      </c>
      <c r="S338" t="str">
        <f t="shared" si="11"/>
        <v>Battery Defect, 0</v>
      </c>
      <c r="T338" t="str">
        <f>_xlfn.XLOOKUP(B338,Disk_Pivot!G:G,Disk_Pivot!I:I)</f>
        <v>Yes</v>
      </c>
      <c r="U338" t="str">
        <f>_xlfn.XLOOKUP(B338,Disk_Pivot!G:G,Disk_Pivot!N:N)</f>
        <v>Fail</v>
      </c>
      <c r="V338">
        <f>IF(U338="Fail",MacReports!N338,"")</f>
        <v>0</v>
      </c>
      <c r="AB338" t="str">
        <f t="shared" si="12"/>
        <v/>
      </c>
    </row>
    <row r="339" spans="1:28">
      <c r="A339">
        <f>MacReports!A339</f>
        <v>0</v>
      </c>
      <c r="B339">
        <f>MacReports!B339</f>
        <v>0</v>
      </c>
      <c r="C339">
        <f>MacReports!C339</f>
        <v>0</v>
      </c>
      <c r="E339" t="e">
        <f>_xlfn.XLOOKUP(G339,Models!A:A,Models!F:F)</f>
        <v>#N/A</v>
      </c>
      <c r="F339" t="str">
        <f>_xlfn.XLOOKUP(B339,MacReports!B:B,MacReports!D:D,"")</f>
        <v/>
      </c>
      <c r="G339" s="13">
        <f>MacReports!E339</f>
        <v>0</v>
      </c>
      <c r="H339" t="e">
        <f>_xlfn.XLOOKUP(G339,Models!A:A,Models!B:B)</f>
        <v>#N/A</v>
      </c>
      <c r="I339" t="e">
        <f>_xlfn.XLOOKUP(G339,Models!A:A,Models!E:E)</f>
        <v>#N/A</v>
      </c>
      <c r="J339" t="e">
        <f>_xlfn.XLOOKUP(G339,Models!A:A,Models!D:D)</f>
        <v>#N/A</v>
      </c>
      <c r="K339">
        <f>MacReports!F339</f>
        <v>0</v>
      </c>
      <c r="L339">
        <f>MacReports!G339</f>
        <v>0</v>
      </c>
      <c r="M339" s="15" t="e" cm="1">
        <f t="array" ref="M339">--_xlfn.LET(
    _xlpm.txt, MacReports!H339,
    _xlpm.chars, MID(_xlpm.txt, _xlfn.SEQUENCE(LEN(_xlpm.txt)), 1),
    _xlfn.TEXTJOIN("", TRUE, IF(ISNUMBER(--_xlpm.chars), _xlpm.chars, ""))
)</f>
        <v>#VALUE!</v>
      </c>
      <c r="N339" s="16" t="str" cm="1">
        <f t="array" ref="N339">_xlfn.IFS(
   --MacReports!M339&lt;55,"Battery Defect",
  -- MacReports!M339&lt;=69,"Battery D",
  --MacReports!M339&lt;=80,"Battery C",
 --MacReports!M339&gt;80,""
)</f>
        <v>Battery Defect</v>
      </c>
      <c r="O339" s="16" t="str">
        <f>IF(MacReports!I339="Service","Battery Service","")</f>
        <v/>
      </c>
      <c r="P339" s="13">
        <f>MacReports!P339</f>
        <v>0</v>
      </c>
      <c r="Q339" s="13" t="str">
        <f>IF(MacReports!J339="Enabled","Apple ID Lock","")</f>
        <v/>
      </c>
      <c r="R339" s="13" t="str">
        <f>IF(MacReports!L339="y","Remote Locked","")</f>
        <v/>
      </c>
      <c r="S339" t="str">
        <f t="shared" si="11"/>
        <v>Battery Defect, 0</v>
      </c>
      <c r="T339" t="str">
        <f>_xlfn.XLOOKUP(B339,Disk_Pivot!G:G,Disk_Pivot!I:I)</f>
        <v>Yes</v>
      </c>
      <c r="U339" t="str">
        <f>_xlfn.XLOOKUP(B339,Disk_Pivot!G:G,Disk_Pivot!N:N)</f>
        <v>Fail</v>
      </c>
      <c r="V339">
        <f>IF(U339="Fail",MacReports!N339,"")</f>
        <v>0</v>
      </c>
      <c r="AB339" t="str">
        <f t="shared" si="12"/>
        <v/>
      </c>
    </row>
    <row r="340" spans="1:28">
      <c r="A340">
        <f>MacReports!A340</f>
        <v>0</v>
      </c>
      <c r="B340">
        <f>MacReports!B340</f>
        <v>0</v>
      </c>
      <c r="C340">
        <f>MacReports!C340</f>
        <v>0</v>
      </c>
      <c r="E340" t="e">
        <f>_xlfn.XLOOKUP(G340,Models!A:A,Models!F:F)</f>
        <v>#N/A</v>
      </c>
      <c r="F340" t="str">
        <f>_xlfn.XLOOKUP(B340,MacReports!B:B,MacReports!D:D,"")</f>
        <v/>
      </c>
      <c r="G340" s="13">
        <f>MacReports!E340</f>
        <v>0</v>
      </c>
      <c r="H340" t="e">
        <f>_xlfn.XLOOKUP(G340,Models!A:A,Models!B:B)</f>
        <v>#N/A</v>
      </c>
      <c r="I340" t="e">
        <f>_xlfn.XLOOKUP(G340,Models!A:A,Models!E:E)</f>
        <v>#N/A</v>
      </c>
      <c r="J340" t="e">
        <f>_xlfn.XLOOKUP(G340,Models!A:A,Models!D:D)</f>
        <v>#N/A</v>
      </c>
      <c r="K340">
        <f>MacReports!F340</f>
        <v>0</v>
      </c>
      <c r="L340">
        <f>MacReports!G340</f>
        <v>0</v>
      </c>
      <c r="M340" s="15" t="e" cm="1">
        <f t="array" ref="M340">--_xlfn.LET(
    _xlpm.txt, MacReports!H340,
    _xlpm.chars, MID(_xlpm.txt, _xlfn.SEQUENCE(LEN(_xlpm.txt)), 1),
    _xlfn.TEXTJOIN("", TRUE, IF(ISNUMBER(--_xlpm.chars), _xlpm.chars, ""))
)</f>
        <v>#VALUE!</v>
      </c>
      <c r="N340" s="16" t="str" cm="1">
        <f t="array" ref="N340">_xlfn.IFS(
   --MacReports!M340&lt;55,"Battery Defect",
  -- MacReports!M340&lt;=69,"Battery D",
  --MacReports!M340&lt;=80,"Battery C",
 --MacReports!M340&gt;80,""
)</f>
        <v>Battery Defect</v>
      </c>
      <c r="O340" s="16" t="str">
        <f>IF(MacReports!I340="Service","Battery Service","")</f>
        <v/>
      </c>
      <c r="P340" s="13">
        <f>MacReports!P340</f>
        <v>0</v>
      </c>
      <c r="Q340" s="13" t="str">
        <f>IF(MacReports!J340="Enabled","Apple ID Lock","")</f>
        <v/>
      </c>
      <c r="R340" s="13" t="str">
        <f>IF(MacReports!L340="y","Remote Locked","")</f>
        <v/>
      </c>
      <c r="S340" t="str">
        <f t="shared" si="11"/>
        <v>Battery Defect, 0</v>
      </c>
      <c r="T340" t="str">
        <f>_xlfn.XLOOKUP(B340,Disk_Pivot!G:G,Disk_Pivot!I:I)</f>
        <v>Yes</v>
      </c>
      <c r="U340" t="str">
        <f>_xlfn.XLOOKUP(B340,Disk_Pivot!G:G,Disk_Pivot!N:N)</f>
        <v>Fail</v>
      </c>
      <c r="V340">
        <f>IF(U340="Fail",MacReports!N340,"")</f>
        <v>0</v>
      </c>
      <c r="AB340" t="str">
        <f t="shared" si="12"/>
        <v/>
      </c>
    </row>
    <row r="341" spans="1:28">
      <c r="A341">
        <f>MacReports!A341</f>
        <v>0</v>
      </c>
      <c r="B341">
        <f>MacReports!B341</f>
        <v>0</v>
      </c>
      <c r="C341">
        <f>MacReports!C341</f>
        <v>0</v>
      </c>
      <c r="E341" t="e">
        <f>_xlfn.XLOOKUP(G341,Models!A:A,Models!F:F)</f>
        <v>#N/A</v>
      </c>
      <c r="F341" t="str">
        <f>_xlfn.XLOOKUP(B341,MacReports!B:B,MacReports!D:D,"")</f>
        <v/>
      </c>
      <c r="G341" s="13">
        <f>MacReports!E341</f>
        <v>0</v>
      </c>
      <c r="H341" t="e">
        <f>_xlfn.XLOOKUP(G341,Models!A:A,Models!B:B)</f>
        <v>#N/A</v>
      </c>
      <c r="I341" t="e">
        <f>_xlfn.XLOOKUP(G341,Models!A:A,Models!E:E)</f>
        <v>#N/A</v>
      </c>
      <c r="J341" t="e">
        <f>_xlfn.XLOOKUP(G341,Models!A:A,Models!D:D)</f>
        <v>#N/A</v>
      </c>
      <c r="K341">
        <f>MacReports!F341</f>
        <v>0</v>
      </c>
      <c r="L341">
        <f>MacReports!G341</f>
        <v>0</v>
      </c>
      <c r="M341" s="15" t="e" cm="1">
        <f t="array" ref="M341">--_xlfn.LET(
    _xlpm.txt, MacReports!H341,
    _xlpm.chars, MID(_xlpm.txt, _xlfn.SEQUENCE(LEN(_xlpm.txt)), 1),
    _xlfn.TEXTJOIN("", TRUE, IF(ISNUMBER(--_xlpm.chars), _xlpm.chars, ""))
)</f>
        <v>#VALUE!</v>
      </c>
      <c r="N341" s="16" t="str" cm="1">
        <f t="array" ref="N341">_xlfn.IFS(
   --MacReports!M341&lt;55,"Battery Defect",
  -- MacReports!M341&lt;=69,"Battery D",
  --MacReports!M341&lt;=80,"Battery C",
 --MacReports!M341&gt;80,""
)</f>
        <v>Battery Defect</v>
      </c>
      <c r="O341" s="16" t="str">
        <f>IF(MacReports!I341="Service","Battery Service","")</f>
        <v/>
      </c>
      <c r="P341" s="13">
        <f>MacReports!P341</f>
        <v>0</v>
      </c>
      <c r="Q341" s="13" t="str">
        <f>IF(MacReports!J341="Enabled","Apple ID Lock","")</f>
        <v/>
      </c>
      <c r="R341" s="13" t="str">
        <f>IF(MacReports!L341="y","Remote Locked","")</f>
        <v/>
      </c>
      <c r="S341" t="str">
        <f t="shared" si="11"/>
        <v>Battery Defect, 0</v>
      </c>
      <c r="T341" t="str">
        <f>_xlfn.XLOOKUP(B341,Disk_Pivot!G:G,Disk_Pivot!I:I)</f>
        <v>Yes</v>
      </c>
      <c r="U341" t="str">
        <f>_xlfn.XLOOKUP(B341,Disk_Pivot!G:G,Disk_Pivot!N:N)</f>
        <v>Fail</v>
      </c>
      <c r="V341">
        <f>IF(U341="Fail",MacReports!N341,"")</f>
        <v>0</v>
      </c>
      <c r="AB341" t="str">
        <f t="shared" si="12"/>
        <v/>
      </c>
    </row>
    <row r="342" spans="1:28">
      <c r="A342">
        <f>MacReports!A342</f>
        <v>0</v>
      </c>
      <c r="B342">
        <f>MacReports!B342</f>
        <v>0</v>
      </c>
      <c r="C342">
        <f>MacReports!C342</f>
        <v>0</v>
      </c>
      <c r="E342" t="e">
        <f>_xlfn.XLOOKUP(G342,Models!A:A,Models!F:F)</f>
        <v>#N/A</v>
      </c>
      <c r="F342" t="str">
        <f>_xlfn.XLOOKUP(B342,MacReports!B:B,MacReports!D:D,"")</f>
        <v/>
      </c>
      <c r="G342" s="13">
        <f>MacReports!E342</f>
        <v>0</v>
      </c>
      <c r="H342" t="e">
        <f>_xlfn.XLOOKUP(G342,Models!A:A,Models!B:B)</f>
        <v>#N/A</v>
      </c>
      <c r="I342" t="e">
        <f>_xlfn.XLOOKUP(G342,Models!A:A,Models!E:E)</f>
        <v>#N/A</v>
      </c>
      <c r="J342" t="e">
        <f>_xlfn.XLOOKUP(G342,Models!A:A,Models!D:D)</f>
        <v>#N/A</v>
      </c>
      <c r="K342">
        <f>MacReports!F342</f>
        <v>0</v>
      </c>
      <c r="L342">
        <f>MacReports!G342</f>
        <v>0</v>
      </c>
      <c r="M342" s="15" t="e" cm="1">
        <f t="array" ref="M342">--_xlfn.LET(
    _xlpm.txt, MacReports!H342,
    _xlpm.chars, MID(_xlpm.txt, _xlfn.SEQUENCE(LEN(_xlpm.txt)), 1),
    _xlfn.TEXTJOIN("", TRUE, IF(ISNUMBER(--_xlpm.chars), _xlpm.chars, ""))
)</f>
        <v>#VALUE!</v>
      </c>
      <c r="N342" s="16" t="str" cm="1">
        <f t="array" ref="N342">_xlfn.IFS(
   --MacReports!M342&lt;55,"Battery Defect",
  -- MacReports!M342&lt;=69,"Battery D",
  --MacReports!M342&lt;=80,"Battery C",
 --MacReports!M342&gt;80,""
)</f>
        <v>Battery Defect</v>
      </c>
      <c r="O342" s="16" t="str">
        <f>IF(MacReports!I342="Service","Battery Service","")</f>
        <v/>
      </c>
      <c r="P342" s="13">
        <f>MacReports!P342</f>
        <v>0</v>
      </c>
      <c r="Q342" s="13" t="str">
        <f>IF(MacReports!J342="Enabled","Apple ID Lock","")</f>
        <v/>
      </c>
      <c r="R342" s="13" t="str">
        <f>IF(MacReports!L342="y","Remote Locked","")</f>
        <v/>
      </c>
      <c r="S342" t="str">
        <f t="shared" si="11"/>
        <v>Battery Defect, 0</v>
      </c>
      <c r="T342" t="str">
        <f>_xlfn.XLOOKUP(B342,Disk_Pivot!G:G,Disk_Pivot!I:I)</f>
        <v>Yes</v>
      </c>
      <c r="U342" t="str">
        <f>_xlfn.XLOOKUP(B342,Disk_Pivot!G:G,Disk_Pivot!N:N)</f>
        <v>Fail</v>
      </c>
      <c r="V342">
        <f>IF(U342="Fail",MacReports!N342,"")</f>
        <v>0</v>
      </c>
      <c r="AB342" t="str">
        <f t="shared" si="12"/>
        <v/>
      </c>
    </row>
    <row r="343" spans="1:28">
      <c r="A343">
        <f>MacReports!A343</f>
        <v>0</v>
      </c>
      <c r="B343">
        <f>MacReports!B343</f>
        <v>0</v>
      </c>
      <c r="C343">
        <f>MacReports!C343</f>
        <v>0</v>
      </c>
      <c r="E343" t="e">
        <f>_xlfn.XLOOKUP(G343,Models!A:A,Models!F:F)</f>
        <v>#N/A</v>
      </c>
      <c r="F343" t="str">
        <f>_xlfn.XLOOKUP(B343,MacReports!B:B,MacReports!D:D,"")</f>
        <v/>
      </c>
      <c r="G343" s="13">
        <f>MacReports!E343</f>
        <v>0</v>
      </c>
      <c r="H343" t="e">
        <f>_xlfn.XLOOKUP(G343,Models!A:A,Models!B:B)</f>
        <v>#N/A</v>
      </c>
      <c r="I343" t="e">
        <f>_xlfn.XLOOKUP(G343,Models!A:A,Models!E:E)</f>
        <v>#N/A</v>
      </c>
      <c r="J343" t="e">
        <f>_xlfn.XLOOKUP(G343,Models!A:A,Models!D:D)</f>
        <v>#N/A</v>
      </c>
      <c r="K343">
        <f>MacReports!F343</f>
        <v>0</v>
      </c>
      <c r="L343">
        <f>MacReports!G343</f>
        <v>0</v>
      </c>
      <c r="M343" s="15" t="e" cm="1">
        <f t="array" ref="M343">--_xlfn.LET(
    _xlpm.txt, MacReports!H343,
    _xlpm.chars, MID(_xlpm.txt, _xlfn.SEQUENCE(LEN(_xlpm.txt)), 1),
    _xlfn.TEXTJOIN("", TRUE, IF(ISNUMBER(--_xlpm.chars), _xlpm.chars, ""))
)</f>
        <v>#VALUE!</v>
      </c>
      <c r="N343" s="16" t="str" cm="1">
        <f t="array" ref="N343">_xlfn.IFS(
   --MacReports!M343&lt;55,"Battery Defect",
  -- MacReports!M343&lt;=69,"Battery D",
  --MacReports!M343&lt;=80,"Battery C",
 --MacReports!M343&gt;80,""
)</f>
        <v>Battery Defect</v>
      </c>
      <c r="O343" s="16" t="str">
        <f>IF(MacReports!I343="Service","Battery Service","")</f>
        <v/>
      </c>
      <c r="P343" s="13">
        <f>MacReports!P343</f>
        <v>0</v>
      </c>
      <c r="Q343" s="13" t="str">
        <f>IF(MacReports!J343="Enabled","Apple ID Lock","")</f>
        <v/>
      </c>
      <c r="R343" s="13" t="str">
        <f>IF(MacReports!L343="y","Remote Locked","")</f>
        <v/>
      </c>
      <c r="S343" t="str">
        <f t="shared" si="11"/>
        <v>Battery Defect, 0</v>
      </c>
      <c r="T343" t="str">
        <f>_xlfn.XLOOKUP(B343,Disk_Pivot!G:G,Disk_Pivot!I:I)</f>
        <v>Yes</v>
      </c>
      <c r="U343" t="str">
        <f>_xlfn.XLOOKUP(B343,Disk_Pivot!G:G,Disk_Pivot!N:N)</f>
        <v>Fail</v>
      </c>
      <c r="V343">
        <f>IF(U343="Fail",MacReports!N343,"")</f>
        <v>0</v>
      </c>
      <c r="AB343" t="str">
        <f t="shared" si="12"/>
        <v/>
      </c>
    </row>
    <row r="344" spans="1:28">
      <c r="A344">
        <f>MacReports!A344</f>
        <v>0</v>
      </c>
      <c r="B344">
        <f>MacReports!B344</f>
        <v>0</v>
      </c>
      <c r="C344">
        <f>MacReports!C344</f>
        <v>0</v>
      </c>
      <c r="E344" t="e">
        <f>_xlfn.XLOOKUP(G344,Models!A:A,Models!F:F)</f>
        <v>#N/A</v>
      </c>
      <c r="F344" t="str">
        <f>_xlfn.XLOOKUP(B344,MacReports!B:B,MacReports!D:D,"")</f>
        <v/>
      </c>
      <c r="G344" s="13">
        <f>MacReports!E344</f>
        <v>0</v>
      </c>
      <c r="H344" t="e">
        <f>_xlfn.XLOOKUP(G344,Models!A:A,Models!B:B)</f>
        <v>#N/A</v>
      </c>
      <c r="I344" t="e">
        <f>_xlfn.XLOOKUP(G344,Models!A:A,Models!E:E)</f>
        <v>#N/A</v>
      </c>
      <c r="J344" t="e">
        <f>_xlfn.XLOOKUP(G344,Models!A:A,Models!D:D)</f>
        <v>#N/A</v>
      </c>
      <c r="K344">
        <f>MacReports!F344</f>
        <v>0</v>
      </c>
      <c r="L344">
        <f>MacReports!G344</f>
        <v>0</v>
      </c>
      <c r="M344" s="15" t="e" cm="1">
        <f t="array" ref="M344">--_xlfn.LET(
    _xlpm.txt, MacReports!H344,
    _xlpm.chars, MID(_xlpm.txt, _xlfn.SEQUENCE(LEN(_xlpm.txt)), 1),
    _xlfn.TEXTJOIN("", TRUE, IF(ISNUMBER(--_xlpm.chars), _xlpm.chars, ""))
)</f>
        <v>#VALUE!</v>
      </c>
      <c r="N344" s="16" t="str" cm="1">
        <f t="array" ref="N344">_xlfn.IFS(
   --MacReports!M344&lt;55,"Battery Defect",
  -- MacReports!M344&lt;=69,"Battery D",
  --MacReports!M344&lt;=80,"Battery C",
 --MacReports!M344&gt;80,""
)</f>
        <v>Battery Defect</v>
      </c>
      <c r="O344" s="16" t="str">
        <f>IF(MacReports!I344="Service","Battery Service","")</f>
        <v/>
      </c>
      <c r="P344" s="13">
        <f>MacReports!P344</f>
        <v>0</v>
      </c>
      <c r="Q344" s="13" t="str">
        <f>IF(MacReports!J344="Enabled","Apple ID Lock","")</f>
        <v/>
      </c>
      <c r="R344" s="13" t="str">
        <f>IF(MacReports!L344="y","Remote Locked","")</f>
        <v/>
      </c>
      <c r="S344" t="str">
        <f t="shared" si="11"/>
        <v>Battery Defect, 0</v>
      </c>
      <c r="T344" t="str">
        <f>_xlfn.XLOOKUP(B344,Disk_Pivot!G:G,Disk_Pivot!I:I)</f>
        <v>Yes</v>
      </c>
      <c r="U344" t="str">
        <f>_xlfn.XLOOKUP(B344,Disk_Pivot!G:G,Disk_Pivot!N:N)</f>
        <v>Fail</v>
      </c>
      <c r="V344">
        <f>IF(U344="Fail",MacReports!N344,"")</f>
        <v>0</v>
      </c>
      <c r="AB344" t="str">
        <f t="shared" si="12"/>
        <v/>
      </c>
    </row>
    <row r="345" spans="1:28">
      <c r="A345">
        <f>MacReports!A345</f>
        <v>0</v>
      </c>
      <c r="B345">
        <f>MacReports!B345</f>
        <v>0</v>
      </c>
      <c r="C345">
        <f>MacReports!C345</f>
        <v>0</v>
      </c>
      <c r="E345" t="e">
        <f>_xlfn.XLOOKUP(G345,Models!A:A,Models!F:F)</f>
        <v>#N/A</v>
      </c>
      <c r="F345" t="str">
        <f>_xlfn.XLOOKUP(B345,MacReports!B:B,MacReports!D:D,"")</f>
        <v/>
      </c>
      <c r="G345" s="13">
        <f>MacReports!E345</f>
        <v>0</v>
      </c>
      <c r="H345" t="e">
        <f>_xlfn.XLOOKUP(G345,Models!A:A,Models!B:B)</f>
        <v>#N/A</v>
      </c>
      <c r="I345" t="e">
        <f>_xlfn.XLOOKUP(G345,Models!A:A,Models!E:E)</f>
        <v>#N/A</v>
      </c>
      <c r="J345" t="e">
        <f>_xlfn.XLOOKUP(G345,Models!A:A,Models!D:D)</f>
        <v>#N/A</v>
      </c>
      <c r="K345">
        <f>MacReports!F345</f>
        <v>0</v>
      </c>
      <c r="L345">
        <f>MacReports!G345</f>
        <v>0</v>
      </c>
      <c r="M345" s="15" t="e" cm="1">
        <f t="array" ref="M345">--_xlfn.LET(
    _xlpm.txt, MacReports!H345,
    _xlpm.chars, MID(_xlpm.txt, _xlfn.SEQUENCE(LEN(_xlpm.txt)), 1),
    _xlfn.TEXTJOIN("", TRUE, IF(ISNUMBER(--_xlpm.chars), _xlpm.chars, ""))
)</f>
        <v>#VALUE!</v>
      </c>
      <c r="N345" s="16" t="str" cm="1">
        <f t="array" ref="N345">_xlfn.IFS(
   --MacReports!M345&lt;55,"Battery Defect",
  -- MacReports!M345&lt;=69,"Battery D",
  --MacReports!M345&lt;=80,"Battery C",
 --MacReports!M345&gt;80,""
)</f>
        <v>Battery Defect</v>
      </c>
      <c r="O345" s="16" t="str">
        <f>IF(MacReports!I345="Service","Battery Service","")</f>
        <v/>
      </c>
      <c r="P345" s="13">
        <f>MacReports!P345</f>
        <v>0</v>
      </c>
      <c r="Q345" s="13" t="str">
        <f>IF(MacReports!J345="Enabled","Apple ID Lock","")</f>
        <v/>
      </c>
      <c r="R345" s="13" t="str">
        <f>IF(MacReports!L345="y","Remote Locked","")</f>
        <v/>
      </c>
      <c r="S345" t="str">
        <f t="shared" si="11"/>
        <v>Battery Defect, 0</v>
      </c>
      <c r="T345" t="str">
        <f>_xlfn.XLOOKUP(B345,Disk_Pivot!G:G,Disk_Pivot!I:I)</f>
        <v>Yes</v>
      </c>
      <c r="U345" t="str">
        <f>_xlfn.XLOOKUP(B345,Disk_Pivot!G:G,Disk_Pivot!N:N)</f>
        <v>Fail</v>
      </c>
      <c r="V345">
        <f>IF(U345="Fail",MacReports!N345,"")</f>
        <v>0</v>
      </c>
      <c r="AB345" t="str">
        <f t="shared" si="12"/>
        <v/>
      </c>
    </row>
    <row r="346" spans="1:28">
      <c r="A346">
        <f>MacReports!A346</f>
        <v>0</v>
      </c>
      <c r="B346">
        <f>MacReports!B346</f>
        <v>0</v>
      </c>
      <c r="C346">
        <f>MacReports!C346</f>
        <v>0</v>
      </c>
      <c r="E346" t="e">
        <f>_xlfn.XLOOKUP(G346,Models!A:A,Models!F:F)</f>
        <v>#N/A</v>
      </c>
      <c r="F346" t="str">
        <f>_xlfn.XLOOKUP(B346,MacReports!B:B,MacReports!D:D,"")</f>
        <v/>
      </c>
      <c r="G346" s="13">
        <f>MacReports!E346</f>
        <v>0</v>
      </c>
      <c r="H346" t="e">
        <f>_xlfn.XLOOKUP(G346,Models!A:A,Models!B:B)</f>
        <v>#N/A</v>
      </c>
      <c r="I346" t="e">
        <f>_xlfn.XLOOKUP(G346,Models!A:A,Models!E:E)</f>
        <v>#N/A</v>
      </c>
      <c r="J346" t="e">
        <f>_xlfn.XLOOKUP(G346,Models!A:A,Models!D:D)</f>
        <v>#N/A</v>
      </c>
      <c r="K346">
        <f>MacReports!F346</f>
        <v>0</v>
      </c>
      <c r="L346">
        <f>MacReports!G346</f>
        <v>0</v>
      </c>
      <c r="M346" s="15" t="e" cm="1">
        <f t="array" ref="M346">--_xlfn.LET(
    _xlpm.txt, MacReports!H346,
    _xlpm.chars, MID(_xlpm.txt, _xlfn.SEQUENCE(LEN(_xlpm.txt)), 1),
    _xlfn.TEXTJOIN("", TRUE, IF(ISNUMBER(--_xlpm.chars), _xlpm.chars, ""))
)</f>
        <v>#VALUE!</v>
      </c>
      <c r="N346" s="16" t="str" cm="1">
        <f t="array" ref="N346">_xlfn.IFS(
   --MacReports!M346&lt;55,"Battery Defect",
  -- MacReports!M346&lt;=69,"Battery D",
  --MacReports!M346&lt;=80,"Battery C",
 --MacReports!M346&gt;80,""
)</f>
        <v>Battery Defect</v>
      </c>
      <c r="O346" s="16" t="str">
        <f>IF(MacReports!I346="Service","Battery Service","")</f>
        <v/>
      </c>
      <c r="P346" s="13">
        <f>MacReports!P346</f>
        <v>0</v>
      </c>
      <c r="Q346" s="13" t="str">
        <f>IF(MacReports!J346="Enabled","Apple ID Lock","")</f>
        <v/>
      </c>
      <c r="R346" s="13" t="str">
        <f>IF(MacReports!L346="y","Remote Locked","")</f>
        <v/>
      </c>
      <c r="S346" t="str">
        <f t="shared" si="11"/>
        <v>Battery Defect, 0</v>
      </c>
      <c r="T346" t="str">
        <f>_xlfn.XLOOKUP(B346,Disk_Pivot!G:G,Disk_Pivot!I:I)</f>
        <v>Yes</v>
      </c>
      <c r="U346" t="str">
        <f>_xlfn.XLOOKUP(B346,Disk_Pivot!G:G,Disk_Pivot!N:N)</f>
        <v>Fail</v>
      </c>
      <c r="V346">
        <f>IF(U346="Fail",MacReports!N346,"")</f>
        <v>0</v>
      </c>
      <c r="AB346" t="str">
        <f t="shared" si="12"/>
        <v/>
      </c>
    </row>
    <row r="347" spans="1:28">
      <c r="A347">
        <f>MacReports!A347</f>
        <v>0</v>
      </c>
      <c r="B347">
        <f>MacReports!B347</f>
        <v>0</v>
      </c>
      <c r="C347">
        <f>MacReports!C347</f>
        <v>0</v>
      </c>
      <c r="E347" t="e">
        <f>_xlfn.XLOOKUP(G347,Models!A:A,Models!F:F)</f>
        <v>#N/A</v>
      </c>
      <c r="F347" t="str">
        <f>_xlfn.XLOOKUP(B347,MacReports!B:B,MacReports!D:D,"")</f>
        <v/>
      </c>
      <c r="G347" s="13">
        <f>MacReports!E347</f>
        <v>0</v>
      </c>
      <c r="H347" t="e">
        <f>_xlfn.XLOOKUP(G347,Models!A:A,Models!B:B)</f>
        <v>#N/A</v>
      </c>
      <c r="I347" t="e">
        <f>_xlfn.XLOOKUP(G347,Models!A:A,Models!E:E)</f>
        <v>#N/A</v>
      </c>
      <c r="J347" t="e">
        <f>_xlfn.XLOOKUP(G347,Models!A:A,Models!D:D)</f>
        <v>#N/A</v>
      </c>
      <c r="K347">
        <f>MacReports!F347</f>
        <v>0</v>
      </c>
      <c r="L347">
        <f>MacReports!G347</f>
        <v>0</v>
      </c>
      <c r="M347" s="15" t="e" cm="1">
        <f t="array" ref="M347">--_xlfn.LET(
    _xlpm.txt, MacReports!H347,
    _xlpm.chars, MID(_xlpm.txt, _xlfn.SEQUENCE(LEN(_xlpm.txt)), 1),
    _xlfn.TEXTJOIN("", TRUE, IF(ISNUMBER(--_xlpm.chars), _xlpm.chars, ""))
)</f>
        <v>#VALUE!</v>
      </c>
      <c r="N347" s="16" t="str" cm="1">
        <f t="array" ref="N347">_xlfn.IFS(
   --MacReports!M347&lt;55,"Battery Defect",
  -- MacReports!M347&lt;=69,"Battery D",
  --MacReports!M347&lt;=80,"Battery C",
 --MacReports!M347&gt;80,""
)</f>
        <v>Battery Defect</v>
      </c>
      <c r="O347" s="16" t="str">
        <f>IF(MacReports!I347="Service","Battery Service","")</f>
        <v/>
      </c>
      <c r="P347" s="13">
        <f>MacReports!P347</f>
        <v>0</v>
      </c>
      <c r="Q347" s="13" t="str">
        <f>IF(MacReports!J347="Enabled","Apple ID Lock","")</f>
        <v/>
      </c>
      <c r="R347" s="13" t="str">
        <f>IF(MacReports!L347="y","Remote Locked","")</f>
        <v/>
      </c>
      <c r="S347" t="str">
        <f t="shared" si="11"/>
        <v>Battery Defect, 0</v>
      </c>
      <c r="T347" t="str">
        <f>_xlfn.XLOOKUP(B347,Disk_Pivot!G:G,Disk_Pivot!I:I)</f>
        <v>Yes</v>
      </c>
      <c r="U347" t="str">
        <f>_xlfn.XLOOKUP(B347,Disk_Pivot!G:G,Disk_Pivot!N:N)</f>
        <v>Fail</v>
      </c>
      <c r="V347">
        <f>IF(U347="Fail",MacReports!N347,"")</f>
        <v>0</v>
      </c>
      <c r="AB347" t="str">
        <f t="shared" si="12"/>
        <v/>
      </c>
    </row>
    <row r="348" spans="1:28">
      <c r="A348">
        <f>MacReports!A348</f>
        <v>0</v>
      </c>
      <c r="B348">
        <f>MacReports!B348</f>
        <v>0</v>
      </c>
      <c r="C348">
        <f>MacReports!C348</f>
        <v>0</v>
      </c>
      <c r="E348" t="e">
        <f>_xlfn.XLOOKUP(G348,Models!A:A,Models!F:F)</f>
        <v>#N/A</v>
      </c>
      <c r="F348" t="str">
        <f>_xlfn.XLOOKUP(B348,MacReports!B:B,MacReports!D:D,"")</f>
        <v/>
      </c>
      <c r="G348" s="13">
        <f>MacReports!E348</f>
        <v>0</v>
      </c>
      <c r="H348" t="e">
        <f>_xlfn.XLOOKUP(G348,Models!A:A,Models!B:B)</f>
        <v>#N/A</v>
      </c>
      <c r="I348" t="e">
        <f>_xlfn.XLOOKUP(G348,Models!A:A,Models!E:E)</f>
        <v>#N/A</v>
      </c>
      <c r="J348" t="e">
        <f>_xlfn.XLOOKUP(G348,Models!A:A,Models!D:D)</f>
        <v>#N/A</v>
      </c>
      <c r="K348">
        <f>MacReports!F348</f>
        <v>0</v>
      </c>
      <c r="L348">
        <f>MacReports!G348</f>
        <v>0</v>
      </c>
      <c r="M348" s="15" t="e" cm="1">
        <f t="array" ref="M348">--_xlfn.LET(
    _xlpm.txt, MacReports!H348,
    _xlpm.chars, MID(_xlpm.txt, _xlfn.SEQUENCE(LEN(_xlpm.txt)), 1),
    _xlfn.TEXTJOIN("", TRUE, IF(ISNUMBER(--_xlpm.chars), _xlpm.chars, ""))
)</f>
        <v>#VALUE!</v>
      </c>
      <c r="N348" s="16" t="str" cm="1">
        <f t="array" ref="N348">_xlfn.IFS(
   --MacReports!M348&lt;55,"Battery Defect",
  -- MacReports!M348&lt;=69,"Battery D",
  --MacReports!M348&lt;=80,"Battery C",
 --MacReports!M348&gt;80,""
)</f>
        <v>Battery Defect</v>
      </c>
      <c r="O348" s="16" t="str">
        <f>IF(MacReports!I348="Service","Battery Service","")</f>
        <v/>
      </c>
      <c r="P348" s="13">
        <f>MacReports!P348</f>
        <v>0</v>
      </c>
      <c r="Q348" s="13" t="str">
        <f>IF(MacReports!J348="Enabled","Apple ID Lock","")</f>
        <v/>
      </c>
      <c r="R348" s="13" t="str">
        <f>IF(MacReports!L348="y","Remote Locked","")</f>
        <v/>
      </c>
      <c r="S348" t="str">
        <f t="shared" si="11"/>
        <v>Battery Defect, 0</v>
      </c>
      <c r="T348" t="str">
        <f>_xlfn.XLOOKUP(B348,Disk_Pivot!G:G,Disk_Pivot!I:I)</f>
        <v>Yes</v>
      </c>
      <c r="U348" t="str">
        <f>_xlfn.XLOOKUP(B348,Disk_Pivot!G:G,Disk_Pivot!N:N)</f>
        <v>Fail</v>
      </c>
      <c r="V348">
        <f>IF(U348="Fail",MacReports!N348,"")</f>
        <v>0</v>
      </c>
      <c r="AB348" t="str">
        <f t="shared" si="12"/>
        <v/>
      </c>
    </row>
    <row r="349" spans="1:28">
      <c r="A349">
        <f>MacReports!A349</f>
        <v>0</v>
      </c>
      <c r="B349">
        <f>MacReports!B349</f>
        <v>0</v>
      </c>
      <c r="C349">
        <f>MacReports!C349</f>
        <v>0</v>
      </c>
      <c r="E349" t="e">
        <f>_xlfn.XLOOKUP(G349,Models!A:A,Models!F:F)</f>
        <v>#N/A</v>
      </c>
      <c r="F349" t="str">
        <f>_xlfn.XLOOKUP(B349,MacReports!B:B,MacReports!D:D,"")</f>
        <v/>
      </c>
      <c r="G349" s="13">
        <f>MacReports!E349</f>
        <v>0</v>
      </c>
      <c r="H349" t="e">
        <f>_xlfn.XLOOKUP(G349,Models!A:A,Models!B:B)</f>
        <v>#N/A</v>
      </c>
      <c r="I349" t="e">
        <f>_xlfn.XLOOKUP(G349,Models!A:A,Models!E:E)</f>
        <v>#N/A</v>
      </c>
      <c r="J349" t="e">
        <f>_xlfn.XLOOKUP(G349,Models!A:A,Models!D:D)</f>
        <v>#N/A</v>
      </c>
      <c r="K349">
        <f>MacReports!F349</f>
        <v>0</v>
      </c>
      <c r="L349">
        <f>MacReports!G349</f>
        <v>0</v>
      </c>
      <c r="M349" s="15" t="e" cm="1">
        <f t="array" ref="M349">--_xlfn.LET(
    _xlpm.txt, MacReports!H349,
    _xlpm.chars, MID(_xlpm.txt, _xlfn.SEQUENCE(LEN(_xlpm.txt)), 1),
    _xlfn.TEXTJOIN("", TRUE, IF(ISNUMBER(--_xlpm.chars), _xlpm.chars, ""))
)</f>
        <v>#VALUE!</v>
      </c>
      <c r="N349" s="16" t="str" cm="1">
        <f t="array" ref="N349">_xlfn.IFS(
   --MacReports!M349&lt;55,"Battery Defect",
  -- MacReports!M349&lt;=69,"Battery D",
  --MacReports!M349&lt;=80,"Battery C",
 --MacReports!M349&gt;80,""
)</f>
        <v>Battery Defect</v>
      </c>
      <c r="O349" s="16" t="str">
        <f>IF(MacReports!I349="Service","Battery Service","")</f>
        <v/>
      </c>
      <c r="P349" s="13">
        <f>MacReports!P349</f>
        <v>0</v>
      </c>
      <c r="Q349" s="13" t="str">
        <f>IF(MacReports!J349="Enabled","Apple ID Lock","")</f>
        <v/>
      </c>
      <c r="R349" s="13" t="str">
        <f>IF(MacReports!L349="y","Remote Locked","")</f>
        <v/>
      </c>
      <c r="S349" t="str">
        <f t="shared" si="11"/>
        <v>Battery Defect, 0</v>
      </c>
      <c r="T349" t="str">
        <f>_xlfn.XLOOKUP(B349,Disk_Pivot!G:G,Disk_Pivot!I:I)</f>
        <v>Yes</v>
      </c>
      <c r="U349" t="str">
        <f>_xlfn.XLOOKUP(B349,Disk_Pivot!G:G,Disk_Pivot!N:N)</f>
        <v>Fail</v>
      </c>
      <c r="V349">
        <f>IF(U349="Fail",MacReports!N349,"")</f>
        <v>0</v>
      </c>
      <c r="AB349" t="str">
        <f t="shared" si="12"/>
        <v/>
      </c>
    </row>
    <row r="350" spans="1:28">
      <c r="A350">
        <f>MacReports!A350</f>
        <v>0</v>
      </c>
      <c r="B350">
        <f>MacReports!B350</f>
        <v>0</v>
      </c>
      <c r="C350">
        <f>MacReports!C350</f>
        <v>0</v>
      </c>
      <c r="E350" t="e">
        <f>_xlfn.XLOOKUP(G350,Models!A:A,Models!F:F)</f>
        <v>#N/A</v>
      </c>
      <c r="F350" t="str">
        <f>_xlfn.XLOOKUP(B350,MacReports!B:B,MacReports!D:D,"")</f>
        <v/>
      </c>
      <c r="G350" s="13">
        <f>MacReports!E350</f>
        <v>0</v>
      </c>
      <c r="H350" t="e">
        <f>_xlfn.XLOOKUP(G350,Models!A:A,Models!B:B)</f>
        <v>#N/A</v>
      </c>
      <c r="I350" t="e">
        <f>_xlfn.XLOOKUP(G350,Models!A:A,Models!E:E)</f>
        <v>#N/A</v>
      </c>
      <c r="J350" t="e">
        <f>_xlfn.XLOOKUP(G350,Models!A:A,Models!D:D)</f>
        <v>#N/A</v>
      </c>
      <c r="K350">
        <f>MacReports!F350</f>
        <v>0</v>
      </c>
      <c r="L350">
        <f>MacReports!G350</f>
        <v>0</v>
      </c>
      <c r="M350" s="15" t="e" cm="1">
        <f t="array" ref="M350">--_xlfn.LET(
    _xlpm.txt, MacReports!H350,
    _xlpm.chars, MID(_xlpm.txt, _xlfn.SEQUENCE(LEN(_xlpm.txt)), 1),
    _xlfn.TEXTJOIN("", TRUE, IF(ISNUMBER(--_xlpm.chars), _xlpm.chars, ""))
)</f>
        <v>#VALUE!</v>
      </c>
      <c r="N350" s="16" t="str" cm="1">
        <f t="array" ref="N350">_xlfn.IFS(
   --MacReports!M350&lt;55,"Battery Defect",
  -- MacReports!M350&lt;=69,"Battery D",
  --MacReports!M350&lt;=80,"Battery C",
 --MacReports!M350&gt;80,""
)</f>
        <v>Battery Defect</v>
      </c>
      <c r="O350" s="16" t="str">
        <f>IF(MacReports!I350="Service","Battery Service","")</f>
        <v/>
      </c>
      <c r="P350" s="13">
        <f>MacReports!P350</f>
        <v>0</v>
      </c>
      <c r="Q350" s="13" t="str">
        <f>IF(MacReports!J350="Enabled","Apple ID Lock","")</f>
        <v/>
      </c>
      <c r="R350" s="13" t="str">
        <f>IF(MacReports!L350="y","Remote Locked","")</f>
        <v/>
      </c>
      <c r="S350" t="str">
        <f t="shared" si="11"/>
        <v>Battery Defect, 0</v>
      </c>
      <c r="T350" t="str">
        <f>_xlfn.XLOOKUP(B350,Disk_Pivot!G:G,Disk_Pivot!I:I)</f>
        <v>Yes</v>
      </c>
      <c r="U350" t="str">
        <f>_xlfn.XLOOKUP(B350,Disk_Pivot!G:G,Disk_Pivot!N:N)</f>
        <v>Fail</v>
      </c>
      <c r="V350">
        <f>IF(U350="Fail",MacReports!N350,"")</f>
        <v>0</v>
      </c>
      <c r="AB350" t="str">
        <f t="shared" si="12"/>
        <v/>
      </c>
    </row>
    <row r="351" spans="1:28">
      <c r="A351">
        <f>MacReports!A351</f>
        <v>0</v>
      </c>
      <c r="B351">
        <f>MacReports!B351</f>
        <v>0</v>
      </c>
      <c r="C351">
        <f>MacReports!C351</f>
        <v>0</v>
      </c>
      <c r="E351" t="e">
        <f>_xlfn.XLOOKUP(G351,Models!A:A,Models!F:F)</f>
        <v>#N/A</v>
      </c>
      <c r="F351" t="str">
        <f>_xlfn.XLOOKUP(B351,MacReports!B:B,MacReports!D:D,"")</f>
        <v/>
      </c>
      <c r="G351" s="13">
        <f>MacReports!E351</f>
        <v>0</v>
      </c>
      <c r="H351" t="e">
        <f>_xlfn.XLOOKUP(G351,Models!A:A,Models!B:B)</f>
        <v>#N/A</v>
      </c>
      <c r="I351" t="e">
        <f>_xlfn.XLOOKUP(G351,Models!A:A,Models!E:E)</f>
        <v>#N/A</v>
      </c>
      <c r="J351" t="e">
        <f>_xlfn.XLOOKUP(G351,Models!A:A,Models!D:D)</f>
        <v>#N/A</v>
      </c>
      <c r="K351">
        <f>MacReports!F351</f>
        <v>0</v>
      </c>
      <c r="L351">
        <f>MacReports!G351</f>
        <v>0</v>
      </c>
      <c r="M351" s="15" t="e" cm="1">
        <f t="array" ref="M351">--_xlfn.LET(
    _xlpm.txt, MacReports!H351,
    _xlpm.chars, MID(_xlpm.txt, _xlfn.SEQUENCE(LEN(_xlpm.txt)), 1),
    _xlfn.TEXTJOIN("", TRUE, IF(ISNUMBER(--_xlpm.chars), _xlpm.chars, ""))
)</f>
        <v>#VALUE!</v>
      </c>
      <c r="N351" s="16" t="str" cm="1">
        <f t="array" ref="N351">_xlfn.IFS(
   --MacReports!M351&lt;55,"Battery Defect",
  -- MacReports!M351&lt;=69,"Battery D",
  --MacReports!M351&lt;=80,"Battery C",
 --MacReports!M351&gt;80,""
)</f>
        <v>Battery Defect</v>
      </c>
      <c r="O351" s="16" t="str">
        <f>IF(MacReports!I351="Service","Battery Service","")</f>
        <v/>
      </c>
      <c r="P351" s="13">
        <f>MacReports!P351</f>
        <v>0</v>
      </c>
      <c r="Q351" s="13" t="str">
        <f>IF(MacReports!J351="Enabled","Apple ID Lock","")</f>
        <v/>
      </c>
      <c r="R351" s="13" t="str">
        <f>IF(MacReports!L351="y","Remote Locked","")</f>
        <v/>
      </c>
      <c r="S351" t="str">
        <f t="shared" si="11"/>
        <v>Battery Defect, 0</v>
      </c>
      <c r="T351" t="str">
        <f>_xlfn.XLOOKUP(B351,Disk_Pivot!G:G,Disk_Pivot!I:I)</f>
        <v>Yes</v>
      </c>
      <c r="U351" t="str">
        <f>_xlfn.XLOOKUP(B351,Disk_Pivot!G:G,Disk_Pivot!N:N)</f>
        <v>Fail</v>
      </c>
      <c r="V351">
        <f>IF(U351="Fail",MacReports!N351,"")</f>
        <v>0</v>
      </c>
      <c r="AB351" t="str">
        <f t="shared" si="12"/>
        <v/>
      </c>
    </row>
    <row r="352" spans="1:28">
      <c r="A352">
        <f>MacReports!A352</f>
        <v>0</v>
      </c>
      <c r="B352">
        <f>MacReports!B352</f>
        <v>0</v>
      </c>
      <c r="C352">
        <f>MacReports!C352</f>
        <v>0</v>
      </c>
      <c r="E352" t="e">
        <f>_xlfn.XLOOKUP(G352,Models!A:A,Models!F:F)</f>
        <v>#N/A</v>
      </c>
      <c r="F352" t="str">
        <f>_xlfn.XLOOKUP(B352,MacReports!B:B,MacReports!D:D,"")</f>
        <v/>
      </c>
      <c r="G352" s="13">
        <f>MacReports!E352</f>
        <v>0</v>
      </c>
      <c r="H352" t="e">
        <f>_xlfn.XLOOKUP(G352,Models!A:A,Models!B:B)</f>
        <v>#N/A</v>
      </c>
      <c r="I352" t="e">
        <f>_xlfn.XLOOKUP(G352,Models!A:A,Models!E:E)</f>
        <v>#N/A</v>
      </c>
      <c r="J352" t="e">
        <f>_xlfn.XLOOKUP(G352,Models!A:A,Models!D:D)</f>
        <v>#N/A</v>
      </c>
      <c r="K352">
        <f>MacReports!F352</f>
        <v>0</v>
      </c>
      <c r="L352">
        <f>MacReports!G352</f>
        <v>0</v>
      </c>
      <c r="M352" s="15" t="e" cm="1">
        <f t="array" ref="M352">--_xlfn.LET(
    _xlpm.txt, MacReports!H352,
    _xlpm.chars, MID(_xlpm.txt, _xlfn.SEQUENCE(LEN(_xlpm.txt)), 1),
    _xlfn.TEXTJOIN("", TRUE, IF(ISNUMBER(--_xlpm.chars), _xlpm.chars, ""))
)</f>
        <v>#VALUE!</v>
      </c>
      <c r="N352" s="16" t="str" cm="1">
        <f t="array" ref="N352">_xlfn.IFS(
   --MacReports!M352&lt;55,"Battery Defect",
  -- MacReports!M352&lt;=69,"Battery D",
  --MacReports!M352&lt;=80,"Battery C",
 --MacReports!M352&gt;80,""
)</f>
        <v>Battery Defect</v>
      </c>
      <c r="O352" s="16" t="str">
        <f>IF(MacReports!I352="Service","Battery Service","")</f>
        <v/>
      </c>
      <c r="P352" s="13">
        <f>MacReports!P352</f>
        <v>0</v>
      </c>
      <c r="Q352" s="13" t="str">
        <f>IF(MacReports!J352="Enabled","Apple ID Lock","")</f>
        <v/>
      </c>
      <c r="R352" s="13" t="str">
        <f>IF(MacReports!L352="y","Remote Locked","")</f>
        <v/>
      </c>
      <c r="S352" t="str">
        <f t="shared" si="11"/>
        <v>Battery Defect, 0</v>
      </c>
      <c r="T352" t="str">
        <f>_xlfn.XLOOKUP(B352,Disk_Pivot!G:G,Disk_Pivot!I:I)</f>
        <v>Yes</v>
      </c>
      <c r="U352" t="str">
        <f>_xlfn.XLOOKUP(B352,Disk_Pivot!G:G,Disk_Pivot!N:N)</f>
        <v>Fail</v>
      </c>
      <c r="V352">
        <f>IF(U352="Fail",MacReports!N352,"")</f>
        <v>0</v>
      </c>
      <c r="AB352" t="str">
        <f t="shared" si="12"/>
        <v/>
      </c>
    </row>
    <row r="353" spans="1:28">
      <c r="A353">
        <f>MacReports!A353</f>
        <v>0</v>
      </c>
      <c r="B353">
        <f>MacReports!B353</f>
        <v>0</v>
      </c>
      <c r="C353">
        <f>MacReports!C353</f>
        <v>0</v>
      </c>
      <c r="E353" t="e">
        <f>_xlfn.XLOOKUP(G353,Models!A:A,Models!F:F)</f>
        <v>#N/A</v>
      </c>
      <c r="F353" t="str">
        <f>_xlfn.XLOOKUP(B353,MacReports!B:B,MacReports!D:D,"")</f>
        <v/>
      </c>
      <c r="G353" s="13">
        <f>MacReports!E353</f>
        <v>0</v>
      </c>
      <c r="H353" t="e">
        <f>_xlfn.XLOOKUP(G353,Models!A:A,Models!B:B)</f>
        <v>#N/A</v>
      </c>
      <c r="I353" t="e">
        <f>_xlfn.XLOOKUP(G353,Models!A:A,Models!E:E)</f>
        <v>#N/A</v>
      </c>
      <c r="J353" t="e">
        <f>_xlfn.XLOOKUP(G353,Models!A:A,Models!D:D)</f>
        <v>#N/A</v>
      </c>
      <c r="K353">
        <f>MacReports!F353</f>
        <v>0</v>
      </c>
      <c r="L353">
        <f>MacReports!G353</f>
        <v>0</v>
      </c>
      <c r="M353" s="15" t="e" cm="1">
        <f t="array" ref="M353">--_xlfn.LET(
    _xlpm.txt, MacReports!H353,
    _xlpm.chars, MID(_xlpm.txt, _xlfn.SEQUENCE(LEN(_xlpm.txt)), 1),
    _xlfn.TEXTJOIN("", TRUE, IF(ISNUMBER(--_xlpm.chars), _xlpm.chars, ""))
)</f>
        <v>#VALUE!</v>
      </c>
      <c r="N353" s="16" t="str" cm="1">
        <f t="array" ref="N353">_xlfn.IFS(
   --MacReports!M353&lt;55,"Battery Defect",
  -- MacReports!M353&lt;=69,"Battery D",
  --MacReports!M353&lt;=80,"Battery C",
 --MacReports!M353&gt;80,""
)</f>
        <v>Battery Defect</v>
      </c>
      <c r="O353" s="16" t="str">
        <f>IF(MacReports!I353="Service","Battery Service","")</f>
        <v/>
      </c>
      <c r="P353" s="13">
        <f>MacReports!P353</f>
        <v>0</v>
      </c>
      <c r="Q353" s="13" t="str">
        <f>IF(MacReports!J353="Enabled","Apple ID Lock","")</f>
        <v/>
      </c>
      <c r="R353" s="13" t="str">
        <f>IF(MacReports!L353="y","Remote Locked","")</f>
        <v/>
      </c>
      <c r="S353" t="str">
        <f t="shared" si="11"/>
        <v>Battery Defect, 0</v>
      </c>
      <c r="T353" t="str">
        <f>_xlfn.XLOOKUP(B353,Disk_Pivot!G:G,Disk_Pivot!I:I)</f>
        <v>Yes</v>
      </c>
      <c r="U353" t="str">
        <f>_xlfn.XLOOKUP(B353,Disk_Pivot!G:G,Disk_Pivot!N:N)</f>
        <v>Fail</v>
      </c>
      <c r="V353">
        <f>IF(U353="Fail",MacReports!N353,"")</f>
        <v>0</v>
      </c>
      <c r="AB353" t="str">
        <f t="shared" si="12"/>
        <v/>
      </c>
    </row>
    <row r="354" spans="1:28">
      <c r="A354">
        <f>MacReports!A354</f>
        <v>0</v>
      </c>
      <c r="B354">
        <f>MacReports!B354</f>
        <v>0</v>
      </c>
      <c r="C354">
        <f>MacReports!C354</f>
        <v>0</v>
      </c>
      <c r="E354" t="e">
        <f>_xlfn.XLOOKUP(G354,Models!A:A,Models!F:F)</f>
        <v>#N/A</v>
      </c>
      <c r="F354" t="str">
        <f>_xlfn.XLOOKUP(B354,MacReports!B:B,MacReports!D:D,"")</f>
        <v/>
      </c>
      <c r="G354" s="13">
        <f>MacReports!E354</f>
        <v>0</v>
      </c>
      <c r="H354" t="e">
        <f>_xlfn.XLOOKUP(G354,Models!A:A,Models!B:B)</f>
        <v>#N/A</v>
      </c>
      <c r="I354" t="e">
        <f>_xlfn.XLOOKUP(G354,Models!A:A,Models!E:E)</f>
        <v>#N/A</v>
      </c>
      <c r="J354" t="e">
        <f>_xlfn.XLOOKUP(G354,Models!A:A,Models!D:D)</f>
        <v>#N/A</v>
      </c>
      <c r="K354">
        <f>MacReports!F354</f>
        <v>0</v>
      </c>
      <c r="L354">
        <f>MacReports!G354</f>
        <v>0</v>
      </c>
      <c r="M354" s="15" t="e" cm="1">
        <f t="array" ref="M354">--_xlfn.LET(
    _xlpm.txt, MacReports!H354,
    _xlpm.chars, MID(_xlpm.txt, _xlfn.SEQUENCE(LEN(_xlpm.txt)), 1),
    _xlfn.TEXTJOIN("", TRUE, IF(ISNUMBER(--_xlpm.chars), _xlpm.chars, ""))
)</f>
        <v>#VALUE!</v>
      </c>
      <c r="N354" s="16" t="str" cm="1">
        <f t="array" ref="N354">_xlfn.IFS(
   --MacReports!M354&lt;55,"Battery Defect",
  -- MacReports!M354&lt;=69,"Battery D",
  --MacReports!M354&lt;=80,"Battery C",
 --MacReports!M354&gt;80,""
)</f>
        <v>Battery Defect</v>
      </c>
      <c r="O354" s="16" t="str">
        <f>IF(MacReports!I354="Service","Battery Service","")</f>
        <v/>
      </c>
      <c r="P354" s="13">
        <f>MacReports!P354</f>
        <v>0</v>
      </c>
      <c r="Q354" s="13" t="str">
        <f>IF(MacReports!J354="Enabled","Apple ID Lock","")</f>
        <v/>
      </c>
      <c r="R354" s="13" t="str">
        <f>IF(MacReports!L354="y","Remote Locked","")</f>
        <v/>
      </c>
      <c r="S354" t="str">
        <f t="shared" si="11"/>
        <v>Battery Defect, 0</v>
      </c>
      <c r="T354" t="str">
        <f>_xlfn.XLOOKUP(B354,Disk_Pivot!G:G,Disk_Pivot!I:I)</f>
        <v>Yes</v>
      </c>
      <c r="U354" t="str">
        <f>_xlfn.XLOOKUP(B354,Disk_Pivot!G:G,Disk_Pivot!N:N)</f>
        <v>Fail</v>
      </c>
      <c r="V354">
        <f>IF(U354="Fail",MacReports!N354,"")</f>
        <v>0</v>
      </c>
      <c r="AB354" t="str">
        <f t="shared" si="12"/>
        <v/>
      </c>
    </row>
    <row r="355" spans="1:28">
      <c r="A355">
        <f>MacReports!A355</f>
        <v>0</v>
      </c>
      <c r="B355">
        <f>MacReports!B355</f>
        <v>0</v>
      </c>
      <c r="C355">
        <f>MacReports!C355</f>
        <v>0</v>
      </c>
      <c r="E355" t="e">
        <f>_xlfn.XLOOKUP(G355,Models!A:A,Models!F:F)</f>
        <v>#N/A</v>
      </c>
      <c r="F355" t="str">
        <f>_xlfn.XLOOKUP(B355,MacReports!B:B,MacReports!D:D,"")</f>
        <v/>
      </c>
      <c r="G355" s="13">
        <f>MacReports!E355</f>
        <v>0</v>
      </c>
      <c r="H355" t="e">
        <f>_xlfn.XLOOKUP(G355,Models!A:A,Models!B:B)</f>
        <v>#N/A</v>
      </c>
      <c r="I355" t="e">
        <f>_xlfn.XLOOKUP(G355,Models!A:A,Models!E:E)</f>
        <v>#N/A</v>
      </c>
      <c r="J355" t="e">
        <f>_xlfn.XLOOKUP(G355,Models!A:A,Models!D:D)</f>
        <v>#N/A</v>
      </c>
      <c r="K355">
        <f>MacReports!F355</f>
        <v>0</v>
      </c>
      <c r="L355">
        <f>MacReports!G355</f>
        <v>0</v>
      </c>
      <c r="M355" s="15" t="e" cm="1">
        <f t="array" ref="M355">--_xlfn.LET(
    _xlpm.txt, MacReports!H355,
    _xlpm.chars, MID(_xlpm.txt, _xlfn.SEQUENCE(LEN(_xlpm.txt)), 1),
    _xlfn.TEXTJOIN("", TRUE, IF(ISNUMBER(--_xlpm.chars), _xlpm.chars, ""))
)</f>
        <v>#VALUE!</v>
      </c>
      <c r="N355" s="16" t="str" cm="1">
        <f t="array" ref="N355">_xlfn.IFS(
   --MacReports!M355&lt;55,"Battery Defect",
  -- MacReports!M355&lt;=69,"Battery D",
  --MacReports!M355&lt;=80,"Battery C",
 --MacReports!M355&gt;80,""
)</f>
        <v>Battery Defect</v>
      </c>
      <c r="O355" s="16" t="str">
        <f>IF(MacReports!I355="Service","Battery Service","")</f>
        <v/>
      </c>
      <c r="P355" s="13">
        <f>MacReports!P355</f>
        <v>0</v>
      </c>
      <c r="Q355" s="13" t="str">
        <f>IF(MacReports!J355="Enabled","Apple ID Lock","")</f>
        <v/>
      </c>
      <c r="R355" s="13" t="str">
        <f>IF(MacReports!L355="y","Remote Locked","")</f>
        <v/>
      </c>
      <c r="S355" t="str">
        <f t="shared" ref="S355:S387" si="13">_xlfn.TEXTJOIN(", ",TRUE,Q355,R355,N355,O355,P355)</f>
        <v>Battery Defect, 0</v>
      </c>
      <c r="T355" t="str">
        <f>_xlfn.XLOOKUP(B355,Disk_Pivot!G:G,Disk_Pivot!I:I)</f>
        <v>Yes</v>
      </c>
      <c r="U355" t="str">
        <f>_xlfn.XLOOKUP(B355,Disk_Pivot!G:G,Disk_Pivot!N:N)</f>
        <v>Fail</v>
      </c>
      <c r="V355">
        <f>IF(U355="Fail",MacReports!N355,"")</f>
        <v>0</v>
      </c>
      <c r="AB355" t="str">
        <f t="shared" ref="AB355:AB387" si="14">_xlfn.TEXTJOIN(", ",TRUE,Q355,R355)</f>
        <v/>
      </c>
    </row>
    <row r="356" spans="1:28">
      <c r="A356">
        <f>MacReports!A356</f>
        <v>0</v>
      </c>
      <c r="B356">
        <f>MacReports!B356</f>
        <v>0</v>
      </c>
      <c r="C356">
        <f>MacReports!C356</f>
        <v>0</v>
      </c>
      <c r="E356" t="e">
        <f>_xlfn.XLOOKUP(G356,Models!A:A,Models!F:F)</f>
        <v>#N/A</v>
      </c>
      <c r="F356" t="str">
        <f>_xlfn.XLOOKUP(B356,MacReports!B:B,MacReports!D:D,"")</f>
        <v/>
      </c>
      <c r="G356" s="13">
        <f>MacReports!E356</f>
        <v>0</v>
      </c>
      <c r="H356" t="e">
        <f>_xlfn.XLOOKUP(G356,Models!A:A,Models!B:B)</f>
        <v>#N/A</v>
      </c>
      <c r="I356" t="e">
        <f>_xlfn.XLOOKUP(G356,Models!A:A,Models!E:E)</f>
        <v>#N/A</v>
      </c>
      <c r="J356" t="e">
        <f>_xlfn.XLOOKUP(G356,Models!A:A,Models!D:D)</f>
        <v>#N/A</v>
      </c>
      <c r="K356">
        <f>MacReports!F356</f>
        <v>0</v>
      </c>
      <c r="L356">
        <f>MacReports!G356</f>
        <v>0</v>
      </c>
      <c r="M356" s="15" t="e" cm="1">
        <f t="array" ref="M356">--_xlfn.LET(
    _xlpm.txt, MacReports!H356,
    _xlpm.chars, MID(_xlpm.txt, _xlfn.SEQUENCE(LEN(_xlpm.txt)), 1),
    _xlfn.TEXTJOIN("", TRUE, IF(ISNUMBER(--_xlpm.chars), _xlpm.chars, ""))
)</f>
        <v>#VALUE!</v>
      </c>
      <c r="N356" s="16" t="str" cm="1">
        <f t="array" ref="N356">_xlfn.IFS(
   --MacReports!M356&lt;55,"Battery Defect",
  -- MacReports!M356&lt;=69,"Battery D",
  --MacReports!M356&lt;=80,"Battery C",
 --MacReports!M356&gt;80,""
)</f>
        <v>Battery Defect</v>
      </c>
      <c r="O356" s="16" t="str">
        <f>IF(MacReports!I356="Service","Battery Service","")</f>
        <v/>
      </c>
      <c r="P356" s="13">
        <f>MacReports!P356</f>
        <v>0</v>
      </c>
      <c r="Q356" s="13" t="str">
        <f>IF(MacReports!J356="Enabled","Apple ID Lock","")</f>
        <v/>
      </c>
      <c r="R356" s="13" t="str">
        <f>IF(MacReports!L356="y","Remote Locked","")</f>
        <v/>
      </c>
      <c r="S356" t="str">
        <f t="shared" si="13"/>
        <v>Battery Defect, 0</v>
      </c>
      <c r="T356" t="str">
        <f>_xlfn.XLOOKUP(B356,Disk_Pivot!G:G,Disk_Pivot!I:I)</f>
        <v>Yes</v>
      </c>
      <c r="U356" t="str">
        <f>_xlfn.XLOOKUP(B356,Disk_Pivot!G:G,Disk_Pivot!N:N)</f>
        <v>Fail</v>
      </c>
      <c r="V356">
        <f>IF(U356="Fail",MacReports!N356,"")</f>
        <v>0</v>
      </c>
      <c r="AB356" t="str">
        <f t="shared" si="14"/>
        <v/>
      </c>
    </row>
    <row r="357" spans="1:28">
      <c r="A357">
        <f>MacReports!A357</f>
        <v>0</v>
      </c>
      <c r="B357">
        <f>MacReports!B357</f>
        <v>0</v>
      </c>
      <c r="C357">
        <f>MacReports!C357</f>
        <v>0</v>
      </c>
      <c r="E357" t="e">
        <f>_xlfn.XLOOKUP(G357,Models!A:A,Models!F:F)</f>
        <v>#N/A</v>
      </c>
      <c r="F357" t="str">
        <f>_xlfn.XLOOKUP(B357,MacReports!B:B,MacReports!D:D,"")</f>
        <v/>
      </c>
      <c r="G357" s="13">
        <f>MacReports!E357</f>
        <v>0</v>
      </c>
      <c r="H357" t="e">
        <f>_xlfn.XLOOKUP(G357,Models!A:A,Models!B:B)</f>
        <v>#N/A</v>
      </c>
      <c r="I357" t="e">
        <f>_xlfn.XLOOKUP(G357,Models!A:A,Models!E:E)</f>
        <v>#N/A</v>
      </c>
      <c r="J357" t="e">
        <f>_xlfn.XLOOKUP(G357,Models!A:A,Models!D:D)</f>
        <v>#N/A</v>
      </c>
      <c r="K357">
        <f>MacReports!F357</f>
        <v>0</v>
      </c>
      <c r="L357">
        <f>MacReports!G357</f>
        <v>0</v>
      </c>
      <c r="M357" s="15" t="e" cm="1">
        <f t="array" ref="M357">--_xlfn.LET(
    _xlpm.txt, MacReports!H357,
    _xlpm.chars, MID(_xlpm.txt, _xlfn.SEQUENCE(LEN(_xlpm.txt)), 1),
    _xlfn.TEXTJOIN("", TRUE, IF(ISNUMBER(--_xlpm.chars), _xlpm.chars, ""))
)</f>
        <v>#VALUE!</v>
      </c>
      <c r="N357" s="16" t="str" cm="1">
        <f t="array" ref="N357">_xlfn.IFS(
   --MacReports!M357&lt;55,"Battery Defect",
  -- MacReports!M357&lt;=69,"Battery D",
  --MacReports!M357&lt;=80,"Battery C",
 --MacReports!M357&gt;80,""
)</f>
        <v>Battery Defect</v>
      </c>
      <c r="O357" s="16" t="str">
        <f>IF(MacReports!I357="Service","Battery Service","")</f>
        <v/>
      </c>
      <c r="P357" s="13">
        <f>MacReports!P357</f>
        <v>0</v>
      </c>
      <c r="Q357" s="13" t="str">
        <f>IF(MacReports!J357="Enabled","Apple ID Lock","")</f>
        <v/>
      </c>
      <c r="R357" s="13" t="str">
        <f>IF(MacReports!L357="y","Remote Locked","")</f>
        <v/>
      </c>
      <c r="S357" t="str">
        <f t="shared" si="13"/>
        <v>Battery Defect, 0</v>
      </c>
      <c r="T357" t="str">
        <f>_xlfn.XLOOKUP(B357,Disk_Pivot!G:G,Disk_Pivot!I:I)</f>
        <v>Yes</v>
      </c>
      <c r="U357" t="str">
        <f>_xlfn.XLOOKUP(B357,Disk_Pivot!G:G,Disk_Pivot!N:N)</f>
        <v>Fail</v>
      </c>
      <c r="V357">
        <f>IF(U357="Fail",MacReports!N357,"")</f>
        <v>0</v>
      </c>
      <c r="AB357" t="str">
        <f t="shared" si="14"/>
        <v/>
      </c>
    </row>
    <row r="358" spans="1:28">
      <c r="A358">
        <f>MacReports!A358</f>
        <v>0</v>
      </c>
      <c r="B358">
        <f>MacReports!B358</f>
        <v>0</v>
      </c>
      <c r="C358">
        <f>MacReports!C358</f>
        <v>0</v>
      </c>
      <c r="E358" t="e">
        <f>_xlfn.XLOOKUP(G358,Models!A:A,Models!F:F)</f>
        <v>#N/A</v>
      </c>
      <c r="F358" t="str">
        <f>_xlfn.XLOOKUP(B358,MacReports!B:B,MacReports!D:D,"")</f>
        <v/>
      </c>
      <c r="G358" s="13">
        <f>MacReports!E358</f>
        <v>0</v>
      </c>
      <c r="H358" t="e">
        <f>_xlfn.XLOOKUP(G358,Models!A:A,Models!B:B)</f>
        <v>#N/A</v>
      </c>
      <c r="I358" t="e">
        <f>_xlfn.XLOOKUP(G358,Models!A:A,Models!E:E)</f>
        <v>#N/A</v>
      </c>
      <c r="J358" t="e">
        <f>_xlfn.XLOOKUP(G358,Models!A:A,Models!D:D)</f>
        <v>#N/A</v>
      </c>
      <c r="K358">
        <f>MacReports!F358</f>
        <v>0</v>
      </c>
      <c r="L358">
        <f>MacReports!G358</f>
        <v>0</v>
      </c>
      <c r="M358" s="15" t="e" cm="1">
        <f t="array" ref="M358">--_xlfn.LET(
    _xlpm.txt, MacReports!H358,
    _xlpm.chars, MID(_xlpm.txt, _xlfn.SEQUENCE(LEN(_xlpm.txt)), 1),
    _xlfn.TEXTJOIN("", TRUE, IF(ISNUMBER(--_xlpm.chars), _xlpm.chars, ""))
)</f>
        <v>#VALUE!</v>
      </c>
      <c r="N358" s="16" t="str" cm="1">
        <f t="array" ref="N358">_xlfn.IFS(
   --MacReports!M358&lt;55,"Battery Defect",
  -- MacReports!M358&lt;=69,"Battery D",
  --MacReports!M358&lt;=80,"Battery C",
 --MacReports!M358&gt;80,""
)</f>
        <v>Battery Defect</v>
      </c>
      <c r="O358" s="16" t="str">
        <f>IF(MacReports!I358="Service","Battery Service","")</f>
        <v/>
      </c>
      <c r="P358" s="13">
        <f>MacReports!P358</f>
        <v>0</v>
      </c>
      <c r="Q358" s="13" t="str">
        <f>IF(MacReports!J358="Enabled","Apple ID Lock","")</f>
        <v/>
      </c>
      <c r="R358" s="13" t="str">
        <f>IF(MacReports!L358="y","Remote Locked","")</f>
        <v/>
      </c>
      <c r="S358" t="str">
        <f t="shared" si="13"/>
        <v>Battery Defect, 0</v>
      </c>
      <c r="T358" t="str">
        <f>_xlfn.XLOOKUP(B358,Disk_Pivot!G:G,Disk_Pivot!I:I)</f>
        <v>Yes</v>
      </c>
      <c r="U358" t="str">
        <f>_xlfn.XLOOKUP(B358,Disk_Pivot!G:G,Disk_Pivot!N:N)</f>
        <v>Fail</v>
      </c>
      <c r="V358">
        <f>IF(U358="Fail",MacReports!N358,"")</f>
        <v>0</v>
      </c>
      <c r="AB358" t="str">
        <f t="shared" si="14"/>
        <v/>
      </c>
    </row>
    <row r="359" spans="1:28">
      <c r="A359">
        <f>MacReports!A359</f>
        <v>0</v>
      </c>
      <c r="B359">
        <f>MacReports!B359</f>
        <v>0</v>
      </c>
      <c r="C359">
        <f>MacReports!C359</f>
        <v>0</v>
      </c>
      <c r="E359" t="e">
        <f>_xlfn.XLOOKUP(G359,Models!A:A,Models!F:F)</f>
        <v>#N/A</v>
      </c>
      <c r="F359" t="str">
        <f>_xlfn.XLOOKUP(B359,MacReports!B:B,MacReports!D:D,"")</f>
        <v/>
      </c>
      <c r="G359" s="13">
        <f>MacReports!E359</f>
        <v>0</v>
      </c>
      <c r="H359" t="e">
        <f>_xlfn.XLOOKUP(G359,Models!A:A,Models!B:B)</f>
        <v>#N/A</v>
      </c>
      <c r="I359" t="e">
        <f>_xlfn.XLOOKUP(G359,Models!A:A,Models!E:E)</f>
        <v>#N/A</v>
      </c>
      <c r="J359" t="e">
        <f>_xlfn.XLOOKUP(G359,Models!A:A,Models!D:D)</f>
        <v>#N/A</v>
      </c>
      <c r="K359">
        <f>MacReports!F359</f>
        <v>0</v>
      </c>
      <c r="L359">
        <f>MacReports!G359</f>
        <v>0</v>
      </c>
      <c r="M359" s="15" t="e" cm="1">
        <f t="array" ref="M359">--_xlfn.LET(
    _xlpm.txt, MacReports!H359,
    _xlpm.chars, MID(_xlpm.txt, _xlfn.SEQUENCE(LEN(_xlpm.txt)), 1),
    _xlfn.TEXTJOIN("", TRUE, IF(ISNUMBER(--_xlpm.chars), _xlpm.chars, ""))
)</f>
        <v>#VALUE!</v>
      </c>
      <c r="N359" s="16" t="str" cm="1">
        <f t="array" ref="N359">_xlfn.IFS(
   --MacReports!M359&lt;55,"Battery Defect",
  -- MacReports!M359&lt;=69,"Battery D",
  --MacReports!M359&lt;=80,"Battery C",
 --MacReports!M359&gt;80,""
)</f>
        <v>Battery Defect</v>
      </c>
      <c r="O359" s="16" t="str">
        <f>IF(MacReports!I359="Service","Battery Service","")</f>
        <v/>
      </c>
      <c r="P359" s="13">
        <f>MacReports!P359</f>
        <v>0</v>
      </c>
      <c r="Q359" s="13" t="str">
        <f>IF(MacReports!J359="Enabled","Apple ID Lock","")</f>
        <v/>
      </c>
      <c r="R359" s="13" t="str">
        <f>IF(MacReports!L359="y","Remote Locked","")</f>
        <v/>
      </c>
      <c r="S359" t="str">
        <f t="shared" si="13"/>
        <v>Battery Defect, 0</v>
      </c>
      <c r="T359" t="str">
        <f>_xlfn.XLOOKUP(B359,Disk_Pivot!G:G,Disk_Pivot!I:I)</f>
        <v>Yes</v>
      </c>
      <c r="U359" t="str">
        <f>_xlfn.XLOOKUP(B359,Disk_Pivot!G:G,Disk_Pivot!N:N)</f>
        <v>Fail</v>
      </c>
      <c r="V359">
        <f>IF(U359="Fail",MacReports!N359,"")</f>
        <v>0</v>
      </c>
      <c r="AB359" t="str">
        <f t="shared" si="14"/>
        <v/>
      </c>
    </row>
    <row r="360" spans="1:28">
      <c r="A360">
        <f>MacReports!A360</f>
        <v>0</v>
      </c>
      <c r="B360">
        <f>MacReports!B360</f>
        <v>0</v>
      </c>
      <c r="C360">
        <f>MacReports!C360</f>
        <v>0</v>
      </c>
      <c r="E360" t="e">
        <f>_xlfn.XLOOKUP(G360,Models!A:A,Models!F:F)</f>
        <v>#N/A</v>
      </c>
      <c r="F360" t="str">
        <f>_xlfn.XLOOKUP(B360,MacReports!B:B,MacReports!D:D,"")</f>
        <v/>
      </c>
      <c r="G360" s="13">
        <f>MacReports!E360</f>
        <v>0</v>
      </c>
      <c r="H360" t="e">
        <f>_xlfn.XLOOKUP(G360,Models!A:A,Models!B:B)</f>
        <v>#N/A</v>
      </c>
      <c r="I360" t="e">
        <f>_xlfn.XLOOKUP(G360,Models!A:A,Models!E:E)</f>
        <v>#N/A</v>
      </c>
      <c r="J360" t="e">
        <f>_xlfn.XLOOKUP(G360,Models!A:A,Models!D:D)</f>
        <v>#N/A</v>
      </c>
      <c r="K360">
        <f>MacReports!F360</f>
        <v>0</v>
      </c>
      <c r="L360">
        <f>MacReports!G360</f>
        <v>0</v>
      </c>
      <c r="M360" s="15" t="e" cm="1">
        <f t="array" ref="M360">--_xlfn.LET(
    _xlpm.txt, MacReports!H360,
    _xlpm.chars, MID(_xlpm.txt, _xlfn.SEQUENCE(LEN(_xlpm.txt)), 1),
    _xlfn.TEXTJOIN("", TRUE, IF(ISNUMBER(--_xlpm.chars), _xlpm.chars, ""))
)</f>
        <v>#VALUE!</v>
      </c>
      <c r="N360" s="16" t="str" cm="1">
        <f t="array" ref="N360">_xlfn.IFS(
   --MacReports!M360&lt;55,"Battery Defect",
  -- MacReports!M360&lt;=69,"Battery D",
  --MacReports!M360&lt;=80,"Battery C",
 --MacReports!M360&gt;80,""
)</f>
        <v>Battery Defect</v>
      </c>
      <c r="O360" s="16" t="str">
        <f>IF(MacReports!I360="Service","Battery Service","")</f>
        <v/>
      </c>
      <c r="P360" s="13">
        <f>MacReports!P360</f>
        <v>0</v>
      </c>
      <c r="Q360" s="13" t="str">
        <f>IF(MacReports!J360="Enabled","Apple ID Lock","")</f>
        <v/>
      </c>
      <c r="R360" s="13" t="str">
        <f>IF(MacReports!L360="y","Remote Locked","")</f>
        <v/>
      </c>
      <c r="S360" t="str">
        <f t="shared" si="13"/>
        <v>Battery Defect, 0</v>
      </c>
      <c r="T360" t="str">
        <f>_xlfn.XLOOKUP(B360,Disk_Pivot!G:G,Disk_Pivot!I:I)</f>
        <v>Yes</v>
      </c>
      <c r="U360" t="str">
        <f>_xlfn.XLOOKUP(B360,Disk_Pivot!G:G,Disk_Pivot!N:N)</f>
        <v>Fail</v>
      </c>
      <c r="V360">
        <f>IF(U360="Fail",MacReports!N360,"")</f>
        <v>0</v>
      </c>
      <c r="AB360" t="str">
        <f t="shared" si="14"/>
        <v/>
      </c>
    </row>
    <row r="361" spans="1:28">
      <c r="A361">
        <f>MacReports!A361</f>
        <v>0</v>
      </c>
      <c r="B361">
        <f>MacReports!B361</f>
        <v>0</v>
      </c>
      <c r="C361">
        <f>MacReports!C361</f>
        <v>0</v>
      </c>
      <c r="E361" t="e">
        <f>_xlfn.XLOOKUP(G361,Models!A:A,Models!F:F)</f>
        <v>#N/A</v>
      </c>
      <c r="F361" t="str">
        <f>_xlfn.XLOOKUP(B361,MacReports!B:B,MacReports!D:D,"")</f>
        <v/>
      </c>
      <c r="G361" s="13">
        <f>MacReports!E361</f>
        <v>0</v>
      </c>
      <c r="H361" t="e">
        <f>_xlfn.XLOOKUP(G361,Models!A:A,Models!B:B)</f>
        <v>#N/A</v>
      </c>
      <c r="I361" t="e">
        <f>_xlfn.XLOOKUP(G361,Models!A:A,Models!E:E)</f>
        <v>#N/A</v>
      </c>
      <c r="J361" t="e">
        <f>_xlfn.XLOOKUP(G361,Models!A:A,Models!D:D)</f>
        <v>#N/A</v>
      </c>
      <c r="K361">
        <f>MacReports!F361</f>
        <v>0</v>
      </c>
      <c r="L361">
        <f>MacReports!G361</f>
        <v>0</v>
      </c>
      <c r="M361" s="15" t="e" cm="1">
        <f t="array" ref="M361">--_xlfn.LET(
    _xlpm.txt, MacReports!H361,
    _xlpm.chars, MID(_xlpm.txt, _xlfn.SEQUENCE(LEN(_xlpm.txt)), 1),
    _xlfn.TEXTJOIN("", TRUE, IF(ISNUMBER(--_xlpm.chars), _xlpm.chars, ""))
)</f>
        <v>#VALUE!</v>
      </c>
      <c r="N361" s="16" t="str" cm="1">
        <f t="array" ref="N361">_xlfn.IFS(
   --MacReports!M361&lt;55,"Battery Defect",
  -- MacReports!M361&lt;=69,"Battery D",
  --MacReports!M361&lt;=80,"Battery C",
 --MacReports!M361&gt;80,""
)</f>
        <v>Battery Defect</v>
      </c>
      <c r="O361" s="16" t="str">
        <f>IF(MacReports!I361="Service","Battery Service","")</f>
        <v/>
      </c>
      <c r="P361" s="13">
        <f>MacReports!P361</f>
        <v>0</v>
      </c>
      <c r="Q361" s="13" t="str">
        <f>IF(MacReports!J361="Enabled","Apple ID Lock","")</f>
        <v/>
      </c>
      <c r="R361" s="13" t="str">
        <f>IF(MacReports!L361="y","Remote Locked","")</f>
        <v/>
      </c>
      <c r="S361" t="str">
        <f t="shared" si="13"/>
        <v>Battery Defect, 0</v>
      </c>
      <c r="T361" t="str">
        <f>_xlfn.XLOOKUP(B361,Disk_Pivot!G:G,Disk_Pivot!I:I)</f>
        <v>Yes</v>
      </c>
      <c r="U361" t="str">
        <f>_xlfn.XLOOKUP(B361,Disk_Pivot!G:G,Disk_Pivot!N:N)</f>
        <v>Fail</v>
      </c>
      <c r="V361">
        <f>IF(U361="Fail",MacReports!N361,"")</f>
        <v>0</v>
      </c>
      <c r="AB361" t="str">
        <f t="shared" si="14"/>
        <v/>
      </c>
    </row>
    <row r="362" spans="1:28">
      <c r="A362">
        <f>MacReports!A362</f>
        <v>0</v>
      </c>
      <c r="B362">
        <f>MacReports!B362</f>
        <v>0</v>
      </c>
      <c r="C362">
        <f>MacReports!C362</f>
        <v>0</v>
      </c>
      <c r="E362" t="e">
        <f>_xlfn.XLOOKUP(G362,Models!A:A,Models!F:F)</f>
        <v>#N/A</v>
      </c>
      <c r="F362" t="str">
        <f>_xlfn.XLOOKUP(B362,MacReports!B:B,MacReports!D:D,"")</f>
        <v/>
      </c>
      <c r="G362" s="13">
        <f>MacReports!E362</f>
        <v>0</v>
      </c>
      <c r="H362" t="e">
        <f>_xlfn.XLOOKUP(G362,Models!A:A,Models!B:B)</f>
        <v>#N/A</v>
      </c>
      <c r="I362" t="e">
        <f>_xlfn.XLOOKUP(G362,Models!A:A,Models!E:E)</f>
        <v>#N/A</v>
      </c>
      <c r="J362" t="e">
        <f>_xlfn.XLOOKUP(G362,Models!A:A,Models!D:D)</f>
        <v>#N/A</v>
      </c>
      <c r="K362">
        <f>MacReports!F362</f>
        <v>0</v>
      </c>
      <c r="L362">
        <f>MacReports!G362</f>
        <v>0</v>
      </c>
      <c r="M362" s="15" t="e" cm="1">
        <f t="array" ref="M362">--_xlfn.LET(
    _xlpm.txt, MacReports!H362,
    _xlpm.chars, MID(_xlpm.txt, _xlfn.SEQUENCE(LEN(_xlpm.txt)), 1),
    _xlfn.TEXTJOIN("", TRUE, IF(ISNUMBER(--_xlpm.chars), _xlpm.chars, ""))
)</f>
        <v>#VALUE!</v>
      </c>
      <c r="N362" s="16" t="str" cm="1">
        <f t="array" ref="N362">_xlfn.IFS(
   --MacReports!M362&lt;55,"Battery Defect",
  -- MacReports!M362&lt;=69,"Battery D",
  --MacReports!M362&lt;=80,"Battery C",
 --MacReports!M362&gt;80,""
)</f>
        <v>Battery Defect</v>
      </c>
      <c r="O362" s="16" t="str">
        <f>IF(MacReports!I362="Service","Battery Service","")</f>
        <v/>
      </c>
      <c r="P362" s="13">
        <f>MacReports!P362</f>
        <v>0</v>
      </c>
      <c r="Q362" s="13" t="str">
        <f>IF(MacReports!J362="Enabled","Apple ID Lock","")</f>
        <v/>
      </c>
      <c r="R362" s="13" t="str">
        <f>IF(MacReports!L362="y","Remote Locked","")</f>
        <v/>
      </c>
      <c r="S362" t="str">
        <f t="shared" si="13"/>
        <v>Battery Defect, 0</v>
      </c>
      <c r="T362" t="str">
        <f>_xlfn.XLOOKUP(B362,Disk_Pivot!G:G,Disk_Pivot!I:I)</f>
        <v>Yes</v>
      </c>
      <c r="U362" t="str">
        <f>_xlfn.XLOOKUP(B362,Disk_Pivot!G:G,Disk_Pivot!N:N)</f>
        <v>Fail</v>
      </c>
      <c r="V362">
        <f>IF(U362="Fail",MacReports!N362,"")</f>
        <v>0</v>
      </c>
      <c r="AB362" t="str">
        <f t="shared" si="14"/>
        <v/>
      </c>
    </row>
    <row r="363" spans="1:28">
      <c r="A363">
        <f>MacReports!A363</f>
        <v>0</v>
      </c>
      <c r="B363">
        <f>MacReports!B363</f>
        <v>0</v>
      </c>
      <c r="C363">
        <f>MacReports!C363</f>
        <v>0</v>
      </c>
      <c r="E363" t="e">
        <f>_xlfn.XLOOKUP(G363,Models!A:A,Models!F:F)</f>
        <v>#N/A</v>
      </c>
      <c r="F363" t="str">
        <f>_xlfn.XLOOKUP(B363,MacReports!B:B,MacReports!D:D,"")</f>
        <v/>
      </c>
      <c r="G363" s="13">
        <f>MacReports!E363</f>
        <v>0</v>
      </c>
      <c r="H363" t="e">
        <f>_xlfn.XLOOKUP(G363,Models!A:A,Models!B:B)</f>
        <v>#N/A</v>
      </c>
      <c r="I363" t="e">
        <f>_xlfn.XLOOKUP(G363,Models!A:A,Models!E:E)</f>
        <v>#N/A</v>
      </c>
      <c r="J363" t="e">
        <f>_xlfn.XLOOKUP(G363,Models!A:A,Models!D:D)</f>
        <v>#N/A</v>
      </c>
      <c r="K363">
        <f>MacReports!F363</f>
        <v>0</v>
      </c>
      <c r="L363">
        <f>MacReports!G363</f>
        <v>0</v>
      </c>
      <c r="M363" s="15" t="e" cm="1">
        <f t="array" ref="M363">--_xlfn.LET(
    _xlpm.txt, MacReports!H363,
    _xlpm.chars, MID(_xlpm.txt, _xlfn.SEQUENCE(LEN(_xlpm.txt)), 1),
    _xlfn.TEXTJOIN("", TRUE, IF(ISNUMBER(--_xlpm.chars), _xlpm.chars, ""))
)</f>
        <v>#VALUE!</v>
      </c>
      <c r="N363" s="16" t="str" cm="1">
        <f t="array" ref="N363">_xlfn.IFS(
   --MacReports!M363&lt;55,"Battery Defect",
  -- MacReports!M363&lt;=69,"Battery D",
  --MacReports!M363&lt;=80,"Battery C",
 --MacReports!M363&gt;80,""
)</f>
        <v>Battery Defect</v>
      </c>
      <c r="O363" s="16" t="str">
        <f>IF(MacReports!I363="Service","Battery Service","")</f>
        <v/>
      </c>
      <c r="P363" s="13">
        <f>MacReports!P363</f>
        <v>0</v>
      </c>
      <c r="Q363" s="13" t="str">
        <f>IF(MacReports!J363="Enabled","Apple ID Lock","")</f>
        <v/>
      </c>
      <c r="R363" s="13" t="str">
        <f>IF(MacReports!L363="y","Remote Locked","")</f>
        <v/>
      </c>
      <c r="S363" t="str">
        <f t="shared" si="13"/>
        <v>Battery Defect, 0</v>
      </c>
      <c r="T363" t="str">
        <f>_xlfn.XLOOKUP(B363,Disk_Pivot!G:G,Disk_Pivot!I:I)</f>
        <v>Yes</v>
      </c>
      <c r="U363" t="str">
        <f>_xlfn.XLOOKUP(B363,Disk_Pivot!G:G,Disk_Pivot!N:N)</f>
        <v>Fail</v>
      </c>
      <c r="V363">
        <f>IF(U363="Fail",MacReports!N363,"")</f>
        <v>0</v>
      </c>
      <c r="AB363" t="str">
        <f t="shared" si="14"/>
        <v/>
      </c>
    </row>
    <row r="364" spans="1:28">
      <c r="A364">
        <f>MacReports!A364</f>
        <v>0</v>
      </c>
      <c r="B364">
        <f>MacReports!B364</f>
        <v>0</v>
      </c>
      <c r="C364">
        <f>MacReports!C364</f>
        <v>0</v>
      </c>
      <c r="E364" t="e">
        <f>_xlfn.XLOOKUP(G364,Models!A:A,Models!F:F)</f>
        <v>#N/A</v>
      </c>
      <c r="F364" t="str">
        <f>_xlfn.XLOOKUP(B364,MacReports!B:B,MacReports!D:D,"")</f>
        <v/>
      </c>
      <c r="G364" s="13">
        <f>MacReports!E364</f>
        <v>0</v>
      </c>
      <c r="H364" t="e">
        <f>_xlfn.XLOOKUP(G364,Models!A:A,Models!B:B)</f>
        <v>#N/A</v>
      </c>
      <c r="I364" t="e">
        <f>_xlfn.XLOOKUP(G364,Models!A:A,Models!E:E)</f>
        <v>#N/A</v>
      </c>
      <c r="J364" t="e">
        <f>_xlfn.XLOOKUP(G364,Models!A:A,Models!D:D)</f>
        <v>#N/A</v>
      </c>
      <c r="K364">
        <f>MacReports!F364</f>
        <v>0</v>
      </c>
      <c r="L364">
        <f>MacReports!G364</f>
        <v>0</v>
      </c>
      <c r="M364" s="15" t="e" cm="1">
        <f t="array" ref="M364">--_xlfn.LET(
    _xlpm.txt, MacReports!H364,
    _xlpm.chars, MID(_xlpm.txt, _xlfn.SEQUENCE(LEN(_xlpm.txt)), 1),
    _xlfn.TEXTJOIN("", TRUE, IF(ISNUMBER(--_xlpm.chars), _xlpm.chars, ""))
)</f>
        <v>#VALUE!</v>
      </c>
      <c r="N364" s="16" t="str" cm="1">
        <f t="array" ref="N364">_xlfn.IFS(
   --MacReports!M364&lt;55,"Battery Defect",
  -- MacReports!M364&lt;=69,"Battery D",
  --MacReports!M364&lt;=80,"Battery C",
 --MacReports!M364&gt;80,""
)</f>
        <v>Battery Defect</v>
      </c>
      <c r="O364" s="16" t="str">
        <f>IF(MacReports!I364="Service","Battery Service","")</f>
        <v/>
      </c>
      <c r="P364" s="13">
        <f>MacReports!P364</f>
        <v>0</v>
      </c>
      <c r="Q364" s="13" t="str">
        <f>IF(MacReports!J364="Enabled","Apple ID Lock","")</f>
        <v/>
      </c>
      <c r="R364" s="13" t="str">
        <f>IF(MacReports!L364="y","Remote Locked","")</f>
        <v/>
      </c>
      <c r="S364" t="str">
        <f t="shared" si="13"/>
        <v>Battery Defect, 0</v>
      </c>
      <c r="T364" t="str">
        <f>_xlfn.XLOOKUP(B364,Disk_Pivot!G:G,Disk_Pivot!I:I)</f>
        <v>Yes</v>
      </c>
      <c r="U364" t="str">
        <f>_xlfn.XLOOKUP(B364,Disk_Pivot!G:G,Disk_Pivot!N:N)</f>
        <v>Fail</v>
      </c>
      <c r="V364">
        <f>IF(U364="Fail",MacReports!N364,"")</f>
        <v>0</v>
      </c>
      <c r="AB364" t="str">
        <f t="shared" si="14"/>
        <v/>
      </c>
    </row>
    <row r="365" spans="1:28">
      <c r="A365">
        <f>MacReports!A365</f>
        <v>0</v>
      </c>
      <c r="B365">
        <f>MacReports!B365</f>
        <v>0</v>
      </c>
      <c r="C365">
        <f>MacReports!C365</f>
        <v>0</v>
      </c>
      <c r="E365" t="e">
        <f>_xlfn.XLOOKUP(G365,Models!A:A,Models!F:F)</f>
        <v>#N/A</v>
      </c>
      <c r="F365" t="str">
        <f>_xlfn.XLOOKUP(B365,MacReports!B:B,MacReports!D:D,"")</f>
        <v/>
      </c>
      <c r="G365" s="13">
        <f>MacReports!E365</f>
        <v>0</v>
      </c>
      <c r="H365" t="e">
        <f>_xlfn.XLOOKUP(G365,Models!A:A,Models!B:B)</f>
        <v>#N/A</v>
      </c>
      <c r="I365" t="e">
        <f>_xlfn.XLOOKUP(G365,Models!A:A,Models!E:E)</f>
        <v>#N/A</v>
      </c>
      <c r="J365" t="e">
        <f>_xlfn.XLOOKUP(G365,Models!A:A,Models!D:D)</f>
        <v>#N/A</v>
      </c>
      <c r="K365">
        <f>MacReports!F365</f>
        <v>0</v>
      </c>
      <c r="L365">
        <f>MacReports!G365</f>
        <v>0</v>
      </c>
      <c r="M365" s="15" t="e" cm="1">
        <f t="array" ref="M365">--_xlfn.LET(
    _xlpm.txt, MacReports!H365,
    _xlpm.chars, MID(_xlpm.txt, _xlfn.SEQUENCE(LEN(_xlpm.txt)), 1),
    _xlfn.TEXTJOIN("", TRUE, IF(ISNUMBER(--_xlpm.chars), _xlpm.chars, ""))
)</f>
        <v>#VALUE!</v>
      </c>
      <c r="N365" s="16" t="str" cm="1">
        <f t="array" ref="N365">_xlfn.IFS(
   --MacReports!M365&lt;55,"Battery Defect",
  -- MacReports!M365&lt;=69,"Battery D",
  --MacReports!M365&lt;=80,"Battery C",
 --MacReports!M365&gt;80,""
)</f>
        <v>Battery Defect</v>
      </c>
      <c r="O365" s="16" t="str">
        <f>IF(MacReports!I365="Service","Battery Service","")</f>
        <v/>
      </c>
      <c r="P365" s="13">
        <f>MacReports!P365</f>
        <v>0</v>
      </c>
      <c r="Q365" s="13" t="str">
        <f>IF(MacReports!J365="Enabled","Apple ID Lock","")</f>
        <v/>
      </c>
      <c r="R365" s="13" t="str">
        <f>IF(MacReports!L365="y","Remote Locked","")</f>
        <v/>
      </c>
      <c r="S365" t="str">
        <f t="shared" si="13"/>
        <v>Battery Defect, 0</v>
      </c>
      <c r="T365" t="str">
        <f>_xlfn.XLOOKUP(B365,Disk_Pivot!G:G,Disk_Pivot!I:I)</f>
        <v>Yes</v>
      </c>
      <c r="U365" t="str">
        <f>_xlfn.XLOOKUP(B365,Disk_Pivot!G:G,Disk_Pivot!N:N)</f>
        <v>Fail</v>
      </c>
      <c r="V365">
        <f>IF(U365="Fail",MacReports!N365,"")</f>
        <v>0</v>
      </c>
      <c r="AB365" t="str">
        <f t="shared" si="14"/>
        <v/>
      </c>
    </row>
    <row r="366" spans="1:28">
      <c r="A366">
        <f>MacReports!A366</f>
        <v>0</v>
      </c>
      <c r="B366">
        <f>MacReports!B366</f>
        <v>0</v>
      </c>
      <c r="C366">
        <f>MacReports!C366</f>
        <v>0</v>
      </c>
      <c r="E366" t="e">
        <f>_xlfn.XLOOKUP(G366,Models!A:A,Models!F:F)</f>
        <v>#N/A</v>
      </c>
      <c r="F366" t="str">
        <f>_xlfn.XLOOKUP(B366,MacReports!B:B,MacReports!D:D,"")</f>
        <v/>
      </c>
      <c r="G366" s="13">
        <f>MacReports!E366</f>
        <v>0</v>
      </c>
      <c r="H366" t="e">
        <f>_xlfn.XLOOKUP(G366,Models!A:A,Models!B:B)</f>
        <v>#N/A</v>
      </c>
      <c r="I366" t="e">
        <f>_xlfn.XLOOKUP(G366,Models!A:A,Models!E:E)</f>
        <v>#N/A</v>
      </c>
      <c r="J366" t="e">
        <f>_xlfn.XLOOKUP(G366,Models!A:A,Models!D:D)</f>
        <v>#N/A</v>
      </c>
      <c r="K366">
        <f>MacReports!F366</f>
        <v>0</v>
      </c>
      <c r="L366">
        <f>MacReports!G366</f>
        <v>0</v>
      </c>
      <c r="M366" s="15" t="e" cm="1">
        <f t="array" ref="M366">--_xlfn.LET(
    _xlpm.txt, MacReports!H366,
    _xlpm.chars, MID(_xlpm.txt, _xlfn.SEQUENCE(LEN(_xlpm.txt)), 1),
    _xlfn.TEXTJOIN("", TRUE, IF(ISNUMBER(--_xlpm.chars), _xlpm.chars, ""))
)</f>
        <v>#VALUE!</v>
      </c>
      <c r="N366" s="16" t="str" cm="1">
        <f t="array" ref="N366">_xlfn.IFS(
   --MacReports!M366&lt;55,"Battery Defect",
  -- MacReports!M366&lt;=69,"Battery D",
  --MacReports!M366&lt;=80,"Battery C",
 --MacReports!M366&gt;80,""
)</f>
        <v>Battery Defect</v>
      </c>
      <c r="O366" s="16" t="str">
        <f>IF(MacReports!I366="Service","Battery Service","")</f>
        <v/>
      </c>
      <c r="P366" s="13">
        <f>MacReports!P366</f>
        <v>0</v>
      </c>
      <c r="Q366" s="13" t="str">
        <f>IF(MacReports!J366="Enabled","Apple ID Lock","")</f>
        <v/>
      </c>
      <c r="R366" s="13" t="str">
        <f>IF(MacReports!L366="y","Remote Locked","")</f>
        <v/>
      </c>
      <c r="S366" t="str">
        <f t="shared" si="13"/>
        <v>Battery Defect, 0</v>
      </c>
      <c r="T366" t="str">
        <f>_xlfn.XLOOKUP(B366,Disk_Pivot!G:G,Disk_Pivot!I:I)</f>
        <v>Yes</v>
      </c>
      <c r="U366" t="str">
        <f>_xlfn.XLOOKUP(B366,Disk_Pivot!G:G,Disk_Pivot!N:N)</f>
        <v>Fail</v>
      </c>
      <c r="V366">
        <f>IF(U366="Fail",MacReports!N366,"")</f>
        <v>0</v>
      </c>
      <c r="AB366" t="str">
        <f t="shared" si="14"/>
        <v/>
      </c>
    </row>
    <row r="367" spans="1:28">
      <c r="A367">
        <f>MacReports!A367</f>
        <v>0</v>
      </c>
      <c r="B367">
        <f>MacReports!B367</f>
        <v>0</v>
      </c>
      <c r="C367">
        <f>MacReports!C367</f>
        <v>0</v>
      </c>
      <c r="E367" t="e">
        <f>_xlfn.XLOOKUP(G367,Models!A:A,Models!F:F)</f>
        <v>#N/A</v>
      </c>
      <c r="F367" t="str">
        <f>_xlfn.XLOOKUP(B367,MacReports!B:B,MacReports!D:D,"")</f>
        <v/>
      </c>
      <c r="G367" s="13">
        <f>MacReports!E367</f>
        <v>0</v>
      </c>
      <c r="H367" t="e">
        <f>_xlfn.XLOOKUP(G367,Models!A:A,Models!B:B)</f>
        <v>#N/A</v>
      </c>
      <c r="I367" t="e">
        <f>_xlfn.XLOOKUP(G367,Models!A:A,Models!E:E)</f>
        <v>#N/A</v>
      </c>
      <c r="J367" t="e">
        <f>_xlfn.XLOOKUP(G367,Models!A:A,Models!D:D)</f>
        <v>#N/A</v>
      </c>
      <c r="K367">
        <f>MacReports!F367</f>
        <v>0</v>
      </c>
      <c r="L367">
        <f>MacReports!G367</f>
        <v>0</v>
      </c>
      <c r="M367" s="15" t="e" cm="1">
        <f t="array" ref="M367">--_xlfn.LET(
    _xlpm.txt, MacReports!H367,
    _xlpm.chars, MID(_xlpm.txt, _xlfn.SEQUENCE(LEN(_xlpm.txt)), 1),
    _xlfn.TEXTJOIN("", TRUE, IF(ISNUMBER(--_xlpm.chars), _xlpm.chars, ""))
)</f>
        <v>#VALUE!</v>
      </c>
      <c r="N367" s="16" t="str" cm="1">
        <f t="array" ref="N367">_xlfn.IFS(
   --MacReports!M367&lt;55,"Battery Defect",
  -- MacReports!M367&lt;=69,"Battery D",
  --MacReports!M367&lt;=80,"Battery C",
 --MacReports!M367&gt;80,""
)</f>
        <v>Battery Defect</v>
      </c>
      <c r="O367" s="16" t="str">
        <f>IF(MacReports!I367="Service","Battery Service","")</f>
        <v/>
      </c>
      <c r="P367" s="13">
        <f>MacReports!P367</f>
        <v>0</v>
      </c>
      <c r="Q367" s="13" t="str">
        <f>IF(MacReports!J367="Enabled","Apple ID Lock","")</f>
        <v/>
      </c>
      <c r="R367" s="13" t="str">
        <f>IF(MacReports!L367="y","Remote Locked","")</f>
        <v/>
      </c>
      <c r="S367" t="str">
        <f t="shared" si="13"/>
        <v>Battery Defect, 0</v>
      </c>
      <c r="T367" t="str">
        <f>_xlfn.XLOOKUP(B367,Disk_Pivot!G:G,Disk_Pivot!I:I)</f>
        <v>Yes</v>
      </c>
      <c r="U367" t="str">
        <f>_xlfn.XLOOKUP(B367,Disk_Pivot!G:G,Disk_Pivot!N:N)</f>
        <v>Fail</v>
      </c>
      <c r="V367">
        <f>IF(U367="Fail",MacReports!N367,"")</f>
        <v>0</v>
      </c>
      <c r="AB367" t="str">
        <f t="shared" si="14"/>
        <v/>
      </c>
    </row>
    <row r="368" spans="1:28">
      <c r="A368">
        <f>MacReports!A368</f>
        <v>0</v>
      </c>
      <c r="B368">
        <f>MacReports!B368</f>
        <v>0</v>
      </c>
      <c r="C368">
        <f>MacReports!C368</f>
        <v>0</v>
      </c>
      <c r="E368" t="e">
        <f>_xlfn.XLOOKUP(G368,Models!A:A,Models!F:F)</f>
        <v>#N/A</v>
      </c>
      <c r="F368" t="str">
        <f>_xlfn.XLOOKUP(B368,MacReports!B:B,MacReports!D:D,"")</f>
        <v/>
      </c>
      <c r="G368" s="13">
        <f>MacReports!E368</f>
        <v>0</v>
      </c>
      <c r="H368" t="e">
        <f>_xlfn.XLOOKUP(G368,Models!A:A,Models!B:B)</f>
        <v>#N/A</v>
      </c>
      <c r="I368" t="e">
        <f>_xlfn.XLOOKUP(G368,Models!A:A,Models!E:E)</f>
        <v>#N/A</v>
      </c>
      <c r="J368" t="e">
        <f>_xlfn.XLOOKUP(G368,Models!A:A,Models!D:D)</f>
        <v>#N/A</v>
      </c>
      <c r="K368">
        <f>MacReports!F368</f>
        <v>0</v>
      </c>
      <c r="L368">
        <f>MacReports!G368</f>
        <v>0</v>
      </c>
      <c r="M368" s="15" t="e" cm="1">
        <f t="array" ref="M368">--_xlfn.LET(
    _xlpm.txt, MacReports!H368,
    _xlpm.chars, MID(_xlpm.txt, _xlfn.SEQUENCE(LEN(_xlpm.txt)), 1),
    _xlfn.TEXTJOIN("", TRUE, IF(ISNUMBER(--_xlpm.chars), _xlpm.chars, ""))
)</f>
        <v>#VALUE!</v>
      </c>
      <c r="N368" s="16" t="str" cm="1">
        <f t="array" ref="N368">_xlfn.IFS(
   --MacReports!M368&lt;55,"Battery Defect",
  -- MacReports!M368&lt;=69,"Battery D",
  --MacReports!M368&lt;=80,"Battery C",
 --MacReports!M368&gt;80,""
)</f>
        <v>Battery Defect</v>
      </c>
      <c r="O368" s="16" t="str">
        <f>IF(MacReports!I368="Service","Battery Service","")</f>
        <v/>
      </c>
      <c r="P368" s="13">
        <f>MacReports!P368</f>
        <v>0</v>
      </c>
      <c r="Q368" s="13" t="str">
        <f>IF(MacReports!J368="Enabled","Apple ID Lock","")</f>
        <v/>
      </c>
      <c r="R368" s="13" t="str">
        <f>IF(MacReports!L368="y","Remote Locked","")</f>
        <v/>
      </c>
      <c r="S368" t="str">
        <f t="shared" si="13"/>
        <v>Battery Defect, 0</v>
      </c>
      <c r="T368" t="str">
        <f>_xlfn.XLOOKUP(B368,Disk_Pivot!G:G,Disk_Pivot!I:I)</f>
        <v>Yes</v>
      </c>
      <c r="U368" t="str">
        <f>_xlfn.XLOOKUP(B368,Disk_Pivot!G:G,Disk_Pivot!N:N)</f>
        <v>Fail</v>
      </c>
      <c r="V368">
        <f>IF(U368="Fail",MacReports!N368,"")</f>
        <v>0</v>
      </c>
      <c r="AB368" t="str">
        <f t="shared" si="14"/>
        <v/>
      </c>
    </row>
    <row r="369" spans="1:28">
      <c r="A369">
        <f>MacReports!A369</f>
        <v>0</v>
      </c>
      <c r="B369">
        <f>MacReports!B369</f>
        <v>0</v>
      </c>
      <c r="C369">
        <f>MacReports!C369</f>
        <v>0</v>
      </c>
      <c r="E369" t="e">
        <f>_xlfn.XLOOKUP(G369,Models!A:A,Models!F:F)</f>
        <v>#N/A</v>
      </c>
      <c r="F369" t="str">
        <f>_xlfn.XLOOKUP(B369,MacReports!B:B,MacReports!D:D,"")</f>
        <v/>
      </c>
      <c r="G369" s="13">
        <f>MacReports!E369</f>
        <v>0</v>
      </c>
      <c r="H369" t="e">
        <f>_xlfn.XLOOKUP(G369,Models!A:A,Models!B:B)</f>
        <v>#N/A</v>
      </c>
      <c r="I369" t="e">
        <f>_xlfn.XLOOKUP(G369,Models!A:A,Models!E:E)</f>
        <v>#N/A</v>
      </c>
      <c r="J369" t="e">
        <f>_xlfn.XLOOKUP(G369,Models!A:A,Models!D:D)</f>
        <v>#N/A</v>
      </c>
      <c r="K369">
        <f>MacReports!F369</f>
        <v>0</v>
      </c>
      <c r="L369">
        <f>MacReports!G369</f>
        <v>0</v>
      </c>
      <c r="M369" s="15" t="e" cm="1">
        <f t="array" ref="M369">--_xlfn.LET(
    _xlpm.txt, MacReports!H369,
    _xlpm.chars, MID(_xlpm.txt, _xlfn.SEQUENCE(LEN(_xlpm.txt)), 1),
    _xlfn.TEXTJOIN("", TRUE, IF(ISNUMBER(--_xlpm.chars), _xlpm.chars, ""))
)</f>
        <v>#VALUE!</v>
      </c>
      <c r="N369" s="16" t="str" cm="1">
        <f t="array" ref="N369">_xlfn.IFS(
   --MacReports!M369&lt;55,"Battery Defect",
  -- MacReports!M369&lt;=69,"Battery D",
  --MacReports!M369&lt;=80,"Battery C",
 --MacReports!M369&gt;80,""
)</f>
        <v>Battery Defect</v>
      </c>
      <c r="O369" s="16" t="str">
        <f>IF(MacReports!I369="Service","Battery Service","")</f>
        <v/>
      </c>
      <c r="P369" s="13">
        <f>MacReports!P369</f>
        <v>0</v>
      </c>
      <c r="Q369" s="13" t="str">
        <f>IF(MacReports!J369="Enabled","Apple ID Lock","")</f>
        <v/>
      </c>
      <c r="R369" s="13" t="str">
        <f>IF(MacReports!L369="y","Remote Locked","")</f>
        <v/>
      </c>
      <c r="S369" t="str">
        <f t="shared" si="13"/>
        <v>Battery Defect, 0</v>
      </c>
      <c r="T369" t="str">
        <f>_xlfn.XLOOKUP(B369,Disk_Pivot!G:G,Disk_Pivot!I:I)</f>
        <v>Yes</v>
      </c>
      <c r="U369" t="str">
        <f>_xlfn.XLOOKUP(B369,Disk_Pivot!G:G,Disk_Pivot!N:N)</f>
        <v>Fail</v>
      </c>
      <c r="V369">
        <f>IF(U369="Fail",MacReports!N369,"")</f>
        <v>0</v>
      </c>
      <c r="AB369" t="str">
        <f t="shared" si="14"/>
        <v/>
      </c>
    </row>
    <row r="370" spans="1:28">
      <c r="A370">
        <f>MacReports!A370</f>
        <v>0</v>
      </c>
      <c r="B370">
        <f>MacReports!B370</f>
        <v>0</v>
      </c>
      <c r="C370">
        <f>MacReports!C370</f>
        <v>0</v>
      </c>
      <c r="E370" t="e">
        <f>_xlfn.XLOOKUP(G370,Models!A:A,Models!F:F)</f>
        <v>#N/A</v>
      </c>
      <c r="F370" t="str">
        <f>_xlfn.XLOOKUP(B370,MacReports!B:B,MacReports!D:D,"")</f>
        <v/>
      </c>
      <c r="G370" s="13">
        <f>MacReports!E370</f>
        <v>0</v>
      </c>
      <c r="H370" t="e">
        <f>_xlfn.XLOOKUP(G370,Models!A:A,Models!B:B)</f>
        <v>#N/A</v>
      </c>
      <c r="I370" t="e">
        <f>_xlfn.XLOOKUP(G370,Models!A:A,Models!E:E)</f>
        <v>#N/A</v>
      </c>
      <c r="J370" t="e">
        <f>_xlfn.XLOOKUP(G370,Models!A:A,Models!D:D)</f>
        <v>#N/A</v>
      </c>
      <c r="K370">
        <f>MacReports!F370</f>
        <v>0</v>
      </c>
      <c r="L370">
        <f>MacReports!G370</f>
        <v>0</v>
      </c>
      <c r="M370" s="15" t="e" cm="1">
        <f t="array" ref="M370">--_xlfn.LET(
    _xlpm.txt, MacReports!H370,
    _xlpm.chars, MID(_xlpm.txt, _xlfn.SEQUENCE(LEN(_xlpm.txt)), 1),
    _xlfn.TEXTJOIN("", TRUE, IF(ISNUMBER(--_xlpm.chars), _xlpm.chars, ""))
)</f>
        <v>#VALUE!</v>
      </c>
      <c r="N370" s="16" t="str" cm="1">
        <f t="array" ref="N370">_xlfn.IFS(
   --MacReports!M370&lt;55,"Battery Defect",
  -- MacReports!M370&lt;=69,"Battery D",
  --MacReports!M370&lt;=80,"Battery C",
 --MacReports!M370&gt;80,""
)</f>
        <v>Battery Defect</v>
      </c>
      <c r="O370" s="16" t="str">
        <f>IF(MacReports!I370="Service","Battery Service","")</f>
        <v/>
      </c>
      <c r="P370" s="13">
        <f>MacReports!P370</f>
        <v>0</v>
      </c>
      <c r="Q370" s="13" t="str">
        <f>IF(MacReports!J370="Enabled","Apple ID Lock","")</f>
        <v/>
      </c>
      <c r="R370" s="13" t="str">
        <f>IF(MacReports!L370="y","Remote Locked","")</f>
        <v/>
      </c>
      <c r="S370" t="str">
        <f t="shared" si="13"/>
        <v>Battery Defect, 0</v>
      </c>
      <c r="T370" t="str">
        <f>_xlfn.XLOOKUP(B370,Disk_Pivot!G:G,Disk_Pivot!I:I)</f>
        <v>Yes</v>
      </c>
      <c r="U370" t="str">
        <f>_xlfn.XLOOKUP(B370,Disk_Pivot!G:G,Disk_Pivot!N:N)</f>
        <v>Fail</v>
      </c>
      <c r="V370">
        <f>IF(U370="Fail",MacReports!N370,"")</f>
        <v>0</v>
      </c>
      <c r="AB370" t="str">
        <f t="shared" si="14"/>
        <v/>
      </c>
    </row>
    <row r="371" spans="1:28">
      <c r="A371">
        <f>MacReports!A371</f>
        <v>0</v>
      </c>
      <c r="B371">
        <f>MacReports!B371</f>
        <v>0</v>
      </c>
      <c r="C371">
        <f>MacReports!C371</f>
        <v>0</v>
      </c>
      <c r="E371" t="e">
        <f>_xlfn.XLOOKUP(G371,Models!A:A,Models!F:F)</f>
        <v>#N/A</v>
      </c>
      <c r="F371" t="str">
        <f>_xlfn.XLOOKUP(B371,MacReports!B:B,MacReports!D:D,"")</f>
        <v/>
      </c>
      <c r="G371" s="13">
        <f>MacReports!E371</f>
        <v>0</v>
      </c>
      <c r="H371" t="e">
        <f>_xlfn.XLOOKUP(G371,Models!A:A,Models!B:B)</f>
        <v>#N/A</v>
      </c>
      <c r="I371" t="e">
        <f>_xlfn.XLOOKUP(G371,Models!A:A,Models!E:E)</f>
        <v>#N/A</v>
      </c>
      <c r="J371" t="e">
        <f>_xlfn.XLOOKUP(G371,Models!A:A,Models!D:D)</f>
        <v>#N/A</v>
      </c>
      <c r="K371">
        <f>MacReports!F371</f>
        <v>0</v>
      </c>
      <c r="L371">
        <f>MacReports!G371</f>
        <v>0</v>
      </c>
      <c r="M371" s="15" t="e" cm="1">
        <f t="array" ref="M371">--_xlfn.LET(
    _xlpm.txt, MacReports!H371,
    _xlpm.chars, MID(_xlpm.txt, _xlfn.SEQUENCE(LEN(_xlpm.txt)), 1),
    _xlfn.TEXTJOIN("", TRUE, IF(ISNUMBER(--_xlpm.chars), _xlpm.chars, ""))
)</f>
        <v>#VALUE!</v>
      </c>
      <c r="N371" s="16" t="str" cm="1">
        <f t="array" ref="N371">_xlfn.IFS(
   --MacReports!M371&lt;55,"Battery Defect",
  -- MacReports!M371&lt;=69,"Battery D",
  --MacReports!M371&lt;=80,"Battery C",
 --MacReports!M371&gt;80,""
)</f>
        <v>Battery Defect</v>
      </c>
      <c r="O371" s="16" t="str">
        <f>IF(MacReports!I371="Service","Battery Service","")</f>
        <v/>
      </c>
      <c r="P371" s="13">
        <f>MacReports!P371</f>
        <v>0</v>
      </c>
      <c r="Q371" s="13" t="str">
        <f>IF(MacReports!J371="Enabled","Apple ID Lock","")</f>
        <v/>
      </c>
      <c r="R371" s="13" t="str">
        <f>IF(MacReports!L371="y","Remote Locked","")</f>
        <v/>
      </c>
      <c r="S371" t="str">
        <f t="shared" si="13"/>
        <v>Battery Defect, 0</v>
      </c>
      <c r="T371" t="str">
        <f>_xlfn.XLOOKUP(B371,Disk_Pivot!G:G,Disk_Pivot!I:I)</f>
        <v>Yes</v>
      </c>
      <c r="U371" t="str">
        <f>_xlfn.XLOOKUP(B371,Disk_Pivot!G:G,Disk_Pivot!N:N)</f>
        <v>Fail</v>
      </c>
      <c r="V371">
        <f>IF(U371="Fail",MacReports!N371,"")</f>
        <v>0</v>
      </c>
      <c r="AB371" t="str">
        <f t="shared" si="14"/>
        <v/>
      </c>
    </row>
    <row r="372" spans="1:28">
      <c r="A372">
        <f>MacReports!A372</f>
        <v>0</v>
      </c>
      <c r="B372">
        <f>MacReports!B372</f>
        <v>0</v>
      </c>
      <c r="C372">
        <f>MacReports!C372</f>
        <v>0</v>
      </c>
      <c r="E372" t="e">
        <f>_xlfn.XLOOKUP(G372,Models!A:A,Models!F:F)</f>
        <v>#N/A</v>
      </c>
      <c r="F372" t="str">
        <f>_xlfn.XLOOKUP(B372,MacReports!B:B,MacReports!D:D,"")</f>
        <v/>
      </c>
      <c r="G372" s="13">
        <f>MacReports!E372</f>
        <v>0</v>
      </c>
      <c r="H372" t="e">
        <f>_xlfn.XLOOKUP(G372,Models!A:A,Models!B:B)</f>
        <v>#N/A</v>
      </c>
      <c r="I372" t="e">
        <f>_xlfn.XLOOKUP(G372,Models!A:A,Models!E:E)</f>
        <v>#N/A</v>
      </c>
      <c r="J372" t="e">
        <f>_xlfn.XLOOKUP(G372,Models!A:A,Models!D:D)</f>
        <v>#N/A</v>
      </c>
      <c r="K372">
        <f>MacReports!F372</f>
        <v>0</v>
      </c>
      <c r="L372">
        <f>MacReports!G372</f>
        <v>0</v>
      </c>
      <c r="M372" s="15" t="e" cm="1">
        <f t="array" ref="M372">--_xlfn.LET(
    _xlpm.txt, MacReports!H372,
    _xlpm.chars, MID(_xlpm.txt, _xlfn.SEQUENCE(LEN(_xlpm.txt)), 1),
    _xlfn.TEXTJOIN("", TRUE, IF(ISNUMBER(--_xlpm.chars), _xlpm.chars, ""))
)</f>
        <v>#VALUE!</v>
      </c>
      <c r="N372" s="16" t="str" cm="1">
        <f t="array" ref="N372">_xlfn.IFS(
   --MacReports!M372&lt;55,"Battery Defect",
  -- MacReports!M372&lt;=69,"Battery D",
  --MacReports!M372&lt;=80,"Battery C",
 --MacReports!M372&gt;80,""
)</f>
        <v>Battery Defect</v>
      </c>
      <c r="O372" s="16" t="str">
        <f>IF(MacReports!I372="Service","Battery Service","")</f>
        <v/>
      </c>
      <c r="P372" s="13">
        <f>MacReports!P372</f>
        <v>0</v>
      </c>
      <c r="Q372" s="13" t="str">
        <f>IF(MacReports!J372="Enabled","Apple ID Lock","")</f>
        <v/>
      </c>
      <c r="R372" s="13" t="str">
        <f>IF(MacReports!L372="y","Remote Locked","")</f>
        <v/>
      </c>
      <c r="S372" t="str">
        <f t="shared" si="13"/>
        <v>Battery Defect, 0</v>
      </c>
      <c r="T372" t="str">
        <f>_xlfn.XLOOKUP(B372,Disk_Pivot!G:G,Disk_Pivot!I:I)</f>
        <v>Yes</v>
      </c>
      <c r="U372" t="str">
        <f>_xlfn.XLOOKUP(B372,Disk_Pivot!G:G,Disk_Pivot!N:N)</f>
        <v>Fail</v>
      </c>
      <c r="V372">
        <f>IF(U372="Fail",MacReports!N372,"")</f>
        <v>0</v>
      </c>
      <c r="AB372" t="str">
        <f t="shared" si="14"/>
        <v/>
      </c>
    </row>
    <row r="373" spans="1:28">
      <c r="A373">
        <f>MacReports!A373</f>
        <v>0</v>
      </c>
      <c r="B373">
        <f>MacReports!B373</f>
        <v>0</v>
      </c>
      <c r="C373">
        <f>MacReports!C373</f>
        <v>0</v>
      </c>
      <c r="E373" t="e">
        <f>_xlfn.XLOOKUP(G373,Models!A:A,Models!F:F)</f>
        <v>#N/A</v>
      </c>
      <c r="F373" t="str">
        <f>_xlfn.XLOOKUP(B373,MacReports!B:B,MacReports!D:D,"")</f>
        <v/>
      </c>
      <c r="G373" s="13">
        <f>MacReports!E373</f>
        <v>0</v>
      </c>
      <c r="H373" t="e">
        <f>_xlfn.XLOOKUP(G373,Models!A:A,Models!B:B)</f>
        <v>#N/A</v>
      </c>
      <c r="I373" t="e">
        <f>_xlfn.XLOOKUP(G373,Models!A:A,Models!E:E)</f>
        <v>#N/A</v>
      </c>
      <c r="J373" t="e">
        <f>_xlfn.XLOOKUP(G373,Models!A:A,Models!D:D)</f>
        <v>#N/A</v>
      </c>
      <c r="K373">
        <f>MacReports!F373</f>
        <v>0</v>
      </c>
      <c r="L373">
        <f>MacReports!G373</f>
        <v>0</v>
      </c>
      <c r="M373" s="15" t="e" cm="1">
        <f t="array" ref="M373">--_xlfn.LET(
    _xlpm.txt, MacReports!H373,
    _xlpm.chars, MID(_xlpm.txt, _xlfn.SEQUENCE(LEN(_xlpm.txt)), 1),
    _xlfn.TEXTJOIN("", TRUE, IF(ISNUMBER(--_xlpm.chars), _xlpm.chars, ""))
)</f>
        <v>#VALUE!</v>
      </c>
      <c r="N373" s="16" t="str" cm="1">
        <f t="array" ref="N373">_xlfn.IFS(
   --MacReports!M373&lt;55,"Battery Defect",
  -- MacReports!M373&lt;=69,"Battery D",
  --MacReports!M373&lt;=80,"Battery C",
 --MacReports!M373&gt;80,""
)</f>
        <v>Battery Defect</v>
      </c>
      <c r="O373" s="16" t="str">
        <f>IF(MacReports!I373="Service","Battery Service","")</f>
        <v/>
      </c>
      <c r="P373" s="13">
        <f>MacReports!P373</f>
        <v>0</v>
      </c>
      <c r="Q373" s="13" t="str">
        <f>IF(MacReports!J373="Enabled","Apple ID Lock","")</f>
        <v/>
      </c>
      <c r="R373" s="13" t="str">
        <f>IF(MacReports!L373="y","Remote Locked","")</f>
        <v/>
      </c>
      <c r="S373" t="str">
        <f t="shared" si="13"/>
        <v>Battery Defect, 0</v>
      </c>
      <c r="T373" t="str">
        <f>_xlfn.XLOOKUP(B373,Disk_Pivot!G:G,Disk_Pivot!I:I)</f>
        <v>Yes</v>
      </c>
      <c r="U373" t="str">
        <f>_xlfn.XLOOKUP(B373,Disk_Pivot!G:G,Disk_Pivot!N:N)</f>
        <v>Fail</v>
      </c>
      <c r="V373">
        <f>IF(U373="Fail",MacReports!N373,"")</f>
        <v>0</v>
      </c>
      <c r="AB373" t="str">
        <f t="shared" si="14"/>
        <v/>
      </c>
    </row>
    <row r="374" spans="1:28">
      <c r="A374">
        <f>MacReports!A374</f>
        <v>0</v>
      </c>
      <c r="B374">
        <f>MacReports!B374</f>
        <v>0</v>
      </c>
      <c r="C374">
        <f>MacReports!C374</f>
        <v>0</v>
      </c>
      <c r="E374" t="e">
        <f>_xlfn.XLOOKUP(G374,Models!A:A,Models!F:F)</f>
        <v>#N/A</v>
      </c>
      <c r="F374" t="str">
        <f>_xlfn.XLOOKUP(B374,MacReports!B:B,MacReports!D:D,"")</f>
        <v/>
      </c>
      <c r="G374" s="13">
        <f>MacReports!E374</f>
        <v>0</v>
      </c>
      <c r="H374" t="e">
        <f>_xlfn.XLOOKUP(G374,Models!A:A,Models!B:B)</f>
        <v>#N/A</v>
      </c>
      <c r="I374" t="e">
        <f>_xlfn.XLOOKUP(G374,Models!A:A,Models!E:E)</f>
        <v>#N/A</v>
      </c>
      <c r="J374" t="e">
        <f>_xlfn.XLOOKUP(G374,Models!A:A,Models!D:D)</f>
        <v>#N/A</v>
      </c>
      <c r="K374">
        <f>MacReports!F374</f>
        <v>0</v>
      </c>
      <c r="L374">
        <f>MacReports!G374</f>
        <v>0</v>
      </c>
      <c r="M374" s="15" t="e" cm="1">
        <f t="array" ref="M374">--_xlfn.LET(
    _xlpm.txt, MacReports!H374,
    _xlpm.chars, MID(_xlpm.txt, _xlfn.SEQUENCE(LEN(_xlpm.txt)), 1),
    _xlfn.TEXTJOIN("", TRUE, IF(ISNUMBER(--_xlpm.chars), _xlpm.chars, ""))
)</f>
        <v>#VALUE!</v>
      </c>
      <c r="N374" s="16" t="str" cm="1">
        <f t="array" ref="N374">_xlfn.IFS(
   --MacReports!M374&lt;55,"Battery Defect",
  -- MacReports!M374&lt;=69,"Battery D",
  --MacReports!M374&lt;=80,"Battery C",
 --MacReports!M374&gt;80,""
)</f>
        <v>Battery Defect</v>
      </c>
      <c r="O374" s="16" t="str">
        <f>IF(MacReports!I374="Service","Battery Service","")</f>
        <v/>
      </c>
      <c r="P374" s="13">
        <f>MacReports!P374</f>
        <v>0</v>
      </c>
      <c r="Q374" s="13" t="str">
        <f>IF(MacReports!J374="Enabled","Apple ID Lock","")</f>
        <v/>
      </c>
      <c r="R374" s="13" t="str">
        <f>IF(MacReports!L374="y","Remote Locked","")</f>
        <v/>
      </c>
      <c r="S374" t="str">
        <f t="shared" si="13"/>
        <v>Battery Defect, 0</v>
      </c>
      <c r="T374" t="str">
        <f>_xlfn.XLOOKUP(B374,Disk_Pivot!G:G,Disk_Pivot!I:I)</f>
        <v>Yes</v>
      </c>
      <c r="U374" t="str">
        <f>_xlfn.XLOOKUP(B374,Disk_Pivot!G:G,Disk_Pivot!N:N)</f>
        <v>Fail</v>
      </c>
      <c r="V374">
        <f>IF(U374="Fail",MacReports!N374,"")</f>
        <v>0</v>
      </c>
      <c r="AB374" t="str">
        <f t="shared" si="14"/>
        <v/>
      </c>
    </row>
    <row r="375" spans="1:28">
      <c r="A375">
        <f>MacReports!A375</f>
        <v>0</v>
      </c>
      <c r="B375">
        <f>MacReports!B375</f>
        <v>0</v>
      </c>
      <c r="C375">
        <f>MacReports!C375</f>
        <v>0</v>
      </c>
      <c r="E375" t="e">
        <f>_xlfn.XLOOKUP(G375,Models!A:A,Models!F:F)</f>
        <v>#N/A</v>
      </c>
      <c r="F375" t="str">
        <f>_xlfn.XLOOKUP(B375,MacReports!B:B,MacReports!D:D,"")</f>
        <v/>
      </c>
      <c r="G375" s="13">
        <f>MacReports!E375</f>
        <v>0</v>
      </c>
      <c r="H375" t="e">
        <f>_xlfn.XLOOKUP(G375,Models!A:A,Models!B:B)</f>
        <v>#N/A</v>
      </c>
      <c r="I375" t="e">
        <f>_xlfn.XLOOKUP(G375,Models!A:A,Models!E:E)</f>
        <v>#N/A</v>
      </c>
      <c r="J375" t="e">
        <f>_xlfn.XLOOKUP(G375,Models!A:A,Models!D:D)</f>
        <v>#N/A</v>
      </c>
      <c r="K375">
        <f>MacReports!F375</f>
        <v>0</v>
      </c>
      <c r="L375">
        <f>MacReports!G375</f>
        <v>0</v>
      </c>
      <c r="M375" s="15" t="e" cm="1">
        <f t="array" ref="M375">--_xlfn.LET(
    _xlpm.txt, MacReports!H375,
    _xlpm.chars, MID(_xlpm.txt, _xlfn.SEQUENCE(LEN(_xlpm.txt)), 1),
    _xlfn.TEXTJOIN("", TRUE, IF(ISNUMBER(--_xlpm.chars), _xlpm.chars, ""))
)</f>
        <v>#VALUE!</v>
      </c>
      <c r="N375" s="16" t="str" cm="1">
        <f t="array" ref="N375">_xlfn.IFS(
   --MacReports!M375&lt;55,"Battery Defect",
  -- MacReports!M375&lt;=69,"Battery D",
  --MacReports!M375&lt;=80,"Battery C",
 --MacReports!M375&gt;80,""
)</f>
        <v>Battery Defect</v>
      </c>
      <c r="O375" s="16" t="str">
        <f>IF(MacReports!I375="Service","Battery Service","")</f>
        <v/>
      </c>
      <c r="P375" s="13">
        <f>MacReports!P375</f>
        <v>0</v>
      </c>
      <c r="Q375" s="13" t="str">
        <f>IF(MacReports!J375="Enabled","Apple ID Lock","")</f>
        <v/>
      </c>
      <c r="R375" s="13" t="str">
        <f>IF(MacReports!L375="y","Remote Locked","")</f>
        <v/>
      </c>
      <c r="S375" t="str">
        <f t="shared" si="13"/>
        <v>Battery Defect, 0</v>
      </c>
      <c r="T375" t="str">
        <f>_xlfn.XLOOKUP(B375,Disk_Pivot!G:G,Disk_Pivot!I:I)</f>
        <v>Yes</v>
      </c>
      <c r="U375" t="str">
        <f>_xlfn.XLOOKUP(B375,Disk_Pivot!G:G,Disk_Pivot!N:N)</f>
        <v>Fail</v>
      </c>
      <c r="V375">
        <f>IF(U375="Fail",MacReports!N375,"")</f>
        <v>0</v>
      </c>
      <c r="AB375" t="str">
        <f t="shared" si="14"/>
        <v/>
      </c>
    </row>
    <row r="376" spans="1:28">
      <c r="A376">
        <f>MacReports!A376</f>
        <v>0</v>
      </c>
      <c r="B376">
        <f>MacReports!B376</f>
        <v>0</v>
      </c>
      <c r="C376">
        <f>MacReports!C376</f>
        <v>0</v>
      </c>
      <c r="E376" t="e">
        <f>_xlfn.XLOOKUP(G376,Models!A:A,Models!F:F)</f>
        <v>#N/A</v>
      </c>
      <c r="F376" t="str">
        <f>_xlfn.XLOOKUP(B376,MacReports!B:B,MacReports!D:D,"")</f>
        <v/>
      </c>
      <c r="G376" s="13">
        <f>MacReports!E376</f>
        <v>0</v>
      </c>
      <c r="H376" t="e">
        <f>_xlfn.XLOOKUP(G376,Models!A:A,Models!B:B)</f>
        <v>#N/A</v>
      </c>
      <c r="I376" t="e">
        <f>_xlfn.XLOOKUP(G376,Models!A:A,Models!E:E)</f>
        <v>#N/A</v>
      </c>
      <c r="J376" t="e">
        <f>_xlfn.XLOOKUP(G376,Models!A:A,Models!D:D)</f>
        <v>#N/A</v>
      </c>
      <c r="K376">
        <f>MacReports!F376</f>
        <v>0</v>
      </c>
      <c r="L376">
        <f>MacReports!G376</f>
        <v>0</v>
      </c>
      <c r="M376" s="15" t="e" cm="1">
        <f t="array" ref="M376">--_xlfn.LET(
    _xlpm.txt, MacReports!H376,
    _xlpm.chars, MID(_xlpm.txt, _xlfn.SEQUENCE(LEN(_xlpm.txt)), 1),
    _xlfn.TEXTJOIN("", TRUE, IF(ISNUMBER(--_xlpm.chars), _xlpm.chars, ""))
)</f>
        <v>#VALUE!</v>
      </c>
      <c r="N376" s="16" t="str" cm="1">
        <f t="array" ref="N376">_xlfn.IFS(
   --MacReports!M376&lt;55,"Battery Defect",
  -- MacReports!M376&lt;=69,"Battery D",
  --MacReports!M376&lt;=80,"Battery C",
 --MacReports!M376&gt;80,""
)</f>
        <v>Battery Defect</v>
      </c>
      <c r="O376" s="16" t="str">
        <f>IF(MacReports!I376="Service","Battery Service","")</f>
        <v/>
      </c>
      <c r="P376" s="13">
        <f>MacReports!P376</f>
        <v>0</v>
      </c>
      <c r="Q376" s="13" t="str">
        <f>IF(MacReports!J376="Enabled","Apple ID Lock","")</f>
        <v/>
      </c>
      <c r="R376" s="13" t="str">
        <f>IF(MacReports!L376="y","Remote Locked","")</f>
        <v/>
      </c>
      <c r="S376" t="str">
        <f t="shared" si="13"/>
        <v>Battery Defect, 0</v>
      </c>
      <c r="T376" t="str">
        <f>_xlfn.XLOOKUP(B376,Disk_Pivot!G:G,Disk_Pivot!I:I)</f>
        <v>Yes</v>
      </c>
      <c r="U376" t="str">
        <f>_xlfn.XLOOKUP(B376,Disk_Pivot!G:G,Disk_Pivot!N:N)</f>
        <v>Fail</v>
      </c>
      <c r="V376">
        <f>IF(U376="Fail",MacReports!N376,"")</f>
        <v>0</v>
      </c>
      <c r="AB376" t="str">
        <f t="shared" si="14"/>
        <v/>
      </c>
    </row>
    <row r="377" spans="1:28">
      <c r="A377">
        <f>MacReports!A377</f>
        <v>0</v>
      </c>
      <c r="B377">
        <f>MacReports!B377</f>
        <v>0</v>
      </c>
      <c r="C377">
        <f>MacReports!C377</f>
        <v>0</v>
      </c>
      <c r="E377" t="e">
        <f>_xlfn.XLOOKUP(G377,Models!A:A,Models!F:F)</f>
        <v>#N/A</v>
      </c>
      <c r="F377" t="str">
        <f>_xlfn.XLOOKUP(B377,MacReports!B:B,MacReports!D:D,"")</f>
        <v/>
      </c>
      <c r="G377" s="13">
        <f>MacReports!E377</f>
        <v>0</v>
      </c>
      <c r="H377" t="e">
        <f>_xlfn.XLOOKUP(G377,Models!A:A,Models!B:B)</f>
        <v>#N/A</v>
      </c>
      <c r="I377" t="e">
        <f>_xlfn.XLOOKUP(G377,Models!A:A,Models!E:E)</f>
        <v>#N/A</v>
      </c>
      <c r="J377" t="e">
        <f>_xlfn.XLOOKUP(G377,Models!A:A,Models!D:D)</f>
        <v>#N/A</v>
      </c>
      <c r="K377">
        <f>MacReports!F377</f>
        <v>0</v>
      </c>
      <c r="L377">
        <f>MacReports!G377</f>
        <v>0</v>
      </c>
      <c r="M377" s="15" t="e" cm="1">
        <f t="array" ref="M377">--_xlfn.LET(
    _xlpm.txt, MacReports!H377,
    _xlpm.chars, MID(_xlpm.txt, _xlfn.SEQUENCE(LEN(_xlpm.txt)), 1),
    _xlfn.TEXTJOIN("", TRUE, IF(ISNUMBER(--_xlpm.chars), _xlpm.chars, ""))
)</f>
        <v>#VALUE!</v>
      </c>
      <c r="N377" s="16" t="str" cm="1">
        <f t="array" ref="N377">_xlfn.IFS(
   --MacReports!M377&lt;55,"Battery Defect",
  -- MacReports!M377&lt;=69,"Battery D",
  --MacReports!M377&lt;=80,"Battery C",
 --MacReports!M377&gt;80,""
)</f>
        <v>Battery Defect</v>
      </c>
      <c r="O377" s="16" t="str">
        <f>IF(MacReports!I377="Service","Battery Service","")</f>
        <v/>
      </c>
      <c r="P377" s="13">
        <f>MacReports!P377</f>
        <v>0</v>
      </c>
      <c r="Q377" s="13" t="str">
        <f>IF(MacReports!J377="Enabled","Apple ID Lock","")</f>
        <v/>
      </c>
      <c r="R377" s="13" t="str">
        <f>IF(MacReports!L377="y","Remote Locked","")</f>
        <v/>
      </c>
      <c r="S377" t="str">
        <f t="shared" si="13"/>
        <v>Battery Defect, 0</v>
      </c>
      <c r="T377" t="str">
        <f>_xlfn.XLOOKUP(B377,Disk_Pivot!G:G,Disk_Pivot!I:I)</f>
        <v>Yes</v>
      </c>
      <c r="U377" t="str">
        <f>_xlfn.XLOOKUP(B377,Disk_Pivot!G:G,Disk_Pivot!N:N)</f>
        <v>Fail</v>
      </c>
      <c r="V377">
        <f>IF(U377="Fail",MacReports!N377,"")</f>
        <v>0</v>
      </c>
      <c r="AB377" t="str">
        <f t="shared" si="14"/>
        <v/>
      </c>
    </row>
    <row r="378" spans="1:28">
      <c r="A378">
        <f>MacReports!A378</f>
        <v>0</v>
      </c>
      <c r="B378">
        <f>MacReports!B378</f>
        <v>0</v>
      </c>
      <c r="C378">
        <f>MacReports!C378</f>
        <v>0</v>
      </c>
      <c r="E378" t="e">
        <f>_xlfn.XLOOKUP(G378,Models!A:A,Models!F:F)</f>
        <v>#N/A</v>
      </c>
      <c r="F378" t="str">
        <f>_xlfn.XLOOKUP(B378,MacReports!B:B,MacReports!D:D,"")</f>
        <v/>
      </c>
      <c r="G378" s="13">
        <f>MacReports!E378</f>
        <v>0</v>
      </c>
      <c r="H378" t="e">
        <f>_xlfn.XLOOKUP(G378,Models!A:A,Models!B:B)</f>
        <v>#N/A</v>
      </c>
      <c r="I378" t="e">
        <f>_xlfn.XLOOKUP(G378,Models!A:A,Models!E:E)</f>
        <v>#N/A</v>
      </c>
      <c r="J378" t="e">
        <f>_xlfn.XLOOKUP(G378,Models!A:A,Models!D:D)</f>
        <v>#N/A</v>
      </c>
      <c r="K378">
        <f>MacReports!F378</f>
        <v>0</v>
      </c>
      <c r="L378">
        <f>MacReports!G378</f>
        <v>0</v>
      </c>
      <c r="M378" s="15" t="e" cm="1">
        <f t="array" ref="M378">--_xlfn.LET(
    _xlpm.txt, MacReports!H378,
    _xlpm.chars, MID(_xlpm.txt, _xlfn.SEQUENCE(LEN(_xlpm.txt)), 1),
    _xlfn.TEXTJOIN("", TRUE, IF(ISNUMBER(--_xlpm.chars), _xlpm.chars, ""))
)</f>
        <v>#VALUE!</v>
      </c>
      <c r="N378" s="16" t="str" cm="1">
        <f t="array" ref="N378">_xlfn.IFS(
   --MacReports!M378&lt;55,"Battery Defect",
  -- MacReports!M378&lt;=69,"Battery D",
  --MacReports!M378&lt;=80,"Battery C",
 --MacReports!M378&gt;80,""
)</f>
        <v>Battery Defect</v>
      </c>
      <c r="O378" s="16" t="str">
        <f>IF(MacReports!I378="Service","Battery Service","")</f>
        <v/>
      </c>
      <c r="P378" s="13">
        <f>MacReports!P378</f>
        <v>0</v>
      </c>
      <c r="Q378" s="13" t="str">
        <f>IF(MacReports!J378="Enabled","Apple ID Lock","")</f>
        <v/>
      </c>
      <c r="R378" s="13" t="str">
        <f>IF(MacReports!L378="y","Remote Locked","")</f>
        <v/>
      </c>
      <c r="S378" t="str">
        <f t="shared" si="13"/>
        <v>Battery Defect, 0</v>
      </c>
      <c r="T378" t="str">
        <f>_xlfn.XLOOKUP(B378,Disk_Pivot!G:G,Disk_Pivot!I:I)</f>
        <v>Yes</v>
      </c>
      <c r="U378" t="str">
        <f>_xlfn.XLOOKUP(B378,Disk_Pivot!G:G,Disk_Pivot!N:N)</f>
        <v>Fail</v>
      </c>
      <c r="V378">
        <f>IF(U378="Fail",MacReports!N378,"")</f>
        <v>0</v>
      </c>
      <c r="AB378" t="str">
        <f t="shared" si="14"/>
        <v/>
      </c>
    </row>
    <row r="379" spans="1:28">
      <c r="A379">
        <f>MacReports!A379</f>
        <v>0</v>
      </c>
      <c r="B379">
        <f>MacReports!B379</f>
        <v>0</v>
      </c>
      <c r="C379">
        <f>MacReports!C379</f>
        <v>0</v>
      </c>
      <c r="E379" t="e">
        <f>_xlfn.XLOOKUP(G379,Models!A:A,Models!F:F)</f>
        <v>#N/A</v>
      </c>
      <c r="F379" t="str">
        <f>_xlfn.XLOOKUP(B379,MacReports!B:B,MacReports!D:D,"")</f>
        <v/>
      </c>
      <c r="G379" s="13">
        <f>MacReports!E379</f>
        <v>0</v>
      </c>
      <c r="H379" t="e">
        <f>_xlfn.XLOOKUP(G379,Models!A:A,Models!B:B)</f>
        <v>#N/A</v>
      </c>
      <c r="I379" t="e">
        <f>_xlfn.XLOOKUP(G379,Models!A:A,Models!E:E)</f>
        <v>#N/A</v>
      </c>
      <c r="J379" t="e">
        <f>_xlfn.XLOOKUP(G379,Models!A:A,Models!D:D)</f>
        <v>#N/A</v>
      </c>
      <c r="K379">
        <f>MacReports!F379</f>
        <v>0</v>
      </c>
      <c r="L379">
        <f>MacReports!G379</f>
        <v>0</v>
      </c>
      <c r="M379" s="15" t="e" cm="1">
        <f t="array" ref="M379">--_xlfn.LET(
    _xlpm.txt, MacReports!H379,
    _xlpm.chars, MID(_xlpm.txt, _xlfn.SEQUENCE(LEN(_xlpm.txt)), 1),
    _xlfn.TEXTJOIN("", TRUE, IF(ISNUMBER(--_xlpm.chars), _xlpm.chars, ""))
)</f>
        <v>#VALUE!</v>
      </c>
      <c r="N379" s="16" t="str" cm="1">
        <f t="array" ref="N379">_xlfn.IFS(
   --MacReports!M379&lt;55,"Battery Defect",
  -- MacReports!M379&lt;=69,"Battery D",
  --MacReports!M379&lt;=80,"Battery C",
 --MacReports!M379&gt;80,""
)</f>
        <v>Battery Defect</v>
      </c>
      <c r="O379" s="16" t="str">
        <f>IF(MacReports!I379="Service","Battery Service","")</f>
        <v/>
      </c>
      <c r="P379" s="13">
        <f>MacReports!P379</f>
        <v>0</v>
      </c>
      <c r="Q379" s="13" t="str">
        <f>IF(MacReports!J379="Enabled","Apple ID Lock","")</f>
        <v/>
      </c>
      <c r="R379" s="13" t="str">
        <f>IF(MacReports!L379="y","Remote Locked","")</f>
        <v/>
      </c>
      <c r="S379" t="str">
        <f t="shared" si="13"/>
        <v>Battery Defect, 0</v>
      </c>
      <c r="T379" t="str">
        <f>_xlfn.XLOOKUP(B379,Disk_Pivot!G:G,Disk_Pivot!I:I)</f>
        <v>Yes</v>
      </c>
      <c r="U379" t="str">
        <f>_xlfn.XLOOKUP(B379,Disk_Pivot!G:G,Disk_Pivot!N:N)</f>
        <v>Fail</v>
      </c>
      <c r="V379">
        <f>IF(U379="Fail",MacReports!N379,"")</f>
        <v>0</v>
      </c>
      <c r="AB379" t="str">
        <f t="shared" si="14"/>
        <v/>
      </c>
    </row>
    <row r="380" spans="1:28">
      <c r="A380">
        <f>MacReports!A380</f>
        <v>0</v>
      </c>
      <c r="B380">
        <f>MacReports!B380</f>
        <v>0</v>
      </c>
      <c r="C380">
        <f>MacReports!C380</f>
        <v>0</v>
      </c>
      <c r="E380" t="e">
        <f>_xlfn.XLOOKUP(G380,Models!A:A,Models!F:F)</f>
        <v>#N/A</v>
      </c>
      <c r="F380" t="str">
        <f>_xlfn.XLOOKUP(B380,MacReports!B:B,MacReports!D:D,"")</f>
        <v/>
      </c>
      <c r="G380" s="13">
        <f>MacReports!E380</f>
        <v>0</v>
      </c>
      <c r="H380" t="e">
        <f>_xlfn.XLOOKUP(G380,Models!A:A,Models!B:B)</f>
        <v>#N/A</v>
      </c>
      <c r="I380" t="e">
        <f>_xlfn.XLOOKUP(G380,Models!A:A,Models!E:E)</f>
        <v>#N/A</v>
      </c>
      <c r="J380" t="e">
        <f>_xlfn.XLOOKUP(G380,Models!A:A,Models!D:D)</f>
        <v>#N/A</v>
      </c>
      <c r="K380">
        <f>MacReports!F380</f>
        <v>0</v>
      </c>
      <c r="L380">
        <f>MacReports!G380</f>
        <v>0</v>
      </c>
      <c r="M380" s="15" t="e" cm="1">
        <f t="array" ref="M380">--_xlfn.LET(
    _xlpm.txt, MacReports!H380,
    _xlpm.chars, MID(_xlpm.txt, _xlfn.SEQUENCE(LEN(_xlpm.txt)), 1),
    _xlfn.TEXTJOIN("", TRUE, IF(ISNUMBER(--_xlpm.chars), _xlpm.chars, ""))
)</f>
        <v>#VALUE!</v>
      </c>
      <c r="N380" s="16" t="str" cm="1">
        <f t="array" ref="N380">_xlfn.IFS(
   --MacReports!M380&lt;55,"Battery Defect",
  -- MacReports!M380&lt;=69,"Battery D",
  --MacReports!M380&lt;=80,"Battery C",
 --MacReports!M380&gt;80,""
)</f>
        <v>Battery Defect</v>
      </c>
      <c r="O380" s="16" t="str">
        <f>IF(MacReports!I380="Service","Battery Service","")</f>
        <v/>
      </c>
      <c r="P380" s="13">
        <f>MacReports!P380</f>
        <v>0</v>
      </c>
      <c r="Q380" s="13" t="str">
        <f>IF(MacReports!J380="Enabled","Apple ID Lock","")</f>
        <v/>
      </c>
      <c r="R380" s="13" t="str">
        <f>IF(MacReports!L380="y","Remote Locked","")</f>
        <v/>
      </c>
      <c r="S380" t="str">
        <f t="shared" si="13"/>
        <v>Battery Defect, 0</v>
      </c>
      <c r="T380" t="str">
        <f>_xlfn.XLOOKUP(B380,Disk_Pivot!G:G,Disk_Pivot!I:I)</f>
        <v>Yes</v>
      </c>
      <c r="U380" t="str">
        <f>_xlfn.XLOOKUP(B380,Disk_Pivot!G:G,Disk_Pivot!N:N)</f>
        <v>Fail</v>
      </c>
      <c r="V380">
        <f>IF(U380="Fail",MacReports!N380,"")</f>
        <v>0</v>
      </c>
      <c r="AB380" t="str">
        <f t="shared" si="14"/>
        <v/>
      </c>
    </row>
    <row r="381" spans="1:28">
      <c r="A381">
        <f>MacReports!A381</f>
        <v>0</v>
      </c>
      <c r="B381">
        <f>MacReports!B381</f>
        <v>0</v>
      </c>
      <c r="C381">
        <f>MacReports!C381</f>
        <v>0</v>
      </c>
      <c r="E381" t="e">
        <f>_xlfn.XLOOKUP(G381,Models!A:A,Models!F:F)</f>
        <v>#N/A</v>
      </c>
      <c r="F381" t="str">
        <f>_xlfn.XLOOKUP(B381,MacReports!B:B,MacReports!D:D,"")</f>
        <v/>
      </c>
      <c r="G381" s="13">
        <f>MacReports!E381</f>
        <v>0</v>
      </c>
      <c r="H381" t="e">
        <f>_xlfn.XLOOKUP(G381,Models!A:A,Models!B:B)</f>
        <v>#N/A</v>
      </c>
      <c r="I381" t="e">
        <f>_xlfn.XLOOKUP(G381,Models!A:A,Models!E:E)</f>
        <v>#N/A</v>
      </c>
      <c r="J381" t="e">
        <f>_xlfn.XLOOKUP(G381,Models!A:A,Models!D:D)</f>
        <v>#N/A</v>
      </c>
      <c r="K381">
        <f>MacReports!F381</f>
        <v>0</v>
      </c>
      <c r="L381">
        <f>MacReports!G381</f>
        <v>0</v>
      </c>
      <c r="M381" s="15" t="e" cm="1">
        <f t="array" ref="M381">--_xlfn.LET(
    _xlpm.txt, MacReports!H381,
    _xlpm.chars, MID(_xlpm.txt, _xlfn.SEQUENCE(LEN(_xlpm.txt)), 1),
    _xlfn.TEXTJOIN("", TRUE, IF(ISNUMBER(--_xlpm.chars), _xlpm.chars, ""))
)</f>
        <v>#VALUE!</v>
      </c>
      <c r="N381" s="16" t="str" cm="1">
        <f t="array" ref="N381">_xlfn.IFS(
   --MacReports!M381&lt;55,"Battery Defect",
  -- MacReports!M381&lt;=69,"Battery D",
  --MacReports!M381&lt;=80,"Battery C",
 --MacReports!M381&gt;80,""
)</f>
        <v>Battery Defect</v>
      </c>
      <c r="O381" s="16" t="str">
        <f>IF(MacReports!I381="Service","Battery Service","")</f>
        <v/>
      </c>
      <c r="P381" s="13">
        <f>MacReports!P381</f>
        <v>0</v>
      </c>
      <c r="Q381" s="13" t="str">
        <f>IF(MacReports!J381="Enabled","Apple ID Lock","")</f>
        <v/>
      </c>
      <c r="R381" s="13" t="str">
        <f>IF(MacReports!L381="y","Remote Locked","")</f>
        <v/>
      </c>
      <c r="S381" t="str">
        <f t="shared" si="13"/>
        <v>Battery Defect, 0</v>
      </c>
      <c r="T381" t="str">
        <f>_xlfn.XLOOKUP(B381,Disk_Pivot!G:G,Disk_Pivot!I:I)</f>
        <v>Yes</v>
      </c>
      <c r="U381" t="str">
        <f>_xlfn.XLOOKUP(B381,Disk_Pivot!G:G,Disk_Pivot!N:N)</f>
        <v>Fail</v>
      </c>
      <c r="V381">
        <f>IF(U381="Fail",MacReports!N381,"")</f>
        <v>0</v>
      </c>
      <c r="AB381" t="str">
        <f t="shared" si="14"/>
        <v/>
      </c>
    </row>
    <row r="382" spans="1:28">
      <c r="A382">
        <f>MacReports!A382</f>
        <v>0</v>
      </c>
      <c r="B382">
        <f>MacReports!B382</f>
        <v>0</v>
      </c>
      <c r="C382">
        <f>MacReports!C382</f>
        <v>0</v>
      </c>
      <c r="E382" t="e">
        <f>_xlfn.XLOOKUP(G382,Models!A:A,Models!F:F)</f>
        <v>#N/A</v>
      </c>
      <c r="F382" t="str">
        <f>_xlfn.XLOOKUP(B382,MacReports!B:B,MacReports!D:D,"")</f>
        <v/>
      </c>
      <c r="G382" s="13">
        <f>MacReports!E382</f>
        <v>0</v>
      </c>
      <c r="H382" t="e">
        <f>_xlfn.XLOOKUP(G382,Models!A:A,Models!B:B)</f>
        <v>#N/A</v>
      </c>
      <c r="I382" t="e">
        <f>_xlfn.XLOOKUP(G382,Models!A:A,Models!E:E)</f>
        <v>#N/A</v>
      </c>
      <c r="J382" t="e">
        <f>_xlfn.XLOOKUP(G382,Models!A:A,Models!D:D)</f>
        <v>#N/A</v>
      </c>
      <c r="K382">
        <f>MacReports!F382</f>
        <v>0</v>
      </c>
      <c r="L382">
        <f>MacReports!G382</f>
        <v>0</v>
      </c>
      <c r="M382" s="15" t="e" cm="1">
        <f t="array" ref="M382">--_xlfn.LET(
    _xlpm.txt, MacReports!H382,
    _xlpm.chars, MID(_xlpm.txt, _xlfn.SEQUENCE(LEN(_xlpm.txt)), 1),
    _xlfn.TEXTJOIN("", TRUE, IF(ISNUMBER(--_xlpm.chars), _xlpm.chars, ""))
)</f>
        <v>#VALUE!</v>
      </c>
      <c r="N382" s="16" t="str" cm="1">
        <f t="array" ref="N382">_xlfn.IFS(
   --MacReports!M382&lt;55,"Battery Defect",
  -- MacReports!M382&lt;=69,"Battery D",
  --MacReports!M382&lt;=80,"Battery C",
 --MacReports!M382&gt;80,""
)</f>
        <v>Battery Defect</v>
      </c>
      <c r="O382" s="16" t="str">
        <f>IF(MacReports!I382="Service","Battery Service","")</f>
        <v/>
      </c>
      <c r="P382" s="13">
        <f>MacReports!P382</f>
        <v>0</v>
      </c>
      <c r="Q382" s="13" t="str">
        <f>IF(MacReports!J382="Enabled","Apple ID Lock","")</f>
        <v/>
      </c>
      <c r="R382" s="13" t="str">
        <f>IF(MacReports!L382="y","Remote Locked","")</f>
        <v/>
      </c>
      <c r="S382" t="str">
        <f t="shared" si="13"/>
        <v>Battery Defect, 0</v>
      </c>
      <c r="T382" t="str">
        <f>_xlfn.XLOOKUP(B382,Disk_Pivot!G:G,Disk_Pivot!I:I)</f>
        <v>Yes</v>
      </c>
      <c r="U382" t="str">
        <f>_xlfn.XLOOKUP(B382,Disk_Pivot!G:G,Disk_Pivot!N:N)</f>
        <v>Fail</v>
      </c>
      <c r="V382">
        <f>IF(U382="Fail",MacReports!N382,"")</f>
        <v>0</v>
      </c>
      <c r="AB382" t="str">
        <f t="shared" si="14"/>
        <v/>
      </c>
    </row>
    <row r="383" spans="1:28">
      <c r="A383">
        <f>MacReports!A383</f>
        <v>0</v>
      </c>
      <c r="B383">
        <f>MacReports!B383</f>
        <v>0</v>
      </c>
      <c r="C383">
        <f>MacReports!C383</f>
        <v>0</v>
      </c>
      <c r="E383" t="e">
        <f>_xlfn.XLOOKUP(G383,Models!A:A,Models!F:F)</f>
        <v>#N/A</v>
      </c>
      <c r="F383" t="str">
        <f>_xlfn.XLOOKUP(B383,MacReports!B:B,MacReports!D:D,"")</f>
        <v/>
      </c>
      <c r="G383" s="13">
        <f>MacReports!E383</f>
        <v>0</v>
      </c>
      <c r="H383" t="e">
        <f>_xlfn.XLOOKUP(G383,Models!A:A,Models!B:B)</f>
        <v>#N/A</v>
      </c>
      <c r="I383" t="e">
        <f>_xlfn.XLOOKUP(G383,Models!A:A,Models!E:E)</f>
        <v>#N/A</v>
      </c>
      <c r="J383" t="e">
        <f>_xlfn.XLOOKUP(G383,Models!A:A,Models!D:D)</f>
        <v>#N/A</v>
      </c>
      <c r="K383">
        <f>MacReports!F383</f>
        <v>0</v>
      </c>
      <c r="L383">
        <f>MacReports!G383</f>
        <v>0</v>
      </c>
      <c r="M383" s="15" t="e" cm="1">
        <f t="array" ref="M383">--_xlfn.LET(
    _xlpm.txt, MacReports!H383,
    _xlpm.chars, MID(_xlpm.txt, _xlfn.SEQUENCE(LEN(_xlpm.txt)), 1),
    _xlfn.TEXTJOIN("", TRUE, IF(ISNUMBER(--_xlpm.chars), _xlpm.chars, ""))
)</f>
        <v>#VALUE!</v>
      </c>
      <c r="N383" s="16" t="str" cm="1">
        <f t="array" ref="N383">_xlfn.IFS(
   --MacReports!M383&lt;55,"Battery Defect",
  -- MacReports!M383&lt;=69,"Battery D",
  --MacReports!M383&lt;=80,"Battery C",
 --MacReports!M383&gt;80,""
)</f>
        <v>Battery Defect</v>
      </c>
      <c r="O383" s="16" t="str">
        <f>IF(MacReports!I383="Service","Battery Service","")</f>
        <v/>
      </c>
      <c r="P383" s="13">
        <f>MacReports!P383</f>
        <v>0</v>
      </c>
      <c r="Q383" s="13" t="str">
        <f>IF(MacReports!J383="Enabled","Apple ID Lock","")</f>
        <v/>
      </c>
      <c r="R383" s="13" t="str">
        <f>IF(MacReports!L383="y","Remote Locked","")</f>
        <v/>
      </c>
      <c r="S383" t="str">
        <f t="shared" si="13"/>
        <v>Battery Defect, 0</v>
      </c>
      <c r="T383" t="str">
        <f>_xlfn.XLOOKUP(B383,Disk_Pivot!G:G,Disk_Pivot!I:I)</f>
        <v>Yes</v>
      </c>
      <c r="U383" t="str">
        <f>_xlfn.XLOOKUP(B383,Disk_Pivot!G:G,Disk_Pivot!N:N)</f>
        <v>Fail</v>
      </c>
      <c r="V383">
        <f>IF(U383="Fail",MacReports!N383,"")</f>
        <v>0</v>
      </c>
      <c r="AB383" t="str">
        <f t="shared" si="14"/>
        <v/>
      </c>
    </row>
    <row r="384" spans="1:28">
      <c r="A384">
        <f>MacReports!A384</f>
        <v>0</v>
      </c>
      <c r="B384">
        <f>MacReports!B384</f>
        <v>0</v>
      </c>
      <c r="C384">
        <f>MacReports!C384</f>
        <v>0</v>
      </c>
      <c r="E384" t="e">
        <f>_xlfn.XLOOKUP(G384,Models!A:A,Models!F:F)</f>
        <v>#N/A</v>
      </c>
      <c r="F384" t="str">
        <f>_xlfn.XLOOKUP(B384,MacReports!B:B,MacReports!D:D,"")</f>
        <v/>
      </c>
      <c r="G384" s="13">
        <f>MacReports!E384</f>
        <v>0</v>
      </c>
      <c r="H384" t="e">
        <f>_xlfn.XLOOKUP(G384,Models!A:A,Models!B:B)</f>
        <v>#N/A</v>
      </c>
      <c r="I384" t="e">
        <f>_xlfn.XLOOKUP(G384,Models!A:A,Models!E:E)</f>
        <v>#N/A</v>
      </c>
      <c r="J384" t="e">
        <f>_xlfn.XLOOKUP(G384,Models!A:A,Models!D:D)</f>
        <v>#N/A</v>
      </c>
      <c r="K384">
        <f>MacReports!F384</f>
        <v>0</v>
      </c>
      <c r="L384">
        <f>MacReports!G384</f>
        <v>0</v>
      </c>
      <c r="M384" s="15" t="e" cm="1">
        <f t="array" ref="M384">--_xlfn.LET(
    _xlpm.txt, MacReports!H384,
    _xlpm.chars, MID(_xlpm.txt, _xlfn.SEQUENCE(LEN(_xlpm.txt)), 1),
    _xlfn.TEXTJOIN("", TRUE, IF(ISNUMBER(--_xlpm.chars), _xlpm.chars, ""))
)</f>
        <v>#VALUE!</v>
      </c>
      <c r="N384" s="16" t="str" cm="1">
        <f t="array" ref="N384">_xlfn.IFS(
   --MacReports!M384&lt;55,"Battery Defect",
  -- MacReports!M384&lt;=69,"Battery D",
  --MacReports!M384&lt;=80,"Battery C",
 --MacReports!M384&gt;80,""
)</f>
        <v>Battery Defect</v>
      </c>
      <c r="O384" s="16" t="str">
        <f>IF(MacReports!I384="Service","Battery Service","")</f>
        <v/>
      </c>
      <c r="P384" s="13">
        <f>MacReports!P384</f>
        <v>0</v>
      </c>
      <c r="Q384" s="13" t="str">
        <f>IF(MacReports!J384="Enabled","Apple ID Lock","")</f>
        <v/>
      </c>
      <c r="R384" s="13" t="str">
        <f>IF(MacReports!L384="y","Remote Locked","")</f>
        <v/>
      </c>
      <c r="S384" t="str">
        <f t="shared" si="13"/>
        <v>Battery Defect, 0</v>
      </c>
      <c r="T384" t="str">
        <f>_xlfn.XLOOKUP(B384,Disk_Pivot!G:G,Disk_Pivot!I:I)</f>
        <v>Yes</v>
      </c>
      <c r="U384" t="str">
        <f>_xlfn.XLOOKUP(B384,Disk_Pivot!G:G,Disk_Pivot!N:N)</f>
        <v>Fail</v>
      </c>
      <c r="V384">
        <f>IF(U384="Fail",MacReports!N384,"")</f>
        <v>0</v>
      </c>
      <c r="AB384" t="str">
        <f t="shared" si="14"/>
        <v/>
      </c>
    </row>
    <row r="385" spans="1:28">
      <c r="A385">
        <f>MacReports!A385</f>
        <v>0</v>
      </c>
      <c r="B385">
        <f>MacReports!B385</f>
        <v>0</v>
      </c>
      <c r="C385">
        <f>MacReports!C385</f>
        <v>0</v>
      </c>
      <c r="E385" t="e">
        <f>_xlfn.XLOOKUP(G385,Models!A:A,Models!F:F)</f>
        <v>#N/A</v>
      </c>
      <c r="F385" t="str">
        <f>_xlfn.XLOOKUP(B385,MacReports!B:B,MacReports!D:D,"")</f>
        <v/>
      </c>
      <c r="G385" s="13">
        <f>MacReports!E385</f>
        <v>0</v>
      </c>
      <c r="H385" t="e">
        <f>_xlfn.XLOOKUP(G385,Models!A:A,Models!B:B)</f>
        <v>#N/A</v>
      </c>
      <c r="I385" t="e">
        <f>_xlfn.XLOOKUP(G385,Models!A:A,Models!E:E)</f>
        <v>#N/A</v>
      </c>
      <c r="J385" t="e">
        <f>_xlfn.XLOOKUP(G385,Models!A:A,Models!D:D)</f>
        <v>#N/A</v>
      </c>
      <c r="K385">
        <f>MacReports!F385</f>
        <v>0</v>
      </c>
      <c r="L385">
        <f>MacReports!G385</f>
        <v>0</v>
      </c>
      <c r="M385" s="15" t="e" cm="1">
        <f t="array" ref="M385">--_xlfn.LET(
    _xlpm.txt, MacReports!H385,
    _xlpm.chars, MID(_xlpm.txt, _xlfn.SEQUENCE(LEN(_xlpm.txt)), 1),
    _xlfn.TEXTJOIN("", TRUE, IF(ISNUMBER(--_xlpm.chars), _xlpm.chars, ""))
)</f>
        <v>#VALUE!</v>
      </c>
      <c r="N385" s="16" t="str" cm="1">
        <f t="array" ref="N385">_xlfn.IFS(
   --MacReports!M385&lt;55,"Battery Defect",
  -- MacReports!M385&lt;=69,"Battery D",
  --MacReports!M385&lt;=80,"Battery C",
 --MacReports!M385&gt;80,""
)</f>
        <v>Battery Defect</v>
      </c>
      <c r="O385" s="16" t="str">
        <f>IF(MacReports!I385="Service","Battery Service","")</f>
        <v/>
      </c>
      <c r="P385" s="13">
        <f>MacReports!P385</f>
        <v>0</v>
      </c>
      <c r="Q385" s="13" t="str">
        <f>IF(MacReports!J385="Enabled","Apple ID Lock","")</f>
        <v/>
      </c>
      <c r="R385" s="13" t="str">
        <f>IF(MacReports!L385="y","Remote Locked","")</f>
        <v/>
      </c>
      <c r="S385" t="str">
        <f t="shared" si="13"/>
        <v>Battery Defect, 0</v>
      </c>
      <c r="T385" t="str">
        <f>_xlfn.XLOOKUP(B385,Disk_Pivot!G:G,Disk_Pivot!I:I)</f>
        <v>Yes</v>
      </c>
      <c r="U385" t="str">
        <f>_xlfn.XLOOKUP(B385,Disk_Pivot!G:G,Disk_Pivot!N:N)</f>
        <v>Fail</v>
      </c>
      <c r="V385">
        <f>IF(U385="Fail",MacReports!N385,"")</f>
        <v>0</v>
      </c>
      <c r="AB385" t="str">
        <f t="shared" si="14"/>
        <v/>
      </c>
    </row>
    <row r="386" spans="1:28">
      <c r="A386">
        <f>MacReports!A386</f>
        <v>0</v>
      </c>
      <c r="B386">
        <f>MacReports!B386</f>
        <v>0</v>
      </c>
      <c r="C386">
        <f>MacReports!C386</f>
        <v>0</v>
      </c>
      <c r="E386" t="e">
        <f>_xlfn.XLOOKUP(G386,Models!A:A,Models!F:F)</f>
        <v>#N/A</v>
      </c>
      <c r="F386" t="str">
        <f>_xlfn.XLOOKUP(B386,MacReports!B:B,MacReports!D:D,"")</f>
        <v/>
      </c>
      <c r="G386" s="13">
        <f>MacReports!E386</f>
        <v>0</v>
      </c>
      <c r="H386" t="e">
        <f>_xlfn.XLOOKUP(G386,Models!A:A,Models!B:B)</f>
        <v>#N/A</v>
      </c>
      <c r="I386" t="e">
        <f>_xlfn.XLOOKUP(G386,Models!A:A,Models!E:E)</f>
        <v>#N/A</v>
      </c>
      <c r="J386" t="e">
        <f>_xlfn.XLOOKUP(G386,Models!A:A,Models!D:D)</f>
        <v>#N/A</v>
      </c>
      <c r="K386">
        <f>MacReports!F386</f>
        <v>0</v>
      </c>
      <c r="L386">
        <f>MacReports!G386</f>
        <v>0</v>
      </c>
      <c r="M386" s="15" t="e" cm="1">
        <f t="array" ref="M386">--_xlfn.LET(
    _xlpm.txt, MacReports!H386,
    _xlpm.chars, MID(_xlpm.txt, _xlfn.SEQUENCE(LEN(_xlpm.txt)), 1),
    _xlfn.TEXTJOIN("", TRUE, IF(ISNUMBER(--_xlpm.chars), _xlpm.chars, ""))
)</f>
        <v>#VALUE!</v>
      </c>
      <c r="N386" s="16" t="str" cm="1">
        <f t="array" ref="N386">_xlfn.IFS(
   --MacReports!M386&lt;55,"Battery Defect",
  -- MacReports!M386&lt;=69,"Battery D",
  --MacReports!M386&lt;=80,"Battery C",
 --MacReports!M386&gt;80,""
)</f>
        <v>Battery Defect</v>
      </c>
      <c r="O386" s="16" t="str">
        <f>IF(MacReports!I386="Service","Battery Service","")</f>
        <v/>
      </c>
      <c r="P386" s="13">
        <f>MacReports!P386</f>
        <v>0</v>
      </c>
      <c r="Q386" s="13" t="str">
        <f>IF(MacReports!J386="Enabled","Apple ID Lock","")</f>
        <v/>
      </c>
      <c r="R386" s="13" t="str">
        <f>IF(MacReports!L386="y","Remote Locked","")</f>
        <v/>
      </c>
      <c r="S386" t="str">
        <f t="shared" si="13"/>
        <v>Battery Defect, 0</v>
      </c>
      <c r="T386" t="str">
        <f>_xlfn.XLOOKUP(B386,Disk_Pivot!G:G,Disk_Pivot!I:I)</f>
        <v>Yes</v>
      </c>
      <c r="U386" t="str">
        <f>_xlfn.XLOOKUP(B386,Disk_Pivot!G:G,Disk_Pivot!N:N)</f>
        <v>Fail</v>
      </c>
      <c r="V386">
        <f>IF(U386="Fail",MacReports!N386,"")</f>
        <v>0</v>
      </c>
      <c r="AB386" t="str">
        <f t="shared" si="14"/>
        <v/>
      </c>
    </row>
    <row r="387" spans="1:28">
      <c r="A387">
        <f>MacReports!A387</f>
        <v>0</v>
      </c>
      <c r="B387">
        <f>MacReports!B387</f>
        <v>0</v>
      </c>
      <c r="C387">
        <f>MacReports!C387</f>
        <v>0</v>
      </c>
      <c r="E387" t="e">
        <f>_xlfn.XLOOKUP(G387,Models!A:A,Models!F:F)</f>
        <v>#N/A</v>
      </c>
      <c r="F387" t="str">
        <f>_xlfn.XLOOKUP(B387,MacReports!B:B,MacReports!D:D,"")</f>
        <v/>
      </c>
      <c r="G387" s="13">
        <f>MacReports!E387</f>
        <v>0</v>
      </c>
      <c r="H387" t="e">
        <f>_xlfn.XLOOKUP(G387,Models!A:A,Models!B:B)</f>
        <v>#N/A</v>
      </c>
      <c r="I387" t="e">
        <f>_xlfn.XLOOKUP(G387,Models!A:A,Models!E:E)</f>
        <v>#N/A</v>
      </c>
      <c r="J387" t="e">
        <f>_xlfn.XLOOKUP(G387,Models!A:A,Models!D:D)</f>
        <v>#N/A</v>
      </c>
      <c r="K387">
        <f>MacReports!F387</f>
        <v>0</v>
      </c>
      <c r="L387">
        <f>MacReports!G387</f>
        <v>0</v>
      </c>
      <c r="M387" s="15" t="e" cm="1">
        <f t="array" ref="M387">--_xlfn.LET(
    _xlpm.txt, MacReports!H387,
    _xlpm.chars, MID(_xlpm.txt, _xlfn.SEQUENCE(LEN(_xlpm.txt)), 1),
    _xlfn.TEXTJOIN("", TRUE, IF(ISNUMBER(--_xlpm.chars), _xlpm.chars, ""))
)</f>
        <v>#VALUE!</v>
      </c>
      <c r="N387" s="16" t="str" cm="1">
        <f t="array" ref="N387">_xlfn.IFS(
   --MacReports!M387&lt;55,"Battery Defect",
  -- MacReports!M387&lt;=69,"Battery D",
  --MacReports!M387&lt;=80,"Battery C",
 --MacReports!M387&gt;80,""
)</f>
        <v>Battery Defect</v>
      </c>
      <c r="O387" s="16" t="str">
        <f>IF(MacReports!I387="Service","Battery Service","")</f>
        <v/>
      </c>
      <c r="P387" s="13">
        <f>MacReports!P387</f>
        <v>0</v>
      </c>
      <c r="Q387" s="13" t="str">
        <f>IF(MacReports!J387="Enabled","Apple ID Lock","")</f>
        <v/>
      </c>
      <c r="R387" s="13" t="str">
        <f>IF(MacReports!L387="y","Remote Locked","")</f>
        <v/>
      </c>
      <c r="S387" t="str">
        <f t="shared" si="13"/>
        <v>Battery Defect, 0</v>
      </c>
      <c r="T387" t="str">
        <f>_xlfn.XLOOKUP(B387,Disk_Pivot!G:G,Disk_Pivot!I:I)</f>
        <v>Yes</v>
      </c>
      <c r="U387" t="str">
        <f>_xlfn.XLOOKUP(B387,Disk_Pivot!G:G,Disk_Pivot!N:N)</f>
        <v>Fail</v>
      </c>
      <c r="V387">
        <f>IF(U387="Fail",MacReports!N387,"")</f>
        <v>0</v>
      </c>
      <c r="AB387" t="str">
        <f t="shared" si="14"/>
        <v/>
      </c>
    </row>
    <row r="388" spans="1:28">
      <c r="F388" t="str">
        <f>_xlfn.XLOOKUP(B388,MacReports!B:B,MacReports!D:D,"")</f>
        <v/>
      </c>
    </row>
    <row r="389" spans="1:28">
      <c r="F389" t="str">
        <f>_xlfn.XLOOKUP(B389,MacReports!B:B,MacReports!D:D,"")</f>
        <v/>
      </c>
    </row>
    <row r="390" spans="1:28">
      <c r="F390" t="str">
        <f>_xlfn.XLOOKUP(B390,MacReports!B:B,MacReports!D:D,"")</f>
        <v/>
      </c>
    </row>
    <row r="391" spans="1:28">
      <c r="F391" t="str">
        <f>_xlfn.XLOOKUP(B391,MacReports!B:B,MacReports!D:D,"")</f>
        <v/>
      </c>
    </row>
    <row r="392" spans="1:28">
      <c r="F392" t="str">
        <f>_xlfn.XLOOKUP(B392,MacReports!B:B,MacReports!D:D,"")</f>
        <v/>
      </c>
    </row>
    <row r="393" spans="1:28">
      <c r="F393" t="str">
        <f>_xlfn.XLOOKUP(B393,MacReports!B:B,MacReports!D:D,"")</f>
        <v/>
      </c>
    </row>
    <row r="394" spans="1:28">
      <c r="F394" t="str">
        <f>_xlfn.XLOOKUP(B394,MacReports!B:B,MacReports!D:D,"")</f>
        <v/>
      </c>
    </row>
    <row r="395" spans="1:28">
      <c r="F395" t="str">
        <f>_xlfn.XLOOKUP(B395,MacReports!B:B,MacReports!D:D,"")</f>
        <v/>
      </c>
    </row>
    <row r="396" spans="1:28">
      <c r="F396" t="str">
        <f>_xlfn.XLOOKUP(B396,MacReports!B:B,MacReports!D:D,"")</f>
        <v/>
      </c>
    </row>
    <row r="397" spans="1:28">
      <c r="F397" t="str">
        <f>_xlfn.XLOOKUP(B397,MacReports!B:B,MacReports!D:D,"")</f>
        <v/>
      </c>
    </row>
    <row r="398" spans="1:28">
      <c r="F398" t="str">
        <f>_xlfn.XLOOKUP(B398,MacReports!B:B,MacReports!D:D,"")</f>
        <v/>
      </c>
    </row>
    <row r="399" spans="1:28">
      <c r="F399" t="str">
        <f>_xlfn.XLOOKUP(B399,MacReports!B:B,MacReports!D:D,"")</f>
        <v/>
      </c>
    </row>
    <row r="400" spans="1:28">
      <c r="F400" t="str">
        <f>_xlfn.XLOOKUP(B400,MacReports!B:B,MacReports!D:D,"")</f>
        <v/>
      </c>
    </row>
    <row r="401" spans="6:6">
      <c r="F401" t="str">
        <f>_xlfn.XLOOKUP(B401,MacReports!B:B,MacReports!D:D,"")</f>
        <v/>
      </c>
    </row>
    <row r="402" spans="6:6">
      <c r="F402" t="str">
        <f>_xlfn.XLOOKUP(B402,MacReports!B:B,MacReports!D:D,"")</f>
        <v/>
      </c>
    </row>
    <row r="403" spans="6:6">
      <c r="F403" t="str">
        <f>_xlfn.XLOOKUP(B403,MacReports!B:B,MacReports!D:D,"")</f>
        <v/>
      </c>
    </row>
    <row r="404" spans="6:6">
      <c r="F404" t="str">
        <f>_xlfn.XLOOKUP(B404,MacReports!B:B,MacReports!D:D,"")</f>
        <v/>
      </c>
    </row>
    <row r="405" spans="6:6">
      <c r="F405" t="str">
        <f>_xlfn.XLOOKUP(B405,MacReports!B:B,MacReports!D:D,"")</f>
        <v/>
      </c>
    </row>
    <row r="406" spans="6:6">
      <c r="F406" t="str">
        <f>_xlfn.XLOOKUP(B406,MacReports!B:B,MacReports!D:D,"")</f>
        <v/>
      </c>
    </row>
    <row r="407" spans="6:6">
      <c r="F407" t="str">
        <f>_xlfn.XLOOKUP(B407,MacReports!B:B,MacReports!D:D,"")</f>
        <v/>
      </c>
    </row>
    <row r="408" spans="6:6">
      <c r="F408" t="str">
        <f>_xlfn.XLOOKUP(B408,MacReports!B:B,MacReports!D:D,"")</f>
        <v/>
      </c>
    </row>
    <row r="409" spans="6:6">
      <c r="F409" t="str">
        <f>_xlfn.XLOOKUP(B409,MacReports!B:B,MacReports!D:D,"")</f>
        <v/>
      </c>
    </row>
    <row r="410" spans="6:6">
      <c r="F410" t="str">
        <f>_xlfn.XLOOKUP(B410,MacReports!B:B,MacReports!D:D,"")</f>
        <v/>
      </c>
    </row>
    <row r="411" spans="6:6">
      <c r="F411" t="str">
        <f>_xlfn.XLOOKUP(B411,MacReports!B:B,MacReports!D:D,"")</f>
        <v/>
      </c>
    </row>
    <row r="412" spans="6:6">
      <c r="F412" t="str">
        <f>_xlfn.XLOOKUP(B412,MacReports!B:B,MacReports!D:D,"")</f>
        <v/>
      </c>
    </row>
    <row r="413" spans="6:6">
      <c r="F413" t="str">
        <f>_xlfn.XLOOKUP(B413,MacReports!B:B,MacReports!D:D,"")</f>
        <v/>
      </c>
    </row>
    <row r="414" spans="6:6">
      <c r="F414" t="str">
        <f>_xlfn.XLOOKUP(B414,MacReports!B:B,MacReports!D:D,"")</f>
        <v/>
      </c>
    </row>
    <row r="415" spans="6:6">
      <c r="F415" t="str">
        <f>_xlfn.XLOOKUP(B415,MacReports!B:B,MacReports!D:D,"")</f>
        <v/>
      </c>
    </row>
    <row r="416" spans="6:6">
      <c r="F416" t="str">
        <f>_xlfn.XLOOKUP(B416,MacReports!B:B,MacReports!D:D,"")</f>
        <v/>
      </c>
    </row>
    <row r="417" spans="6:6">
      <c r="F417" t="str">
        <f>_xlfn.XLOOKUP(B417,MacReports!B:B,MacReports!D:D,"")</f>
        <v/>
      </c>
    </row>
    <row r="418" spans="6:6">
      <c r="F418" t="str">
        <f>_xlfn.XLOOKUP(B418,MacReports!B:B,MacReports!D:D,"")</f>
        <v/>
      </c>
    </row>
    <row r="419" spans="6:6">
      <c r="F419" t="str">
        <f>_xlfn.XLOOKUP(B419,MacReports!B:B,MacReports!D:D,"")</f>
        <v/>
      </c>
    </row>
    <row r="420" spans="6:6">
      <c r="F420" t="str">
        <f>_xlfn.XLOOKUP(B420,MacReports!B:B,MacReports!D:D,"")</f>
        <v/>
      </c>
    </row>
    <row r="421" spans="6:6">
      <c r="F421" t="str">
        <f>_xlfn.XLOOKUP(B421,MacReports!B:B,MacReports!D:D,"")</f>
        <v/>
      </c>
    </row>
    <row r="422" spans="6:6">
      <c r="F422" t="str">
        <f>_xlfn.XLOOKUP(B422,MacReports!B:B,MacReports!D:D,"")</f>
        <v/>
      </c>
    </row>
    <row r="423" spans="6:6">
      <c r="F423" t="str">
        <f>_xlfn.XLOOKUP(B423,MacReports!B:B,MacReports!D:D,"")</f>
        <v/>
      </c>
    </row>
    <row r="424" spans="6:6">
      <c r="F424" t="str">
        <f>_xlfn.XLOOKUP(B424,MacReports!B:B,MacReports!D:D,"")</f>
        <v/>
      </c>
    </row>
    <row r="425" spans="6:6">
      <c r="F425" t="str">
        <f>_xlfn.XLOOKUP(B425,MacReports!B:B,MacReports!D:D,"")</f>
        <v/>
      </c>
    </row>
    <row r="426" spans="6:6">
      <c r="F426" t="str">
        <f>_xlfn.XLOOKUP(B426,MacReports!B:B,MacReports!D:D,"")</f>
        <v/>
      </c>
    </row>
    <row r="427" spans="6:6">
      <c r="F427" t="str">
        <f>_xlfn.XLOOKUP(B427,MacReports!B:B,MacReports!D:D,"")</f>
        <v/>
      </c>
    </row>
    <row r="428" spans="6:6">
      <c r="F428" t="str">
        <f>_xlfn.XLOOKUP(B428,MacReports!B:B,MacReports!D:D,"")</f>
        <v/>
      </c>
    </row>
    <row r="429" spans="6:6">
      <c r="F429" t="str">
        <f>_xlfn.XLOOKUP(B429,MacReports!B:B,MacReports!D:D,"")</f>
        <v/>
      </c>
    </row>
    <row r="430" spans="6:6">
      <c r="F430" t="str">
        <f>_xlfn.XLOOKUP(B430,MacReports!B:B,MacReports!D:D,"")</f>
        <v/>
      </c>
    </row>
    <row r="431" spans="6:6">
      <c r="F431" t="str">
        <f>_xlfn.XLOOKUP(B431,MacReports!B:B,MacReports!D:D,"")</f>
        <v/>
      </c>
    </row>
    <row r="432" spans="6:6">
      <c r="F432" t="str">
        <f>_xlfn.XLOOKUP(B432,MacReports!B:B,MacReports!D:D,"")</f>
        <v/>
      </c>
    </row>
    <row r="433" spans="6:6">
      <c r="F433" t="str">
        <f>_xlfn.XLOOKUP(B433,MacReports!B:B,MacReports!D:D,"")</f>
        <v/>
      </c>
    </row>
    <row r="434" spans="6:6">
      <c r="F434" t="str">
        <f>_xlfn.XLOOKUP(B434,MacReports!B:B,MacReports!D:D,"")</f>
        <v/>
      </c>
    </row>
    <row r="435" spans="6:6">
      <c r="F435" t="str">
        <f>_xlfn.XLOOKUP(B435,MacReports!B:B,MacReports!D:D,"")</f>
        <v/>
      </c>
    </row>
    <row r="436" spans="6:6">
      <c r="F436" t="str">
        <f>_xlfn.XLOOKUP(B436,MacReports!B:B,MacReports!D:D,"")</f>
        <v/>
      </c>
    </row>
    <row r="437" spans="6:6">
      <c r="F437" t="str">
        <f>_xlfn.XLOOKUP(B437,MacReports!B:B,MacReports!D:D,"")</f>
        <v/>
      </c>
    </row>
    <row r="438" spans="6:6">
      <c r="F438" t="str">
        <f>_xlfn.XLOOKUP(B438,MacReports!B:B,MacReports!D:D,"")</f>
        <v/>
      </c>
    </row>
    <row r="439" spans="6:6">
      <c r="F439" t="str">
        <f>_xlfn.XLOOKUP(B439,MacReports!B:B,MacReports!D:D,"")</f>
        <v/>
      </c>
    </row>
    <row r="440" spans="6:6">
      <c r="F440" t="str">
        <f>_xlfn.XLOOKUP(B440,MacReports!B:B,MacReports!D:D,"")</f>
        <v/>
      </c>
    </row>
    <row r="441" spans="6:6">
      <c r="F441" t="str">
        <f>_xlfn.XLOOKUP(B441,MacReports!B:B,MacReports!D:D,"")</f>
        <v/>
      </c>
    </row>
    <row r="442" spans="6:6">
      <c r="F442" t="str">
        <f>_xlfn.XLOOKUP(B442,MacReports!B:B,MacReports!D:D,"")</f>
        <v/>
      </c>
    </row>
    <row r="443" spans="6:6">
      <c r="F443" t="str">
        <f>_xlfn.XLOOKUP(B443,MacReports!B:B,MacReports!D:D,"")</f>
        <v/>
      </c>
    </row>
    <row r="444" spans="6:6">
      <c r="F444" t="str">
        <f>_xlfn.XLOOKUP(B444,MacReports!B:B,MacReports!D:D,"")</f>
        <v/>
      </c>
    </row>
    <row r="445" spans="6:6">
      <c r="F445" t="str">
        <f>_xlfn.XLOOKUP(B445,MacReports!B:B,MacReports!D:D,"")</f>
        <v/>
      </c>
    </row>
    <row r="446" spans="6:6">
      <c r="F446" t="str">
        <f>_xlfn.XLOOKUP(B446,MacReports!B:B,MacReports!D:D,"")</f>
        <v/>
      </c>
    </row>
    <row r="447" spans="6:6">
      <c r="F447" t="str">
        <f>_xlfn.XLOOKUP(B447,MacReports!B:B,MacReports!D:D,"")</f>
        <v/>
      </c>
    </row>
    <row r="448" spans="6:6">
      <c r="F448" t="str">
        <f>_xlfn.XLOOKUP(B448,MacReports!B:B,MacReports!D:D,"")</f>
        <v/>
      </c>
    </row>
    <row r="449" spans="6:6">
      <c r="F449" t="str">
        <f>_xlfn.XLOOKUP(B449,MacReports!B:B,MacReports!D:D,"")</f>
        <v/>
      </c>
    </row>
    <row r="450" spans="6:6">
      <c r="F450" t="str">
        <f>_xlfn.XLOOKUP(B450,MacReports!B:B,MacReports!D:D,"")</f>
        <v/>
      </c>
    </row>
    <row r="451" spans="6:6">
      <c r="F451" t="str">
        <f>_xlfn.XLOOKUP(B451,MacReports!B:B,MacReports!D:D,"")</f>
        <v/>
      </c>
    </row>
    <row r="452" spans="6:6">
      <c r="F452" t="str">
        <f>_xlfn.XLOOKUP(B452,MacReports!B:B,MacReports!D:D,"")</f>
        <v/>
      </c>
    </row>
    <row r="453" spans="6:6">
      <c r="F453" t="str">
        <f>_xlfn.XLOOKUP(B453,MacReports!B:B,MacReports!D:D,"")</f>
        <v/>
      </c>
    </row>
    <row r="454" spans="6:6">
      <c r="F454" t="str">
        <f>_xlfn.XLOOKUP(B454,MacReports!B:B,MacReports!D:D,"")</f>
        <v/>
      </c>
    </row>
    <row r="455" spans="6:6">
      <c r="F455" t="str">
        <f>_xlfn.XLOOKUP(B455,MacReports!B:B,MacReports!D:D,"")</f>
        <v/>
      </c>
    </row>
    <row r="456" spans="6:6">
      <c r="F456" t="str">
        <f>_xlfn.XLOOKUP(B456,MacReports!B:B,MacReports!D:D,"")</f>
        <v/>
      </c>
    </row>
    <row r="457" spans="6:6">
      <c r="F457" t="str">
        <f>_xlfn.XLOOKUP(B457,MacReports!B:B,MacReports!D:D,"")</f>
        <v/>
      </c>
    </row>
    <row r="458" spans="6:6">
      <c r="F458" t="str">
        <f>_xlfn.XLOOKUP(B458,MacReports!B:B,MacReports!D:D,"")</f>
        <v/>
      </c>
    </row>
    <row r="459" spans="6:6">
      <c r="F459" t="str">
        <f>_xlfn.XLOOKUP(B459,MacReports!B:B,MacReports!D:D,"")</f>
        <v/>
      </c>
    </row>
    <row r="460" spans="6:6">
      <c r="F460" t="str">
        <f>_xlfn.XLOOKUP(B460,MacReports!B:B,MacReports!D:D,"")</f>
        <v/>
      </c>
    </row>
    <row r="461" spans="6:6">
      <c r="F461" t="str">
        <f>_xlfn.XLOOKUP(B461,MacReports!B:B,MacReports!D:D,"")</f>
        <v/>
      </c>
    </row>
    <row r="462" spans="6:6">
      <c r="F462" t="str">
        <f>_xlfn.XLOOKUP(B462,MacReports!B:B,MacReports!D:D,"")</f>
        <v/>
      </c>
    </row>
    <row r="463" spans="6:6">
      <c r="F463" t="str">
        <f>_xlfn.XLOOKUP(B463,MacReports!B:B,MacReports!D:D,"")</f>
        <v/>
      </c>
    </row>
    <row r="464" spans="6:6">
      <c r="F464" t="str">
        <f>_xlfn.XLOOKUP(B464,MacReports!B:B,MacReports!D:D,"")</f>
        <v/>
      </c>
    </row>
    <row r="465" spans="6:6">
      <c r="F465" t="str">
        <f>_xlfn.XLOOKUP(B465,MacReports!B:B,MacReports!D:D,"")</f>
        <v/>
      </c>
    </row>
    <row r="466" spans="6:6">
      <c r="F466" t="str">
        <f>_xlfn.XLOOKUP(B466,MacReports!B:B,MacReports!D:D,"")</f>
        <v/>
      </c>
    </row>
    <row r="467" spans="6:6">
      <c r="F467" t="str">
        <f>_xlfn.XLOOKUP(B467,MacReports!B:B,MacReports!D:D,"")</f>
        <v/>
      </c>
    </row>
    <row r="468" spans="6:6">
      <c r="F468" t="str">
        <f>_xlfn.XLOOKUP(B468,MacReports!B:B,MacReports!D:D,"")</f>
        <v/>
      </c>
    </row>
    <row r="469" spans="6:6">
      <c r="F469" t="str">
        <f>_xlfn.XLOOKUP(B469,MacReports!B:B,MacReports!D:D,"")</f>
        <v/>
      </c>
    </row>
    <row r="470" spans="6:6">
      <c r="F470" t="str">
        <f>_xlfn.XLOOKUP(B470,MacReports!B:B,MacReports!D:D,"")</f>
        <v/>
      </c>
    </row>
    <row r="471" spans="6:6">
      <c r="F471" t="str">
        <f>_xlfn.XLOOKUP(B471,MacReports!B:B,MacReports!D:D,"")</f>
        <v/>
      </c>
    </row>
    <row r="472" spans="6:6">
      <c r="F472" t="str">
        <f>_xlfn.XLOOKUP(B472,MacReports!B:B,MacReports!D:D,"")</f>
        <v/>
      </c>
    </row>
    <row r="473" spans="6:6">
      <c r="F473" t="str">
        <f>_xlfn.XLOOKUP(B473,MacReports!B:B,MacReports!D:D,"")</f>
        <v/>
      </c>
    </row>
    <row r="474" spans="6:6">
      <c r="F474" t="str">
        <f>_xlfn.XLOOKUP(B474,MacReports!B:B,MacReports!D:D,"")</f>
        <v/>
      </c>
    </row>
    <row r="475" spans="6:6">
      <c r="F475" t="str">
        <f>_xlfn.XLOOKUP(B475,MacReports!B:B,MacReports!D:D,"")</f>
        <v/>
      </c>
    </row>
    <row r="476" spans="6:6">
      <c r="F476" t="str">
        <f>_xlfn.XLOOKUP(B476,MacReports!B:B,MacReports!D:D,"")</f>
        <v/>
      </c>
    </row>
    <row r="477" spans="6:6">
      <c r="F477" t="str">
        <f>_xlfn.XLOOKUP(B477,MacReports!B:B,MacReports!D:D,"")</f>
        <v/>
      </c>
    </row>
    <row r="478" spans="6:6">
      <c r="F478" t="str">
        <f>_xlfn.XLOOKUP(B478,MacReports!B:B,MacReports!D:D,"")</f>
        <v/>
      </c>
    </row>
    <row r="479" spans="6:6">
      <c r="F479" t="str">
        <f>_xlfn.XLOOKUP(B479,MacReports!B:B,MacReports!D:D,"")</f>
        <v/>
      </c>
    </row>
    <row r="480" spans="6:6">
      <c r="F480" t="str">
        <f>_xlfn.XLOOKUP(B480,MacReports!B:B,MacReports!D:D,"")</f>
        <v/>
      </c>
    </row>
    <row r="481" spans="6:6">
      <c r="F481" t="str">
        <f>_xlfn.XLOOKUP(B481,MacReports!B:B,MacReports!D:D,"")</f>
        <v/>
      </c>
    </row>
    <row r="482" spans="6:6">
      <c r="F482" t="str">
        <f>_xlfn.XLOOKUP(B482,MacReports!B:B,MacReports!D:D,"")</f>
        <v/>
      </c>
    </row>
    <row r="483" spans="6:6">
      <c r="F483" t="str">
        <f>_xlfn.XLOOKUP(B483,MacReports!B:B,MacReports!D:D,"")</f>
        <v/>
      </c>
    </row>
    <row r="484" spans="6:6">
      <c r="F484" t="str">
        <f>_xlfn.XLOOKUP(B484,MacReports!B:B,MacReports!D:D,"")</f>
        <v/>
      </c>
    </row>
    <row r="485" spans="6:6">
      <c r="F485" t="str">
        <f>_xlfn.XLOOKUP(B485,MacReports!B:B,MacReports!D:D,"")</f>
        <v/>
      </c>
    </row>
    <row r="486" spans="6:6">
      <c r="F486" t="str">
        <f>_xlfn.XLOOKUP(B486,MacReports!B:B,MacReports!D:D,"")</f>
        <v/>
      </c>
    </row>
    <row r="487" spans="6:6">
      <c r="F487" t="str">
        <f>_xlfn.XLOOKUP(B487,MacReports!B:B,MacReports!D:D,"")</f>
        <v/>
      </c>
    </row>
    <row r="488" spans="6:6">
      <c r="F488" t="str">
        <f>_xlfn.XLOOKUP(B488,MacReports!B:B,MacReports!D:D,"")</f>
        <v/>
      </c>
    </row>
    <row r="489" spans="6:6">
      <c r="F489" t="str">
        <f>_xlfn.XLOOKUP(B489,MacReports!B:B,MacReports!D:D,"")</f>
        <v/>
      </c>
    </row>
    <row r="490" spans="6:6">
      <c r="F490" t="str">
        <f>_xlfn.XLOOKUP(B490,MacReports!B:B,MacReports!D:D,"")</f>
        <v/>
      </c>
    </row>
    <row r="491" spans="6:6">
      <c r="F491" t="str">
        <f>_xlfn.XLOOKUP(B491,MacReports!B:B,MacReports!D:D,"")</f>
        <v/>
      </c>
    </row>
    <row r="492" spans="6:6">
      <c r="F492" t="str">
        <f>_xlfn.XLOOKUP(B492,MacReports!B:B,MacReports!D:D,"")</f>
        <v/>
      </c>
    </row>
    <row r="493" spans="6:6">
      <c r="F493" t="str">
        <f>_xlfn.XLOOKUP(B493,MacReports!B:B,MacReports!D:D,"")</f>
        <v/>
      </c>
    </row>
    <row r="494" spans="6:6">
      <c r="F494" t="str">
        <f>_xlfn.XLOOKUP(B494,MacReports!B:B,MacReports!D:D,"")</f>
        <v/>
      </c>
    </row>
    <row r="495" spans="6:6">
      <c r="F495" t="str">
        <f>_xlfn.XLOOKUP(B495,MacReports!B:B,MacReports!D:D,"")</f>
        <v/>
      </c>
    </row>
    <row r="496" spans="6:6">
      <c r="F496" t="str">
        <f>_xlfn.XLOOKUP(B496,MacReports!B:B,MacReports!D:D,"")</f>
        <v/>
      </c>
    </row>
    <row r="497" spans="6:6">
      <c r="F497" t="str">
        <f>_xlfn.XLOOKUP(B497,MacReports!B:B,MacReports!D:D,"")</f>
        <v/>
      </c>
    </row>
    <row r="498" spans="6:6">
      <c r="F498" t="str">
        <f>_xlfn.XLOOKUP(B498,MacReports!B:B,MacReports!D:D,"")</f>
        <v/>
      </c>
    </row>
    <row r="499" spans="6:6">
      <c r="F499" t="str">
        <f>_xlfn.XLOOKUP(B499,MacReports!B:B,MacReports!D:D,"")</f>
        <v/>
      </c>
    </row>
    <row r="500" spans="6:6">
      <c r="F500" t="str">
        <f>_xlfn.XLOOKUP(B500,MacReports!B:B,MacReports!D:D,"")</f>
        <v/>
      </c>
    </row>
    <row r="501" spans="6:6">
      <c r="F501" t="str">
        <f>_xlfn.XLOOKUP(B501,MacReports!B:B,MacReports!D:D,"")</f>
        <v/>
      </c>
    </row>
    <row r="502" spans="6:6">
      <c r="F502" t="str">
        <f>_xlfn.XLOOKUP(B502,MacReports!B:B,MacReports!D:D,"")</f>
        <v/>
      </c>
    </row>
    <row r="503" spans="6:6">
      <c r="F503" t="str">
        <f>_xlfn.XLOOKUP(B503,MacReports!B:B,MacReports!D:D,"")</f>
        <v/>
      </c>
    </row>
    <row r="504" spans="6:6">
      <c r="F504" t="str">
        <f>_xlfn.XLOOKUP(B504,MacReports!B:B,MacReports!D:D,"")</f>
        <v/>
      </c>
    </row>
    <row r="505" spans="6:6">
      <c r="F505" t="str">
        <f>_xlfn.XLOOKUP(B505,MacReports!B:B,MacReports!D:D,"")</f>
        <v/>
      </c>
    </row>
    <row r="506" spans="6:6">
      <c r="F506" t="str">
        <f>_xlfn.XLOOKUP(B506,MacReports!B:B,MacReports!D:D,"")</f>
        <v/>
      </c>
    </row>
    <row r="507" spans="6:6">
      <c r="F507" t="str">
        <f>_xlfn.XLOOKUP(B507,MacReports!B:B,MacReports!D:D,"")</f>
        <v/>
      </c>
    </row>
    <row r="508" spans="6:6">
      <c r="F508" t="str">
        <f>_xlfn.XLOOKUP(B508,MacReports!B:B,MacReports!D:D,"")</f>
        <v/>
      </c>
    </row>
    <row r="509" spans="6:6">
      <c r="F509" t="str">
        <f>_xlfn.XLOOKUP(B509,MacReports!B:B,MacReports!D:D,"")</f>
        <v/>
      </c>
    </row>
    <row r="510" spans="6:6">
      <c r="F510" t="str">
        <f>_xlfn.XLOOKUP(B510,MacReports!B:B,MacReports!D:D,"")</f>
        <v/>
      </c>
    </row>
    <row r="511" spans="6:6">
      <c r="F511" t="str">
        <f>_xlfn.XLOOKUP(B511,MacReports!B:B,MacReports!D:D,"")</f>
        <v/>
      </c>
    </row>
    <row r="512" spans="6:6">
      <c r="F512" t="str">
        <f>_xlfn.XLOOKUP(B512,MacReports!B:B,MacReports!D:D,"")</f>
        <v/>
      </c>
    </row>
    <row r="513" spans="6:6">
      <c r="F513" t="str">
        <f>_xlfn.XLOOKUP(B513,MacReports!B:B,MacReports!D:D,"")</f>
        <v/>
      </c>
    </row>
    <row r="514" spans="6:6">
      <c r="F514" t="str">
        <f>_xlfn.XLOOKUP(B514,MacReports!B:B,MacReports!D:D,"")</f>
        <v/>
      </c>
    </row>
    <row r="515" spans="6:6">
      <c r="F515" t="str">
        <f>_xlfn.XLOOKUP(B515,MacReports!B:B,MacReports!D:D,"")</f>
        <v/>
      </c>
    </row>
    <row r="516" spans="6:6">
      <c r="F516" t="str">
        <f>_xlfn.XLOOKUP(B516,MacReports!B:B,MacReports!D:D,"")</f>
        <v/>
      </c>
    </row>
    <row r="517" spans="6:6">
      <c r="F517" t="str">
        <f>_xlfn.XLOOKUP(B517,MacReports!B:B,MacReports!D:D,"")</f>
        <v/>
      </c>
    </row>
    <row r="518" spans="6:6">
      <c r="F518" t="str">
        <f>_xlfn.XLOOKUP(B518,MacReports!B:B,MacReports!D:D,"")</f>
        <v/>
      </c>
    </row>
    <row r="519" spans="6:6">
      <c r="F519" t="str">
        <f>_xlfn.XLOOKUP(B519,MacReports!B:B,MacReports!D:D,"")</f>
        <v/>
      </c>
    </row>
    <row r="520" spans="6:6">
      <c r="F520" t="str">
        <f>_xlfn.XLOOKUP(B520,MacReports!B:B,MacReports!D:D,"")</f>
        <v/>
      </c>
    </row>
    <row r="521" spans="6:6">
      <c r="F521" t="str">
        <f>_xlfn.XLOOKUP(B521,MacReports!B:B,MacReports!D:D,"")</f>
        <v/>
      </c>
    </row>
    <row r="522" spans="6:6">
      <c r="F522" t="str">
        <f>_xlfn.XLOOKUP(B522,MacReports!B:B,MacReports!D:D,"")</f>
        <v/>
      </c>
    </row>
    <row r="523" spans="6:6">
      <c r="F523" t="str">
        <f>_xlfn.XLOOKUP(B523,MacReports!B:B,MacReports!D:D,"")</f>
        <v/>
      </c>
    </row>
    <row r="524" spans="6:6">
      <c r="F524" t="str">
        <f>_xlfn.XLOOKUP(B524,MacReports!B:B,MacReports!D:D,"")</f>
        <v/>
      </c>
    </row>
    <row r="525" spans="6:6">
      <c r="F525" t="str">
        <f>_xlfn.XLOOKUP(B525,MacReports!B:B,MacReports!D:D,"")</f>
        <v/>
      </c>
    </row>
    <row r="526" spans="6:6">
      <c r="F526" t="str">
        <f>_xlfn.XLOOKUP(B526,MacReports!B:B,MacReports!D:D,"")</f>
        <v/>
      </c>
    </row>
    <row r="527" spans="6:6">
      <c r="F527" t="str">
        <f>_xlfn.XLOOKUP(B527,MacReports!B:B,MacReports!D:D,"")</f>
        <v/>
      </c>
    </row>
    <row r="528" spans="6:6">
      <c r="F528" t="str">
        <f>_xlfn.XLOOKUP(B528,MacReports!B:B,MacReports!D:D,"")</f>
        <v/>
      </c>
    </row>
    <row r="529" spans="6:6">
      <c r="F529" t="str">
        <f>_xlfn.XLOOKUP(B529,MacReports!B:B,MacReports!D:D,"")</f>
        <v/>
      </c>
    </row>
    <row r="530" spans="6:6">
      <c r="F530" t="str">
        <f>_xlfn.XLOOKUP(B530,MacReports!B:B,MacReports!D:D,"")</f>
        <v/>
      </c>
    </row>
    <row r="531" spans="6:6">
      <c r="F531" t="str">
        <f>_xlfn.XLOOKUP(B531,MacReports!B:B,MacReports!D:D,"")</f>
        <v/>
      </c>
    </row>
    <row r="532" spans="6:6">
      <c r="F532" t="str">
        <f>_xlfn.XLOOKUP(B532,MacReports!B:B,MacReports!D:D,"")</f>
        <v/>
      </c>
    </row>
    <row r="533" spans="6:6">
      <c r="F533" t="str">
        <f>_xlfn.XLOOKUP(B533,MacReports!B:B,MacReports!D:D,"")</f>
        <v/>
      </c>
    </row>
    <row r="534" spans="6:6">
      <c r="F534" t="str">
        <f>_xlfn.XLOOKUP(B534,MacReports!B:B,MacReports!D:D,"")</f>
        <v/>
      </c>
    </row>
    <row r="535" spans="6:6">
      <c r="F535" t="str">
        <f>_xlfn.XLOOKUP(B535,MacReports!B:B,MacReports!D:D,"")</f>
        <v/>
      </c>
    </row>
    <row r="536" spans="6:6">
      <c r="F536" t="str">
        <f>_xlfn.XLOOKUP(B536,MacReports!B:B,MacReports!D:D,"")</f>
        <v/>
      </c>
    </row>
    <row r="537" spans="6:6">
      <c r="F537" t="str">
        <f>_xlfn.XLOOKUP(B537,MacReports!B:B,MacReports!D:D,"")</f>
        <v/>
      </c>
    </row>
    <row r="538" spans="6:6">
      <c r="F538" t="str">
        <f>_xlfn.XLOOKUP(B538,MacReports!B:B,MacReports!D:D,"")</f>
        <v/>
      </c>
    </row>
    <row r="539" spans="6:6">
      <c r="F539" t="str">
        <f>_xlfn.XLOOKUP(B539,MacReports!B:B,MacReports!D:D,"")</f>
        <v/>
      </c>
    </row>
    <row r="540" spans="6:6">
      <c r="F540" t="str">
        <f>_xlfn.XLOOKUP(B540,MacReports!B:B,MacReports!D:D,"")</f>
        <v/>
      </c>
    </row>
    <row r="541" spans="6:6">
      <c r="F541" t="str">
        <f>_xlfn.XLOOKUP(B541,MacReports!B:B,MacReports!D:D,"")</f>
        <v/>
      </c>
    </row>
    <row r="542" spans="6:6">
      <c r="F542" t="str">
        <f>_xlfn.XLOOKUP(B542,MacReports!B:B,MacReports!D:D,"")</f>
        <v/>
      </c>
    </row>
    <row r="543" spans="6:6">
      <c r="F543" t="str">
        <f>_xlfn.XLOOKUP(B543,MacReports!B:B,MacReports!D:D,"")</f>
        <v/>
      </c>
    </row>
    <row r="544" spans="6:6">
      <c r="F544" t="str">
        <f>_xlfn.XLOOKUP(B544,MacReports!B:B,MacReports!D:D,"")</f>
        <v/>
      </c>
    </row>
    <row r="545" spans="6:6">
      <c r="F545" t="str">
        <f>_xlfn.XLOOKUP(B545,MacReports!B:B,MacReports!D:D,"")</f>
        <v/>
      </c>
    </row>
    <row r="546" spans="6:6">
      <c r="F546" t="str">
        <f>_xlfn.XLOOKUP(B546,MacReports!B:B,MacReports!D:D,"")</f>
        <v/>
      </c>
    </row>
    <row r="547" spans="6:6">
      <c r="F547" t="str">
        <f>_xlfn.XLOOKUP(B547,MacReports!B:B,MacReports!D:D,"")</f>
        <v/>
      </c>
    </row>
    <row r="548" spans="6:6">
      <c r="F548" t="str">
        <f>_xlfn.XLOOKUP(B548,MacReports!B:B,MacReports!D:D,"")</f>
        <v/>
      </c>
    </row>
    <row r="549" spans="6:6">
      <c r="F549" t="str">
        <f>_xlfn.XLOOKUP(B549,MacReports!B:B,MacReports!D:D,"")</f>
        <v/>
      </c>
    </row>
    <row r="550" spans="6:6">
      <c r="F550" t="str">
        <f>_xlfn.XLOOKUP(B550,MacReports!B:B,MacReports!D:D,"")</f>
        <v/>
      </c>
    </row>
    <row r="551" spans="6:6">
      <c r="F551" t="str">
        <f>_xlfn.XLOOKUP(B551,MacReports!B:B,MacReports!D:D,"")</f>
        <v/>
      </c>
    </row>
    <row r="552" spans="6:6">
      <c r="F552" t="str">
        <f>_xlfn.XLOOKUP(B552,MacReports!B:B,MacReports!D:D,"")</f>
        <v/>
      </c>
    </row>
    <row r="553" spans="6:6">
      <c r="F553" t="str">
        <f>_xlfn.XLOOKUP(B553,MacReports!B:B,MacReports!D:D,"")</f>
        <v/>
      </c>
    </row>
    <row r="554" spans="6:6">
      <c r="F554" t="str">
        <f>_xlfn.XLOOKUP(B554,MacReports!B:B,MacReports!D:D,"")</f>
        <v/>
      </c>
    </row>
    <row r="555" spans="6:6">
      <c r="F555" t="str">
        <f>_xlfn.XLOOKUP(B555,MacReports!B:B,MacReports!D:D,"")</f>
        <v/>
      </c>
    </row>
    <row r="556" spans="6:6">
      <c r="F556" t="str">
        <f>_xlfn.XLOOKUP(B556,MacReports!B:B,MacReports!D:D,"")</f>
        <v/>
      </c>
    </row>
    <row r="557" spans="6:6">
      <c r="F557" t="str">
        <f>_xlfn.XLOOKUP(B557,MacReports!B:B,MacReports!D:D,"")</f>
        <v/>
      </c>
    </row>
    <row r="558" spans="6:6">
      <c r="F558" t="str">
        <f>_xlfn.XLOOKUP(B558,MacReports!B:B,MacReports!D:D,"")</f>
        <v/>
      </c>
    </row>
    <row r="559" spans="6:6">
      <c r="F559" t="str">
        <f>_xlfn.XLOOKUP(B559,MacReports!B:B,MacReports!D:D,"")</f>
        <v/>
      </c>
    </row>
    <row r="560" spans="6:6">
      <c r="F560" t="str">
        <f>_xlfn.XLOOKUP(B560,MacReports!B:B,MacReports!D:D,"")</f>
        <v/>
      </c>
    </row>
    <row r="561" spans="6:6">
      <c r="F561" t="str">
        <f>_xlfn.XLOOKUP(B561,MacReports!B:B,MacReports!D:D,"")</f>
        <v/>
      </c>
    </row>
    <row r="562" spans="6:6">
      <c r="F562" t="str">
        <f>_xlfn.XLOOKUP(B562,MacReports!B:B,MacReports!D:D,"")</f>
        <v/>
      </c>
    </row>
    <row r="563" spans="6:6">
      <c r="F563" t="str">
        <f>_xlfn.XLOOKUP(B563,MacReports!B:B,MacReports!D:D,"")</f>
        <v/>
      </c>
    </row>
    <row r="564" spans="6:6">
      <c r="F564" t="str">
        <f>_xlfn.XLOOKUP(B564,MacReports!B:B,MacReports!D:D,"")</f>
        <v/>
      </c>
    </row>
    <row r="565" spans="6:6">
      <c r="F565" t="str">
        <f>_xlfn.XLOOKUP(B565,MacReports!B:B,MacReports!D:D,"")</f>
        <v/>
      </c>
    </row>
    <row r="566" spans="6:6">
      <c r="F566" t="str">
        <f>_xlfn.XLOOKUP(B566,MacReports!B:B,MacReports!D:D,"")</f>
        <v/>
      </c>
    </row>
    <row r="567" spans="6:6">
      <c r="F567" t="str">
        <f>_xlfn.XLOOKUP(B567,MacReports!B:B,MacReports!D:D,"")</f>
        <v/>
      </c>
    </row>
    <row r="568" spans="6:6">
      <c r="F568" t="str">
        <f>_xlfn.XLOOKUP(B568,MacReports!B:B,MacReports!D:D,"")</f>
        <v/>
      </c>
    </row>
    <row r="569" spans="6:6">
      <c r="F569" t="str">
        <f>_xlfn.XLOOKUP(B569,MacReports!B:B,MacReports!D:D,"")</f>
        <v/>
      </c>
    </row>
    <row r="570" spans="6:6">
      <c r="F570" t="str">
        <f>_xlfn.XLOOKUP(B570,MacReports!B:B,MacReports!D:D,"")</f>
        <v/>
      </c>
    </row>
    <row r="571" spans="6:6">
      <c r="F571" t="str">
        <f>_xlfn.XLOOKUP(B571,MacReports!B:B,MacReports!D:D,"")</f>
        <v/>
      </c>
    </row>
    <row r="572" spans="6:6">
      <c r="F572" t="str">
        <f>_xlfn.XLOOKUP(B572,MacReports!B:B,MacReports!D:D,"")</f>
        <v/>
      </c>
    </row>
    <row r="573" spans="6:6">
      <c r="F573" t="str">
        <f>_xlfn.XLOOKUP(B573,MacReports!B:B,MacReports!D:D,"")</f>
        <v/>
      </c>
    </row>
    <row r="574" spans="6:6">
      <c r="F574" t="str">
        <f>_xlfn.XLOOKUP(B574,MacReports!B:B,MacReports!D:D,"")</f>
        <v/>
      </c>
    </row>
    <row r="575" spans="6:6">
      <c r="F575" t="str">
        <f>_xlfn.XLOOKUP(B575,MacReports!B:B,MacReports!D:D,"")</f>
        <v/>
      </c>
    </row>
    <row r="576" spans="6:6">
      <c r="F576" t="str">
        <f>_xlfn.XLOOKUP(B576,MacReports!B:B,MacReports!D:D,"")</f>
        <v/>
      </c>
    </row>
    <row r="577" spans="6:6">
      <c r="F577" t="str">
        <f>_xlfn.XLOOKUP(B577,MacReports!B:B,MacReports!D:D,"")</f>
        <v/>
      </c>
    </row>
    <row r="578" spans="6:6">
      <c r="F578" t="str">
        <f>_xlfn.XLOOKUP(B578,MacReports!B:B,MacReports!D:D,"")</f>
        <v/>
      </c>
    </row>
    <row r="579" spans="6:6">
      <c r="F579" t="str">
        <f>_xlfn.XLOOKUP(B579,MacReports!B:B,MacReports!D:D,"")</f>
        <v/>
      </c>
    </row>
    <row r="580" spans="6:6">
      <c r="F580" t="str">
        <f>_xlfn.XLOOKUP(B580,MacReports!B:B,MacReports!D:D,"")</f>
        <v/>
      </c>
    </row>
    <row r="581" spans="6:6">
      <c r="F581" t="str">
        <f>_xlfn.XLOOKUP(B581,MacReports!B:B,MacReports!D:D,"")</f>
        <v/>
      </c>
    </row>
    <row r="582" spans="6:6">
      <c r="F582" t="str">
        <f>_xlfn.XLOOKUP(B582,MacReports!B:B,MacReports!D:D,"")</f>
        <v/>
      </c>
    </row>
    <row r="583" spans="6:6">
      <c r="F583" t="str">
        <f>_xlfn.XLOOKUP(B583,MacReports!B:B,MacReports!D:D,"")</f>
        <v/>
      </c>
    </row>
    <row r="584" spans="6:6">
      <c r="F584" t="str">
        <f>_xlfn.XLOOKUP(B584,MacReports!B:B,MacReports!D:D,"")</f>
        <v/>
      </c>
    </row>
    <row r="585" spans="6:6">
      <c r="F585" t="str">
        <f>_xlfn.XLOOKUP(B585,MacReports!B:B,MacReports!D:D,"")</f>
        <v/>
      </c>
    </row>
    <row r="586" spans="6:6">
      <c r="F586" t="str">
        <f>_xlfn.XLOOKUP(B586,MacReports!B:B,MacReports!D:D,"")</f>
        <v/>
      </c>
    </row>
    <row r="587" spans="6:6">
      <c r="F587" t="str">
        <f>_xlfn.XLOOKUP(B587,MacReports!B:B,MacReports!D:D,"")</f>
        <v/>
      </c>
    </row>
    <row r="588" spans="6:6">
      <c r="F588" t="str">
        <f>_xlfn.XLOOKUP(B588,MacReports!B:B,MacReports!D:D,"")</f>
        <v/>
      </c>
    </row>
    <row r="589" spans="6:6">
      <c r="F589" t="str">
        <f>_xlfn.XLOOKUP(B589,MacReports!B:B,MacReports!D:D,"")</f>
        <v/>
      </c>
    </row>
    <row r="590" spans="6:6">
      <c r="F590" t="str">
        <f>_xlfn.XLOOKUP(B590,MacReports!B:B,MacReports!D:D,"")</f>
        <v/>
      </c>
    </row>
    <row r="591" spans="6:6">
      <c r="F591" t="str">
        <f>_xlfn.XLOOKUP(B591,MacReports!B:B,MacReports!D:D,"")</f>
        <v/>
      </c>
    </row>
    <row r="592" spans="6:6">
      <c r="F592" t="str">
        <f>_xlfn.XLOOKUP(B592,MacReports!B:B,MacReports!D:D,"")</f>
        <v/>
      </c>
    </row>
    <row r="593" spans="6:6">
      <c r="F593" t="str">
        <f>_xlfn.XLOOKUP(B593,MacReports!B:B,MacReports!D:D,"")</f>
        <v/>
      </c>
    </row>
    <row r="594" spans="6:6">
      <c r="F594" t="str">
        <f>_xlfn.XLOOKUP(B594,MacReports!B:B,MacReports!D:D,"")</f>
        <v/>
      </c>
    </row>
    <row r="595" spans="6:6">
      <c r="F595" t="str">
        <f>_xlfn.XLOOKUP(B595,MacReports!B:B,MacReports!D:D,"")</f>
        <v/>
      </c>
    </row>
    <row r="596" spans="6:6">
      <c r="F596" t="str">
        <f>_xlfn.XLOOKUP(B596,MacReports!B:B,MacReports!D:D,"")</f>
        <v/>
      </c>
    </row>
    <row r="597" spans="6:6">
      <c r="F597" t="str">
        <f>_xlfn.XLOOKUP(B597,MacReports!B:B,MacReports!D:D,"")</f>
        <v/>
      </c>
    </row>
    <row r="598" spans="6:6">
      <c r="F598" t="str">
        <f>_xlfn.XLOOKUP(B598,MacReports!B:B,MacReports!D:D,"")</f>
        <v/>
      </c>
    </row>
    <row r="599" spans="6:6">
      <c r="F599" t="str">
        <f>_xlfn.XLOOKUP(B599,MacReports!B:B,MacReports!D:D,"")</f>
        <v/>
      </c>
    </row>
    <row r="600" spans="6:6">
      <c r="F600" t="str">
        <f>_xlfn.XLOOKUP(B600,MacReports!B:B,MacReports!D:D,"")</f>
        <v/>
      </c>
    </row>
    <row r="601" spans="6:6">
      <c r="F601" t="str">
        <f>_xlfn.XLOOKUP(B601,MacReports!B:B,MacReports!D:D,"")</f>
        <v/>
      </c>
    </row>
    <row r="602" spans="6:6">
      <c r="F602" t="str">
        <f>_xlfn.XLOOKUP(B602,MacReports!B:B,MacReports!D:D,"")</f>
        <v/>
      </c>
    </row>
    <row r="603" spans="6:6">
      <c r="F603" t="str">
        <f>_xlfn.XLOOKUP(B603,MacReports!B:B,MacReports!D:D,"")</f>
        <v/>
      </c>
    </row>
    <row r="604" spans="6:6">
      <c r="F604" t="str">
        <f>_xlfn.XLOOKUP(B604,MacReports!B:B,MacReports!D:D,"")</f>
        <v/>
      </c>
    </row>
    <row r="605" spans="6:6">
      <c r="F605" t="str">
        <f>_xlfn.XLOOKUP(B605,MacReports!B:B,MacReports!D:D,"")</f>
        <v/>
      </c>
    </row>
    <row r="606" spans="6:6">
      <c r="F606" t="str">
        <f>_xlfn.XLOOKUP(B606,MacReports!B:B,MacReports!D:D,"")</f>
        <v/>
      </c>
    </row>
    <row r="607" spans="6:6">
      <c r="F607" t="str">
        <f>_xlfn.XLOOKUP(B607,MacReports!B:B,MacReports!D:D,"")</f>
        <v/>
      </c>
    </row>
    <row r="608" spans="6:6">
      <c r="F608" t="str">
        <f>_xlfn.XLOOKUP(B608,MacReports!B:B,MacReports!D:D,"")</f>
        <v/>
      </c>
    </row>
    <row r="609" spans="6:6">
      <c r="F609" t="str">
        <f>_xlfn.XLOOKUP(B609,MacReports!B:B,MacReports!D:D,"")</f>
        <v/>
      </c>
    </row>
    <row r="610" spans="6:6">
      <c r="F610" t="str">
        <f>_xlfn.XLOOKUP(B610,MacReports!B:B,MacReports!D:D,"")</f>
        <v/>
      </c>
    </row>
    <row r="611" spans="6:6">
      <c r="F611" t="str">
        <f>_xlfn.XLOOKUP(B611,MacReports!B:B,MacReports!D:D,"")</f>
        <v/>
      </c>
    </row>
    <row r="612" spans="6:6">
      <c r="F612" t="str">
        <f>_xlfn.XLOOKUP(B612,MacReports!B:B,MacReports!D:D,"")</f>
        <v/>
      </c>
    </row>
    <row r="613" spans="6:6">
      <c r="F613" t="str">
        <f>_xlfn.XLOOKUP(B613,MacReports!B:B,MacReports!D:D,"")</f>
        <v/>
      </c>
    </row>
    <row r="614" spans="6:6">
      <c r="F614" t="str">
        <f>_xlfn.XLOOKUP(B614,MacReports!B:B,MacReports!D:D,"")</f>
        <v/>
      </c>
    </row>
    <row r="615" spans="6:6">
      <c r="F615" t="str">
        <f>_xlfn.XLOOKUP(B615,MacReports!B:B,MacReports!D:D,"")</f>
        <v/>
      </c>
    </row>
    <row r="616" spans="6:6">
      <c r="F616" t="str">
        <f>_xlfn.XLOOKUP(B616,MacReports!B:B,MacReports!D:D,"")</f>
        <v/>
      </c>
    </row>
    <row r="617" spans="6:6">
      <c r="F617" t="str">
        <f>_xlfn.XLOOKUP(B617,MacReports!B:B,MacReports!D:D,"")</f>
        <v/>
      </c>
    </row>
    <row r="618" spans="6:6">
      <c r="F618" t="str">
        <f>_xlfn.XLOOKUP(B618,MacReports!B:B,MacReports!D:D,"")</f>
        <v/>
      </c>
    </row>
    <row r="619" spans="6:6">
      <c r="F619" t="str">
        <f>_xlfn.XLOOKUP(B619,MacReports!B:B,MacReports!D:D,"")</f>
        <v/>
      </c>
    </row>
    <row r="620" spans="6:6">
      <c r="F620" t="str">
        <f>_xlfn.XLOOKUP(B620,MacReports!B:B,MacReports!D:D,"")</f>
        <v/>
      </c>
    </row>
    <row r="621" spans="6:6">
      <c r="F621" t="str">
        <f>_xlfn.XLOOKUP(B621,MacReports!B:B,MacReports!D:D,"")</f>
        <v/>
      </c>
    </row>
    <row r="622" spans="6:6">
      <c r="F622" t="str">
        <f>_xlfn.XLOOKUP(B622,MacReports!B:B,MacReports!D:D,"")</f>
        <v/>
      </c>
    </row>
    <row r="623" spans="6:6">
      <c r="F623" t="str">
        <f>_xlfn.XLOOKUP(B623,MacReports!B:B,MacReports!D:D,"")</f>
        <v/>
      </c>
    </row>
    <row r="624" spans="6:6">
      <c r="F624" t="str">
        <f>_xlfn.XLOOKUP(B624,MacReports!B:B,MacReports!D:D,"")</f>
        <v/>
      </c>
    </row>
    <row r="625" spans="6:6">
      <c r="F625" t="str">
        <f>_xlfn.XLOOKUP(B625,MacReports!B:B,MacReports!D:D,"")</f>
        <v/>
      </c>
    </row>
    <row r="626" spans="6:6">
      <c r="F626" t="str">
        <f>_xlfn.XLOOKUP(B626,MacReports!B:B,MacReports!D:D,"")</f>
        <v/>
      </c>
    </row>
    <row r="627" spans="6:6">
      <c r="F627" t="str">
        <f>_xlfn.XLOOKUP(B627,MacReports!B:B,MacReports!D:D,"")</f>
        <v/>
      </c>
    </row>
    <row r="628" spans="6:6">
      <c r="F628" t="str">
        <f>_xlfn.XLOOKUP(B628,MacReports!B:B,MacReports!D:D,"")</f>
        <v/>
      </c>
    </row>
    <row r="629" spans="6:6">
      <c r="F629" t="str">
        <f>_xlfn.XLOOKUP(B629,MacReports!B:B,MacReports!D:D,"")</f>
        <v/>
      </c>
    </row>
    <row r="630" spans="6:6">
      <c r="F630" t="str">
        <f>_xlfn.XLOOKUP(B630,MacReports!B:B,MacReports!D:D,"")</f>
        <v/>
      </c>
    </row>
    <row r="631" spans="6:6">
      <c r="F631" t="str">
        <f>_xlfn.XLOOKUP(B631,MacReports!B:B,MacReports!D:D,"")</f>
        <v/>
      </c>
    </row>
    <row r="632" spans="6:6">
      <c r="F632" t="str">
        <f>_xlfn.XLOOKUP(B632,MacReports!B:B,MacReports!D:D,"")</f>
        <v/>
      </c>
    </row>
    <row r="633" spans="6:6">
      <c r="F633" t="str">
        <f>_xlfn.XLOOKUP(B633,MacReports!B:B,MacReports!D:D,"")</f>
        <v/>
      </c>
    </row>
    <row r="634" spans="6:6">
      <c r="F634" t="str">
        <f>_xlfn.XLOOKUP(B634,MacReports!B:B,MacReports!D:D,"")</f>
        <v/>
      </c>
    </row>
    <row r="635" spans="6:6">
      <c r="F635" t="str">
        <f>_xlfn.XLOOKUP(B635,MacReports!B:B,MacReports!D:D,"")</f>
        <v/>
      </c>
    </row>
    <row r="636" spans="6:6">
      <c r="F636" t="str">
        <f>_xlfn.XLOOKUP(B636,MacReports!B:B,MacReports!D:D,"")</f>
        <v/>
      </c>
    </row>
    <row r="637" spans="6:6">
      <c r="F637" t="str">
        <f>_xlfn.XLOOKUP(B637,MacReports!B:B,MacReports!D:D,"")</f>
        <v/>
      </c>
    </row>
    <row r="638" spans="6:6">
      <c r="F638" t="str">
        <f>_xlfn.XLOOKUP(B638,MacReports!B:B,MacReports!D:D,"")</f>
        <v/>
      </c>
    </row>
    <row r="639" spans="6:6">
      <c r="F639" t="str">
        <f>_xlfn.XLOOKUP(B639,MacReports!B:B,MacReports!D:D,"")</f>
        <v/>
      </c>
    </row>
    <row r="640" spans="6:6">
      <c r="F640" t="str">
        <f>_xlfn.XLOOKUP(B640,MacReports!B:B,MacReports!D:D,"")</f>
        <v/>
      </c>
    </row>
    <row r="641" spans="6:6">
      <c r="F641" t="str">
        <f>_xlfn.XLOOKUP(B641,MacReports!B:B,MacReports!D:D,"")</f>
        <v/>
      </c>
    </row>
    <row r="642" spans="6:6">
      <c r="F642" t="str">
        <f>_xlfn.XLOOKUP(B642,MacReports!B:B,MacReports!D:D,"")</f>
        <v/>
      </c>
    </row>
    <row r="643" spans="6:6">
      <c r="F643" t="str">
        <f>_xlfn.XLOOKUP(B643,MacReports!B:B,MacReports!D:D,"")</f>
        <v/>
      </c>
    </row>
    <row r="644" spans="6:6">
      <c r="F644" t="str">
        <f>_xlfn.XLOOKUP(B644,MacReports!B:B,MacReports!D:D,"")</f>
        <v/>
      </c>
    </row>
    <row r="645" spans="6:6">
      <c r="F645" t="str">
        <f>_xlfn.XLOOKUP(B645,MacReports!B:B,MacReports!D:D,"")</f>
        <v/>
      </c>
    </row>
    <row r="646" spans="6:6">
      <c r="F646" t="str">
        <f>_xlfn.XLOOKUP(B646,MacReports!B:B,MacReports!D:D,"")</f>
        <v/>
      </c>
    </row>
    <row r="647" spans="6:6">
      <c r="F647" t="str">
        <f>_xlfn.XLOOKUP(B647,MacReports!B:B,MacReports!D:D,"")</f>
        <v/>
      </c>
    </row>
    <row r="648" spans="6:6">
      <c r="F648" t="str">
        <f>_xlfn.XLOOKUP(B648,MacReports!B:B,MacReports!D:D,"")</f>
        <v/>
      </c>
    </row>
    <row r="649" spans="6:6">
      <c r="F649" t="str">
        <f>_xlfn.XLOOKUP(B649,MacReports!B:B,MacReports!D:D,"")</f>
        <v/>
      </c>
    </row>
    <row r="650" spans="6:6">
      <c r="F650" t="str">
        <f>_xlfn.XLOOKUP(B650,MacReports!B:B,MacReports!D:D,"")</f>
        <v/>
      </c>
    </row>
    <row r="651" spans="6:6">
      <c r="F651" t="str">
        <f>_xlfn.XLOOKUP(B651,MacReports!B:B,MacReports!D:D,"")</f>
        <v/>
      </c>
    </row>
    <row r="652" spans="6:6">
      <c r="F652" t="str">
        <f>_xlfn.XLOOKUP(B652,MacReports!B:B,MacReports!D:D,"")</f>
        <v/>
      </c>
    </row>
    <row r="653" spans="6:6">
      <c r="F653" t="str">
        <f>_xlfn.XLOOKUP(B653,MacReports!B:B,MacReports!D:D,"")</f>
        <v/>
      </c>
    </row>
    <row r="654" spans="6:6">
      <c r="F654" t="str">
        <f>_xlfn.XLOOKUP(B654,MacReports!B:B,MacReports!D:D,"")</f>
        <v/>
      </c>
    </row>
    <row r="655" spans="6:6">
      <c r="F655" t="str">
        <f>_xlfn.XLOOKUP(B655,MacReports!B:B,MacReports!D:D,"")</f>
        <v/>
      </c>
    </row>
    <row r="656" spans="6:6">
      <c r="F656" t="str">
        <f>_xlfn.XLOOKUP(B656,MacReports!B:B,MacReports!D:D,"")</f>
        <v/>
      </c>
    </row>
    <row r="657" spans="6:6">
      <c r="F657" t="str">
        <f>_xlfn.XLOOKUP(B657,MacReports!B:B,MacReports!D:D,"")</f>
        <v/>
      </c>
    </row>
    <row r="658" spans="6:6">
      <c r="F658" t="str">
        <f>_xlfn.XLOOKUP(B658,MacReports!B:B,MacReports!D:D,"")</f>
        <v/>
      </c>
    </row>
    <row r="659" spans="6:6">
      <c r="F659" t="str">
        <f>_xlfn.XLOOKUP(B659,MacReports!B:B,MacReports!D:D,"")</f>
        <v/>
      </c>
    </row>
    <row r="660" spans="6:6">
      <c r="F660" t="str">
        <f>_xlfn.XLOOKUP(B660,MacReports!B:B,MacReports!D:D,"")</f>
        <v/>
      </c>
    </row>
    <row r="661" spans="6:6">
      <c r="F661" t="str">
        <f>_xlfn.XLOOKUP(B661,MacReports!B:B,MacReports!D:D,"")</f>
        <v/>
      </c>
    </row>
    <row r="662" spans="6:6">
      <c r="F662" t="str">
        <f>_xlfn.XLOOKUP(B662,MacReports!B:B,MacReports!D:D,"")</f>
        <v/>
      </c>
    </row>
    <row r="663" spans="6:6">
      <c r="F663" t="str">
        <f>_xlfn.XLOOKUP(B663,MacReports!B:B,MacReports!D:D,"")</f>
        <v/>
      </c>
    </row>
    <row r="664" spans="6:6">
      <c r="F664" t="str">
        <f>_xlfn.XLOOKUP(B664,MacReports!B:B,MacReports!D:D,"")</f>
        <v/>
      </c>
    </row>
    <row r="665" spans="6:6">
      <c r="F665" t="str">
        <f>_xlfn.XLOOKUP(B665,MacReports!B:B,MacReports!D:D,"")</f>
        <v/>
      </c>
    </row>
    <row r="666" spans="6:6">
      <c r="F666" t="str">
        <f>_xlfn.XLOOKUP(B666,MacReports!B:B,MacReports!D:D,"")</f>
        <v/>
      </c>
    </row>
    <row r="667" spans="6:6">
      <c r="F667" t="str">
        <f>_xlfn.XLOOKUP(B667,MacReports!B:B,MacReports!D:D,"")</f>
        <v/>
      </c>
    </row>
    <row r="668" spans="6:6">
      <c r="F668" t="str">
        <f>_xlfn.XLOOKUP(B668,MacReports!B:B,MacReports!D:D,"")</f>
        <v/>
      </c>
    </row>
    <row r="669" spans="6:6">
      <c r="F669" t="str">
        <f>_xlfn.XLOOKUP(B669,MacReports!B:B,MacReports!D:D,"")</f>
        <v/>
      </c>
    </row>
    <row r="670" spans="6:6">
      <c r="F670" t="str">
        <f>_xlfn.XLOOKUP(B670,MacReports!B:B,MacReports!D:D,"")</f>
        <v/>
      </c>
    </row>
    <row r="671" spans="6:6">
      <c r="F671" t="str">
        <f>_xlfn.XLOOKUP(B671,MacReports!B:B,MacReports!D:D,"")</f>
        <v/>
      </c>
    </row>
    <row r="672" spans="6:6">
      <c r="F672" t="str">
        <f>_xlfn.XLOOKUP(B672,MacReports!B:B,MacReports!D:D,"")</f>
        <v/>
      </c>
    </row>
    <row r="673" spans="6:6">
      <c r="F673" t="str">
        <f>_xlfn.XLOOKUP(B673,MacReports!B:B,MacReports!D:D,"")</f>
        <v/>
      </c>
    </row>
    <row r="674" spans="6:6">
      <c r="F674" t="str">
        <f>_xlfn.XLOOKUP(B674,MacReports!B:B,MacReports!D:D,"")</f>
        <v/>
      </c>
    </row>
    <row r="675" spans="6:6">
      <c r="F675" t="str">
        <f>_xlfn.XLOOKUP(B675,MacReports!B:B,MacReports!D:D,"")</f>
        <v/>
      </c>
    </row>
    <row r="676" spans="6:6">
      <c r="F676" t="str">
        <f>_xlfn.XLOOKUP(B676,MacReports!B:B,MacReports!D:D,"")</f>
        <v/>
      </c>
    </row>
    <row r="677" spans="6:6">
      <c r="F677" t="str">
        <f>_xlfn.XLOOKUP(B677,MacReports!B:B,MacReports!D:D,"")</f>
        <v/>
      </c>
    </row>
    <row r="678" spans="6:6">
      <c r="F678" t="str">
        <f>_xlfn.XLOOKUP(B678,MacReports!B:B,MacReports!D:D,"")</f>
        <v/>
      </c>
    </row>
    <row r="679" spans="6:6">
      <c r="F679" t="str">
        <f>_xlfn.XLOOKUP(B679,MacReports!B:B,MacReports!D:D,"")</f>
        <v/>
      </c>
    </row>
    <row r="680" spans="6:6">
      <c r="F680" t="str">
        <f>_xlfn.XLOOKUP(B680,MacReports!B:B,MacReports!D:D,"")</f>
        <v/>
      </c>
    </row>
    <row r="681" spans="6:6">
      <c r="F681" t="str">
        <f>_xlfn.XLOOKUP(B681,MacReports!B:B,MacReports!D:D,"")</f>
        <v/>
      </c>
    </row>
    <row r="682" spans="6:6">
      <c r="F682" t="str">
        <f>_xlfn.XLOOKUP(B682,MacReports!B:B,MacReports!D:D,"")</f>
        <v/>
      </c>
    </row>
    <row r="683" spans="6:6">
      <c r="F683" t="str">
        <f>_xlfn.XLOOKUP(B683,MacReports!B:B,MacReports!D:D,"")</f>
        <v/>
      </c>
    </row>
    <row r="684" spans="6:6">
      <c r="F684" t="str">
        <f>_xlfn.XLOOKUP(B684,MacReports!B:B,MacReports!D:D,"")</f>
        <v/>
      </c>
    </row>
    <row r="685" spans="6:6">
      <c r="F685" t="str">
        <f>_xlfn.XLOOKUP(B685,MacReports!B:B,MacReports!D:D,"")</f>
        <v/>
      </c>
    </row>
    <row r="686" spans="6:6">
      <c r="F686" t="str">
        <f>_xlfn.XLOOKUP(B686,MacReports!B:B,MacReports!D:D,"")</f>
        <v/>
      </c>
    </row>
    <row r="687" spans="6:6">
      <c r="F687" t="str">
        <f>_xlfn.XLOOKUP(B687,MacReports!B:B,MacReports!D:D,"")</f>
        <v/>
      </c>
    </row>
    <row r="688" spans="6:6">
      <c r="F688" t="str">
        <f>_xlfn.XLOOKUP(B688,MacReports!B:B,MacReports!D:D,"")</f>
        <v/>
      </c>
    </row>
    <row r="689" spans="6:6">
      <c r="F689" t="str">
        <f>_xlfn.XLOOKUP(B689,MacReports!B:B,MacReports!D:D,"")</f>
        <v/>
      </c>
    </row>
    <row r="690" spans="6:6">
      <c r="F690" t="str">
        <f>_xlfn.XLOOKUP(B690,MacReports!B:B,MacReports!D:D,"")</f>
        <v/>
      </c>
    </row>
    <row r="691" spans="6:6">
      <c r="F691" t="str">
        <f>_xlfn.XLOOKUP(B691,MacReports!B:B,MacReports!D:D,"")</f>
        <v/>
      </c>
    </row>
    <row r="692" spans="6:6">
      <c r="F692" t="str">
        <f>_xlfn.XLOOKUP(B692,MacReports!B:B,MacReports!D:D,"")</f>
        <v/>
      </c>
    </row>
    <row r="693" spans="6:6">
      <c r="F693" t="str">
        <f>_xlfn.XLOOKUP(B693,MacReports!B:B,MacReports!D:D,"")</f>
        <v/>
      </c>
    </row>
    <row r="694" spans="6:6">
      <c r="F694" t="str">
        <f>_xlfn.XLOOKUP(B694,MacReports!B:B,MacReports!D:D,"")</f>
        <v/>
      </c>
    </row>
    <row r="695" spans="6:6">
      <c r="F695" t="str">
        <f>_xlfn.XLOOKUP(B695,MacReports!B:B,MacReports!D:D,"")</f>
        <v/>
      </c>
    </row>
    <row r="696" spans="6:6">
      <c r="F696" t="str">
        <f>_xlfn.XLOOKUP(B696,MacReports!B:B,MacReports!D:D,"")</f>
        <v/>
      </c>
    </row>
    <row r="697" spans="6:6">
      <c r="F697" t="str">
        <f>_xlfn.XLOOKUP(B697,MacReports!B:B,MacReports!D:D,"")</f>
        <v/>
      </c>
    </row>
    <row r="698" spans="6:6">
      <c r="F698" t="str">
        <f>_xlfn.XLOOKUP(B698,MacReports!B:B,MacReports!D:D,"")</f>
        <v/>
      </c>
    </row>
    <row r="699" spans="6:6">
      <c r="F699" t="str">
        <f>_xlfn.XLOOKUP(B699,MacReports!B:B,MacReports!D:D,"")</f>
        <v/>
      </c>
    </row>
    <row r="700" spans="6:6">
      <c r="F700" t="str">
        <f>_xlfn.XLOOKUP(B700,MacReports!B:B,MacReports!D:D,"")</f>
        <v/>
      </c>
    </row>
    <row r="701" spans="6:6">
      <c r="F701" t="str">
        <f>_xlfn.XLOOKUP(B701,MacReports!B:B,MacReports!D:D,"")</f>
        <v/>
      </c>
    </row>
    <row r="702" spans="6:6">
      <c r="F702" t="str">
        <f>_xlfn.XLOOKUP(B702,MacReports!B:B,MacReports!D:D,"")</f>
        <v/>
      </c>
    </row>
    <row r="703" spans="6:6">
      <c r="F703" t="str">
        <f>_xlfn.XLOOKUP(B703,MacReports!B:B,MacReports!D:D,"")</f>
        <v/>
      </c>
    </row>
    <row r="704" spans="6:6">
      <c r="F704" t="str">
        <f>_xlfn.XLOOKUP(B704,MacReports!B:B,MacReports!D:D,"")</f>
        <v/>
      </c>
    </row>
    <row r="705" spans="6:6">
      <c r="F705" t="str">
        <f>_xlfn.XLOOKUP(B705,MacReports!B:B,MacReports!D:D,"")</f>
        <v/>
      </c>
    </row>
    <row r="706" spans="6:6">
      <c r="F706" t="str">
        <f>_xlfn.XLOOKUP(B706,MacReports!B:B,MacReports!D:D,"")</f>
        <v/>
      </c>
    </row>
    <row r="707" spans="6:6">
      <c r="F707" t="str">
        <f>_xlfn.XLOOKUP(B707,MacReports!B:B,MacReports!D:D,"")</f>
        <v/>
      </c>
    </row>
    <row r="708" spans="6:6">
      <c r="F708" t="str">
        <f>_xlfn.XLOOKUP(B708,MacReports!B:B,MacReports!D:D,"")</f>
        <v/>
      </c>
    </row>
    <row r="709" spans="6:6">
      <c r="F709" t="str">
        <f>_xlfn.XLOOKUP(B709,MacReports!B:B,MacReports!D:D,"")</f>
        <v/>
      </c>
    </row>
    <row r="710" spans="6:6">
      <c r="F710" t="str">
        <f>_xlfn.XLOOKUP(B710,MacReports!B:B,MacReports!D:D,"")</f>
        <v/>
      </c>
    </row>
    <row r="711" spans="6:6">
      <c r="F711" t="str">
        <f>_xlfn.XLOOKUP(B711,MacReports!B:B,MacReports!D:D,"")</f>
        <v/>
      </c>
    </row>
    <row r="712" spans="6:6">
      <c r="F712" t="str">
        <f>_xlfn.XLOOKUP(B712,MacReports!B:B,MacReports!D:D,"")</f>
        <v/>
      </c>
    </row>
    <row r="713" spans="6:6">
      <c r="F713" t="str">
        <f>_xlfn.XLOOKUP(B713,MacReports!B:B,MacReports!D:D,"")</f>
        <v/>
      </c>
    </row>
    <row r="714" spans="6:6">
      <c r="F714" t="str">
        <f>_xlfn.XLOOKUP(B714,MacReports!B:B,MacReports!D:D,"")</f>
        <v/>
      </c>
    </row>
    <row r="715" spans="6:6">
      <c r="F715" t="str">
        <f>_xlfn.XLOOKUP(B715,MacReports!B:B,MacReports!D:D,"")</f>
        <v/>
      </c>
    </row>
    <row r="716" spans="6:6">
      <c r="F716" t="str">
        <f>_xlfn.XLOOKUP(B716,MacReports!B:B,MacReports!D:D,"")</f>
        <v/>
      </c>
    </row>
    <row r="717" spans="6:6">
      <c r="F717" t="str">
        <f>_xlfn.XLOOKUP(B717,MacReports!B:B,MacReports!D:D,"")</f>
        <v/>
      </c>
    </row>
    <row r="718" spans="6:6">
      <c r="F718" t="str">
        <f>_xlfn.XLOOKUP(B718,MacReports!B:B,MacReports!D:D,"")</f>
        <v/>
      </c>
    </row>
    <row r="719" spans="6:6">
      <c r="F719" t="str">
        <f>_xlfn.XLOOKUP(B719,MacReports!B:B,MacReports!D:D,"")</f>
        <v/>
      </c>
    </row>
    <row r="720" spans="6:6">
      <c r="F720" t="str">
        <f>_xlfn.XLOOKUP(B720,MacReports!B:B,MacReports!D:D,"")</f>
        <v/>
      </c>
    </row>
    <row r="721" spans="6:6">
      <c r="F721" t="str">
        <f>_xlfn.XLOOKUP(B721,MacReports!B:B,MacReports!D:D,"")</f>
        <v/>
      </c>
    </row>
    <row r="722" spans="6:6">
      <c r="F722" t="str">
        <f>_xlfn.XLOOKUP(B722,MacReports!B:B,MacReports!D:D,"")</f>
        <v/>
      </c>
    </row>
    <row r="723" spans="6:6">
      <c r="F723" t="str">
        <f>_xlfn.XLOOKUP(B723,MacReports!B:B,MacReports!D:D,"")</f>
        <v/>
      </c>
    </row>
    <row r="724" spans="6:6">
      <c r="F724" t="str">
        <f>_xlfn.XLOOKUP(B724,MacReports!B:B,MacReports!D:D,"")</f>
        <v/>
      </c>
    </row>
    <row r="725" spans="6:6">
      <c r="F725" t="str">
        <f>_xlfn.XLOOKUP(B725,MacReports!B:B,MacReports!D:D,"")</f>
        <v/>
      </c>
    </row>
    <row r="726" spans="6:6">
      <c r="F726" t="str">
        <f>_xlfn.XLOOKUP(B726,MacReports!B:B,MacReports!D:D,"")</f>
        <v/>
      </c>
    </row>
    <row r="727" spans="6:6">
      <c r="F727" t="str">
        <f>_xlfn.XLOOKUP(B727,MacReports!B:B,MacReports!D:D,"")</f>
        <v/>
      </c>
    </row>
    <row r="728" spans="6:6">
      <c r="F728" t="str">
        <f>_xlfn.XLOOKUP(B728,MacReports!B:B,MacReports!D:D,"")</f>
        <v/>
      </c>
    </row>
    <row r="729" spans="6:6">
      <c r="F729" t="str">
        <f>_xlfn.XLOOKUP(B729,MacReports!B:B,MacReports!D:D,"")</f>
        <v/>
      </c>
    </row>
    <row r="730" spans="6:6">
      <c r="F730" t="str">
        <f>_xlfn.XLOOKUP(B730,MacReports!B:B,MacReports!D:D,"")</f>
        <v/>
      </c>
    </row>
    <row r="731" spans="6:6">
      <c r="F731" t="str">
        <f>_xlfn.XLOOKUP(B731,MacReports!B:B,MacReports!D:D,"")</f>
        <v/>
      </c>
    </row>
    <row r="732" spans="6:6">
      <c r="F732" t="str">
        <f>_xlfn.XLOOKUP(B732,MacReports!B:B,MacReports!D:D,"")</f>
        <v/>
      </c>
    </row>
    <row r="733" spans="6:6">
      <c r="F733" t="str">
        <f>_xlfn.XLOOKUP(B733,MacReports!B:B,MacReports!D:D,"")</f>
        <v/>
      </c>
    </row>
    <row r="734" spans="6:6">
      <c r="F734" t="str">
        <f>_xlfn.XLOOKUP(B734,MacReports!B:B,MacReports!D:D,"")</f>
        <v/>
      </c>
    </row>
    <row r="735" spans="6:6">
      <c r="F735" t="str">
        <f>_xlfn.XLOOKUP(B735,MacReports!B:B,MacReports!D:D,"")</f>
        <v/>
      </c>
    </row>
    <row r="736" spans="6:6">
      <c r="F736" t="str">
        <f>_xlfn.XLOOKUP(B736,MacReports!B:B,MacReports!D:D,"")</f>
        <v/>
      </c>
    </row>
    <row r="737" spans="6:6">
      <c r="F737" t="str">
        <f>_xlfn.XLOOKUP(B737,MacReports!B:B,MacReports!D:D,"")</f>
        <v/>
      </c>
    </row>
    <row r="738" spans="6:6">
      <c r="F738" t="str">
        <f>_xlfn.XLOOKUP(B738,MacReports!B:B,MacReports!D:D,"")</f>
        <v/>
      </c>
    </row>
    <row r="739" spans="6:6">
      <c r="F739" t="str">
        <f>_xlfn.XLOOKUP(B739,MacReports!B:B,MacReports!D:D,"")</f>
        <v/>
      </c>
    </row>
    <row r="740" spans="6:6">
      <c r="F740" t="str">
        <f>_xlfn.XLOOKUP(B740,MacReports!B:B,MacReports!D:D,"")</f>
        <v/>
      </c>
    </row>
    <row r="741" spans="6:6">
      <c r="F741" t="str">
        <f>_xlfn.XLOOKUP(B741,MacReports!B:B,MacReports!D:D,"")</f>
        <v/>
      </c>
    </row>
    <row r="742" spans="6:6">
      <c r="F742" t="str">
        <f>_xlfn.XLOOKUP(B742,MacReports!B:B,MacReports!D:D,"")</f>
        <v/>
      </c>
    </row>
    <row r="743" spans="6:6">
      <c r="F743" t="str">
        <f>_xlfn.XLOOKUP(B743,MacReports!B:B,MacReports!D:D,"")</f>
        <v/>
      </c>
    </row>
    <row r="744" spans="6:6">
      <c r="F744" t="str">
        <f>_xlfn.XLOOKUP(B744,MacReports!B:B,MacReports!D:D,"")</f>
        <v/>
      </c>
    </row>
    <row r="745" spans="6:6">
      <c r="F745" t="str">
        <f>_xlfn.XLOOKUP(B745,MacReports!B:B,MacReports!D:D,"")</f>
        <v/>
      </c>
    </row>
    <row r="746" spans="6:6">
      <c r="F746" t="str">
        <f>_xlfn.XLOOKUP(B746,MacReports!B:B,MacReports!D:D,"")</f>
        <v/>
      </c>
    </row>
    <row r="747" spans="6:6">
      <c r="F747" t="str">
        <f>_xlfn.XLOOKUP(B747,MacReports!B:B,MacReports!D:D,"")</f>
        <v/>
      </c>
    </row>
    <row r="748" spans="6:6">
      <c r="F748" t="str">
        <f>_xlfn.XLOOKUP(B748,MacReports!B:B,MacReports!D:D,"")</f>
        <v/>
      </c>
    </row>
    <row r="749" spans="6:6">
      <c r="F749" t="str">
        <f>_xlfn.XLOOKUP(B749,MacReports!B:B,MacReports!D:D,"")</f>
        <v/>
      </c>
    </row>
    <row r="750" spans="6:6">
      <c r="F750" t="str">
        <f>_xlfn.XLOOKUP(B750,MacReports!B:B,MacReports!D:D,"")</f>
        <v/>
      </c>
    </row>
    <row r="751" spans="6:6">
      <c r="F751" t="str">
        <f>_xlfn.XLOOKUP(B751,MacReports!B:B,MacReports!D:D,"")</f>
        <v/>
      </c>
    </row>
    <row r="752" spans="6:6">
      <c r="F752" t="str">
        <f>_xlfn.XLOOKUP(B752,MacReports!B:B,MacReports!D:D,"")</f>
        <v/>
      </c>
    </row>
    <row r="753" spans="6:6">
      <c r="F753" t="str">
        <f>_xlfn.XLOOKUP(B753,MacReports!B:B,MacReports!D:D,"")</f>
        <v/>
      </c>
    </row>
    <row r="754" spans="6:6">
      <c r="F754" t="str">
        <f>_xlfn.XLOOKUP(B754,MacReports!B:B,MacReports!D:D,"")</f>
        <v/>
      </c>
    </row>
    <row r="755" spans="6:6">
      <c r="F755" t="str">
        <f>_xlfn.XLOOKUP(B755,MacReports!B:B,MacReports!D:D,"")</f>
        <v/>
      </c>
    </row>
    <row r="756" spans="6:6">
      <c r="F756" t="str">
        <f>_xlfn.XLOOKUP(B756,MacReports!B:B,MacReports!D:D,"")</f>
        <v/>
      </c>
    </row>
    <row r="757" spans="6:6">
      <c r="F757" t="str">
        <f>_xlfn.XLOOKUP(B757,MacReports!B:B,MacReports!D:D,"")</f>
        <v/>
      </c>
    </row>
    <row r="758" spans="6:6">
      <c r="F758" t="str">
        <f>_xlfn.XLOOKUP(B758,MacReports!B:B,MacReports!D:D,"")</f>
        <v/>
      </c>
    </row>
    <row r="759" spans="6:6">
      <c r="F759" t="str">
        <f>_xlfn.XLOOKUP(B759,MacReports!B:B,MacReports!D:D,"")</f>
        <v/>
      </c>
    </row>
    <row r="760" spans="6:6">
      <c r="F760" t="str">
        <f>_xlfn.XLOOKUP(B760,MacReports!B:B,MacReports!D:D,"")</f>
        <v/>
      </c>
    </row>
    <row r="761" spans="6:6">
      <c r="F761" t="str">
        <f>_xlfn.XLOOKUP(B761,MacReports!B:B,MacReports!D:D,"")</f>
        <v/>
      </c>
    </row>
    <row r="762" spans="6:6">
      <c r="F762" t="str">
        <f>_xlfn.XLOOKUP(B762,MacReports!B:B,MacReports!D:D,"")</f>
        <v/>
      </c>
    </row>
    <row r="763" spans="6:6">
      <c r="F763" t="str">
        <f>_xlfn.XLOOKUP(B763,MacReports!B:B,MacReports!D:D,"")</f>
        <v/>
      </c>
    </row>
    <row r="764" spans="6:6">
      <c r="F764" t="str">
        <f>_xlfn.XLOOKUP(B764,MacReports!B:B,MacReports!D:D,"")</f>
        <v/>
      </c>
    </row>
    <row r="765" spans="6:6">
      <c r="F765" t="str">
        <f>_xlfn.XLOOKUP(B765,MacReports!B:B,MacReports!D:D,"")</f>
        <v/>
      </c>
    </row>
    <row r="766" spans="6:6">
      <c r="F766" t="str">
        <f>_xlfn.XLOOKUP(B766,MacReports!B:B,MacReports!D:D,"")</f>
        <v/>
      </c>
    </row>
    <row r="767" spans="6:6">
      <c r="F767" t="str">
        <f>_xlfn.XLOOKUP(B767,MacReports!B:B,MacReports!D:D,"")</f>
        <v/>
      </c>
    </row>
    <row r="768" spans="6:6">
      <c r="F768" t="str">
        <f>_xlfn.XLOOKUP(B768,MacReports!B:B,MacReports!D:D,"")</f>
        <v/>
      </c>
    </row>
    <row r="769" spans="6:6">
      <c r="F769" t="str">
        <f>_xlfn.XLOOKUP(B769,MacReports!B:B,MacReports!D:D,"")</f>
        <v/>
      </c>
    </row>
    <row r="770" spans="6:6">
      <c r="F770" t="str">
        <f>_xlfn.XLOOKUP(B770,MacReports!B:B,MacReports!D:D,"")</f>
        <v/>
      </c>
    </row>
    <row r="771" spans="6:6">
      <c r="F771" t="str">
        <f>_xlfn.XLOOKUP(B771,MacReports!B:B,MacReports!D:D,"")</f>
        <v/>
      </c>
    </row>
    <row r="772" spans="6:6">
      <c r="F772" t="str">
        <f>_xlfn.XLOOKUP(B772,MacReports!B:B,MacReports!D:D,"")</f>
        <v/>
      </c>
    </row>
    <row r="773" spans="6:6">
      <c r="F773" t="str">
        <f>_xlfn.XLOOKUP(B773,MacReports!B:B,MacReports!D:D,"")</f>
        <v/>
      </c>
    </row>
    <row r="774" spans="6:6">
      <c r="F774" t="str">
        <f>_xlfn.XLOOKUP(B774,MacReports!B:B,MacReports!D:D,"")</f>
        <v/>
      </c>
    </row>
    <row r="775" spans="6:6">
      <c r="F775" t="str">
        <f>_xlfn.XLOOKUP(B775,MacReports!B:B,MacReports!D:D,"")</f>
        <v/>
      </c>
    </row>
    <row r="776" spans="6:6">
      <c r="F776" t="str">
        <f>_xlfn.XLOOKUP(B776,MacReports!B:B,MacReports!D:D,"")</f>
        <v/>
      </c>
    </row>
    <row r="777" spans="6:6">
      <c r="F777" t="str">
        <f>_xlfn.XLOOKUP(B777,MacReports!B:B,MacReports!D:D,"")</f>
        <v/>
      </c>
    </row>
    <row r="778" spans="6:6">
      <c r="F778" t="str">
        <f>_xlfn.XLOOKUP(B778,MacReports!B:B,MacReports!D:D,"")</f>
        <v/>
      </c>
    </row>
    <row r="779" spans="6:6">
      <c r="F779" t="str">
        <f>_xlfn.XLOOKUP(B779,MacReports!B:B,MacReports!D:D,"")</f>
        <v/>
      </c>
    </row>
    <row r="780" spans="6:6">
      <c r="F780" t="str">
        <f>_xlfn.XLOOKUP(B780,MacReports!B:B,MacReports!D:D,"")</f>
        <v/>
      </c>
    </row>
    <row r="781" spans="6:6">
      <c r="F781" t="str">
        <f>_xlfn.XLOOKUP(B781,MacReports!B:B,MacReports!D:D,"")</f>
        <v/>
      </c>
    </row>
    <row r="782" spans="6:6">
      <c r="F782" t="str">
        <f>_xlfn.XLOOKUP(B782,MacReports!B:B,MacReports!D:D,"")</f>
        <v/>
      </c>
    </row>
    <row r="783" spans="6:6">
      <c r="F783" t="str">
        <f>_xlfn.XLOOKUP(B783,MacReports!B:B,MacReports!D:D,"")</f>
        <v/>
      </c>
    </row>
    <row r="784" spans="6:6">
      <c r="F784" t="str">
        <f>_xlfn.XLOOKUP(B784,MacReports!B:B,MacReports!D:D,"")</f>
        <v/>
      </c>
    </row>
    <row r="785" spans="6:6">
      <c r="F785" t="str">
        <f>_xlfn.XLOOKUP(B785,MacReports!B:B,MacReports!D:D,"")</f>
        <v/>
      </c>
    </row>
    <row r="786" spans="6:6">
      <c r="F786" t="str">
        <f>_xlfn.XLOOKUP(B786,MacReports!B:B,MacReports!D:D,"")</f>
        <v/>
      </c>
    </row>
    <row r="787" spans="6:6">
      <c r="F787" t="str">
        <f>_xlfn.XLOOKUP(B787,MacReports!B:B,MacReports!D:D,"")</f>
        <v/>
      </c>
    </row>
    <row r="788" spans="6:6">
      <c r="F788" t="str">
        <f>_xlfn.XLOOKUP(B788,MacReports!B:B,MacReports!D:D,"")</f>
        <v/>
      </c>
    </row>
    <row r="789" spans="6:6">
      <c r="F789" t="str">
        <f>_xlfn.XLOOKUP(B789,MacReports!B:B,MacReports!D:D,"")</f>
        <v/>
      </c>
    </row>
    <row r="790" spans="6:6">
      <c r="F790" t="str">
        <f>_xlfn.XLOOKUP(B790,MacReports!B:B,MacReports!D:D,"")</f>
        <v/>
      </c>
    </row>
    <row r="791" spans="6:6">
      <c r="F791" t="str">
        <f>_xlfn.XLOOKUP(B791,MacReports!B:B,MacReports!D:D,"")</f>
        <v/>
      </c>
    </row>
    <row r="792" spans="6:6">
      <c r="F792" t="str">
        <f>_xlfn.XLOOKUP(B792,MacReports!B:B,MacReports!D:D,"")</f>
        <v/>
      </c>
    </row>
    <row r="793" spans="6:6">
      <c r="F793" t="str">
        <f>_xlfn.XLOOKUP(B793,MacReports!B:B,MacReports!D:D,"")</f>
        <v/>
      </c>
    </row>
    <row r="794" spans="6:6">
      <c r="F794" t="str">
        <f>_xlfn.XLOOKUP(B794,MacReports!B:B,MacReports!D:D,"")</f>
        <v/>
      </c>
    </row>
    <row r="795" spans="6:6">
      <c r="F795" t="str">
        <f>_xlfn.XLOOKUP(B795,MacReports!B:B,MacReports!D:D,"")</f>
        <v/>
      </c>
    </row>
    <row r="796" spans="6:6">
      <c r="F796" t="str">
        <f>_xlfn.XLOOKUP(B796,MacReports!B:B,MacReports!D:D,"")</f>
        <v/>
      </c>
    </row>
    <row r="797" spans="6:6">
      <c r="F797" t="str">
        <f>_xlfn.XLOOKUP(B797,MacReports!B:B,MacReports!D:D,"")</f>
        <v/>
      </c>
    </row>
    <row r="798" spans="6:6">
      <c r="F798" t="str">
        <f>_xlfn.XLOOKUP(B798,MacReports!B:B,MacReports!D:D,"")</f>
        <v/>
      </c>
    </row>
    <row r="799" spans="6:6">
      <c r="F799" t="str">
        <f>_xlfn.XLOOKUP(B799,MacReports!B:B,MacReports!D:D,"")</f>
        <v/>
      </c>
    </row>
    <row r="800" spans="6:6">
      <c r="F800" t="str">
        <f>_xlfn.XLOOKUP(B800,MacReports!B:B,MacReports!D:D,"")</f>
        <v/>
      </c>
    </row>
    <row r="801" spans="6:6">
      <c r="F801" t="str">
        <f>_xlfn.XLOOKUP(B801,MacReports!B:B,MacReports!D:D,"")</f>
        <v/>
      </c>
    </row>
    <row r="802" spans="6:6">
      <c r="F802" t="str">
        <f>_xlfn.XLOOKUP(B802,MacReports!B:B,MacReports!D:D,"")</f>
        <v/>
      </c>
    </row>
    <row r="803" spans="6:6">
      <c r="F803" t="str">
        <f>_xlfn.XLOOKUP(B803,MacReports!B:B,MacReports!D:D,"")</f>
        <v/>
      </c>
    </row>
    <row r="804" spans="6:6">
      <c r="F804" t="str">
        <f>_xlfn.XLOOKUP(B804,MacReports!B:B,MacReports!D:D,"")</f>
        <v/>
      </c>
    </row>
    <row r="805" spans="6:6">
      <c r="F805" t="str">
        <f>_xlfn.XLOOKUP(B805,MacReports!B:B,MacReports!D:D,"")</f>
        <v/>
      </c>
    </row>
    <row r="806" spans="6:6">
      <c r="F806" t="str">
        <f>_xlfn.XLOOKUP(B806,MacReports!B:B,MacReports!D:D,"")</f>
        <v/>
      </c>
    </row>
    <row r="807" spans="6:6">
      <c r="F807" t="str">
        <f>_xlfn.XLOOKUP(B807,MacReports!B:B,MacReports!D:D,"")</f>
        <v/>
      </c>
    </row>
    <row r="808" spans="6:6">
      <c r="F808" t="str">
        <f>_xlfn.XLOOKUP(B808,MacReports!B:B,MacReports!D:D,"")</f>
        <v/>
      </c>
    </row>
    <row r="809" spans="6:6">
      <c r="F809" t="str">
        <f>_xlfn.XLOOKUP(B809,MacReports!B:B,MacReports!D:D,"")</f>
        <v/>
      </c>
    </row>
    <row r="810" spans="6:6">
      <c r="F810" t="str">
        <f>_xlfn.XLOOKUP(B810,MacReports!B:B,MacReports!D:D,"")</f>
        <v/>
      </c>
    </row>
    <row r="811" spans="6:6">
      <c r="F811" t="str">
        <f>_xlfn.XLOOKUP(B811,MacReports!B:B,MacReports!D:D,"")</f>
        <v/>
      </c>
    </row>
    <row r="812" spans="6:6">
      <c r="F812" t="str">
        <f>_xlfn.XLOOKUP(B812,MacReports!B:B,MacReports!D:D,"")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FB2BF-E493-491A-92EA-4D54D27EA5FA}">
  <sheetPr codeName="Sheet10">
    <tabColor theme="5"/>
  </sheetPr>
  <dimension ref="A1:H604"/>
  <sheetViews>
    <sheetView workbookViewId="0">
      <selection activeCell="C17" sqref="C17"/>
    </sheetView>
  </sheetViews>
  <sheetFormatPr defaultRowHeight="15"/>
  <cols>
    <col min="1" max="1" width="39.28515625" customWidth="1"/>
    <col min="2" max="2" width="48.28515625" bestFit="1" customWidth="1"/>
    <col min="3" max="3" width="48.28515625" customWidth="1"/>
    <col min="4" max="4" width="5.5703125" bestFit="1" customWidth="1"/>
    <col min="5" max="5" width="4.5703125" bestFit="1" customWidth="1"/>
    <col min="6" max="6" width="7.140625" bestFit="1" customWidth="1"/>
    <col min="7" max="7" width="14.42578125" style="19" customWidth="1"/>
    <col min="8" max="8" width="23.5703125" style="19" customWidth="1"/>
  </cols>
  <sheetData>
    <row r="1" spans="1:8" ht="15.75" thickBot="1">
      <c r="A1" s="23" t="s">
        <v>69</v>
      </c>
      <c r="B1" s="23" t="s">
        <v>70</v>
      </c>
      <c r="C1" s="23" t="s">
        <v>2</v>
      </c>
      <c r="D1" s="24" t="s">
        <v>71</v>
      </c>
      <c r="E1" s="25" t="s">
        <v>72</v>
      </c>
      <c r="F1" s="25" t="s">
        <v>73</v>
      </c>
      <c r="G1" s="26" t="s">
        <v>2</v>
      </c>
      <c r="H1" s="26" t="s">
        <v>280</v>
      </c>
    </row>
    <row r="2" spans="1:8" ht="15.75" thickBot="1">
      <c r="A2" s="20" t="s">
        <v>74</v>
      </c>
      <c r="B2" s="20" t="s">
        <v>511</v>
      </c>
      <c r="C2" s="20" t="s">
        <v>45</v>
      </c>
      <c r="D2" s="21">
        <v>2019</v>
      </c>
      <c r="E2" s="22">
        <v>16</v>
      </c>
      <c r="F2" s="22">
        <v>2</v>
      </c>
      <c r="G2" s="19" t="s">
        <v>45</v>
      </c>
      <c r="H2" s="19" t="s">
        <v>45</v>
      </c>
    </row>
    <row r="3" spans="1:8" ht="15.75" thickBot="1">
      <c r="A3" s="5" t="s">
        <v>75</v>
      </c>
      <c r="B3" s="5" t="s">
        <v>512</v>
      </c>
      <c r="C3" s="5" t="s">
        <v>45</v>
      </c>
      <c r="D3" s="8">
        <v>2020</v>
      </c>
      <c r="E3" s="9">
        <v>13</v>
      </c>
      <c r="F3" s="9">
        <v>1.4</v>
      </c>
      <c r="G3" s="19" t="s">
        <v>45</v>
      </c>
      <c r="H3" s="19" t="s">
        <v>44</v>
      </c>
    </row>
    <row r="4" spans="1:8" ht="15.75" thickBot="1">
      <c r="A4" s="5" t="s">
        <v>51</v>
      </c>
      <c r="B4" s="5" t="s">
        <v>513</v>
      </c>
      <c r="C4" s="5" t="s">
        <v>45</v>
      </c>
      <c r="D4" s="8">
        <v>2020</v>
      </c>
      <c r="E4" s="9">
        <v>13</v>
      </c>
      <c r="F4" s="9">
        <v>1.4</v>
      </c>
      <c r="G4" s="19" t="s">
        <v>45</v>
      </c>
      <c r="H4" s="19" t="s">
        <v>281</v>
      </c>
    </row>
    <row r="5" spans="1:8" ht="15.75" thickBot="1">
      <c r="A5" s="5" t="s">
        <v>76</v>
      </c>
      <c r="B5" s="5" t="s">
        <v>511</v>
      </c>
      <c r="C5" s="5" t="s">
        <v>45</v>
      </c>
      <c r="D5" s="8">
        <v>2019</v>
      </c>
      <c r="E5" s="9">
        <v>16</v>
      </c>
      <c r="F5" s="9">
        <v>2</v>
      </c>
      <c r="G5" s="19" t="s">
        <v>274</v>
      </c>
      <c r="H5" s="19" t="s">
        <v>274</v>
      </c>
    </row>
    <row r="6" spans="1:8" ht="15.75" thickBot="1">
      <c r="A6" s="5" t="s">
        <v>77</v>
      </c>
      <c r="B6" s="5" t="s">
        <v>514</v>
      </c>
      <c r="C6" s="5" t="s">
        <v>45</v>
      </c>
      <c r="D6" s="8">
        <v>2019</v>
      </c>
      <c r="E6" s="9">
        <v>13</v>
      </c>
      <c r="F6" s="9">
        <v>1.4</v>
      </c>
      <c r="G6" s="19" t="s">
        <v>274</v>
      </c>
      <c r="H6" s="19" t="s">
        <v>282</v>
      </c>
    </row>
    <row r="7" spans="1:8" ht="15.75" thickBot="1">
      <c r="A7" s="5" t="s">
        <v>78</v>
      </c>
      <c r="B7" s="5" t="s">
        <v>515</v>
      </c>
      <c r="C7" s="5" t="s">
        <v>45</v>
      </c>
      <c r="D7" s="8">
        <v>2019</v>
      </c>
      <c r="E7" s="9">
        <v>15</v>
      </c>
      <c r="F7" s="9">
        <v>1.8</v>
      </c>
    </row>
    <row r="8" spans="1:8" ht="15.75" thickBot="1">
      <c r="A8" s="5" t="s">
        <v>79</v>
      </c>
      <c r="B8" s="5" t="s">
        <v>516</v>
      </c>
      <c r="C8" s="5" t="s">
        <v>45</v>
      </c>
      <c r="D8" s="8">
        <v>2018</v>
      </c>
      <c r="E8" s="9">
        <v>13</v>
      </c>
      <c r="F8" s="9">
        <v>1.4</v>
      </c>
    </row>
    <row r="9" spans="1:8" ht="15.75" thickBot="1">
      <c r="A9" s="5" t="s">
        <v>79</v>
      </c>
      <c r="B9" s="5" t="s">
        <v>516</v>
      </c>
      <c r="C9" s="5" t="s">
        <v>45</v>
      </c>
      <c r="D9" s="8">
        <v>2018</v>
      </c>
      <c r="E9" s="9">
        <v>13</v>
      </c>
      <c r="F9" s="9">
        <v>1.4</v>
      </c>
    </row>
    <row r="10" spans="1:8" ht="15.75" thickBot="1">
      <c r="A10" s="5" t="s">
        <v>79</v>
      </c>
      <c r="B10" s="5" t="s">
        <v>516</v>
      </c>
      <c r="C10" s="5" t="s">
        <v>45</v>
      </c>
      <c r="D10" s="8">
        <v>2019</v>
      </c>
      <c r="E10" s="9">
        <v>13</v>
      </c>
      <c r="F10" s="9">
        <v>1.4</v>
      </c>
    </row>
    <row r="11" spans="1:8" ht="15.75" thickBot="1">
      <c r="A11" s="5" t="s">
        <v>79</v>
      </c>
      <c r="B11" s="5" t="s">
        <v>516</v>
      </c>
      <c r="C11" s="5" t="s">
        <v>45</v>
      </c>
      <c r="D11" s="8">
        <v>2019</v>
      </c>
      <c r="E11" s="9">
        <v>13</v>
      </c>
      <c r="F11" s="9">
        <v>1.4</v>
      </c>
    </row>
    <row r="12" spans="1:8" ht="15.75" thickBot="1">
      <c r="A12" s="5" t="s">
        <v>80</v>
      </c>
      <c r="B12" s="5" t="s">
        <v>515</v>
      </c>
      <c r="C12" s="5" t="s">
        <v>45</v>
      </c>
      <c r="D12" s="8">
        <v>2018</v>
      </c>
      <c r="E12" s="9">
        <v>15</v>
      </c>
      <c r="F12" s="9">
        <v>1.8</v>
      </c>
    </row>
    <row r="13" spans="1:8" ht="15.75" thickBot="1">
      <c r="A13" s="5" t="s">
        <v>80</v>
      </c>
      <c r="B13" s="5" t="s">
        <v>515</v>
      </c>
      <c r="C13" s="5" t="s">
        <v>45</v>
      </c>
      <c r="D13" s="8">
        <v>2018</v>
      </c>
      <c r="E13" s="9">
        <v>15</v>
      </c>
      <c r="F13" s="9">
        <v>1.8</v>
      </c>
    </row>
    <row r="14" spans="1:8" ht="15.75" thickBot="1">
      <c r="A14" s="5" t="s">
        <v>80</v>
      </c>
      <c r="B14" s="5" t="s">
        <v>515</v>
      </c>
      <c r="C14" s="5" t="s">
        <v>45</v>
      </c>
      <c r="D14" s="8">
        <v>2018</v>
      </c>
      <c r="E14" s="9">
        <v>15</v>
      </c>
      <c r="F14" s="9">
        <v>1.8</v>
      </c>
    </row>
    <row r="15" spans="1:8" ht="15.75" thickBot="1">
      <c r="A15" s="5" t="s">
        <v>80</v>
      </c>
      <c r="B15" s="5" t="s">
        <v>515</v>
      </c>
      <c r="C15" s="5" t="s">
        <v>45</v>
      </c>
      <c r="D15" s="8">
        <v>2019</v>
      </c>
      <c r="E15" s="9">
        <v>15</v>
      </c>
      <c r="F15" s="9">
        <v>1.8</v>
      </c>
    </row>
    <row r="16" spans="1:8" ht="15.75" thickBot="1">
      <c r="A16" s="5" t="s">
        <v>80</v>
      </c>
      <c r="B16" s="5" t="s">
        <v>515</v>
      </c>
      <c r="C16" s="5" t="s">
        <v>45</v>
      </c>
      <c r="D16" s="8">
        <v>2019</v>
      </c>
      <c r="E16" s="9">
        <v>15</v>
      </c>
      <c r="F16" s="9">
        <v>1.8</v>
      </c>
    </row>
    <row r="17" spans="1:6" ht="15.75" thickBot="1">
      <c r="A17" s="5" t="s">
        <v>80</v>
      </c>
      <c r="B17" s="5" t="s">
        <v>515</v>
      </c>
      <c r="C17" s="5" t="s">
        <v>45</v>
      </c>
      <c r="D17" s="8">
        <v>2019</v>
      </c>
      <c r="E17" s="9">
        <v>15</v>
      </c>
      <c r="F17" s="9">
        <v>1.8</v>
      </c>
    </row>
    <row r="18" spans="1:6" ht="15.75" thickBot="1">
      <c r="A18" s="5" t="s">
        <v>81</v>
      </c>
      <c r="B18" s="5" t="s">
        <v>517</v>
      </c>
      <c r="C18" s="5" t="s">
        <v>45</v>
      </c>
      <c r="D18" s="8">
        <v>2017</v>
      </c>
      <c r="E18" s="9">
        <v>15</v>
      </c>
      <c r="F18" s="9">
        <v>1.8</v>
      </c>
    </row>
    <row r="19" spans="1:6" ht="15.75" thickBot="1">
      <c r="A19" s="5" t="s">
        <v>82</v>
      </c>
      <c r="B19" s="5" t="s">
        <v>518</v>
      </c>
      <c r="C19" s="5" t="s">
        <v>45</v>
      </c>
      <c r="D19" s="8">
        <v>2017</v>
      </c>
      <c r="E19" s="9">
        <v>13</v>
      </c>
      <c r="F19" s="9">
        <v>1.4</v>
      </c>
    </row>
    <row r="20" spans="1:6" ht="15.75" thickBot="1">
      <c r="A20" s="5" t="s">
        <v>83</v>
      </c>
      <c r="B20" s="5" t="s">
        <v>519</v>
      </c>
      <c r="C20" s="5" t="s">
        <v>45</v>
      </c>
      <c r="D20" s="8">
        <v>2017</v>
      </c>
      <c r="E20" s="9">
        <v>13</v>
      </c>
      <c r="F20" s="9">
        <v>1.4</v>
      </c>
    </row>
    <row r="21" spans="1:6" ht="15.75" thickBot="1">
      <c r="A21" s="5" t="s">
        <v>84</v>
      </c>
      <c r="B21" s="5" t="s">
        <v>517</v>
      </c>
      <c r="C21" s="5" t="s">
        <v>45</v>
      </c>
      <c r="D21" s="8">
        <v>2016</v>
      </c>
      <c r="E21" s="9">
        <v>15</v>
      </c>
      <c r="F21" s="9">
        <v>1.8</v>
      </c>
    </row>
    <row r="22" spans="1:6" ht="15.75" thickBot="1">
      <c r="A22" s="5" t="s">
        <v>85</v>
      </c>
      <c r="B22" s="5" t="s">
        <v>518</v>
      </c>
      <c r="C22" s="5" t="s">
        <v>45</v>
      </c>
      <c r="D22" s="8">
        <v>2016</v>
      </c>
      <c r="E22" s="9">
        <v>13</v>
      </c>
      <c r="F22" s="9">
        <v>1.4</v>
      </c>
    </row>
    <row r="23" spans="1:6" ht="15.75" thickBot="1">
      <c r="A23" s="5" t="s">
        <v>86</v>
      </c>
      <c r="B23" s="5" t="s">
        <v>519</v>
      </c>
      <c r="C23" s="5" t="s">
        <v>45</v>
      </c>
      <c r="D23" s="8">
        <v>2016</v>
      </c>
      <c r="E23" s="9">
        <v>13</v>
      </c>
      <c r="F23" s="9">
        <v>1.4</v>
      </c>
    </row>
    <row r="24" spans="1:6" ht="15.75" thickBot="1">
      <c r="A24" s="5" t="s">
        <v>87</v>
      </c>
      <c r="B24" s="5" t="s">
        <v>520</v>
      </c>
      <c r="C24" s="5" t="s">
        <v>45</v>
      </c>
      <c r="D24" s="8">
        <v>2015</v>
      </c>
      <c r="E24" s="9">
        <v>13</v>
      </c>
      <c r="F24" s="9">
        <v>1.4</v>
      </c>
    </row>
    <row r="25" spans="1:6" ht="15.75" thickBot="1">
      <c r="A25" s="5" t="s">
        <v>88</v>
      </c>
      <c r="B25" s="5" t="s">
        <v>521</v>
      </c>
      <c r="C25" s="5" t="s">
        <v>45</v>
      </c>
      <c r="D25" s="8">
        <v>2015</v>
      </c>
      <c r="E25" s="9">
        <v>15</v>
      </c>
      <c r="F25" s="9">
        <v>1.8</v>
      </c>
    </row>
    <row r="26" spans="1:6" ht="15.75" thickBot="1">
      <c r="A26" s="5" t="s">
        <v>89</v>
      </c>
      <c r="B26" s="5" t="s">
        <v>521</v>
      </c>
      <c r="C26" s="5" t="s">
        <v>45</v>
      </c>
      <c r="D26" s="8">
        <v>2015</v>
      </c>
      <c r="E26" s="9">
        <v>15</v>
      </c>
      <c r="F26" s="9">
        <v>1.8</v>
      </c>
    </row>
    <row r="27" spans="1:6" ht="15.75" thickBot="1">
      <c r="A27" s="5" t="s">
        <v>90</v>
      </c>
      <c r="B27" s="5" t="s">
        <v>521</v>
      </c>
      <c r="C27" s="5" t="s">
        <v>45</v>
      </c>
      <c r="D27" s="9">
        <v>2014</v>
      </c>
      <c r="E27" s="9">
        <v>15</v>
      </c>
      <c r="F27" s="9">
        <v>1.8</v>
      </c>
    </row>
    <row r="28" spans="1:6" ht="15.75" thickBot="1">
      <c r="A28" s="5" t="s">
        <v>90</v>
      </c>
      <c r="B28" s="5" t="s">
        <v>521</v>
      </c>
      <c r="C28" s="5" t="s">
        <v>45</v>
      </c>
      <c r="D28" s="9">
        <v>2014</v>
      </c>
      <c r="E28" s="9">
        <v>15</v>
      </c>
      <c r="F28" s="9">
        <v>1.8</v>
      </c>
    </row>
    <row r="29" spans="1:6" ht="15.75" thickBot="1">
      <c r="A29" s="5" t="s">
        <v>90</v>
      </c>
      <c r="B29" s="5" t="s">
        <v>521</v>
      </c>
      <c r="C29" s="5" t="s">
        <v>45</v>
      </c>
      <c r="D29" s="9">
        <v>2013</v>
      </c>
      <c r="E29" s="9">
        <v>15</v>
      </c>
      <c r="F29" s="9">
        <v>1.8</v>
      </c>
    </row>
    <row r="30" spans="1:6" ht="15.75" thickBot="1">
      <c r="A30" s="5" t="s">
        <v>91</v>
      </c>
      <c r="B30" s="5" t="s">
        <v>521</v>
      </c>
      <c r="C30" s="5" t="s">
        <v>45</v>
      </c>
      <c r="D30" s="9">
        <v>2014</v>
      </c>
      <c r="E30" s="9">
        <v>15</v>
      </c>
      <c r="F30" s="9">
        <v>2</v>
      </c>
    </row>
    <row r="31" spans="1:6" ht="15.75" thickBot="1">
      <c r="A31" s="5" t="s">
        <v>90</v>
      </c>
      <c r="B31" s="5" t="s">
        <v>521</v>
      </c>
      <c r="C31" s="5" t="s">
        <v>45</v>
      </c>
      <c r="D31" s="9">
        <v>2013</v>
      </c>
      <c r="E31" s="9">
        <v>15</v>
      </c>
      <c r="F31" s="9">
        <v>1.8</v>
      </c>
    </row>
    <row r="32" spans="1:6" ht="15.75" thickBot="1">
      <c r="A32" s="5" t="s">
        <v>92</v>
      </c>
      <c r="B32" s="5" t="s">
        <v>522</v>
      </c>
      <c r="C32" s="5" t="s">
        <v>45</v>
      </c>
      <c r="D32" s="9">
        <v>2020</v>
      </c>
      <c r="E32" s="9">
        <v>13</v>
      </c>
      <c r="F32" s="9">
        <v>1.4</v>
      </c>
    </row>
    <row r="33" spans="1:6" ht="15.75" thickBot="1">
      <c r="A33" s="5" t="s">
        <v>93</v>
      </c>
      <c r="B33" s="5" t="s">
        <v>523</v>
      </c>
      <c r="C33" s="5" t="s">
        <v>45</v>
      </c>
      <c r="D33" s="9">
        <v>2021</v>
      </c>
      <c r="E33" s="9">
        <v>16</v>
      </c>
      <c r="F33" s="9">
        <v>1.6</v>
      </c>
    </row>
    <row r="34" spans="1:6" ht="15.75" thickBot="1">
      <c r="A34" s="5" t="s">
        <v>94</v>
      </c>
      <c r="B34" s="5" t="s">
        <v>524</v>
      </c>
      <c r="C34" s="5" t="s">
        <v>45</v>
      </c>
      <c r="D34" s="9">
        <v>2021</v>
      </c>
      <c r="E34" s="9">
        <v>14</v>
      </c>
      <c r="F34" s="9">
        <v>1.6</v>
      </c>
    </row>
    <row r="35" spans="1:6" ht="15.75" thickBot="1">
      <c r="A35" s="5" t="s">
        <v>95</v>
      </c>
      <c r="B35" s="5" t="s">
        <v>524</v>
      </c>
      <c r="C35" s="5" t="s">
        <v>45</v>
      </c>
      <c r="D35" s="9">
        <v>2021</v>
      </c>
      <c r="E35" s="9">
        <v>14</v>
      </c>
      <c r="F35" s="9">
        <v>1.6</v>
      </c>
    </row>
    <row r="36" spans="1:6" ht="15.75" thickBot="1">
      <c r="A36" s="5" t="s">
        <v>96</v>
      </c>
      <c r="B36" s="7" t="s">
        <v>523</v>
      </c>
      <c r="C36" s="5" t="s">
        <v>45</v>
      </c>
      <c r="D36" s="9">
        <v>2021</v>
      </c>
      <c r="E36" s="9">
        <v>16</v>
      </c>
      <c r="F36" s="9">
        <v>2</v>
      </c>
    </row>
    <row r="37" spans="1:6" ht="15.75" thickBot="1">
      <c r="A37" s="5" t="s">
        <v>96</v>
      </c>
      <c r="B37" s="7" t="s">
        <v>523</v>
      </c>
      <c r="C37" s="5" t="s">
        <v>45</v>
      </c>
      <c r="D37" s="9">
        <v>2021</v>
      </c>
      <c r="E37" s="9">
        <v>16</v>
      </c>
      <c r="F37" s="9">
        <v>2</v>
      </c>
    </row>
    <row r="38" spans="1:6" ht="15.75" thickBot="1">
      <c r="A38" s="7" t="s">
        <v>97</v>
      </c>
      <c r="B38" s="5" t="s">
        <v>522</v>
      </c>
      <c r="C38" s="5" t="s">
        <v>45</v>
      </c>
      <c r="D38" s="9">
        <v>2022</v>
      </c>
      <c r="E38" s="9">
        <v>13</v>
      </c>
      <c r="F38" s="9">
        <v>1.4</v>
      </c>
    </row>
    <row r="39" spans="1:6" ht="15.75" thickBot="1">
      <c r="A39" s="7" t="s">
        <v>98</v>
      </c>
      <c r="B39" s="7" t="s">
        <v>525</v>
      </c>
      <c r="C39" s="5" t="s">
        <v>45</v>
      </c>
      <c r="D39" s="9">
        <v>2023</v>
      </c>
      <c r="E39" s="9">
        <v>14</v>
      </c>
      <c r="F39" s="9">
        <v>1.6</v>
      </c>
    </row>
    <row r="40" spans="1:6" ht="15.75" thickBot="1">
      <c r="A40" s="7" t="s">
        <v>99</v>
      </c>
      <c r="B40" s="7" t="s">
        <v>525</v>
      </c>
      <c r="C40" s="5" t="s">
        <v>45</v>
      </c>
      <c r="D40" s="9">
        <v>2023</v>
      </c>
      <c r="E40" s="9">
        <v>14</v>
      </c>
      <c r="F40" s="9">
        <v>1.6</v>
      </c>
    </row>
    <row r="41" spans="1:6" ht="15.75" thickBot="1">
      <c r="A41" s="7" t="s">
        <v>100</v>
      </c>
      <c r="B41" s="7" t="s">
        <v>526</v>
      </c>
      <c r="C41" s="5" t="s">
        <v>45</v>
      </c>
      <c r="D41" s="9">
        <v>2023</v>
      </c>
      <c r="E41" s="9">
        <v>16</v>
      </c>
      <c r="F41" s="9">
        <v>2</v>
      </c>
    </row>
    <row r="42" spans="1:6" ht="15.75" thickBot="1">
      <c r="A42" s="7" t="s">
        <v>101</v>
      </c>
      <c r="B42" s="7" t="s">
        <v>526</v>
      </c>
      <c r="C42" s="5" t="s">
        <v>45</v>
      </c>
      <c r="D42" s="9">
        <v>2023</v>
      </c>
      <c r="E42" s="9">
        <v>16</v>
      </c>
      <c r="F42" s="9">
        <v>2</v>
      </c>
    </row>
    <row r="43" spans="1:6" ht="15.75" thickBot="1">
      <c r="A43" s="7" t="s">
        <v>508</v>
      </c>
      <c r="B43" s="7" t="s">
        <v>527</v>
      </c>
      <c r="C43" s="5" t="s">
        <v>45</v>
      </c>
      <c r="D43" s="9">
        <v>2025</v>
      </c>
      <c r="E43" s="9">
        <v>13</v>
      </c>
      <c r="F43" s="9">
        <v>1.24</v>
      </c>
    </row>
    <row r="44" spans="1:6" ht="15.75" thickBot="1">
      <c r="A44" s="7" t="s">
        <v>102</v>
      </c>
      <c r="B44" s="7" t="s">
        <v>528</v>
      </c>
      <c r="C44" s="5" t="s">
        <v>45</v>
      </c>
      <c r="D44" s="9">
        <v>2023</v>
      </c>
      <c r="E44" s="9">
        <v>14</v>
      </c>
      <c r="F44" s="9">
        <v>1.6</v>
      </c>
    </row>
    <row r="45" spans="1:6" ht="15.75" thickBot="1">
      <c r="A45" s="7" t="s">
        <v>103</v>
      </c>
      <c r="B45" s="7" t="s">
        <v>529</v>
      </c>
      <c r="C45" s="5" t="s">
        <v>45</v>
      </c>
      <c r="D45" s="9">
        <v>2023</v>
      </c>
      <c r="E45" s="9">
        <v>14</v>
      </c>
      <c r="F45" s="9">
        <v>1.6</v>
      </c>
    </row>
    <row r="46" spans="1:6" ht="15.75" thickBot="1">
      <c r="A46" s="7" t="s">
        <v>104</v>
      </c>
      <c r="B46" s="7" t="s">
        <v>529</v>
      </c>
      <c r="C46" s="5" t="s">
        <v>45</v>
      </c>
      <c r="D46" s="9">
        <v>2023</v>
      </c>
      <c r="E46" s="9">
        <v>14</v>
      </c>
      <c r="F46" s="9">
        <v>1.6</v>
      </c>
    </row>
    <row r="47" spans="1:6" ht="15.75" thickBot="1">
      <c r="A47" s="7" t="s">
        <v>105</v>
      </c>
      <c r="B47" s="7" t="s">
        <v>529</v>
      </c>
      <c r="C47" s="5" t="s">
        <v>45</v>
      </c>
      <c r="D47" s="9">
        <v>2023</v>
      </c>
      <c r="E47" s="9">
        <v>14</v>
      </c>
      <c r="F47" s="9">
        <v>1.6</v>
      </c>
    </row>
    <row r="48" spans="1:6" ht="15.75" thickBot="1">
      <c r="A48" s="7" t="s">
        <v>106</v>
      </c>
      <c r="B48" s="7" t="s">
        <v>530</v>
      </c>
      <c r="C48" s="5" t="s">
        <v>45</v>
      </c>
      <c r="D48" s="9">
        <v>2023</v>
      </c>
      <c r="E48" s="9">
        <v>16</v>
      </c>
      <c r="F48" s="9">
        <v>2</v>
      </c>
    </row>
    <row r="49" spans="1:6" ht="15.75" thickBot="1">
      <c r="A49" s="7" t="s">
        <v>107</v>
      </c>
      <c r="B49" s="7" t="s">
        <v>530</v>
      </c>
      <c r="C49" s="5" t="s">
        <v>45</v>
      </c>
      <c r="D49" s="9">
        <v>2023</v>
      </c>
      <c r="E49" s="9">
        <v>16</v>
      </c>
      <c r="F49" s="9">
        <v>2</v>
      </c>
    </row>
    <row r="50" spans="1:6" ht="15.75" thickBot="1">
      <c r="A50" s="7" t="s">
        <v>108</v>
      </c>
      <c r="B50" s="7" t="s">
        <v>530</v>
      </c>
      <c r="C50" s="5" t="s">
        <v>45</v>
      </c>
      <c r="D50" s="9">
        <v>2023</v>
      </c>
      <c r="E50" s="9">
        <v>16</v>
      </c>
      <c r="F50" s="9">
        <v>2</v>
      </c>
    </row>
    <row r="51" spans="1:6" ht="15.75" thickBot="1">
      <c r="A51" s="7" t="s">
        <v>531</v>
      </c>
      <c r="B51" s="7" t="s">
        <v>532</v>
      </c>
      <c r="C51" s="5" t="s">
        <v>45</v>
      </c>
      <c r="D51" s="9">
        <v>2025</v>
      </c>
      <c r="E51" s="9">
        <v>14</v>
      </c>
      <c r="F51" s="9">
        <v>1.55</v>
      </c>
    </row>
    <row r="52" spans="1:6" ht="15.75" thickBot="1">
      <c r="A52" s="5" t="s">
        <v>109</v>
      </c>
      <c r="B52" s="7" t="s">
        <v>533</v>
      </c>
      <c r="C52" s="5" t="s">
        <v>45</v>
      </c>
      <c r="D52" s="9">
        <v>2015</v>
      </c>
      <c r="E52" s="9">
        <v>11</v>
      </c>
      <c r="F52" s="9">
        <v>11</v>
      </c>
    </row>
    <row r="53" spans="1:6" ht="15.75" thickBot="1">
      <c r="A53" s="5" t="s">
        <v>109</v>
      </c>
      <c r="B53" s="7" t="s">
        <v>533</v>
      </c>
      <c r="C53" s="7" t="s">
        <v>45</v>
      </c>
      <c r="D53" s="9">
        <v>2015</v>
      </c>
      <c r="E53" s="9">
        <v>11</v>
      </c>
      <c r="F53" s="9">
        <v>11</v>
      </c>
    </row>
    <row r="54" spans="1:6" ht="15.75" thickBot="1">
      <c r="A54" s="5" t="s">
        <v>110</v>
      </c>
      <c r="B54" s="7" t="s">
        <v>534</v>
      </c>
      <c r="C54" s="7" t="s">
        <v>45</v>
      </c>
      <c r="D54" s="9">
        <v>2015</v>
      </c>
      <c r="E54" s="9">
        <v>13</v>
      </c>
      <c r="F54" s="9">
        <v>1.4</v>
      </c>
    </row>
    <row r="55" spans="1:6" ht="15.75" thickBot="1">
      <c r="A55" s="5" t="s">
        <v>110</v>
      </c>
      <c r="B55" s="7" t="s">
        <v>534</v>
      </c>
      <c r="C55" s="7" t="s">
        <v>45</v>
      </c>
      <c r="D55" s="9">
        <v>2015</v>
      </c>
      <c r="E55" s="9">
        <v>13</v>
      </c>
      <c r="F55" s="9">
        <v>1.4</v>
      </c>
    </row>
    <row r="56" spans="1:6" ht="15.75" thickBot="1">
      <c r="A56" s="5" t="s">
        <v>110</v>
      </c>
      <c r="B56" s="7" t="s">
        <v>534</v>
      </c>
      <c r="C56" s="7" t="s">
        <v>45</v>
      </c>
      <c r="D56" s="9">
        <v>2017</v>
      </c>
      <c r="E56" s="9">
        <v>13</v>
      </c>
      <c r="F56" s="9">
        <v>1.4</v>
      </c>
    </row>
    <row r="57" spans="1:6" ht="15.75" thickBot="1">
      <c r="A57" s="5" t="s">
        <v>110</v>
      </c>
      <c r="B57" s="7" t="s">
        <v>534</v>
      </c>
      <c r="C57" s="7" t="s">
        <v>45</v>
      </c>
      <c r="D57" s="9">
        <v>2017</v>
      </c>
      <c r="E57" s="9">
        <v>13</v>
      </c>
      <c r="F57" s="9">
        <v>1.4</v>
      </c>
    </row>
    <row r="58" spans="1:6" ht="15.75" thickBot="1">
      <c r="A58" s="5" t="s">
        <v>112</v>
      </c>
      <c r="B58" s="7" t="s">
        <v>535</v>
      </c>
      <c r="C58" s="7" t="s">
        <v>45</v>
      </c>
      <c r="D58" s="9">
        <v>2018</v>
      </c>
      <c r="E58" s="9">
        <v>13</v>
      </c>
      <c r="F58" s="9">
        <v>1.4</v>
      </c>
    </row>
    <row r="59" spans="1:6" ht="15.75" thickBot="1">
      <c r="A59" s="5" t="s">
        <v>113</v>
      </c>
      <c r="B59" s="7" t="s">
        <v>535</v>
      </c>
      <c r="C59" s="7" t="s">
        <v>45</v>
      </c>
      <c r="D59" s="9">
        <v>2019</v>
      </c>
      <c r="E59" s="9">
        <v>13</v>
      </c>
      <c r="F59" s="9">
        <v>1.4</v>
      </c>
    </row>
    <row r="60" spans="1:6" ht="15.75" thickBot="1">
      <c r="A60" s="5" t="s">
        <v>114</v>
      </c>
      <c r="B60" s="7" t="s">
        <v>536</v>
      </c>
      <c r="C60" s="7" t="s">
        <v>45</v>
      </c>
      <c r="D60" s="9">
        <v>2020</v>
      </c>
      <c r="E60" s="9">
        <v>13</v>
      </c>
      <c r="F60" s="9">
        <v>1.4</v>
      </c>
    </row>
    <row r="61" spans="1:6" ht="15.75" thickBot="1">
      <c r="A61" s="5" t="s">
        <v>114</v>
      </c>
      <c r="B61" s="7" t="s">
        <v>536</v>
      </c>
      <c r="C61" s="7" t="s">
        <v>45</v>
      </c>
      <c r="D61" s="9">
        <v>2020</v>
      </c>
      <c r="E61" s="9">
        <v>13</v>
      </c>
      <c r="F61" s="9">
        <v>1.4</v>
      </c>
    </row>
    <row r="62" spans="1:6" ht="15.75" thickBot="1">
      <c r="A62" s="5" t="s">
        <v>114</v>
      </c>
      <c r="B62" s="7" t="s">
        <v>536</v>
      </c>
      <c r="C62" s="7" t="s">
        <v>45</v>
      </c>
      <c r="D62" s="9">
        <v>2020</v>
      </c>
      <c r="E62" s="9">
        <v>13</v>
      </c>
      <c r="F62" s="9">
        <v>1.4</v>
      </c>
    </row>
    <row r="63" spans="1:6" ht="15.75" thickBot="1">
      <c r="A63" s="5" t="s">
        <v>115</v>
      </c>
      <c r="B63" s="7" t="s">
        <v>537</v>
      </c>
      <c r="C63" s="7" t="s">
        <v>45</v>
      </c>
      <c r="D63" s="9">
        <v>2020</v>
      </c>
      <c r="E63" s="9">
        <v>13</v>
      </c>
      <c r="F63" s="9">
        <v>1.4</v>
      </c>
    </row>
    <row r="64" spans="1:6" ht="15.75" thickBot="1">
      <c r="A64" s="7" t="s">
        <v>116</v>
      </c>
      <c r="B64" s="7" t="s">
        <v>538</v>
      </c>
      <c r="C64" s="7" t="s">
        <v>45</v>
      </c>
      <c r="D64" s="9">
        <v>2022</v>
      </c>
      <c r="E64" s="9">
        <v>13</v>
      </c>
      <c r="F64" s="9">
        <v>1.4</v>
      </c>
    </row>
    <row r="65" spans="1:6" ht="15.75" thickBot="1">
      <c r="A65" s="7" t="s">
        <v>117</v>
      </c>
      <c r="B65" s="7" t="s">
        <v>539</v>
      </c>
      <c r="C65" s="7" t="s">
        <v>45</v>
      </c>
      <c r="D65" s="9">
        <v>2023</v>
      </c>
      <c r="E65" s="9">
        <v>15</v>
      </c>
      <c r="F65" s="9">
        <v>1.8</v>
      </c>
    </row>
    <row r="66" spans="1:6" ht="15.75" thickBot="1">
      <c r="A66" s="7" t="s">
        <v>118</v>
      </c>
      <c r="B66" s="7" t="s">
        <v>540</v>
      </c>
      <c r="C66" s="7" t="s">
        <v>45</v>
      </c>
      <c r="D66" s="9">
        <v>2024</v>
      </c>
      <c r="E66" s="9">
        <v>13</v>
      </c>
      <c r="F66" s="9">
        <v>1.4</v>
      </c>
    </row>
    <row r="67" spans="1:6" ht="15.75" thickBot="1">
      <c r="A67" s="7" t="s">
        <v>119</v>
      </c>
      <c r="B67" s="7" t="s">
        <v>541</v>
      </c>
      <c r="C67" s="7" t="s">
        <v>45</v>
      </c>
      <c r="D67" s="9">
        <v>2024</v>
      </c>
      <c r="E67" s="9">
        <v>15</v>
      </c>
      <c r="F67" s="9">
        <v>1.8</v>
      </c>
    </row>
    <row r="68" spans="1:6" ht="15.75" thickBot="1">
      <c r="A68" s="7" t="s">
        <v>120</v>
      </c>
      <c r="B68" s="7" t="s">
        <v>121</v>
      </c>
      <c r="C68" s="7" t="s">
        <v>274</v>
      </c>
      <c r="D68" s="9">
        <v>2013</v>
      </c>
      <c r="E68" s="7"/>
      <c r="F68" s="9">
        <v>5</v>
      </c>
    </row>
    <row r="69" spans="1:6" ht="15.75" thickBot="1">
      <c r="A69" s="7" t="s">
        <v>122</v>
      </c>
      <c r="B69" s="7" t="s">
        <v>123</v>
      </c>
      <c r="C69" s="7" t="s">
        <v>273</v>
      </c>
      <c r="D69" s="9">
        <v>2015</v>
      </c>
      <c r="E69" s="9">
        <v>27</v>
      </c>
      <c r="F69" s="9">
        <v>9.5399999999999991</v>
      </c>
    </row>
    <row r="70" spans="1:6" ht="15.75" thickBot="1">
      <c r="A70" s="7" t="s">
        <v>124</v>
      </c>
      <c r="B70" s="7" t="s">
        <v>123</v>
      </c>
      <c r="C70" s="7" t="s">
        <v>273</v>
      </c>
      <c r="D70" s="9">
        <v>2017</v>
      </c>
      <c r="E70" s="9">
        <v>27</v>
      </c>
      <c r="F70" s="9">
        <v>9.5399999999999991</v>
      </c>
    </row>
    <row r="71" spans="1:6" ht="15.75" thickBot="1">
      <c r="A71" s="7" t="s">
        <v>125</v>
      </c>
      <c r="B71" s="7" t="s">
        <v>126</v>
      </c>
      <c r="C71" s="7" t="s">
        <v>273</v>
      </c>
      <c r="D71" s="9">
        <v>2017</v>
      </c>
      <c r="E71" s="9">
        <v>21.5</v>
      </c>
      <c r="F71" s="9">
        <v>9.5399999999999991</v>
      </c>
    </row>
    <row r="72" spans="1:6" ht="15.75" thickBot="1">
      <c r="A72" s="7"/>
      <c r="B72" s="7" t="s">
        <v>127</v>
      </c>
      <c r="C72" s="7"/>
      <c r="D72" s="7"/>
      <c r="E72" s="7"/>
      <c r="F72" s="9">
        <v>2</v>
      </c>
    </row>
    <row r="73" spans="1:6" ht="15.75" thickBot="1">
      <c r="A73" s="7"/>
      <c r="B73" s="7" t="s">
        <v>127</v>
      </c>
      <c r="C73" s="7"/>
      <c r="D73" s="7"/>
      <c r="E73" s="7"/>
      <c r="F73" s="9">
        <v>2</v>
      </c>
    </row>
    <row r="74" spans="1:6" ht="15.75" thickBot="1">
      <c r="A74" s="7"/>
      <c r="B74" s="7" t="s">
        <v>127</v>
      </c>
      <c r="C74" s="7"/>
      <c r="D74" s="7"/>
      <c r="E74" s="7"/>
      <c r="F74" s="9">
        <v>2</v>
      </c>
    </row>
    <row r="75" spans="1:6" ht="15.75" thickBot="1">
      <c r="A75" s="7"/>
      <c r="B75" s="7" t="s">
        <v>127</v>
      </c>
      <c r="C75" s="7"/>
      <c r="D75" s="7"/>
      <c r="E75" s="7"/>
      <c r="F75" s="9">
        <v>2</v>
      </c>
    </row>
    <row r="76" spans="1:6" ht="15.75" thickBot="1">
      <c r="A76" s="7"/>
      <c r="B76" s="10" t="s">
        <v>128</v>
      </c>
      <c r="C76" s="10"/>
      <c r="D76" s="7"/>
      <c r="E76" s="7"/>
      <c r="F76" s="9">
        <v>1.74</v>
      </c>
    </row>
    <row r="77" spans="1:6" ht="15.75" thickBot="1">
      <c r="A77" s="7"/>
      <c r="B77" s="7" t="s">
        <v>127</v>
      </c>
      <c r="C77" s="7"/>
      <c r="D77" s="7"/>
      <c r="E77" s="7"/>
      <c r="F77" s="9">
        <v>2</v>
      </c>
    </row>
    <row r="78" spans="1:6" ht="15.75" thickBot="1">
      <c r="A78" s="7"/>
      <c r="B78" s="10" t="s">
        <v>128</v>
      </c>
      <c r="C78" s="10"/>
      <c r="D78" s="7"/>
      <c r="E78" s="7"/>
      <c r="F78" s="9">
        <v>1.74</v>
      </c>
    </row>
    <row r="79" spans="1:6" ht="15.75" thickBot="1">
      <c r="A79" s="7"/>
      <c r="B79" s="10" t="s">
        <v>129</v>
      </c>
      <c r="C79" s="10"/>
      <c r="D79" s="7"/>
      <c r="E79" s="7"/>
      <c r="F79" s="9">
        <v>1.8</v>
      </c>
    </row>
    <row r="80" spans="1:6" ht="15.75" thickBot="1">
      <c r="A80" s="7"/>
      <c r="B80" s="7" t="s">
        <v>127</v>
      </c>
      <c r="C80" s="7"/>
      <c r="D80" s="7"/>
      <c r="E80" s="7"/>
      <c r="F80" s="9">
        <v>2</v>
      </c>
    </row>
    <row r="81" spans="1:6" ht="15.75" thickBot="1">
      <c r="A81" s="7"/>
      <c r="B81" s="7" t="s">
        <v>130</v>
      </c>
      <c r="C81" s="7"/>
      <c r="D81" s="7"/>
      <c r="E81" s="7"/>
      <c r="F81" s="9">
        <v>1.8</v>
      </c>
    </row>
    <row r="82" spans="1:6" ht="15.75" thickBot="1">
      <c r="A82" s="7"/>
      <c r="B82" s="7" t="s">
        <v>131</v>
      </c>
      <c r="C82" s="7"/>
      <c r="D82" s="7"/>
      <c r="E82" s="7"/>
      <c r="F82" s="9">
        <v>1.26</v>
      </c>
    </row>
    <row r="83" spans="1:6" ht="15.75" thickBot="1">
      <c r="A83" s="7"/>
      <c r="B83" s="7" t="s">
        <v>132</v>
      </c>
      <c r="C83" s="7"/>
      <c r="D83" s="7"/>
      <c r="E83" s="7"/>
      <c r="F83" s="9">
        <v>1.26</v>
      </c>
    </row>
    <row r="84" spans="1:6" ht="15.75" thickBot="1">
      <c r="A84" s="7"/>
      <c r="B84" s="7" t="s">
        <v>133</v>
      </c>
      <c r="C84" s="7"/>
      <c r="D84" s="7"/>
      <c r="E84" s="7"/>
      <c r="F84" s="9">
        <v>1.26</v>
      </c>
    </row>
    <row r="85" spans="1:6" ht="15.75" thickBot="1">
      <c r="A85" s="7"/>
      <c r="B85" s="10" t="s">
        <v>134</v>
      </c>
      <c r="C85" s="10"/>
      <c r="D85" s="7"/>
      <c r="E85" s="7"/>
      <c r="F85" s="9">
        <v>1.26</v>
      </c>
    </row>
    <row r="86" spans="1:6" ht="15.75" thickBot="1">
      <c r="A86" s="7"/>
      <c r="B86" s="7" t="s">
        <v>135</v>
      </c>
      <c r="C86" s="7"/>
      <c r="D86" s="7"/>
      <c r="E86" s="7"/>
      <c r="F86" s="9">
        <v>1.17</v>
      </c>
    </row>
    <row r="87" spans="1:6" ht="15.75" thickBot="1">
      <c r="A87" s="7"/>
      <c r="B87" s="7" t="s">
        <v>136</v>
      </c>
      <c r="C87" s="7"/>
      <c r="D87" s="7"/>
      <c r="E87" s="7"/>
      <c r="F87" s="9">
        <v>1.8</v>
      </c>
    </row>
    <row r="88" spans="1:6" ht="15.75" thickBot="1">
      <c r="A88" s="7"/>
      <c r="B88" s="7" t="s">
        <v>137</v>
      </c>
      <c r="C88" s="7"/>
      <c r="D88" s="7"/>
      <c r="E88" s="7"/>
      <c r="F88" s="9">
        <v>1.35</v>
      </c>
    </row>
    <row r="89" spans="1:6" ht="15.75" thickBot="1">
      <c r="A89" s="7"/>
      <c r="B89" s="6" t="s">
        <v>138</v>
      </c>
      <c r="C89" s="6"/>
      <c r="D89" s="7"/>
      <c r="E89" s="7"/>
      <c r="F89" s="9">
        <v>1.1000000000000001</v>
      </c>
    </row>
    <row r="90" spans="1:6" ht="15.75" thickBot="1">
      <c r="A90" s="7"/>
      <c r="B90" s="6" t="s">
        <v>139</v>
      </c>
      <c r="C90" s="6"/>
      <c r="D90" s="7"/>
      <c r="E90" s="7"/>
      <c r="F90" s="9">
        <v>1.2</v>
      </c>
    </row>
    <row r="91" spans="1:6" ht="15.75" thickBot="1">
      <c r="A91" s="7"/>
      <c r="B91" s="6" t="s">
        <v>140</v>
      </c>
      <c r="C91" s="6"/>
      <c r="D91" s="7"/>
      <c r="E91" s="7"/>
      <c r="F91" s="9">
        <v>1.26</v>
      </c>
    </row>
    <row r="92" spans="1:6" ht="15.75" thickBot="1">
      <c r="A92" s="7"/>
      <c r="B92" s="7" t="s">
        <v>141</v>
      </c>
      <c r="C92" s="7"/>
      <c r="D92" s="7"/>
      <c r="E92" s="7"/>
      <c r="F92" s="9">
        <v>1.27</v>
      </c>
    </row>
    <row r="93" spans="1:6" ht="15.75" thickBot="1">
      <c r="A93" s="7"/>
      <c r="B93" s="7" t="s">
        <v>141</v>
      </c>
      <c r="C93" s="7"/>
      <c r="D93" s="7"/>
      <c r="E93" s="7"/>
      <c r="F93" s="9">
        <v>1.27</v>
      </c>
    </row>
    <row r="94" spans="1:6" ht="15.75" thickBot="1">
      <c r="A94" s="7"/>
      <c r="B94" s="7" t="s">
        <v>142</v>
      </c>
      <c r="C94" s="7"/>
      <c r="D94" s="7"/>
      <c r="E94" s="7"/>
      <c r="F94" s="9">
        <v>1.3</v>
      </c>
    </row>
    <row r="95" spans="1:6" ht="15.75" thickBot="1">
      <c r="A95" s="7"/>
      <c r="B95" s="7" t="s">
        <v>143</v>
      </c>
      <c r="C95" s="7"/>
      <c r="D95" s="7"/>
      <c r="E95" s="7"/>
      <c r="F95" s="9">
        <v>1.4</v>
      </c>
    </row>
    <row r="96" spans="1:6" ht="15.75" thickBot="1">
      <c r="A96" s="7"/>
      <c r="B96" s="7" t="s">
        <v>144</v>
      </c>
      <c r="C96" s="7"/>
      <c r="D96" s="7"/>
      <c r="E96" s="7"/>
      <c r="F96" s="9">
        <v>1.4</v>
      </c>
    </row>
    <row r="97" spans="1:6" ht="15.75" thickBot="1">
      <c r="A97" s="7"/>
      <c r="B97" s="7" t="s">
        <v>145</v>
      </c>
      <c r="C97" s="7"/>
      <c r="D97" s="7"/>
      <c r="E97" s="7"/>
      <c r="F97" s="9">
        <v>3.26</v>
      </c>
    </row>
    <row r="98" spans="1:6" ht="15.75" thickBot="1">
      <c r="A98" s="7"/>
      <c r="B98" s="7" t="s">
        <v>146</v>
      </c>
      <c r="C98" s="7"/>
      <c r="D98" s="7"/>
      <c r="E98" s="7"/>
      <c r="F98" s="9">
        <v>5.23</v>
      </c>
    </row>
    <row r="99" spans="1:6" ht="15.75" thickBot="1">
      <c r="A99" s="7"/>
      <c r="B99" s="7" t="s">
        <v>147</v>
      </c>
      <c r="C99" s="7"/>
      <c r="D99" s="7"/>
      <c r="E99" s="7"/>
      <c r="F99" s="9">
        <v>7.5</v>
      </c>
    </row>
    <row r="100" spans="1:6" ht="15.75" thickBot="1">
      <c r="A100" s="7"/>
      <c r="B100" s="7" t="s">
        <v>148</v>
      </c>
      <c r="C100" s="7"/>
      <c r="D100" s="7"/>
      <c r="E100" s="7"/>
      <c r="F100" s="9">
        <v>6.6</v>
      </c>
    </row>
    <row r="101" spans="1:6" ht="15.75" thickBot="1">
      <c r="A101" s="7"/>
      <c r="B101" s="7" t="s">
        <v>149</v>
      </c>
      <c r="C101" s="7"/>
      <c r="D101" s="7"/>
      <c r="E101" s="7"/>
      <c r="F101" s="9">
        <v>5.6</v>
      </c>
    </row>
    <row r="102" spans="1:6" ht="15.75" thickBot="1">
      <c r="A102" s="7"/>
      <c r="B102" s="7" t="s">
        <v>150</v>
      </c>
      <c r="C102" s="7"/>
      <c r="D102" s="7"/>
      <c r="E102" s="7"/>
      <c r="F102" s="9">
        <v>7.65</v>
      </c>
    </row>
    <row r="103" spans="1:6" ht="15.75" thickBot="1">
      <c r="A103" s="7"/>
      <c r="B103" s="7" t="s">
        <v>151</v>
      </c>
      <c r="C103" s="7"/>
      <c r="D103" s="7"/>
      <c r="E103" s="7"/>
      <c r="F103" s="9">
        <v>5.26</v>
      </c>
    </row>
    <row r="104" spans="1:6" ht="15.75" thickBot="1">
      <c r="A104" s="7"/>
      <c r="B104" s="7" t="s">
        <v>152</v>
      </c>
      <c r="C104" s="7"/>
      <c r="D104" s="7"/>
      <c r="E104" s="7"/>
      <c r="F104" s="9">
        <v>9</v>
      </c>
    </row>
    <row r="105" spans="1:6" ht="15.75" thickBot="1">
      <c r="A105" s="7"/>
      <c r="B105" s="7" t="s">
        <v>153</v>
      </c>
      <c r="C105" s="7"/>
      <c r="D105" s="7"/>
      <c r="E105" s="7"/>
      <c r="F105" s="9">
        <v>2.2999999999999998</v>
      </c>
    </row>
    <row r="106" spans="1:6" ht="15.75" thickBot="1">
      <c r="A106" s="7"/>
      <c r="B106" s="7" t="s">
        <v>154</v>
      </c>
      <c r="C106" s="7"/>
      <c r="D106" s="7"/>
      <c r="E106" s="7"/>
      <c r="F106" s="9">
        <v>2.2999999999999998</v>
      </c>
    </row>
    <row r="107" spans="1:6" ht="15.75" thickBot="1">
      <c r="A107" s="7"/>
      <c r="B107" s="7" t="s">
        <v>155</v>
      </c>
      <c r="C107" s="7"/>
      <c r="D107" s="7"/>
      <c r="E107" s="7"/>
      <c r="F107" s="9">
        <v>5.26</v>
      </c>
    </row>
    <row r="108" spans="1:6" ht="15.75" thickBot="1">
      <c r="A108" s="7"/>
      <c r="B108" s="7" t="s">
        <v>156</v>
      </c>
      <c r="C108" s="7"/>
      <c r="D108" s="7"/>
      <c r="E108" s="7"/>
      <c r="F108" s="9">
        <v>9.4</v>
      </c>
    </row>
    <row r="109" spans="1:6" ht="15.75" thickBot="1">
      <c r="A109" s="7"/>
      <c r="B109" s="7" t="s">
        <v>157</v>
      </c>
      <c r="C109" s="7"/>
      <c r="D109" s="7"/>
      <c r="E109" s="7"/>
      <c r="F109" s="9">
        <v>5.9</v>
      </c>
    </row>
    <row r="110" spans="1:6" ht="15.75" thickBot="1">
      <c r="A110" s="7"/>
      <c r="B110" s="7" t="s">
        <v>158</v>
      </c>
      <c r="C110" s="7"/>
      <c r="D110" s="7"/>
      <c r="E110" s="7"/>
      <c r="F110" s="9">
        <v>5.26</v>
      </c>
    </row>
    <row r="111" spans="1:6" ht="15.75" thickBot="1">
      <c r="A111" s="7"/>
      <c r="B111" s="7" t="s">
        <v>159</v>
      </c>
      <c r="C111" s="7"/>
      <c r="D111" s="7"/>
      <c r="E111" s="7"/>
      <c r="F111" s="9">
        <v>1.3</v>
      </c>
    </row>
    <row r="112" spans="1:6" ht="15.75" thickBot="1">
      <c r="A112" s="7"/>
      <c r="B112" s="7" t="s">
        <v>160</v>
      </c>
      <c r="C112" s="7"/>
      <c r="D112" s="7"/>
      <c r="E112" s="7"/>
      <c r="F112" s="9">
        <v>3</v>
      </c>
    </row>
    <row r="113" spans="1:6" ht="15.75" thickBot="1">
      <c r="A113" s="7"/>
      <c r="B113" s="7" t="s">
        <v>161</v>
      </c>
      <c r="C113" s="7"/>
      <c r="D113" s="7"/>
      <c r="E113" s="7"/>
      <c r="F113" s="9">
        <v>3</v>
      </c>
    </row>
    <row r="114" spans="1:6" ht="15.75" thickBot="1">
      <c r="A114" s="7"/>
      <c r="B114" s="7" t="s">
        <v>162</v>
      </c>
      <c r="C114" s="7"/>
      <c r="D114" s="7"/>
      <c r="E114" s="7"/>
      <c r="F114" s="9">
        <v>5.2</v>
      </c>
    </row>
    <row r="115" spans="1:6" ht="15.75" thickBot="1">
      <c r="A115" s="7"/>
      <c r="B115" s="7" t="s">
        <v>163</v>
      </c>
      <c r="C115" s="7"/>
      <c r="D115" s="7"/>
      <c r="E115" s="7"/>
      <c r="F115" s="9">
        <v>4.25</v>
      </c>
    </row>
    <row r="116" spans="1:6" ht="15.75" thickBot="1">
      <c r="A116" s="7"/>
      <c r="B116" s="7" t="s">
        <v>164</v>
      </c>
      <c r="C116" s="7"/>
      <c r="D116" s="7"/>
      <c r="E116" s="7"/>
      <c r="F116" s="9">
        <v>3.33</v>
      </c>
    </row>
    <row r="117" spans="1:6" ht="15.75" thickBot="1">
      <c r="A117" s="7"/>
      <c r="B117" s="7" t="s">
        <v>165</v>
      </c>
      <c r="C117" s="7"/>
      <c r="D117" s="7"/>
      <c r="E117" s="7"/>
      <c r="F117" s="9">
        <v>2.8</v>
      </c>
    </row>
    <row r="118" spans="1:6" ht="15.75" thickBot="1">
      <c r="A118" s="7"/>
      <c r="B118" s="7" t="s">
        <v>166</v>
      </c>
      <c r="C118" s="7"/>
      <c r="D118" s="7"/>
      <c r="E118" s="7"/>
      <c r="F118" s="9">
        <v>1.7</v>
      </c>
    </row>
    <row r="119" spans="1:6" ht="15.75" thickBot="1">
      <c r="A119" s="7"/>
      <c r="B119" s="7" t="s">
        <v>167</v>
      </c>
      <c r="C119" s="7"/>
      <c r="D119" s="7"/>
      <c r="E119" s="7"/>
      <c r="F119" s="9">
        <v>1.48</v>
      </c>
    </row>
    <row r="120" spans="1:6" ht="15.75" thickBot="1">
      <c r="A120" s="7"/>
      <c r="B120" s="7" t="s">
        <v>168</v>
      </c>
      <c r="C120" s="7"/>
      <c r="D120" s="7"/>
      <c r="E120" s="7"/>
      <c r="F120" s="9">
        <v>3.33</v>
      </c>
    </row>
    <row r="121" spans="1:6" ht="15.75" thickBot="1">
      <c r="A121" s="7"/>
      <c r="B121" s="7" t="s">
        <v>169</v>
      </c>
      <c r="C121" s="7"/>
      <c r="D121" s="7"/>
      <c r="E121" s="7"/>
      <c r="F121" s="9">
        <v>0.75</v>
      </c>
    </row>
    <row r="122" spans="1:6" ht="15.75" thickBot="1">
      <c r="A122" s="7"/>
      <c r="B122" s="7" t="s">
        <v>170</v>
      </c>
      <c r="C122" s="7"/>
      <c r="D122" s="7"/>
      <c r="E122" s="7"/>
      <c r="F122" s="9">
        <v>4.25</v>
      </c>
    </row>
    <row r="123" spans="1:6" ht="15.75" thickBot="1">
      <c r="A123" s="7"/>
      <c r="B123" s="7" t="s">
        <v>171</v>
      </c>
      <c r="C123" s="7"/>
      <c r="D123" s="7"/>
      <c r="E123" s="7"/>
      <c r="F123" s="9">
        <v>1.44</v>
      </c>
    </row>
    <row r="124" spans="1:6" ht="15.75" thickBot="1">
      <c r="A124" s="7"/>
      <c r="B124" s="7" t="s">
        <v>172</v>
      </c>
      <c r="C124" s="7"/>
      <c r="D124" s="7"/>
      <c r="E124" s="7"/>
      <c r="F124" s="9">
        <v>1.1299999999999999</v>
      </c>
    </row>
    <row r="125" spans="1:6" ht="15.75" thickBot="1">
      <c r="A125" s="7"/>
      <c r="B125" s="7" t="s">
        <v>173</v>
      </c>
      <c r="C125" s="7"/>
      <c r="D125" s="7"/>
      <c r="E125" s="7"/>
      <c r="F125" s="9">
        <v>1.1299999999999999</v>
      </c>
    </row>
    <row r="126" spans="1:6" ht="15.75" thickBot="1">
      <c r="A126" s="7"/>
      <c r="B126" s="7" t="s">
        <v>174</v>
      </c>
      <c r="C126" s="7"/>
      <c r="D126" s="7"/>
      <c r="E126" s="7"/>
      <c r="F126" s="9">
        <v>1.5</v>
      </c>
    </row>
    <row r="127" spans="1:6" ht="15.75" thickBot="1">
      <c r="A127" s="7"/>
      <c r="B127" s="7" t="s">
        <v>175</v>
      </c>
      <c r="C127" s="7"/>
      <c r="D127" s="7"/>
      <c r="E127" s="7"/>
      <c r="F127" s="9">
        <v>1.46</v>
      </c>
    </row>
    <row r="128" spans="1:6" ht="15.75" thickBot="1">
      <c r="A128" s="7"/>
      <c r="B128" s="7" t="s">
        <v>176</v>
      </c>
      <c r="C128" s="7"/>
      <c r="D128" s="7"/>
      <c r="E128" s="7"/>
      <c r="F128" s="9">
        <v>1.18</v>
      </c>
    </row>
    <row r="129" spans="1:6" ht="15.75" thickBot="1">
      <c r="A129" s="7"/>
      <c r="B129" s="7" t="s">
        <v>177</v>
      </c>
      <c r="C129" s="7"/>
      <c r="D129" s="7"/>
      <c r="E129" s="7"/>
      <c r="F129" s="9">
        <v>1.73</v>
      </c>
    </row>
    <row r="130" spans="1:6" ht="15.75" thickBot="1">
      <c r="A130" s="7"/>
      <c r="B130" s="7" t="s">
        <v>178</v>
      </c>
      <c r="C130" s="7"/>
      <c r="D130" s="7"/>
      <c r="E130" s="7"/>
      <c r="F130" s="9">
        <v>1.73</v>
      </c>
    </row>
    <row r="131" spans="1:6" ht="15.75" thickBot="1">
      <c r="A131" s="7"/>
      <c r="B131" s="7" t="s">
        <v>179</v>
      </c>
      <c r="C131" s="7"/>
      <c r="D131" s="7"/>
      <c r="E131" s="7"/>
      <c r="F131" s="9">
        <v>1.68</v>
      </c>
    </row>
    <row r="132" spans="1:6" ht="15.75" thickBot="1">
      <c r="A132" s="7"/>
      <c r="B132" s="7" t="s">
        <v>180</v>
      </c>
      <c r="C132" s="7"/>
      <c r="D132" s="7"/>
      <c r="E132" s="7"/>
      <c r="F132" s="9">
        <v>1.64</v>
      </c>
    </row>
    <row r="133" spans="1:6" ht="15.75" thickBot="1">
      <c r="A133" s="7"/>
      <c r="B133" s="7" t="s">
        <v>181</v>
      </c>
      <c r="C133" s="7"/>
      <c r="D133" s="7"/>
      <c r="E133" s="7"/>
      <c r="F133" s="9">
        <v>2.2999999999999998</v>
      </c>
    </row>
    <row r="134" spans="1:6" ht="15.75" thickBot="1">
      <c r="A134" s="7"/>
      <c r="B134" s="7" t="s">
        <v>182</v>
      </c>
      <c r="C134" s="7"/>
      <c r="D134" s="7"/>
      <c r="E134" s="7"/>
      <c r="F134" s="9">
        <v>1.96</v>
      </c>
    </row>
    <row r="135" spans="1:6" ht="15.75" thickBot="1">
      <c r="A135" s="7"/>
      <c r="B135" s="7" t="s">
        <v>183</v>
      </c>
      <c r="C135" s="7"/>
      <c r="D135" s="7"/>
      <c r="E135" s="7"/>
      <c r="F135" s="9">
        <v>1.7</v>
      </c>
    </row>
    <row r="136" spans="1:6" ht="15.75" thickBot="1">
      <c r="A136" s="7"/>
      <c r="B136" s="7" t="s">
        <v>184</v>
      </c>
      <c r="C136" s="7"/>
      <c r="D136" s="7"/>
      <c r="E136" s="7"/>
      <c r="F136" s="9">
        <v>2.7</v>
      </c>
    </row>
    <row r="137" spans="1:6" ht="15.75" thickBot="1">
      <c r="A137" s="7"/>
      <c r="B137" s="7" t="s">
        <v>185</v>
      </c>
      <c r="C137" s="7"/>
      <c r="D137" s="7"/>
      <c r="E137" s="7"/>
      <c r="F137" s="9">
        <v>2.74</v>
      </c>
    </row>
    <row r="138" spans="1:6" ht="15.75" thickBot="1">
      <c r="A138" s="7"/>
      <c r="B138" s="7" t="s">
        <v>186</v>
      </c>
      <c r="C138" s="7"/>
      <c r="D138" s="7"/>
      <c r="E138" s="7"/>
      <c r="F138" s="9">
        <v>2</v>
      </c>
    </row>
    <row r="139" spans="1:6" ht="15.75" thickBot="1">
      <c r="A139" s="7"/>
      <c r="B139" s="7" t="s">
        <v>177</v>
      </c>
      <c r="C139" s="7"/>
      <c r="D139" s="7"/>
      <c r="E139" s="7"/>
      <c r="F139" s="9">
        <v>1.73</v>
      </c>
    </row>
    <row r="140" spans="1:6" ht="15.75" thickBot="1">
      <c r="A140" s="7"/>
      <c r="B140" s="7" t="s">
        <v>187</v>
      </c>
      <c r="C140" s="7"/>
      <c r="D140" s="7"/>
      <c r="E140" s="7"/>
      <c r="F140" s="9">
        <v>1.68</v>
      </c>
    </row>
    <row r="141" spans="1:6" ht="15.75" thickBot="1">
      <c r="A141" s="7"/>
      <c r="B141" s="7" t="s">
        <v>188</v>
      </c>
      <c r="C141" s="7"/>
      <c r="D141" s="7"/>
      <c r="E141" s="7"/>
      <c r="F141" s="9">
        <v>1.64</v>
      </c>
    </row>
    <row r="142" spans="1:6" ht="15.75" thickBot="1">
      <c r="A142" s="7"/>
      <c r="B142" s="7" t="s">
        <v>189</v>
      </c>
      <c r="C142" s="7"/>
      <c r="D142" s="7"/>
      <c r="E142" s="7"/>
      <c r="F142" s="9">
        <v>2.2999999999999998</v>
      </c>
    </row>
    <row r="143" spans="1:6" ht="15.75" thickBot="1">
      <c r="A143" s="7"/>
      <c r="B143" s="7" t="s">
        <v>190</v>
      </c>
      <c r="C143" s="7"/>
      <c r="D143" s="7"/>
      <c r="E143" s="7"/>
      <c r="F143" s="9">
        <v>1.96</v>
      </c>
    </row>
    <row r="144" spans="1:6" ht="15.75" thickBot="1">
      <c r="A144" s="7"/>
      <c r="B144" s="7" t="s">
        <v>191</v>
      </c>
      <c r="C144" s="7"/>
      <c r="D144" s="7"/>
      <c r="E144" s="7"/>
      <c r="F144" s="9">
        <v>1.7</v>
      </c>
    </row>
    <row r="145" spans="1:6" ht="15.75" thickBot="1">
      <c r="A145" s="7"/>
      <c r="B145" s="7" t="s">
        <v>192</v>
      </c>
      <c r="C145" s="7"/>
      <c r="D145" s="7"/>
      <c r="E145" s="7"/>
      <c r="F145" s="9">
        <v>2.7</v>
      </c>
    </row>
    <row r="146" spans="1:6" ht="15.75" thickBot="1">
      <c r="A146" s="7"/>
      <c r="B146" s="7" t="s">
        <v>193</v>
      </c>
      <c r="C146" s="7"/>
      <c r="D146" s="7"/>
      <c r="E146" s="7"/>
      <c r="F146" s="9">
        <v>2.74</v>
      </c>
    </row>
    <row r="147" spans="1:6" ht="15.75" thickBot="1">
      <c r="A147" s="7"/>
      <c r="B147" s="7" t="s">
        <v>194</v>
      </c>
      <c r="C147" s="7"/>
      <c r="D147" s="7"/>
      <c r="E147" s="7"/>
      <c r="F147" s="9">
        <v>1.36</v>
      </c>
    </row>
    <row r="148" spans="1:6" ht="15.75" thickBot="1">
      <c r="A148" s="7"/>
      <c r="B148" s="7" t="s">
        <v>195</v>
      </c>
      <c r="C148" s="7"/>
      <c r="D148" s="7"/>
      <c r="E148" s="7"/>
      <c r="F148" s="9">
        <v>1.4</v>
      </c>
    </row>
    <row r="149" spans="1:6" ht="15.75" thickBot="1">
      <c r="A149" s="7"/>
      <c r="B149" s="7" t="s">
        <v>196</v>
      </c>
      <c r="C149" s="7"/>
      <c r="D149" s="7"/>
      <c r="E149" s="7"/>
      <c r="F149" s="9">
        <v>2.5</v>
      </c>
    </row>
    <row r="150" spans="1:6" ht="15.75" thickBot="1">
      <c r="A150" s="7"/>
      <c r="B150" s="7" t="s">
        <v>197</v>
      </c>
      <c r="C150" s="7"/>
      <c r="D150" s="7"/>
      <c r="E150" s="7"/>
      <c r="F150" s="9">
        <v>1.7</v>
      </c>
    </row>
    <row r="151" spans="1:6" ht="15.75" thickBot="1">
      <c r="A151" s="7"/>
      <c r="B151" s="7" t="s">
        <v>198</v>
      </c>
      <c r="C151" s="7"/>
      <c r="D151" s="7"/>
      <c r="E151" s="7"/>
      <c r="F151" s="9">
        <v>1.32</v>
      </c>
    </row>
    <row r="152" spans="1:6" ht="15.75" thickBot="1">
      <c r="A152" s="7"/>
      <c r="B152" s="7" t="s">
        <v>199</v>
      </c>
      <c r="C152" s="7"/>
      <c r="D152" s="7"/>
      <c r="E152" s="7"/>
      <c r="F152" s="9">
        <v>1.36</v>
      </c>
    </row>
    <row r="153" spans="1:6" ht="15.75" thickBot="1">
      <c r="A153" s="7"/>
      <c r="B153" s="7" t="s">
        <v>200</v>
      </c>
      <c r="C153" s="7"/>
      <c r="D153" s="7"/>
      <c r="E153" s="7"/>
      <c r="F153" s="9">
        <v>1.7</v>
      </c>
    </row>
    <row r="154" spans="1:6" ht="15.75" thickBot="1">
      <c r="A154" s="7"/>
      <c r="B154" s="7" t="s">
        <v>201</v>
      </c>
      <c r="C154" s="7"/>
      <c r="D154" s="7"/>
      <c r="E154" s="7"/>
      <c r="F154" s="9">
        <v>1.3</v>
      </c>
    </row>
    <row r="155" spans="1:6" ht="15.75" thickBot="1">
      <c r="A155" s="7"/>
      <c r="B155" s="7" t="s">
        <v>202</v>
      </c>
      <c r="C155" s="7"/>
      <c r="D155" s="7"/>
      <c r="E155" s="7"/>
      <c r="F155" s="9">
        <v>1.8</v>
      </c>
    </row>
    <row r="156" spans="1:6" ht="15.75" thickBot="1">
      <c r="A156" s="7"/>
      <c r="B156" s="7" t="s">
        <v>203</v>
      </c>
      <c r="C156" s="7"/>
      <c r="D156" s="7"/>
      <c r="E156" s="7"/>
      <c r="F156" s="9">
        <v>1.32</v>
      </c>
    </row>
    <row r="157" spans="1:6" ht="15.75" thickBot="1">
      <c r="A157" s="7"/>
      <c r="B157" s="7" t="s">
        <v>204</v>
      </c>
      <c r="C157" s="7"/>
      <c r="D157" s="7"/>
      <c r="E157" s="7"/>
      <c r="F157" s="9">
        <v>1.27</v>
      </c>
    </row>
    <row r="158" spans="1:6" ht="15.75" thickBot="1">
      <c r="A158" s="7"/>
      <c r="B158" s="7" t="s">
        <v>205</v>
      </c>
      <c r="C158" s="7"/>
      <c r="D158" s="7"/>
      <c r="E158" s="7"/>
      <c r="F158" s="9">
        <v>1.4</v>
      </c>
    </row>
    <row r="159" spans="1:6" ht="15.75" thickBot="1">
      <c r="A159" s="7"/>
      <c r="B159" s="7" t="s">
        <v>202</v>
      </c>
      <c r="C159" s="7"/>
      <c r="D159" s="7"/>
      <c r="E159" s="7"/>
      <c r="F159" s="9">
        <v>1.8</v>
      </c>
    </row>
    <row r="160" spans="1:6" ht="15.75" thickBot="1">
      <c r="A160" s="7"/>
      <c r="B160" s="7" t="s">
        <v>206</v>
      </c>
      <c r="C160" s="7"/>
      <c r="D160" s="7"/>
      <c r="E160" s="7"/>
      <c r="F160" s="9">
        <v>1.4</v>
      </c>
    </row>
    <row r="161" spans="1:6" ht="15.75" thickBot="1">
      <c r="A161" s="7"/>
      <c r="B161" s="7" t="s">
        <v>207</v>
      </c>
      <c r="C161" s="7"/>
      <c r="D161" s="7"/>
      <c r="E161" s="7"/>
      <c r="F161" s="9">
        <v>2.63</v>
      </c>
    </row>
    <row r="162" spans="1:6" ht="15.75" thickBot="1">
      <c r="A162" s="7"/>
      <c r="B162" s="7" t="s">
        <v>208</v>
      </c>
      <c r="C162" s="7"/>
      <c r="D162" s="7"/>
      <c r="E162" s="7"/>
      <c r="F162" s="9">
        <v>2.63</v>
      </c>
    </row>
    <row r="163" spans="1:6" ht="15.75" thickBot="1">
      <c r="A163" s="7"/>
      <c r="B163" s="7" t="s">
        <v>209</v>
      </c>
      <c r="C163" s="7"/>
      <c r="D163" s="7"/>
      <c r="E163" s="7"/>
      <c r="F163" s="9">
        <v>2</v>
      </c>
    </row>
    <row r="164" spans="1:6" ht="15.75" thickBot="1">
      <c r="A164" s="7"/>
      <c r="B164" s="7" t="s">
        <v>210</v>
      </c>
      <c r="C164" s="7"/>
      <c r="D164" s="7"/>
      <c r="E164" s="7"/>
      <c r="F164" s="9">
        <v>1.8</v>
      </c>
    </row>
    <row r="165" spans="1:6" ht="15.75" thickBot="1">
      <c r="A165" s="7"/>
      <c r="B165" s="7" t="s">
        <v>211</v>
      </c>
      <c r="C165" s="7"/>
      <c r="D165" s="7"/>
      <c r="E165" s="7"/>
      <c r="F165" s="9">
        <v>2.2000000000000002</v>
      </c>
    </row>
    <row r="166" spans="1:6" ht="15.75" thickBot="1">
      <c r="A166" s="7"/>
      <c r="B166" s="7" t="s">
        <v>212</v>
      </c>
      <c r="C166" s="7"/>
      <c r="D166" s="7"/>
      <c r="E166" s="7"/>
      <c r="F166" s="9">
        <v>2.63</v>
      </c>
    </row>
    <row r="167" spans="1:6" ht="15.75" thickBot="1">
      <c r="A167" s="7"/>
      <c r="B167" s="10" t="s">
        <v>213</v>
      </c>
      <c r="C167" s="10"/>
      <c r="D167" s="7"/>
      <c r="E167" s="7"/>
      <c r="F167" s="9">
        <v>2</v>
      </c>
    </row>
    <row r="168" spans="1:6" ht="15.75" thickBot="1">
      <c r="A168" s="7"/>
      <c r="B168" s="7" t="s">
        <v>214</v>
      </c>
      <c r="C168" s="7"/>
      <c r="D168" s="7"/>
      <c r="E168" s="7"/>
      <c r="F168" s="9">
        <v>1.47</v>
      </c>
    </row>
    <row r="169" spans="1:6" ht="15.75" thickBot="1">
      <c r="A169" s="7"/>
      <c r="B169" s="7" t="s">
        <v>215</v>
      </c>
      <c r="C169" s="7"/>
      <c r="D169" s="7"/>
      <c r="E169" s="7"/>
      <c r="F169" s="9">
        <v>1.36</v>
      </c>
    </row>
    <row r="170" spans="1:6" ht="15.75" thickBot="1">
      <c r="A170" s="7"/>
      <c r="B170" s="7" t="s">
        <v>216</v>
      </c>
      <c r="C170" s="7"/>
      <c r="D170" s="7"/>
      <c r="E170" s="7"/>
      <c r="F170" s="9">
        <v>1.47</v>
      </c>
    </row>
    <row r="171" spans="1:6" ht="15.75" thickBot="1">
      <c r="A171" s="7"/>
      <c r="B171" s="7" t="s">
        <v>217</v>
      </c>
      <c r="C171" s="7"/>
      <c r="D171" s="7"/>
      <c r="E171" s="7"/>
      <c r="F171" s="9">
        <v>1.53</v>
      </c>
    </row>
    <row r="172" spans="1:6" ht="15.75" thickBot="1">
      <c r="A172" s="7"/>
      <c r="B172" s="7" t="s">
        <v>218</v>
      </c>
      <c r="C172" s="7"/>
      <c r="D172" s="7"/>
      <c r="E172" s="7"/>
      <c r="F172" s="9">
        <v>1.24</v>
      </c>
    </row>
    <row r="173" spans="1:6" ht="15.75" thickBot="1">
      <c r="A173" s="7"/>
      <c r="B173" s="7" t="s">
        <v>219</v>
      </c>
      <c r="C173" s="7"/>
      <c r="D173" s="7"/>
      <c r="E173" s="7"/>
      <c r="F173" s="9">
        <v>1.47</v>
      </c>
    </row>
    <row r="174" spans="1:6" ht="15.75" thickBot="1">
      <c r="A174" s="7"/>
      <c r="B174" s="7" t="s">
        <v>220</v>
      </c>
      <c r="C174" s="7"/>
      <c r="D174" s="7"/>
      <c r="E174" s="7"/>
      <c r="F174" s="9">
        <v>1.55</v>
      </c>
    </row>
    <row r="175" spans="1:6" ht="15.75" thickBot="1">
      <c r="A175" s="7"/>
      <c r="B175" s="7" t="s">
        <v>221</v>
      </c>
      <c r="C175" s="7"/>
      <c r="D175" s="7"/>
      <c r="E175" s="7"/>
      <c r="F175" s="9">
        <v>1.75</v>
      </c>
    </row>
    <row r="176" spans="1:6" ht="15.75" thickBot="1">
      <c r="A176" s="7"/>
      <c r="B176" s="7" t="s">
        <v>222</v>
      </c>
      <c r="C176" s="7"/>
      <c r="D176" s="7"/>
      <c r="E176" s="7"/>
      <c r="F176" s="9">
        <v>1.7</v>
      </c>
    </row>
    <row r="177" spans="1:6" ht="15.75" thickBot="1">
      <c r="A177" s="7"/>
      <c r="B177" s="7" t="s">
        <v>223</v>
      </c>
      <c r="C177" s="7"/>
      <c r="D177" s="7"/>
      <c r="E177" s="7"/>
      <c r="F177" s="9">
        <v>1.3</v>
      </c>
    </row>
    <row r="178" spans="1:6" ht="15.75" thickBot="1">
      <c r="A178" s="7"/>
      <c r="B178" s="7" t="s">
        <v>224</v>
      </c>
      <c r="C178" s="7"/>
      <c r="D178" s="7"/>
      <c r="E178" s="7"/>
      <c r="F178" s="9">
        <v>1.53</v>
      </c>
    </row>
    <row r="179" spans="1:6" ht="15.75" thickBot="1">
      <c r="A179" s="7"/>
      <c r="B179" s="7" t="s">
        <v>225</v>
      </c>
      <c r="C179" s="7"/>
      <c r="D179" s="7"/>
      <c r="E179" s="7"/>
      <c r="F179" s="9">
        <v>1.27</v>
      </c>
    </row>
    <row r="180" spans="1:6" ht="15.75" thickBot="1">
      <c r="A180" s="7"/>
      <c r="B180" s="7" t="s">
        <v>226</v>
      </c>
      <c r="C180" s="7"/>
      <c r="D180" s="7"/>
      <c r="E180" s="7"/>
      <c r="F180" s="9">
        <v>1.3</v>
      </c>
    </row>
    <row r="181" spans="1:6" ht="15.75" thickBot="1">
      <c r="A181" s="7"/>
      <c r="B181" s="7" t="s">
        <v>227</v>
      </c>
      <c r="C181" s="7"/>
      <c r="D181" s="7"/>
      <c r="E181" s="7"/>
      <c r="F181" s="9">
        <v>1.4</v>
      </c>
    </row>
    <row r="182" spans="1:6" ht="15.75" thickBot="1">
      <c r="A182" s="7"/>
      <c r="B182" s="7" t="s">
        <v>228</v>
      </c>
      <c r="C182" s="7"/>
      <c r="D182" s="7"/>
      <c r="E182" s="7"/>
      <c r="F182" s="9">
        <v>1.4</v>
      </c>
    </row>
    <row r="183" spans="1:6" ht="15.75" thickBot="1">
      <c r="A183" s="7"/>
      <c r="B183" s="7" t="s">
        <v>229</v>
      </c>
      <c r="C183" s="7"/>
      <c r="D183" s="7"/>
      <c r="E183" s="7"/>
      <c r="F183" s="9">
        <v>1.44</v>
      </c>
    </row>
    <row r="184" spans="1:6" ht="15.75" thickBot="1">
      <c r="A184" s="7"/>
      <c r="B184" s="7" t="s">
        <v>230</v>
      </c>
      <c r="C184" s="7"/>
      <c r="D184" s="7"/>
      <c r="E184" s="7"/>
      <c r="F184" s="9">
        <v>1.1299999999999999</v>
      </c>
    </row>
    <row r="185" spans="1:6" ht="15.75" thickBot="1">
      <c r="A185" s="7"/>
      <c r="B185" s="7" t="s">
        <v>231</v>
      </c>
      <c r="C185" s="7"/>
      <c r="D185" s="7"/>
      <c r="E185" s="7"/>
      <c r="F185" s="9">
        <v>1.1299999999999999</v>
      </c>
    </row>
    <row r="186" spans="1:6" ht="15.75" thickBot="1">
      <c r="A186" s="7"/>
      <c r="B186" s="7" t="s">
        <v>232</v>
      </c>
      <c r="C186" s="7"/>
      <c r="D186" s="7"/>
      <c r="E186" s="7"/>
      <c r="F186" s="9">
        <v>1.5</v>
      </c>
    </row>
    <row r="187" spans="1:6" ht="15.75" thickBot="1">
      <c r="A187" s="7"/>
      <c r="B187" s="7" t="s">
        <v>177</v>
      </c>
      <c r="C187" s="7"/>
      <c r="D187" s="7"/>
      <c r="E187" s="7"/>
      <c r="F187" s="9">
        <v>1.73</v>
      </c>
    </row>
    <row r="188" spans="1:6" ht="15.75" thickBot="1">
      <c r="A188" s="7"/>
      <c r="B188" s="7" t="s">
        <v>187</v>
      </c>
      <c r="C188" s="7"/>
      <c r="D188" s="7"/>
      <c r="E188" s="7"/>
      <c r="F188" s="9">
        <v>1.68</v>
      </c>
    </row>
    <row r="189" spans="1:6" ht="15.75" thickBot="1">
      <c r="A189" s="7"/>
      <c r="B189" s="7" t="s">
        <v>188</v>
      </c>
      <c r="C189" s="7"/>
      <c r="D189" s="7"/>
      <c r="E189" s="7"/>
      <c r="F189" s="9">
        <v>1.64</v>
      </c>
    </row>
    <row r="190" spans="1:6" ht="15.75" thickBot="1">
      <c r="A190" s="7"/>
      <c r="B190" s="7" t="s">
        <v>189</v>
      </c>
      <c r="C190" s="7"/>
      <c r="D190" s="7"/>
      <c r="E190" s="7"/>
      <c r="F190" s="9">
        <v>2.2999999999999998</v>
      </c>
    </row>
    <row r="191" spans="1:6" ht="15.75" thickBot="1">
      <c r="A191" s="7"/>
      <c r="B191" s="7" t="s">
        <v>190</v>
      </c>
      <c r="C191" s="7"/>
      <c r="D191" s="7"/>
      <c r="E191" s="7"/>
      <c r="F191" s="9">
        <v>1.96</v>
      </c>
    </row>
    <row r="192" spans="1:6" ht="15.75" thickBot="1">
      <c r="A192" s="7"/>
      <c r="B192" s="7" t="s">
        <v>191</v>
      </c>
      <c r="C192" s="7"/>
      <c r="D192" s="7"/>
      <c r="E192" s="7"/>
      <c r="F192" s="9">
        <v>1.7</v>
      </c>
    </row>
    <row r="193" spans="1:6" ht="15.75" thickBot="1">
      <c r="A193" s="7"/>
      <c r="B193" s="7" t="s">
        <v>192</v>
      </c>
      <c r="C193" s="7"/>
      <c r="D193" s="7"/>
      <c r="E193" s="7"/>
      <c r="F193" s="9">
        <v>2.7</v>
      </c>
    </row>
    <row r="194" spans="1:6" ht="15.75" thickBot="1">
      <c r="A194" s="7"/>
      <c r="B194" s="7" t="s">
        <v>193</v>
      </c>
      <c r="C194" s="7"/>
      <c r="D194" s="7"/>
      <c r="E194" s="7"/>
      <c r="F194" s="9">
        <v>2.74</v>
      </c>
    </row>
    <row r="195" spans="1:6" ht="15.75" thickBot="1">
      <c r="A195" s="7"/>
      <c r="B195" s="7" t="s">
        <v>233</v>
      </c>
      <c r="C195" s="7"/>
      <c r="D195" s="7"/>
      <c r="E195" s="7"/>
      <c r="F195" s="9">
        <v>1.36</v>
      </c>
    </row>
    <row r="196" spans="1:6" ht="15.75" thickBot="1">
      <c r="A196" s="7"/>
      <c r="B196" s="7" t="s">
        <v>234</v>
      </c>
      <c r="C196" s="7"/>
      <c r="D196" s="7"/>
      <c r="E196" s="7"/>
      <c r="F196" s="9">
        <v>2.5</v>
      </c>
    </row>
    <row r="197" spans="1:6" ht="15.75" thickBot="1">
      <c r="A197" s="7"/>
      <c r="B197" s="7" t="s">
        <v>235</v>
      </c>
      <c r="C197" s="7"/>
      <c r="D197" s="7"/>
      <c r="E197" s="7"/>
      <c r="F197" s="9">
        <v>1.7</v>
      </c>
    </row>
    <row r="198" spans="1:6" ht="15.75" thickBot="1">
      <c r="A198" s="7"/>
      <c r="B198" s="7" t="s">
        <v>236</v>
      </c>
      <c r="C198" s="7"/>
      <c r="D198" s="7"/>
      <c r="E198" s="7"/>
      <c r="F198" s="9">
        <v>1.32</v>
      </c>
    </row>
    <row r="199" spans="1:6" ht="15.75" thickBot="1">
      <c r="A199" s="7"/>
      <c r="B199" s="7" t="s">
        <v>137</v>
      </c>
      <c r="C199" s="7"/>
      <c r="D199" s="7"/>
      <c r="E199" s="7"/>
      <c r="F199" s="9">
        <v>1.36</v>
      </c>
    </row>
    <row r="200" spans="1:6" ht="15.75" thickBot="1">
      <c r="A200" s="7"/>
      <c r="B200" s="7" t="s">
        <v>237</v>
      </c>
      <c r="C200" s="7"/>
      <c r="D200" s="7"/>
      <c r="E200" s="7"/>
      <c r="F200" s="9">
        <v>1.7</v>
      </c>
    </row>
    <row r="201" spans="1:6" ht="15.75" thickBot="1">
      <c r="A201" s="7"/>
      <c r="B201" s="7" t="s">
        <v>223</v>
      </c>
      <c r="C201" s="7"/>
      <c r="D201" s="7"/>
      <c r="E201" s="7"/>
      <c r="F201" s="9">
        <v>1.3</v>
      </c>
    </row>
    <row r="202" spans="1:6" ht="15.75" thickBot="1">
      <c r="A202" s="7"/>
      <c r="B202" s="7" t="s">
        <v>238</v>
      </c>
      <c r="C202" s="7"/>
      <c r="D202" s="7"/>
      <c r="E202" s="7"/>
      <c r="F202" s="9">
        <v>1.32</v>
      </c>
    </row>
    <row r="203" spans="1:6" ht="15.75" thickBot="1">
      <c r="A203" s="7"/>
      <c r="B203" s="7" t="s">
        <v>239</v>
      </c>
      <c r="C203" s="7"/>
      <c r="D203" s="7"/>
      <c r="E203" s="7"/>
      <c r="F203" s="9">
        <v>1.27</v>
      </c>
    </row>
    <row r="204" spans="1:6" ht="15.75" thickBot="1">
      <c r="A204" s="7"/>
      <c r="B204" s="7" t="s">
        <v>240</v>
      </c>
      <c r="C204" s="7"/>
      <c r="D204" s="7"/>
      <c r="E204" s="7"/>
      <c r="F204" s="9">
        <v>1.4</v>
      </c>
    </row>
    <row r="205" spans="1:6" ht="15.75" thickBot="1">
      <c r="A205" s="7"/>
      <c r="B205" s="7" t="s">
        <v>241</v>
      </c>
      <c r="C205" s="7"/>
      <c r="D205" s="7"/>
      <c r="E205" s="7"/>
      <c r="F205" s="9">
        <v>2.63</v>
      </c>
    </row>
    <row r="206" spans="1:6" ht="15.75" thickBot="1">
      <c r="A206" s="7"/>
      <c r="B206" s="7" t="s">
        <v>242</v>
      </c>
      <c r="C206" s="7"/>
      <c r="D206" s="7"/>
      <c r="E206" s="7"/>
      <c r="F206" s="9">
        <v>2.63</v>
      </c>
    </row>
    <row r="207" spans="1:6" ht="15.75" thickBot="1">
      <c r="A207" s="7"/>
      <c r="B207" s="7" t="s">
        <v>243</v>
      </c>
      <c r="C207" s="7"/>
      <c r="D207" s="7"/>
      <c r="E207" s="7"/>
      <c r="F207" s="9">
        <v>2</v>
      </c>
    </row>
    <row r="208" spans="1:6" ht="15.75" thickBot="1">
      <c r="A208" s="7"/>
      <c r="B208" s="7" t="s">
        <v>244</v>
      </c>
      <c r="C208" s="7"/>
      <c r="D208" s="7"/>
      <c r="E208" s="7"/>
      <c r="F208" s="9">
        <v>1.8</v>
      </c>
    </row>
    <row r="209" spans="1:6" ht="15.75" thickBot="1">
      <c r="A209" s="7"/>
      <c r="B209" s="7" t="s">
        <v>212</v>
      </c>
      <c r="C209" s="7"/>
      <c r="D209" s="7"/>
      <c r="E209" s="7"/>
      <c r="F209" s="9">
        <v>2.63</v>
      </c>
    </row>
    <row r="210" spans="1:6" ht="15.75" thickBot="1">
      <c r="A210" s="7"/>
      <c r="B210" s="7" t="s">
        <v>245</v>
      </c>
      <c r="C210" s="7"/>
      <c r="D210" s="7"/>
      <c r="E210" s="7"/>
      <c r="F210" s="9">
        <v>1.47</v>
      </c>
    </row>
    <row r="211" spans="1:6" ht="15.75" thickBot="1">
      <c r="A211" s="7"/>
      <c r="B211" s="7" t="s">
        <v>246</v>
      </c>
      <c r="C211" s="7"/>
      <c r="D211" s="7"/>
      <c r="E211" s="7"/>
      <c r="F211" s="9">
        <v>1.36</v>
      </c>
    </row>
    <row r="212" spans="1:6" ht="15.75" thickBot="1">
      <c r="A212" s="7"/>
      <c r="B212" s="7" t="s">
        <v>247</v>
      </c>
      <c r="C212" s="7"/>
      <c r="D212" s="7"/>
      <c r="E212" s="7"/>
      <c r="F212" s="9">
        <v>1.47</v>
      </c>
    </row>
    <row r="213" spans="1:6" ht="15.75" thickBot="1">
      <c r="A213" s="7"/>
      <c r="B213" s="7" t="s">
        <v>224</v>
      </c>
      <c r="C213" s="7"/>
      <c r="D213" s="7"/>
      <c r="E213" s="7"/>
      <c r="F213" s="9">
        <v>1.53</v>
      </c>
    </row>
    <row r="214" spans="1:6" ht="15.75" thickBot="1">
      <c r="A214" s="7"/>
      <c r="B214" s="7" t="s">
        <v>248</v>
      </c>
      <c r="C214" s="7"/>
      <c r="D214" s="7"/>
      <c r="E214" s="7"/>
      <c r="F214" s="9">
        <v>1.24</v>
      </c>
    </row>
    <row r="215" spans="1:6" ht="15.75" thickBot="1">
      <c r="A215" s="7"/>
      <c r="B215" s="7" t="s">
        <v>249</v>
      </c>
      <c r="C215" s="7"/>
      <c r="D215" s="7"/>
      <c r="E215" s="7"/>
      <c r="F215" s="9">
        <v>1.47</v>
      </c>
    </row>
    <row r="216" spans="1:6" ht="15.75" thickBot="1">
      <c r="A216" s="7"/>
      <c r="B216" s="7" t="s">
        <v>250</v>
      </c>
      <c r="C216" s="7"/>
      <c r="D216" s="7"/>
      <c r="E216" s="7"/>
      <c r="F216" s="9">
        <v>1.75</v>
      </c>
    </row>
    <row r="217" spans="1:6" ht="15.75" thickBot="1">
      <c r="A217" s="7"/>
      <c r="B217" s="7" t="s">
        <v>251</v>
      </c>
      <c r="C217" s="7"/>
      <c r="D217" s="7"/>
      <c r="E217" s="7"/>
      <c r="F217" s="9">
        <v>1.9</v>
      </c>
    </row>
    <row r="218" spans="1:6" ht="15.75" thickBot="1">
      <c r="A218" s="7"/>
      <c r="B218" s="11" t="s">
        <v>252</v>
      </c>
      <c r="C218" s="11"/>
      <c r="D218" s="7"/>
      <c r="E218" s="7"/>
      <c r="F218" s="9">
        <v>1.9</v>
      </c>
    </row>
    <row r="219" spans="1:6" ht="15.75" thickBot="1">
      <c r="A219" s="7"/>
      <c r="B219" s="7" t="s">
        <v>253</v>
      </c>
      <c r="C219" s="7"/>
      <c r="D219" s="7"/>
      <c r="E219" s="7"/>
      <c r="F219" s="9">
        <v>1.9</v>
      </c>
    </row>
    <row r="220" spans="1:6" ht="15.75" thickBot="1">
      <c r="A220" s="7"/>
      <c r="B220" s="10" t="s">
        <v>254</v>
      </c>
      <c r="C220" s="10"/>
      <c r="D220" s="7"/>
      <c r="E220" s="7"/>
      <c r="F220" s="9">
        <v>1.5</v>
      </c>
    </row>
    <row r="221" spans="1:6" ht="15.75" thickBot="1">
      <c r="A221" s="7"/>
      <c r="B221" s="10" t="s">
        <v>255</v>
      </c>
      <c r="C221" s="10"/>
      <c r="D221" s="7"/>
      <c r="E221" s="7"/>
      <c r="F221" s="9">
        <v>1.9</v>
      </c>
    </row>
    <row r="222" spans="1:6" ht="15.75" thickBot="1">
      <c r="A222" s="7"/>
      <c r="B222" s="7" t="s">
        <v>256</v>
      </c>
      <c r="C222" s="7"/>
      <c r="D222" s="7"/>
      <c r="E222" s="7"/>
      <c r="F222" s="9">
        <v>0.78</v>
      </c>
    </row>
    <row r="223" spans="1:6" ht="15.75" thickBot="1">
      <c r="A223" s="7"/>
      <c r="B223" s="11" t="s">
        <v>257</v>
      </c>
      <c r="C223" s="11"/>
      <c r="D223" s="7"/>
      <c r="E223" s="7"/>
      <c r="F223" s="9">
        <v>1.5</v>
      </c>
    </row>
    <row r="224" spans="1:6" ht="15.75" thickBot="1">
      <c r="A224" s="7"/>
      <c r="B224" s="7" t="s">
        <v>258</v>
      </c>
      <c r="C224" s="7"/>
      <c r="D224" s="7"/>
      <c r="E224" s="7"/>
      <c r="F224" s="9">
        <v>2.54</v>
      </c>
    </row>
    <row r="225" spans="1:6" ht="15.75" thickBot="1">
      <c r="A225" s="7"/>
      <c r="B225" s="7" t="s">
        <v>259</v>
      </c>
      <c r="C225" s="7"/>
      <c r="D225" s="7"/>
      <c r="E225" s="7"/>
      <c r="F225" s="9">
        <v>1.2</v>
      </c>
    </row>
    <row r="226" spans="1:6" ht="15.75" thickBot="1">
      <c r="A226" s="7"/>
      <c r="B226" s="7" t="s">
        <v>260</v>
      </c>
      <c r="C226" s="7"/>
      <c r="D226" s="7"/>
      <c r="E226" s="7"/>
      <c r="F226" s="9">
        <v>1.2</v>
      </c>
    </row>
    <row r="227" spans="1:6" ht="15.75" thickBot="1">
      <c r="A227" s="7"/>
      <c r="B227" s="7" t="s">
        <v>261</v>
      </c>
      <c r="C227" s="7"/>
      <c r="D227" s="7"/>
      <c r="E227" s="7"/>
      <c r="F227" s="9">
        <v>1.4</v>
      </c>
    </row>
    <row r="228" spans="1:6" ht="15.75" thickBot="1">
      <c r="A228" s="7"/>
      <c r="B228" s="7" t="s">
        <v>262</v>
      </c>
      <c r="C228" s="7"/>
      <c r="D228" s="7"/>
      <c r="E228" s="7"/>
      <c r="F228" s="9">
        <v>2.2999999999999998</v>
      </c>
    </row>
    <row r="229" spans="1:6" ht="15.75" thickBot="1">
      <c r="A229" s="7"/>
      <c r="B229" s="7" t="s">
        <v>263</v>
      </c>
      <c r="C229" s="7"/>
      <c r="D229" s="7"/>
      <c r="E229" s="7"/>
      <c r="F229" s="9">
        <v>0.33</v>
      </c>
    </row>
    <row r="230" spans="1:6" ht="15.75" thickBot="1">
      <c r="A230" s="7"/>
      <c r="B230" s="7" t="s">
        <v>264</v>
      </c>
      <c r="C230" s="7"/>
      <c r="D230" s="7"/>
      <c r="E230" s="7"/>
      <c r="F230" s="9">
        <v>4.45</v>
      </c>
    </row>
    <row r="231" spans="1:6" ht="15.75" thickBot="1">
      <c r="A231" s="27"/>
      <c r="B231" s="27" t="s">
        <v>265</v>
      </c>
      <c r="C231" s="27"/>
      <c r="D231" s="27"/>
      <c r="E231" s="7"/>
      <c r="F231" s="9">
        <v>4.3</v>
      </c>
    </row>
    <row r="232" spans="1:6" ht="15.75" thickBot="1">
      <c r="A232" s="27"/>
      <c r="B232" s="27" t="s">
        <v>266</v>
      </c>
      <c r="C232" s="27"/>
      <c r="D232" s="27"/>
      <c r="E232" s="7"/>
      <c r="F232" s="9">
        <v>4.57</v>
      </c>
    </row>
    <row r="233" spans="1:6" ht="15.75" thickBot="1">
      <c r="A233" s="27"/>
      <c r="B233" s="27" t="s">
        <v>267</v>
      </c>
      <c r="C233" s="27"/>
      <c r="D233" s="27"/>
      <c r="E233" s="7"/>
      <c r="F233" s="9">
        <v>4.9000000000000004</v>
      </c>
    </row>
    <row r="234" spans="1:6" ht="15.75" thickBot="1">
      <c r="A234" s="27"/>
      <c r="B234" s="28" t="s">
        <v>268</v>
      </c>
      <c r="C234" s="28"/>
      <c r="D234" s="27"/>
      <c r="E234" s="7"/>
      <c r="F234" s="9">
        <v>1.67</v>
      </c>
    </row>
    <row r="235" spans="1:6" ht="15.75" thickBot="1">
      <c r="A235" s="27"/>
      <c r="B235" s="28" t="s">
        <v>269</v>
      </c>
      <c r="C235" s="28"/>
      <c r="D235" s="27"/>
      <c r="E235" s="7"/>
      <c r="F235" s="9">
        <v>2.5</v>
      </c>
    </row>
    <row r="236" spans="1:6" ht="15.75" thickBot="1">
      <c r="A236" s="27"/>
      <c r="B236" s="28" t="s">
        <v>270</v>
      </c>
      <c r="C236" s="28"/>
      <c r="D236" s="27"/>
      <c r="E236" s="7"/>
      <c r="F236" s="9">
        <v>1.78</v>
      </c>
    </row>
    <row r="237" spans="1:6" ht="15.75" thickBot="1">
      <c r="A237" s="27"/>
      <c r="B237" s="28" t="s">
        <v>271</v>
      </c>
      <c r="C237" s="28"/>
      <c r="D237" s="27"/>
      <c r="E237" s="7"/>
      <c r="F237" s="9">
        <v>1.7</v>
      </c>
    </row>
    <row r="238" spans="1:6" ht="15.75" thickBot="1">
      <c r="A238" s="27"/>
      <c r="B238" s="28" t="s">
        <v>272</v>
      </c>
      <c r="C238" s="28"/>
      <c r="D238" s="27"/>
      <c r="E238" s="7"/>
      <c r="F238" s="9">
        <v>7.6</v>
      </c>
    </row>
    <row r="239" spans="1:6">
      <c r="B239" t="s">
        <v>127</v>
      </c>
      <c r="F239">
        <v>2</v>
      </c>
    </row>
    <row r="240" spans="1:6">
      <c r="B240" t="s">
        <v>127</v>
      </c>
      <c r="F240">
        <v>2</v>
      </c>
    </row>
    <row r="241" spans="2:6">
      <c r="B241" t="s">
        <v>127</v>
      </c>
      <c r="F241">
        <v>2</v>
      </c>
    </row>
    <row r="242" spans="2:6">
      <c r="B242" t="s">
        <v>127</v>
      </c>
      <c r="F242">
        <v>2</v>
      </c>
    </row>
    <row r="243" spans="2:6">
      <c r="B243" t="s">
        <v>128</v>
      </c>
      <c r="F243">
        <v>1.74</v>
      </c>
    </row>
    <row r="244" spans="2:6">
      <c r="B244" t="s">
        <v>127</v>
      </c>
      <c r="F244">
        <v>2</v>
      </c>
    </row>
    <row r="245" spans="2:6">
      <c r="B245" t="s">
        <v>128</v>
      </c>
      <c r="F245">
        <v>1.74</v>
      </c>
    </row>
    <row r="246" spans="2:6">
      <c r="B246" t="s">
        <v>129</v>
      </c>
      <c r="F246">
        <v>1.8</v>
      </c>
    </row>
    <row r="247" spans="2:6">
      <c r="B247" t="s">
        <v>127</v>
      </c>
      <c r="F247">
        <v>2</v>
      </c>
    </row>
    <row r="248" spans="2:6">
      <c r="B248" t="s">
        <v>130</v>
      </c>
      <c r="F248">
        <v>1.8</v>
      </c>
    </row>
    <row r="249" spans="2:6">
      <c r="B249" t="s">
        <v>131</v>
      </c>
      <c r="F249">
        <v>1.26</v>
      </c>
    </row>
    <row r="250" spans="2:6">
      <c r="B250" t="s">
        <v>132</v>
      </c>
      <c r="F250">
        <v>1.26</v>
      </c>
    </row>
    <row r="251" spans="2:6">
      <c r="B251" t="s">
        <v>133</v>
      </c>
      <c r="F251">
        <v>1.26</v>
      </c>
    </row>
    <row r="252" spans="2:6">
      <c r="B252" t="s">
        <v>134</v>
      </c>
      <c r="F252">
        <v>1.26</v>
      </c>
    </row>
    <row r="253" spans="2:6">
      <c r="B253" t="s">
        <v>135</v>
      </c>
      <c r="F253">
        <v>1.17</v>
      </c>
    </row>
    <row r="254" spans="2:6">
      <c r="B254" t="s">
        <v>136</v>
      </c>
      <c r="F254">
        <v>1.8</v>
      </c>
    </row>
    <row r="255" spans="2:6">
      <c r="B255" t="s">
        <v>137</v>
      </c>
      <c r="F255">
        <v>1.35</v>
      </c>
    </row>
    <row r="256" spans="2:6">
      <c r="B256" t="s">
        <v>138</v>
      </c>
      <c r="F256">
        <v>1.1000000000000001</v>
      </c>
    </row>
    <row r="257" spans="2:6">
      <c r="B257" t="s">
        <v>139</v>
      </c>
      <c r="F257">
        <v>1.2</v>
      </c>
    </row>
    <row r="258" spans="2:6">
      <c r="B258" t="s">
        <v>140</v>
      </c>
      <c r="F258">
        <v>1.26</v>
      </c>
    </row>
    <row r="259" spans="2:6">
      <c r="B259" t="s">
        <v>141</v>
      </c>
      <c r="F259">
        <v>1.27</v>
      </c>
    </row>
    <row r="260" spans="2:6">
      <c r="B260" t="s">
        <v>141</v>
      </c>
      <c r="F260">
        <v>1.27</v>
      </c>
    </row>
    <row r="261" spans="2:6">
      <c r="B261" t="s">
        <v>142</v>
      </c>
      <c r="F261">
        <v>1.3</v>
      </c>
    </row>
    <row r="262" spans="2:6">
      <c r="B262" t="s">
        <v>143</v>
      </c>
      <c r="F262">
        <v>1.4</v>
      </c>
    </row>
    <row r="263" spans="2:6">
      <c r="B263" t="s">
        <v>144</v>
      </c>
      <c r="F263">
        <v>1.4</v>
      </c>
    </row>
    <row r="264" spans="2:6">
      <c r="B264" t="s">
        <v>145</v>
      </c>
      <c r="F264">
        <v>3.26</v>
      </c>
    </row>
    <row r="265" spans="2:6">
      <c r="B265" t="s">
        <v>146</v>
      </c>
      <c r="F265">
        <v>5.23</v>
      </c>
    </row>
    <row r="266" spans="2:6">
      <c r="B266" t="s">
        <v>147</v>
      </c>
      <c r="F266">
        <v>7.5</v>
      </c>
    </row>
    <row r="267" spans="2:6">
      <c r="B267" t="s">
        <v>148</v>
      </c>
      <c r="F267">
        <v>6.6</v>
      </c>
    </row>
    <row r="268" spans="2:6">
      <c r="B268" t="s">
        <v>149</v>
      </c>
      <c r="F268">
        <v>1.3</v>
      </c>
    </row>
    <row r="269" spans="2:6">
      <c r="B269" t="s">
        <v>150</v>
      </c>
      <c r="F269">
        <v>7.65</v>
      </c>
    </row>
    <row r="270" spans="2:6">
      <c r="B270" t="s">
        <v>151</v>
      </c>
      <c r="F270">
        <v>5.26</v>
      </c>
    </row>
    <row r="271" spans="2:6">
      <c r="B271" t="s">
        <v>152</v>
      </c>
      <c r="F271">
        <v>9</v>
      </c>
    </row>
    <row r="272" spans="2:6">
      <c r="B272" t="s">
        <v>153</v>
      </c>
      <c r="F272">
        <v>2.2999999999999998</v>
      </c>
    </row>
    <row r="273" spans="2:6">
      <c r="B273" t="s">
        <v>154</v>
      </c>
      <c r="F273">
        <v>2.2999999999999998</v>
      </c>
    </row>
    <row r="274" spans="2:6">
      <c r="B274" t="s">
        <v>155</v>
      </c>
      <c r="F274">
        <v>5.26</v>
      </c>
    </row>
    <row r="275" spans="2:6">
      <c r="B275" t="s">
        <v>156</v>
      </c>
      <c r="F275">
        <v>9.4</v>
      </c>
    </row>
    <row r="276" spans="2:6">
      <c r="B276" t="s">
        <v>157</v>
      </c>
      <c r="F276">
        <v>5.9</v>
      </c>
    </row>
    <row r="277" spans="2:6">
      <c r="B277" t="s">
        <v>158</v>
      </c>
      <c r="F277">
        <v>5.26</v>
      </c>
    </row>
    <row r="278" spans="2:6">
      <c r="B278" t="s">
        <v>159</v>
      </c>
      <c r="F278">
        <v>1.3</v>
      </c>
    </row>
    <row r="279" spans="2:6">
      <c r="B279" t="s">
        <v>160</v>
      </c>
      <c r="F279">
        <v>3</v>
      </c>
    </row>
    <row r="280" spans="2:6">
      <c r="B280" t="s">
        <v>161</v>
      </c>
      <c r="F280">
        <v>3</v>
      </c>
    </row>
    <row r="281" spans="2:6">
      <c r="B281" t="s">
        <v>162</v>
      </c>
      <c r="F281">
        <v>5.2</v>
      </c>
    </row>
    <row r="282" spans="2:6">
      <c r="B282" t="s">
        <v>163</v>
      </c>
      <c r="F282">
        <v>4.25</v>
      </c>
    </row>
    <row r="283" spans="2:6">
      <c r="B283" t="s">
        <v>164</v>
      </c>
      <c r="F283">
        <v>3.33</v>
      </c>
    </row>
    <row r="284" spans="2:6">
      <c r="B284" t="s">
        <v>165</v>
      </c>
      <c r="F284">
        <v>2.8</v>
      </c>
    </row>
    <row r="285" spans="2:6">
      <c r="B285" t="s">
        <v>166</v>
      </c>
      <c r="F285">
        <v>1.7</v>
      </c>
    </row>
    <row r="286" spans="2:6">
      <c r="B286" t="s">
        <v>167</v>
      </c>
      <c r="F286">
        <v>1.48</v>
      </c>
    </row>
    <row r="287" spans="2:6">
      <c r="B287" t="s">
        <v>168</v>
      </c>
      <c r="F287">
        <v>3.33</v>
      </c>
    </row>
    <row r="288" spans="2:6">
      <c r="B288" t="s">
        <v>169</v>
      </c>
      <c r="F288">
        <v>0.75</v>
      </c>
    </row>
    <row r="289" spans="2:6">
      <c r="B289" t="s">
        <v>170</v>
      </c>
      <c r="F289">
        <v>4.25</v>
      </c>
    </row>
    <row r="290" spans="2:6">
      <c r="B290" t="s">
        <v>171</v>
      </c>
      <c r="F290">
        <v>1.44</v>
      </c>
    </row>
    <row r="291" spans="2:6">
      <c r="B291" t="s">
        <v>172</v>
      </c>
      <c r="F291">
        <v>1.1299999999999999</v>
      </c>
    </row>
    <row r="292" spans="2:6">
      <c r="B292" t="s">
        <v>173</v>
      </c>
      <c r="F292">
        <v>1.1299999999999999</v>
      </c>
    </row>
    <row r="293" spans="2:6">
      <c r="B293" t="s">
        <v>174</v>
      </c>
      <c r="F293">
        <v>1.5</v>
      </c>
    </row>
    <row r="294" spans="2:6">
      <c r="B294" t="s">
        <v>175</v>
      </c>
      <c r="F294">
        <v>1.46</v>
      </c>
    </row>
    <row r="295" spans="2:6">
      <c r="B295" t="s">
        <v>176</v>
      </c>
      <c r="F295">
        <v>1.18</v>
      </c>
    </row>
    <row r="296" spans="2:6">
      <c r="B296" t="s">
        <v>177</v>
      </c>
      <c r="F296">
        <v>1.73</v>
      </c>
    </row>
    <row r="297" spans="2:6">
      <c r="B297" t="s">
        <v>178</v>
      </c>
      <c r="F297">
        <v>1.73</v>
      </c>
    </row>
    <row r="298" spans="2:6">
      <c r="B298" t="s">
        <v>179</v>
      </c>
      <c r="F298">
        <v>1.68</v>
      </c>
    </row>
    <row r="299" spans="2:6">
      <c r="B299" t="s">
        <v>180</v>
      </c>
      <c r="F299">
        <v>1.64</v>
      </c>
    </row>
    <row r="300" spans="2:6">
      <c r="B300" t="s">
        <v>181</v>
      </c>
      <c r="F300">
        <v>2.2999999999999998</v>
      </c>
    </row>
    <row r="301" spans="2:6">
      <c r="B301" t="s">
        <v>182</v>
      </c>
      <c r="F301">
        <v>1.96</v>
      </c>
    </row>
    <row r="302" spans="2:6">
      <c r="B302" t="s">
        <v>183</v>
      </c>
      <c r="F302">
        <v>1.7</v>
      </c>
    </row>
    <row r="303" spans="2:6">
      <c r="B303" t="s">
        <v>184</v>
      </c>
      <c r="F303">
        <v>2.7</v>
      </c>
    </row>
    <row r="304" spans="2:6">
      <c r="B304" t="s">
        <v>185</v>
      </c>
      <c r="F304">
        <v>2.74</v>
      </c>
    </row>
    <row r="305" spans="2:6">
      <c r="B305" t="s">
        <v>186</v>
      </c>
      <c r="F305">
        <v>2</v>
      </c>
    </row>
    <row r="306" spans="2:6">
      <c r="B306" t="s">
        <v>177</v>
      </c>
      <c r="F306">
        <v>1.73</v>
      </c>
    </row>
    <row r="307" spans="2:6">
      <c r="B307" t="s">
        <v>187</v>
      </c>
      <c r="F307">
        <v>1.68</v>
      </c>
    </row>
    <row r="308" spans="2:6">
      <c r="B308" t="s">
        <v>188</v>
      </c>
      <c r="F308">
        <v>1.64</v>
      </c>
    </row>
    <row r="309" spans="2:6">
      <c r="B309" t="s">
        <v>189</v>
      </c>
      <c r="F309">
        <v>2.2999999999999998</v>
      </c>
    </row>
    <row r="310" spans="2:6">
      <c r="B310" t="s">
        <v>190</v>
      </c>
      <c r="F310">
        <v>1.96</v>
      </c>
    </row>
    <row r="311" spans="2:6">
      <c r="B311" t="s">
        <v>191</v>
      </c>
      <c r="F311">
        <v>1.7</v>
      </c>
    </row>
    <row r="312" spans="2:6">
      <c r="B312" t="s">
        <v>192</v>
      </c>
      <c r="F312">
        <v>2.7</v>
      </c>
    </row>
    <row r="313" spans="2:6">
      <c r="B313" t="s">
        <v>193</v>
      </c>
      <c r="F313">
        <v>2.74</v>
      </c>
    </row>
    <row r="314" spans="2:6">
      <c r="B314" t="s">
        <v>194</v>
      </c>
      <c r="F314">
        <v>1.36</v>
      </c>
    </row>
    <row r="315" spans="2:6">
      <c r="B315" t="s">
        <v>195</v>
      </c>
      <c r="F315">
        <v>1.4</v>
      </c>
    </row>
    <row r="316" spans="2:6">
      <c r="B316" t="s">
        <v>196</v>
      </c>
      <c r="F316">
        <v>2.5</v>
      </c>
    </row>
    <row r="317" spans="2:6">
      <c r="B317" t="s">
        <v>197</v>
      </c>
      <c r="F317">
        <v>1.7</v>
      </c>
    </row>
    <row r="318" spans="2:6">
      <c r="B318" t="s">
        <v>198</v>
      </c>
      <c r="F318">
        <v>1.32</v>
      </c>
    </row>
    <row r="319" spans="2:6">
      <c r="B319" t="s">
        <v>199</v>
      </c>
      <c r="F319">
        <v>1.36</v>
      </c>
    </row>
    <row r="320" spans="2:6">
      <c r="B320" t="s">
        <v>200</v>
      </c>
      <c r="F320">
        <v>1.7</v>
      </c>
    </row>
    <row r="321" spans="2:6">
      <c r="B321" t="s">
        <v>201</v>
      </c>
      <c r="F321">
        <v>1.3</v>
      </c>
    </row>
    <row r="322" spans="2:6">
      <c r="B322" t="s">
        <v>202</v>
      </c>
      <c r="F322">
        <v>1.8</v>
      </c>
    </row>
    <row r="323" spans="2:6">
      <c r="B323" t="s">
        <v>203</v>
      </c>
      <c r="F323">
        <v>1.32</v>
      </c>
    </row>
    <row r="324" spans="2:6">
      <c r="B324" t="s">
        <v>204</v>
      </c>
      <c r="F324">
        <v>1.27</v>
      </c>
    </row>
    <row r="325" spans="2:6">
      <c r="B325" t="s">
        <v>205</v>
      </c>
      <c r="F325">
        <v>1.4</v>
      </c>
    </row>
    <row r="326" spans="2:6">
      <c r="B326" t="s">
        <v>202</v>
      </c>
      <c r="F326">
        <v>1.8</v>
      </c>
    </row>
    <row r="327" spans="2:6">
      <c r="B327" t="s">
        <v>206</v>
      </c>
      <c r="F327">
        <v>1.4</v>
      </c>
    </row>
    <row r="328" spans="2:6">
      <c r="B328" t="s">
        <v>207</v>
      </c>
      <c r="F328">
        <v>2.63</v>
      </c>
    </row>
    <row r="329" spans="2:6">
      <c r="B329" t="s">
        <v>208</v>
      </c>
      <c r="F329">
        <v>2.63</v>
      </c>
    </row>
    <row r="330" spans="2:6">
      <c r="B330" t="s">
        <v>209</v>
      </c>
      <c r="F330">
        <v>2</v>
      </c>
    </row>
    <row r="331" spans="2:6">
      <c r="B331" t="s">
        <v>210</v>
      </c>
      <c r="F331">
        <v>1.8</v>
      </c>
    </row>
    <row r="332" spans="2:6">
      <c r="B332" t="s">
        <v>211</v>
      </c>
      <c r="F332">
        <v>2.2000000000000002</v>
      </c>
    </row>
    <row r="333" spans="2:6">
      <c r="B333" t="s">
        <v>212</v>
      </c>
      <c r="F333">
        <v>2.63</v>
      </c>
    </row>
    <row r="334" spans="2:6">
      <c r="B334" t="s">
        <v>213</v>
      </c>
      <c r="F334">
        <v>2</v>
      </c>
    </row>
    <row r="335" spans="2:6">
      <c r="B335" t="s">
        <v>214</v>
      </c>
      <c r="F335">
        <v>1.47</v>
      </c>
    </row>
    <row r="336" spans="2:6">
      <c r="B336" t="s">
        <v>215</v>
      </c>
      <c r="F336">
        <v>1.36</v>
      </c>
    </row>
    <row r="337" spans="2:6">
      <c r="B337" t="s">
        <v>216</v>
      </c>
      <c r="F337">
        <v>1.47</v>
      </c>
    </row>
    <row r="338" spans="2:6">
      <c r="B338" t="s">
        <v>217</v>
      </c>
      <c r="F338">
        <v>1.53</v>
      </c>
    </row>
    <row r="339" spans="2:6">
      <c r="B339" t="s">
        <v>218</v>
      </c>
      <c r="F339">
        <v>1.24</v>
      </c>
    </row>
    <row r="340" spans="2:6">
      <c r="B340" t="s">
        <v>219</v>
      </c>
      <c r="F340">
        <v>1.47</v>
      </c>
    </row>
    <row r="341" spans="2:6">
      <c r="B341" t="s">
        <v>220</v>
      </c>
      <c r="F341">
        <v>1.55</v>
      </c>
    </row>
    <row r="342" spans="2:6">
      <c r="B342" t="s">
        <v>221</v>
      </c>
      <c r="F342">
        <v>1.75</v>
      </c>
    </row>
    <row r="343" spans="2:6">
      <c r="B343" t="s">
        <v>222</v>
      </c>
      <c r="F343">
        <v>1.7</v>
      </c>
    </row>
    <row r="344" spans="2:6">
      <c r="B344" t="s">
        <v>223</v>
      </c>
      <c r="F344">
        <v>1.3</v>
      </c>
    </row>
    <row r="345" spans="2:6">
      <c r="B345" t="s">
        <v>224</v>
      </c>
      <c r="F345">
        <v>1.53</v>
      </c>
    </row>
    <row r="346" spans="2:6">
      <c r="B346" t="s">
        <v>225</v>
      </c>
      <c r="F346">
        <v>1.27</v>
      </c>
    </row>
    <row r="347" spans="2:6">
      <c r="B347" t="s">
        <v>226</v>
      </c>
      <c r="F347">
        <v>1.3</v>
      </c>
    </row>
    <row r="348" spans="2:6">
      <c r="B348" t="s">
        <v>227</v>
      </c>
      <c r="F348">
        <v>1.4</v>
      </c>
    </row>
    <row r="349" spans="2:6">
      <c r="B349" t="s">
        <v>228</v>
      </c>
      <c r="F349">
        <v>1.4</v>
      </c>
    </row>
    <row r="350" spans="2:6">
      <c r="B350" t="s">
        <v>229</v>
      </c>
      <c r="F350">
        <v>1.44</v>
      </c>
    </row>
    <row r="351" spans="2:6">
      <c r="B351" t="s">
        <v>230</v>
      </c>
      <c r="F351">
        <v>1.1299999999999999</v>
      </c>
    </row>
    <row r="352" spans="2:6">
      <c r="B352" t="s">
        <v>231</v>
      </c>
      <c r="F352">
        <v>1.1299999999999999</v>
      </c>
    </row>
    <row r="353" spans="2:6">
      <c r="B353" t="s">
        <v>232</v>
      </c>
      <c r="F353">
        <v>1.5</v>
      </c>
    </row>
    <row r="354" spans="2:6">
      <c r="B354" t="s">
        <v>177</v>
      </c>
      <c r="F354">
        <v>1.73</v>
      </c>
    </row>
    <row r="355" spans="2:6">
      <c r="B355" t="s">
        <v>187</v>
      </c>
      <c r="F355">
        <v>1.68</v>
      </c>
    </row>
    <row r="356" spans="2:6">
      <c r="B356" t="s">
        <v>188</v>
      </c>
      <c r="F356">
        <v>1.64</v>
      </c>
    </row>
    <row r="357" spans="2:6">
      <c r="B357" t="s">
        <v>189</v>
      </c>
      <c r="F357">
        <v>2.2999999999999998</v>
      </c>
    </row>
    <row r="358" spans="2:6">
      <c r="B358" t="s">
        <v>190</v>
      </c>
      <c r="F358">
        <v>1.96</v>
      </c>
    </row>
    <row r="359" spans="2:6">
      <c r="B359" t="s">
        <v>191</v>
      </c>
      <c r="F359">
        <v>1.7</v>
      </c>
    </row>
    <row r="360" spans="2:6">
      <c r="B360" t="s">
        <v>192</v>
      </c>
      <c r="F360">
        <v>2.7</v>
      </c>
    </row>
    <row r="361" spans="2:6">
      <c r="B361" t="s">
        <v>193</v>
      </c>
      <c r="F361">
        <v>2.74</v>
      </c>
    </row>
    <row r="362" spans="2:6">
      <c r="B362" t="s">
        <v>233</v>
      </c>
      <c r="F362">
        <v>1.36</v>
      </c>
    </row>
    <row r="363" spans="2:6">
      <c r="B363" t="s">
        <v>234</v>
      </c>
      <c r="F363">
        <v>2.5</v>
      </c>
    </row>
    <row r="364" spans="2:6">
      <c r="B364" t="s">
        <v>235</v>
      </c>
      <c r="F364">
        <v>1.7</v>
      </c>
    </row>
    <row r="365" spans="2:6">
      <c r="B365" t="s">
        <v>236</v>
      </c>
      <c r="F365">
        <v>1.32</v>
      </c>
    </row>
    <row r="366" spans="2:6">
      <c r="B366" t="s">
        <v>137</v>
      </c>
      <c r="F366">
        <v>1.36</v>
      </c>
    </row>
    <row r="367" spans="2:6">
      <c r="B367" t="s">
        <v>237</v>
      </c>
      <c r="F367">
        <v>1.7</v>
      </c>
    </row>
    <row r="368" spans="2:6">
      <c r="B368" t="s">
        <v>223</v>
      </c>
      <c r="F368">
        <v>1.3</v>
      </c>
    </row>
    <row r="369" spans="2:6">
      <c r="B369" t="s">
        <v>238</v>
      </c>
      <c r="F369">
        <v>1.32</v>
      </c>
    </row>
    <row r="370" spans="2:6">
      <c r="B370" t="s">
        <v>239</v>
      </c>
      <c r="F370">
        <v>1.27</v>
      </c>
    </row>
    <row r="371" spans="2:6">
      <c r="B371" t="s">
        <v>240</v>
      </c>
      <c r="F371">
        <v>1.4</v>
      </c>
    </row>
    <row r="372" spans="2:6">
      <c r="B372" t="s">
        <v>241</v>
      </c>
      <c r="F372">
        <v>2.63</v>
      </c>
    </row>
    <row r="373" spans="2:6">
      <c r="B373" t="s">
        <v>242</v>
      </c>
      <c r="F373">
        <v>2.63</v>
      </c>
    </row>
    <row r="374" spans="2:6">
      <c r="B374" t="s">
        <v>243</v>
      </c>
      <c r="F374">
        <v>2</v>
      </c>
    </row>
    <row r="375" spans="2:6">
      <c r="B375" t="s">
        <v>244</v>
      </c>
      <c r="F375">
        <v>1.8</v>
      </c>
    </row>
    <row r="376" spans="2:6">
      <c r="B376" t="s">
        <v>212</v>
      </c>
      <c r="F376">
        <v>2.63</v>
      </c>
    </row>
    <row r="377" spans="2:6">
      <c r="B377" t="s">
        <v>245</v>
      </c>
      <c r="F377">
        <v>1.47</v>
      </c>
    </row>
    <row r="378" spans="2:6">
      <c r="B378" t="s">
        <v>246</v>
      </c>
      <c r="F378">
        <v>1.36</v>
      </c>
    </row>
    <row r="379" spans="2:6">
      <c r="B379" t="s">
        <v>247</v>
      </c>
      <c r="F379">
        <v>1.47</v>
      </c>
    </row>
    <row r="380" spans="2:6">
      <c r="B380" t="s">
        <v>224</v>
      </c>
      <c r="F380">
        <v>1.53</v>
      </c>
    </row>
    <row r="381" spans="2:6">
      <c r="B381" t="s">
        <v>248</v>
      </c>
      <c r="F381">
        <v>1.24</v>
      </c>
    </row>
    <row r="382" spans="2:6">
      <c r="B382" t="s">
        <v>249</v>
      </c>
      <c r="F382">
        <v>1.47</v>
      </c>
    </row>
    <row r="383" spans="2:6">
      <c r="B383" t="s">
        <v>250</v>
      </c>
      <c r="F383">
        <v>1.75</v>
      </c>
    </row>
    <row r="384" spans="2:6">
      <c r="B384" t="s">
        <v>251</v>
      </c>
      <c r="F384">
        <v>1.9</v>
      </c>
    </row>
    <row r="385" spans="2:6">
      <c r="B385" t="s">
        <v>252</v>
      </c>
      <c r="F385">
        <v>1.9</v>
      </c>
    </row>
    <row r="386" spans="2:6">
      <c r="B386" t="s">
        <v>253</v>
      </c>
      <c r="F386">
        <v>1.9</v>
      </c>
    </row>
    <row r="387" spans="2:6">
      <c r="B387" t="s">
        <v>254</v>
      </c>
      <c r="F387">
        <v>1.5</v>
      </c>
    </row>
    <row r="388" spans="2:6">
      <c r="B388" t="s">
        <v>255</v>
      </c>
      <c r="F388">
        <v>1.9</v>
      </c>
    </row>
    <row r="389" spans="2:6">
      <c r="B389" t="s">
        <v>256</v>
      </c>
      <c r="F389">
        <v>0.78</v>
      </c>
    </row>
    <row r="390" spans="2:6">
      <c r="B390" t="s">
        <v>257</v>
      </c>
      <c r="F390">
        <v>1.5</v>
      </c>
    </row>
    <row r="391" spans="2:6">
      <c r="B391" t="s">
        <v>258</v>
      </c>
      <c r="F391">
        <v>2.54</v>
      </c>
    </row>
    <row r="392" spans="2:6">
      <c r="B392" t="s">
        <v>259</v>
      </c>
      <c r="F392">
        <v>1.2</v>
      </c>
    </row>
    <row r="393" spans="2:6">
      <c r="B393" t="s">
        <v>260</v>
      </c>
      <c r="F393">
        <v>1.2</v>
      </c>
    </row>
    <row r="394" spans="2:6">
      <c r="B394" t="s">
        <v>261</v>
      </c>
      <c r="F394">
        <v>1.4</v>
      </c>
    </row>
    <row r="395" spans="2:6">
      <c r="B395" t="s">
        <v>262</v>
      </c>
      <c r="F395">
        <v>2.2999999999999998</v>
      </c>
    </row>
    <row r="396" spans="2:6">
      <c r="B396" t="s">
        <v>263</v>
      </c>
      <c r="F396">
        <v>0.33</v>
      </c>
    </row>
    <row r="397" spans="2:6">
      <c r="B397" t="s">
        <v>264</v>
      </c>
      <c r="F397">
        <v>4.45</v>
      </c>
    </row>
    <row r="398" spans="2:6">
      <c r="B398" t="s">
        <v>265</v>
      </c>
      <c r="F398">
        <v>4.3</v>
      </c>
    </row>
    <row r="399" spans="2:6">
      <c r="B399" t="s">
        <v>266</v>
      </c>
      <c r="F399">
        <v>4.57</v>
      </c>
    </row>
    <row r="400" spans="2:6">
      <c r="B400" t="s">
        <v>267</v>
      </c>
      <c r="F400">
        <v>4.9000000000000004</v>
      </c>
    </row>
    <row r="401" spans="2:6">
      <c r="B401" t="s">
        <v>268</v>
      </c>
      <c r="F401">
        <v>1.67</v>
      </c>
    </row>
    <row r="402" spans="2:6">
      <c r="B402" t="s">
        <v>269</v>
      </c>
      <c r="F402">
        <v>2.5</v>
      </c>
    </row>
    <row r="403" spans="2:6">
      <c r="B403" t="s">
        <v>270</v>
      </c>
      <c r="F403">
        <v>1.78</v>
      </c>
    </row>
    <row r="404" spans="2:6">
      <c r="B404" t="s">
        <v>271</v>
      </c>
      <c r="F404">
        <v>1.7</v>
      </c>
    </row>
    <row r="405" spans="2:6">
      <c r="B405" t="s">
        <v>272</v>
      </c>
      <c r="F405">
        <v>7.6</v>
      </c>
    </row>
    <row r="406" spans="2:6">
      <c r="B406" t="s">
        <v>303</v>
      </c>
      <c r="F406">
        <v>1.92</v>
      </c>
    </row>
    <row r="407" spans="2:6">
      <c r="B407" t="s">
        <v>304</v>
      </c>
      <c r="F407">
        <v>1.55</v>
      </c>
    </row>
    <row r="408" spans="2:6">
      <c r="B408" t="s">
        <v>305</v>
      </c>
      <c r="F408">
        <v>1.36</v>
      </c>
    </row>
    <row r="409" spans="2:6">
      <c r="B409" t="s">
        <v>306</v>
      </c>
      <c r="F409">
        <v>1.87</v>
      </c>
    </row>
    <row r="410" spans="2:6">
      <c r="B410" t="s">
        <v>307</v>
      </c>
      <c r="F410">
        <v>1.6</v>
      </c>
    </row>
    <row r="411" spans="2:6">
      <c r="B411" t="s">
        <v>308</v>
      </c>
      <c r="F411">
        <v>1.86</v>
      </c>
    </row>
    <row r="412" spans="2:6">
      <c r="B412" t="s">
        <v>309</v>
      </c>
      <c r="F412">
        <v>1.78</v>
      </c>
    </row>
    <row r="413" spans="2:6">
      <c r="B413" t="s">
        <v>310</v>
      </c>
      <c r="F413">
        <v>1.96</v>
      </c>
    </row>
    <row r="414" spans="2:6">
      <c r="B414" t="s">
        <v>311</v>
      </c>
      <c r="F414">
        <v>1.6</v>
      </c>
    </row>
    <row r="415" spans="2:6">
      <c r="B415" t="s">
        <v>312</v>
      </c>
      <c r="F415">
        <v>1.7</v>
      </c>
    </row>
    <row r="416" spans="2:6">
      <c r="B416" t="s">
        <v>313</v>
      </c>
      <c r="F416">
        <v>1.63</v>
      </c>
    </row>
    <row r="417" spans="2:6">
      <c r="B417" t="s">
        <v>314</v>
      </c>
      <c r="F417">
        <v>2.2000000000000002</v>
      </c>
    </row>
    <row r="418" spans="2:6">
      <c r="B418" t="s">
        <v>315</v>
      </c>
      <c r="F418">
        <v>2.2999999999999998</v>
      </c>
    </row>
    <row r="419" spans="2:6">
      <c r="B419" t="s">
        <v>316</v>
      </c>
      <c r="F419">
        <v>1.1200000000000001</v>
      </c>
    </row>
    <row r="420" spans="2:6">
      <c r="B420" t="s">
        <v>317</v>
      </c>
      <c r="F420">
        <v>1.55</v>
      </c>
    </row>
    <row r="421" spans="2:6">
      <c r="B421" t="s">
        <v>318</v>
      </c>
      <c r="F421">
        <v>1.36</v>
      </c>
    </row>
    <row r="422" spans="2:6">
      <c r="B422" t="s">
        <v>306</v>
      </c>
      <c r="F422">
        <v>1.87</v>
      </c>
    </row>
    <row r="423" spans="2:6">
      <c r="B423" t="s">
        <v>307</v>
      </c>
      <c r="F423">
        <v>1.6</v>
      </c>
    </row>
    <row r="424" spans="2:6">
      <c r="B424" t="s">
        <v>319</v>
      </c>
      <c r="F424">
        <v>1.86</v>
      </c>
    </row>
    <row r="425" spans="2:6">
      <c r="B425" t="s">
        <v>320</v>
      </c>
      <c r="F425">
        <v>1.78</v>
      </c>
    </row>
    <row r="426" spans="2:6">
      <c r="B426" t="s">
        <v>321</v>
      </c>
      <c r="F426">
        <v>1.96</v>
      </c>
    </row>
    <row r="427" spans="2:6">
      <c r="B427" t="s">
        <v>322</v>
      </c>
      <c r="F427">
        <v>1.6</v>
      </c>
    </row>
    <row r="428" spans="2:6">
      <c r="B428" t="s">
        <v>323</v>
      </c>
      <c r="F428">
        <v>1.7</v>
      </c>
    </row>
    <row r="429" spans="2:6">
      <c r="B429" t="s">
        <v>324</v>
      </c>
      <c r="F429">
        <v>1.63</v>
      </c>
    </row>
    <row r="430" spans="2:6">
      <c r="B430" t="s">
        <v>325</v>
      </c>
      <c r="F430">
        <v>2.2000000000000002</v>
      </c>
    </row>
    <row r="431" spans="2:6">
      <c r="B431" t="s">
        <v>315</v>
      </c>
      <c r="F431">
        <v>2.2999999999999998</v>
      </c>
    </row>
    <row r="432" spans="2:6">
      <c r="B432" t="s">
        <v>326</v>
      </c>
      <c r="F432">
        <v>1.1200000000000001</v>
      </c>
    </row>
    <row r="433" spans="2:6">
      <c r="B433" t="s">
        <v>327</v>
      </c>
      <c r="F433">
        <v>2.2999999999999998</v>
      </c>
    </row>
    <row r="434" spans="2:6">
      <c r="B434" t="s">
        <v>302</v>
      </c>
      <c r="F434">
        <v>1.6</v>
      </c>
    </row>
    <row r="435" spans="2:6">
      <c r="B435" t="s">
        <v>328</v>
      </c>
      <c r="F435">
        <v>1.6</v>
      </c>
    </row>
    <row r="436" spans="2:6">
      <c r="B436" t="s">
        <v>329</v>
      </c>
      <c r="F436">
        <v>1.76</v>
      </c>
    </row>
    <row r="437" spans="2:6">
      <c r="B437" t="s">
        <v>330</v>
      </c>
      <c r="F437">
        <v>2</v>
      </c>
    </row>
    <row r="438" spans="2:6">
      <c r="B438" t="s">
        <v>48</v>
      </c>
      <c r="F438">
        <v>1.48</v>
      </c>
    </row>
    <row r="439" spans="2:6">
      <c r="B439" t="s">
        <v>53</v>
      </c>
      <c r="F439">
        <v>1.53</v>
      </c>
    </row>
    <row r="440" spans="2:6">
      <c r="B440" t="s">
        <v>46</v>
      </c>
      <c r="F440">
        <v>1.37</v>
      </c>
    </row>
    <row r="441" spans="2:6">
      <c r="B441" t="s">
        <v>55</v>
      </c>
      <c r="F441">
        <v>1.48</v>
      </c>
    </row>
    <row r="442" spans="2:6">
      <c r="B442" t="s">
        <v>331</v>
      </c>
      <c r="F442">
        <v>1.3</v>
      </c>
    </row>
    <row r="443" spans="2:6">
      <c r="B443" t="s">
        <v>332</v>
      </c>
      <c r="F443">
        <v>1.54</v>
      </c>
    </row>
    <row r="444" spans="2:6">
      <c r="B444" t="s">
        <v>333</v>
      </c>
      <c r="F444">
        <v>1.3</v>
      </c>
    </row>
    <row r="445" spans="2:6">
      <c r="B445" t="s">
        <v>334</v>
      </c>
      <c r="F445">
        <v>1.55</v>
      </c>
    </row>
    <row r="446" spans="2:6">
      <c r="B446" t="s">
        <v>335</v>
      </c>
      <c r="F446">
        <v>1.8</v>
      </c>
    </row>
    <row r="447" spans="2:6">
      <c r="B447" t="s">
        <v>336</v>
      </c>
      <c r="F447">
        <v>1.9</v>
      </c>
    </row>
    <row r="448" spans="2:6">
      <c r="B448" t="s">
        <v>337</v>
      </c>
      <c r="F448">
        <v>1.25</v>
      </c>
    </row>
    <row r="449" spans="2:6">
      <c r="B449" t="s">
        <v>52</v>
      </c>
      <c r="F449">
        <v>2</v>
      </c>
    </row>
    <row r="450" spans="2:6">
      <c r="B450" t="s">
        <v>49</v>
      </c>
      <c r="F450">
        <v>2</v>
      </c>
    </row>
    <row r="451" spans="2:6">
      <c r="B451" t="s">
        <v>47</v>
      </c>
      <c r="F451">
        <v>2.1</v>
      </c>
    </row>
    <row r="452" spans="2:6">
      <c r="B452" t="s">
        <v>338</v>
      </c>
      <c r="F452">
        <v>1.7</v>
      </c>
    </row>
    <row r="453" spans="2:6">
      <c r="B453" t="s">
        <v>339</v>
      </c>
      <c r="F453">
        <v>1.2</v>
      </c>
    </row>
    <row r="454" spans="2:6">
      <c r="B454" t="s">
        <v>340</v>
      </c>
      <c r="F454">
        <v>5.0999999999999996</v>
      </c>
    </row>
    <row r="455" spans="2:6">
      <c r="B455" t="s">
        <v>341</v>
      </c>
      <c r="F455">
        <v>6.6</v>
      </c>
    </row>
    <row r="456" spans="2:6">
      <c r="B456" t="s">
        <v>342</v>
      </c>
      <c r="F456">
        <v>4.38</v>
      </c>
    </row>
    <row r="457" spans="2:6">
      <c r="B457" t="s">
        <v>343</v>
      </c>
      <c r="F457">
        <v>5</v>
      </c>
    </row>
    <row r="458" spans="2:6">
      <c r="B458" t="s">
        <v>344</v>
      </c>
      <c r="F458">
        <v>3.3</v>
      </c>
    </row>
    <row r="459" spans="2:6">
      <c r="B459" t="s">
        <v>345</v>
      </c>
      <c r="F459">
        <v>2</v>
      </c>
    </row>
    <row r="460" spans="2:6">
      <c r="B460" t="s">
        <v>346</v>
      </c>
      <c r="F460">
        <v>2</v>
      </c>
    </row>
    <row r="461" spans="2:6">
      <c r="B461" t="s">
        <v>347</v>
      </c>
      <c r="F461">
        <v>2</v>
      </c>
    </row>
    <row r="462" spans="2:6">
      <c r="B462" t="s">
        <v>348</v>
      </c>
      <c r="F462">
        <v>1.8</v>
      </c>
    </row>
    <row r="463" spans="2:6">
      <c r="B463" t="s">
        <v>349</v>
      </c>
      <c r="F463">
        <v>1.8</v>
      </c>
    </row>
    <row r="464" spans="2:6">
      <c r="B464" t="s">
        <v>350</v>
      </c>
      <c r="F464">
        <v>1.45</v>
      </c>
    </row>
    <row r="465" spans="2:6">
      <c r="B465" t="s">
        <v>351</v>
      </c>
      <c r="F465">
        <v>1.25</v>
      </c>
    </row>
    <row r="466" spans="2:6">
      <c r="B466" t="s">
        <v>352</v>
      </c>
      <c r="F466">
        <v>1.5</v>
      </c>
    </row>
    <row r="467" spans="2:6">
      <c r="B467" t="s">
        <v>353</v>
      </c>
      <c r="F467">
        <v>1.6</v>
      </c>
    </row>
    <row r="468" spans="2:6">
      <c r="B468" t="s">
        <v>354</v>
      </c>
      <c r="F468">
        <v>1.7</v>
      </c>
    </row>
    <row r="469" spans="2:6">
      <c r="B469" t="s">
        <v>355</v>
      </c>
      <c r="F469">
        <v>1.2</v>
      </c>
    </row>
    <row r="470" spans="2:6">
      <c r="B470" t="s">
        <v>356</v>
      </c>
      <c r="F470">
        <v>1.4</v>
      </c>
    </row>
    <row r="471" spans="2:6">
      <c r="B471" t="s">
        <v>357</v>
      </c>
      <c r="F471">
        <v>1.33</v>
      </c>
    </row>
    <row r="472" spans="2:6">
      <c r="B472" t="s">
        <v>358</v>
      </c>
      <c r="F472">
        <v>1.4</v>
      </c>
    </row>
    <row r="473" spans="2:6">
      <c r="B473" t="s">
        <v>359</v>
      </c>
      <c r="F473">
        <v>1.17</v>
      </c>
    </row>
    <row r="474" spans="2:6">
      <c r="B474" t="s">
        <v>360</v>
      </c>
      <c r="F474">
        <v>1.25</v>
      </c>
    </row>
    <row r="475" spans="2:6">
      <c r="B475" t="s">
        <v>361</v>
      </c>
      <c r="F475">
        <v>1.58</v>
      </c>
    </row>
    <row r="476" spans="2:6">
      <c r="B476" t="s">
        <v>362</v>
      </c>
      <c r="F476">
        <v>2.37</v>
      </c>
    </row>
    <row r="477" spans="2:6">
      <c r="B477" t="s">
        <v>363</v>
      </c>
      <c r="F477">
        <v>1.1200000000000001</v>
      </c>
    </row>
    <row r="478" spans="2:6">
      <c r="B478" t="s">
        <v>364</v>
      </c>
      <c r="F478">
        <v>1.36</v>
      </c>
    </row>
    <row r="479" spans="2:6">
      <c r="B479" t="s">
        <v>365</v>
      </c>
      <c r="F479">
        <v>1.3</v>
      </c>
    </row>
    <row r="480" spans="2:6">
      <c r="B480" t="s">
        <v>366</v>
      </c>
      <c r="F480">
        <v>3.15</v>
      </c>
    </row>
    <row r="481" spans="2:6">
      <c r="B481" t="s">
        <v>367</v>
      </c>
      <c r="F481">
        <v>3.5</v>
      </c>
    </row>
    <row r="482" spans="2:6">
      <c r="B482" t="s">
        <v>368</v>
      </c>
      <c r="F482">
        <v>4.5</v>
      </c>
    </row>
    <row r="483" spans="2:6">
      <c r="B483" t="s">
        <v>369</v>
      </c>
      <c r="F483">
        <v>3.18</v>
      </c>
    </row>
    <row r="484" spans="2:6">
      <c r="B484" t="s">
        <v>370</v>
      </c>
      <c r="F484">
        <v>5</v>
      </c>
    </row>
    <row r="485" spans="2:6">
      <c r="B485" t="s">
        <v>371</v>
      </c>
      <c r="F485">
        <v>3.4</v>
      </c>
    </row>
    <row r="486" spans="2:6">
      <c r="B486" t="s">
        <v>372</v>
      </c>
      <c r="F486">
        <v>1.82</v>
      </c>
    </row>
    <row r="487" spans="2:6">
      <c r="B487" t="s">
        <v>373</v>
      </c>
      <c r="F487">
        <v>1.36</v>
      </c>
    </row>
    <row r="488" spans="2:6">
      <c r="B488" t="s">
        <v>374</v>
      </c>
      <c r="F488">
        <v>1.39</v>
      </c>
    </row>
    <row r="489" spans="2:6">
      <c r="B489" t="s">
        <v>375</v>
      </c>
      <c r="F489">
        <v>1.33</v>
      </c>
    </row>
    <row r="490" spans="2:6">
      <c r="B490" t="s">
        <v>376</v>
      </c>
      <c r="F490">
        <v>3.05</v>
      </c>
    </row>
    <row r="491" spans="2:6">
      <c r="B491" t="s">
        <v>377</v>
      </c>
      <c r="F491">
        <v>3</v>
      </c>
    </row>
    <row r="492" spans="2:6">
      <c r="B492" t="s">
        <v>378</v>
      </c>
      <c r="F492">
        <v>1.69</v>
      </c>
    </row>
    <row r="493" spans="2:6">
      <c r="B493" t="s">
        <v>379</v>
      </c>
      <c r="F493">
        <v>1.59</v>
      </c>
    </row>
    <row r="494" spans="2:6">
      <c r="B494" t="s">
        <v>380</v>
      </c>
      <c r="F494">
        <v>1.59</v>
      </c>
    </row>
    <row r="495" spans="2:6">
      <c r="B495" t="s">
        <v>381</v>
      </c>
      <c r="F495">
        <v>1.61</v>
      </c>
    </row>
    <row r="496" spans="2:6">
      <c r="B496" t="s">
        <v>382</v>
      </c>
      <c r="F496">
        <v>2.35</v>
      </c>
    </row>
    <row r="497" spans="2:6">
      <c r="B497" t="s">
        <v>383</v>
      </c>
      <c r="F497">
        <v>1.84</v>
      </c>
    </row>
    <row r="498" spans="2:6">
      <c r="B498" t="s">
        <v>384</v>
      </c>
      <c r="F498">
        <v>1.74</v>
      </c>
    </row>
    <row r="499" spans="2:6">
      <c r="B499" t="s">
        <v>385</v>
      </c>
      <c r="F499">
        <v>1.81</v>
      </c>
    </row>
    <row r="500" spans="2:6">
      <c r="B500" t="s">
        <v>386</v>
      </c>
      <c r="F500">
        <v>2.14</v>
      </c>
    </row>
    <row r="501" spans="2:6">
      <c r="B501" t="s">
        <v>387</v>
      </c>
      <c r="F501">
        <v>1.78</v>
      </c>
    </row>
    <row r="502" spans="2:6">
      <c r="B502" t="s">
        <v>388</v>
      </c>
      <c r="F502">
        <v>1.78</v>
      </c>
    </row>
    <row r="503" spans="2:6">
      <c r="B503" t="s">
        <v>389</v>
      </c>
      <c r="F503">
        <v>6.3</v>
      </c>
    </row>
    <row r="504" spans="2:6">
      <c r="B504" t="s">
        <v>390</v>
      </c>
      <c r="F504">
        <v>2.8</v>
      </c>
    </row>
    <row r="505" spans="2:6">
      <c r="B505" t="s">
        <v>391</v>
      </c>
      <c r="F505">
        <v>2.89</v>
      </c>
    </row>
    <row r="506" spans="2:6">
      <c r="B506" t="s">
        <v>346</v>
      </c>
      <c r="F506">
        <v>2.0499999999999998</v>
      </c>
    </row>
    <row r="507" spans="2:6">
      <c r="B507" t="s">
        <v>392</v>
      </c>
      <c r="F507">
        <v>1.32</v>
      </c>
    </row>
    <row r="508" spans="2:6">
      <c r="B508" t="s">
        <v>393</v>
      </c>
      <c r="F508">
        <v>1.22</v>
      </c>
    </row>
    <row r="509" spans="2:6">
      <c r="B509" t="s">
        <v>394</v>
      </c>
      <c r="F509">
        <v>12.4</v>
      </c>
    </row>
    <row r="510" spans="2:6">
      <c r="B510" t="s">
        <v>395</v>
      </c>
      <c r="F510">
        <v>9.34</v>
      </c>
    </row>
    <row r="511" spans="2:6">
      <c r="B511" t="s">
        <v>396</v>
      </c>
      <c r="F511">
        <v>16.899999999999999</v>
      </c>
    </row>
    <row r="512" spans="2:6">
      <c r="B512" t="s">
        <v>397</v>
      </c>
      <c r="F512">
        <v>9.3000000000000007</v>
      </c>
    </row>
    <row r="513" spans="2:6">
      <c r="B513" t="s">
        <v>398</v>
      </c>
      <c r="F513">
        <v>7.25</v>
      </c>
    </row>
    <row r="514" spans="2:6">
      <c r="B514" t="s">
        <v>399</v>
      </c>
      <c r="F514">
        <v>7.25</v>
      </c>
    </row>
    <row r="515" spans="2:6">
      <c r="B515" t="s">
        <v>400</v>
      </c>
      <c r="F515">
        <v>7.56</v>
      </c>
    </row>
    <row r="516" spans="2:6">
      <c r="B516" t="s">
        <v>401</v>
      </c>
      <c r="F516">
        <v>10.46</v>
      </c>
    </row>
    <row r="517" spans="2:6">
      <c r="B517" t="s">
        <v>402</v>
      </c>
      <c r="F517">
        <v>9.4600000000000009</v>
      </c>
    </row>
    <row r="518" spans="2:6">
      <c r="B518" t="s">
        <v>403</v>
      </c>
      <c r="F518">
        <v>2.7</v>
      </c>
    </row>
    <row r="519" spans="2:6">
      <c r="B519" t="s">
        <v>404</v>
      </c>
      <c r="F519">
        <v>1.28</v>
      </c>
    </row>
    <row r="520" spans="2:6">
      <c r="B520" t="s">
        <v>405</v>
      </c>
      <c r="F520">
        <v>3.61</v>
      </c>
    </row>
    <row r="521" spans="2:6">
      <c r="B521" t="s">
        <v>406</v>
      </c>
      <c r="F521">
        <v>6</v>
      </c>
    </row>
    <row r="522" spans="2:6">
      <c r="B522" t="s">
        <v>407</v>
      </c>
      <c r="F522">
        <v>5.47</v>
      </c>
    </row>
    <row r="523" spans="2:6">
      <c r="B523" t="s">
        <v>408</v>
      </c>
      <c r="F523">
        <v>5.26</v>
      </c>
    </row>
    <row r="524" spans="2:6">
      <c r="B524" t="s">
        <v>409</v>
      </c>
      <c r="F524">
        <v>5.14</v>
      </c>
    </row>
    <row r="525" spans="2:6">
      <c r="B525" t="s">
        <v>410</v>
      </c>
      <c r="F525">
        <v>6</v>
      </c>
    </row>
    <row r="526" spans="2:6">
      <c r="B526" t="s">
        <v>411</v>
      </c>
      <c r="F526">
        <v>4.25</v>
      </c>
    </row>
    <row r="527" spans="2:6">
      <c r="B527" t="s">
        <v>412</v>
      </c>
      <c r="F527">
        <v>8</v>
      </c>
    </row>
    <row r="528" spans="2:6">
      <c r="B528" t="s">
        <v>413</v>
      </c>
      <c r="F528">
        <v>1.2</v>
      </c>
    </row>
    <row r="529" spans="2:6">
      <c r="B529" t="s">
        <v>414</v>
      </c>
      <c r="F529">
        <v>26.8</v>
      </c>
    </row>
    <row r="530" spans="2:6">
      <c r="B530" t="s">
        <v>415</v>
      </c>
      <c r="F530">
        <v>10.7</v>
      </c>
    </row>
    <row r="531" spans="2:6">
      <c r="B531" t="s">
        <v>416</v>
      </c>
      <c r="F531">
        <v>1.32</v>
      </c>
    </row>
    <row r="532" spans="2:6">
      <c r="B532" t="s">
        <v>417</v>
      </c>
      <c r="F532">
        <v>1.24</v>
      </c>
    </row>
    <row r="533" spans="2:6">
      <c r="B533" t="s">
        <v>418</v>
      </c>
      <c r="F533">
        <v>5.2</v>
      </c>
    </row>
    <row r="534" spans="2:6">
      <c r="B534" t="s">
        <v>419</v>
      </c>
      <c r="F534">
        <v>1.08</v>
      </c>
    </row>
    <row r="535" spans="2:6">
      <c r="B535" t="s">
        <v>420</v>
      </c>
      <c r="F535">
        <v>1.27</v>
      </c>
    </row>
    <row r="536" spans="2:6">
      <c r="B536" t="s">
        <v>421</v>
      </c>
      <c r="F536">
        <v>1.8</v>
      </c>
    </row>
    <row r="537" spans="2:6">
      <c r="B537" t="s">
        <v>422</v>
      </c>
      <c r="F537">
        <v>2.06</v>
      </c>
    </row>
    <row r="538" spans="2:6">
      <c r="B538" t="s">
        <v>423</v>
      </c>
      <c r="F538">
        <v>1.27</v>
      </c>
    </row>
    <row r="539" spans="2:6">
      <c r="B539" t="s">
        <v>424</v>
      </c>
      <c r="F539">
        <v>2.04</v>
      </c>
    </row>
    <row r="540" spans="2:6">
      <c r="B540" t="s">
        <v>425</v>
      </c>
      <c r="F540">
        <v>1.1000000000000001</v>
      </c>
    </row>
    <row r="541" spans="2:6">
      <c r="B541" t="s">
        <v>426</v>
      </c>
      <c r="F541">
        <v>2.6</v>
      </c>
    </row>
    <row r="542" spans="2:6">
      <c r="B542" t="s">
        <v>427</v>
      </c>
      <c r="F542">
        <v>1.5</v>
      </c>
    </row>
    <row r="543" spans="2:6">
      <c r="B543" t="s">
        <v>428</v>
      </c>
      <c r="F543">
        <v>1.2</v>
      </c>
    </row>
    <row r="544" spans="2:6">
      <c r="B544" t="s">
        <v>429</v>
      </c>
      <c r="F544">
        <v>1.67</v>
      </c>
    </row>
    <row r="545" spans="2:6">
      <c r="B545" t="s">
        <v>430</v>
      </c>
      <c r="F545">
        <v>2.08</v>
      </c>
    </row>
    <row r="546" spans="2:6">
      <c r="B546" t="s">
        <v>431</v>
      </c>
      <c r="F546">
        <v>2.6</v>
      </c>
    </row>
    <row r="547" spans="2:6">
      <c r="B547" t="s">
        <v>432</v>
      </c>
      <c r="F547">
        <v>0.62</v>
      </c>
    </row>
    <row r="548" spans="2:6">
      <c r="B548" t="s">
        <v>433</v>
      </c>
      <c r="F548">
        <v>1.52</v>
      </c>
    </row>
    <row r="549" spans="2:6">
      <c r="B549" t="s">
        <v>434</v>
      </c>
      <c r="F549">
        <v>2.9</v>
      </c>
    </row>
    <row r="550" spans="2:6">
      <c r="B550" t="s">
        <v>435</v>
      </c>
      <c r="F550">
        <v>2.35</v>
      </c>
    </row>
    <row r="551" spans="2:6">
      <c r="B551" t="s">
        <v>436</v>
      </c>
      <c r="F551">
        <v>2.82</v>
      </c>
    </row>
    <row r="552" spans="2:6">
      <c r="B552" t="s">
        <v>437</v>
      </c>
      <c r="F552">
        <v>1.5</v>
      </c>
    </row>
    <row r="553" spans="2:6">
      <c r="B553" t="s">
        <v>438</v>
      </c>
      <c r="F553">
        <v>1.49</v>
      </c>
    </row>
    <row r="554" spans="2:6">
      <c r="B554" t="s">
        <v>439</v>
      </c>
      <c r="F554">
        <v>1.49</v>
      </c>
    </row>
    <row r="555" spans="2:6">
      <c r="B555" t="s">
        <v>440</v>
      </c>
      <c r="F555">
        <v>1.5</v>
      </c>
    </row>
    <row r="556" spans="2:6">
      <c r="B556" t="s">
        <v>441</v>
      </c>
      <c r="F556">
        <v>1.49</v>
      </c>
    </row>
    <row r="557" spans="2:6">
      <c r="B557" t="s">
        <v>442</v>
      </c>
      <c r="F557">
        <v>1.49</v>
      </c>
    </row>
    <row r="558" spans="2:6">
      <c r="B558" t="s">
        <v>443</v>
      </c>
      <c r="F558">
        <v>1.79</v>
      </c>
    </row>
    <row r="559" spans="2:6">
      <c r="B559" t="s">
        <v>444</v>
      </c>
      <c r="F559">
        <v>2.29</v>
      </c>
    </row>
    <row r="560" spans="2:6">
      <c r="B560" t="s">
        <v>445</v>
      </c>
      <c r="F560">
        <v>1.66</v>
      </c>
    </row>
    <row r="561" spans="2:6">
      <c r="B561" t="s">
        <v>446</v>
      </c>
      <c r="F561">
        <v>1.4</v>
      </c>
    </row>
    <row r="562" spans="2:6">
      <c r="B562" t="s">
        <v>447</v>
      </c>
      <c r="F562">
        <v>1.59</v>
      </c>
    </row>
    <row r="563" spans="2:6">
      <c r="B563" t="s">
        <v>448</v>
      </c>
      <c r="F563">
        <v>1.2</v>
      </c>
    </row>
    <row r="564" spans="2:6">
      <c r="B564" t="s">
        <v>449</v>
      </c>
      <c r="F564">
        <v>1.47</v>
      </c>
    </row>
    <row r="565" spans="2:6">
      <c r="B565" t="s">
        <v>450</v>
      </c>
      <c r="F565">
        <v>1.24</v>
      </c>
    </row>
    <row r="566" spans="2:6">
      <c r="B566" t="s">
        <v>111</v>
      </c>
      <c r="F566">
        <v>1.35</v>
      </c>
    </row>
    <row r="567" spans="2:6">
      <c r="B567" t="s">
        <v>451</v>
      </c>
      <c r="F567">
        <v>2.14</v>
      </c>
    </row>
    <row r="568" spans="2:6">
      <c r="B568" t="s">
        <v>452</v>
      </c>
      <c r="F568">
        <v>1.71</v>
      </c>
    </row>
    <row r="569" spans="2:6">
      <c r="B569" t="s">
        <v>453</v>
      </c>
      <c r="F569">
        <v>1.85</v>
      </c>
    </row>
    <row r="570" spans="2:6">
      <c r="B570" t="s">
        <v>454</v>
      </c>
      <c r="F570">
        <v>1.85</v>
      </c>
    </row>
    <row r="571" spans="2:6">
      <c r="B571" t="s">
        <v>455</v>
      </c>
      <c r="F571">
        <v>1.36</v>
      </c>
    </row>
    <row r="572" spans="2:6">
      <c r="B572" t="s">
        <v>456</v>
      </c>
      <c r="F572">
        <v>1.26</v>
      </c>
    </row>
    <row r="573" spans="2:6">
      <c r="B573" t="s">
        <v>457</v>
      </c>
      <c r="F573">
        <v>2</v>
      </c>
    </row>
    <row r="574" spans="2:6">
      <c r="B574" t="s">
        <v>458</v>
      </c>
      <c r="F574">
        <v>2</v>
      </c>
    </row>
    <row r="575" spans="2:6">
      <c r="B575" t="s">
        <v>459</v>
      </c>
      <c r="F575">
        <v>1.82</v>
      </c>
    </row>
    <row r="576" spans="2:6">
      <c r="B576" t="s">
        <v>460</v>
      </c>
      <c r="F576">
        <v>1.51</v>
      </c>
    </row>
    <row r="577" spans="2:6">
      <c r="B577" t="s">
        <v>461</v>
      </c>
      <c r="F577">
        <v>1.29</v>
      </c>
    </row>
    <row r="578" spans="2:6">
      <c r="B578" t="s">
        <v>462</v>
      </c>
      <c r="F578">
        <v>1.27</v>
      </c>
    </row>
    <row r="579" spans="2:6">
      <c r="B579" t="s">
        <v>463</v>
      </c>
      <c r="F579">
        <v>1.28</v>
      </c>
    </row>
    <row r="580" spans="2:6">
      <c r="B580" t="s">
        <v>464</v>
      </c>
      <c r="F580">
        <v>1.32</v>
      </c>
    </row>
    <row r="581" spans="2:6">
      <c r="B581" t="s">
        <v>465</v>
      </c>
      <c r="F581">
        <v>1.55</v>
      </c>
    </row>
    <row r="582" spans="2:6">
      <c r="B582" t="s">
        <v>466</v>
      </c>
      <c r="F582">
        <v>1.36</v>
      </c>
    </row>
    <row r="583" spans="2:6">
      <c r="B583" t="s">
        <v>467</v>
      </c>
      <c r="F583">
        <v>1.46</v>
      </c>
    </row>
    <row r="584" spans="2:6">
      <c r="B584" t="s">
        <v>468</v>
      </c>
      <c r="F584">
        <v>1.74</v>
      </c>
    </row>
    <row r="585" spans="2:6">
      <c r="B585" t="s">
        <v>469</v>
      </c>
      <c r="F585">
        <v>2.5099999999999998</v>
      </c>
    </row>
    <row r="586" spans="2:6">
      <c r="B586" t="s">
        <v>470</v>
      </c>
      <c r="F586">
        <v>1.43</v>
      </c>
    </row>
    <row r="587" spans="2:6">
      <c r="B587" t="s">
        <v>471</v>
      </c>
      <c r="F587">
        <v>2.86</v>
      </c>
    </row>
    <row r="588" spans="2:6">
      <c r="B588" t="s">
        <v>472</v>
      </c>
      <c r="F588">
        <v>1.85</v>
      </c>
    </row>
    <row r="589" spans="2:6">
      <c r="B589" t="s">
        <v>473</v>
      </c>
      <c r="F589">
        <v>2.79</v>
      </c>
    </row>
    <row r="590" spans="2:6">
      <c r="B590" t="s">
        <v>474</v>
      </c>
      <c r="F590">
        <v>3.09</v>
      </c>
    </row>
    <row r="591" spans="2:6">
      <c r="B591" t="s">
        <v>475</v>
      </c>
      <c r="F591">
        <v>2.04</v>
      </c>
    </row>
    <row r="592" spans="2:6">
      <c r="B592" t="s">
        <v>476</v>
      </c>
      <c r="F592">
        <v>1.0900000000000001</v>
      </c>
    </row>
    <row r="593" spans="2:6">
      <c r="B593" t="s">
        <v>477</v>
      </c>
      <c r="F593">
        <v>1.36</v>
      </c>
    </row>
    <row r="594" spans="2:6">
      <c r="B594" t="s">
        <v>478</v>
      </c>
      <c r="F594">
        <v>1.17</v>
      </c>
    </row>
    <row r="595" spans="2:6">
      <c r="B595" t="s">
        <v>54</v>
      </c>
      <c r="F595">
        <v>1.32</v>
      </c>
    </row>
    <row r="596" spans="2:6">
      <c r="B596" t="s">
        <v>352</v>
      </c>
      <c r="F596">
        <v>1.49</v>
      </c>
    </row>
    <row r="597" spans="2:6">
      <c r="B597" t="s">
        <v>479</v>
      </c>
      <c r="F597">
        <v>2</v>
      </c>
    </row>
    <row r="598" spans="2:6">
      <c r="B598" t="s">
        <v>480</v>
      </c>
      <c r="F598">
        <v>1.24</v>
      </c>
    </row>
    <row r="599" spans="2:6">
      <c r="B599" t="s">
        <v>481</v>
      </c>
      <c r="F599">
        <v>1.75</v>
      </c>
    </row>
    <row r="600" spans="2:6">
      <c r="B600" t="s">
        <v>482</v>
      </c>
      <c r="F600">
        <v>2.74</v>
      </c>
    </row>
    <row r="601" spans="2:6">
      <c r="B601" t="s">
        <v>483</v>
      </c>
      <c r="F601">
        <v>2.87</v>
      </c>
    </row>
    <row r="602" spans="2:6">
      <c r="B602" t="s">
        <v>484</v>
      </c>
      <c r="F602">
        <v>2.2599999999999998</v>
      </c>
    </row>
    <row r="603" spans="2:6">
      <c r="B603" t="s">
        <v>485</v>
      </c>
      <c r="F603">
        <v>1.26</v>
      </c>
    </row>
    <row r="604" spans="2:6">
      <c r="B604" t="s">
        <v>486</v>
      </c>
      <c r="F604">
        <v>1.26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A68E42-9382-4DA9-9E35-76B7D9B5CD7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Audit Report</vt:lpstr>
      <vt:lpstr>Locked and Faulty</vt:lpstr>
      <vt:lpstr>My_Audit</vt:lpstr>
      <vt:lpstr>Input</vt:lpstr>
      <vt:lpstr>Disk_Pivot</vt:lpstr>
      <vt:lpstr>Disk_Pivot_Data</vt:lpstr>
      <vt:lpstr>MacReports</vt:lpstr>
      <vt:lpstr>CSV</vt:lpstr>
      <vt:lpstr>CPU_Formula</vt:lpstr>
      <vt:lpstr>Output_Mac</vt:lpstr>
      <vt:lpstr>Models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2026-02-22T07:51:33Z</dcterms:created>
  <dcterms:modified xsi:type="dcterms:W3CDTF">2026-04-20T08:42:17Z</dcterms:modified>
</cp:coreProperties>
</file>