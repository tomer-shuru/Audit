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6A04111D-8756-4E35-A647-F1E45F2A7741}" xr6:coauthVersionLast="47" xr6:coauthVersionMax="47" xr10:uidLastSave="{00000000-0000-0000-0000-000000000000}"/>
  <bookViews>
    <workbookView xWindow="-120" yWindow="-120" windowWidth="38640" windowHeight="21240" activeTab="2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3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7" i="1" l="1"/>
  <c r="B61" i="1"/>
  <c r="B65" i="1"/>
  <c r="B69" i="1"/>
  <c r="B73" i="1"/>
  <c r="B77" i="1"/>
  <c r="B81" i="1"/>
  <c r="B85" i="1"/>
  <c r="B89" i="1"/>
  <c r="B93" i="1"/>
  <c r="B97" i="1"/>
  <c r="B101" i="1"/>
  <c r="B105" i="1"/>
  <c r="B109" i="1"/>
  <c r="B113" i="1"/>
  <c r="B117" i="1"/>
  <c r="B121" i="1"/>
  <c r="B125" i="1"/>
  <c r="B129" i="1"/>
  <c r="B133" i="1"/>
  <c r="B137" i="1"/>
  <c r="B141" i="1"/>
  <c r="B145" i="1"/>
  <c r="B149" i="1"/>
  <c r="B153" i="1"/>
  <c r="B157" i="1"/>
  <c r="B5" i="1"/>
  <c r="B9" i="1"/>
  <c r="B13" i="1"/>
  <c r="B17" i="1"/>
  <c r="B21" i="1"/>
  <c r="B25" i="1"/>
  <c r="B29" i="1"/>
  <c r="B33" i="1"/>
  <c r="B37" i="1"/>
  <c r="B41" i="1"/>
  <c r="B45" i="1"/>
  <c r="B49" i="1"/>
  <c r="B2" i="1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A44" i="4"/>
  <c r="AA48" i="4"/>
  <c r="AA52" i="4"/>
  <c r="AA56" i="4"/>
  <c r="AA60" i="4"/>
  <c r="AA64" i="4"/>
  <c r="AA68" i="4"/>
  <c r="AA72" i="4"/>
  <c r="AA76" i="4"/>
  <c r="AA80" i="4"/>
  <c r="AA84" i="4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G26" i="6"/>
  <c r="H26" i="6" s="1"/>
  <c r="I26" i="6"/>
  <c r="J26" i="6"/>
  <c r="K26" i="6"/>
  <c r="L26" i="6"/>
  <c r="M26" i="6" a="1"/>
  <c r="M26" i="6" s="1"/>
  <c r="N26" i="6" a="1"/>
  <c r="N26" i="6"/>
  <c r="O26" i="6"/>
  <c r="P26" i="6"/>
  <c r="Q26" i="6"/>
  <c r="R26" i="6"/>
  <c r="S26" i="6"/>
  <c r="G27" i="6"/>
  <c r="H27" i="6" s="1"/>
  <c r="I27" i="6"/>
  <c r="J27" i="6"/>
  <c r="K27" i="6"/>
  <c r="L27" i="6"/>
  <c r="M27" i="6" a="1"/>
  <c r="M27" i="6" s="1"/>
  <c r="N27" i="6" a="1"/>
  <c r="N27" i="6"/>
  <c r="O27" i="6"/>
  <c r="P27" i="6"/>
  <c r="Q27" i="6"/>
  <c r="R27" i="6"/>
  <c r="S27" i="6"/>
  <c r="G28" i="6"/>
  <c r="H28" i="6" s="1"/>
  <c r="I28" i="6"/>
  <c r="J28" i="6"/>
  <c r="K28" i="6"/>
  <c r="L28" i="6"/>
  <c r="M28" i="6" a="1"/>
  <c r="M28" i="6" s="1"/>
  <c r="N28" i="6" a="1"/>
  <c r="N28" i="6"/>
  <c r="O28" i="6"/>
  <c r="P28" i="6"/>
  <c r="Q28" i="6"/>
  <c r="R28" i="6"/>
  <c r="S28" i="6"/>
  <c r="G29" i="6"/>
  <c r="H29" i="6" s="1"/>
  <c r="I29" i="6"/>
  <c r="J29" i="6"/>
  <c r="K29" i="6"/>
  <c r="L29" i="6"/>
  <c r="M29" i="6" a="1"/>
  <c r="M29" i="6" s="1"/>
  <c r="N29" i="6" a="1"/>
  <c r="N29" i="6"/>
  <c r="O29" i="6"/>
  <c r="P29" i="6"/>
  <c r="Q29" i="6"/>
  <c r="R29" i="6"/>
  <c r="S29" i="6"/>
  <c r="G30" i="6"/>
  <c r="H30" i="6" s="1"/>
  <c r="I30" i="6"/>
  <c r="J30" i="6"/>
  <c r="K30" i="6"/>
  <c r="L30" i="6"/>
  <c r="M30" i="6" a="1"/>
  <c r="M30" i="6" s="1"/>
  <c r="N30" i="6" a="1"/>
  <c r="N30" i="6"/>
  <c r="O30" i="6"/>
  <c r="P30" i="6"/>
  <c r="Q30" i="6"/>
  <c r="R30" i="6"/>
  <c r="S30" i="6"/>
  <c r="G31" i="6"/>
  <c r="H31" i="6" s="1"/>
  <c r="I31" i="6"/>
  <c r="J31" i="6"/>
  <c r="K31" i="6"/>
  <c r="L31" i="6"/>
  <c r="M31" i="6" a="1"/>
  <c r="M31" i="6" s="1"/>
  <c r="N31" i="6" a="1"/>
  <c r="N31" i="6"/>
  <c r="O31" i="6"/>
  <c r="P31" i="6"/>
  <c r="Q31" i="6"/>
  <c r="R31" i="6"/>
  <c r="S31" i="6"/>
  <c r="G32" i="6"/>
  <c r="H32" i="6" s="1"/>
  <c r="I32" i="6"/>
  <c r="J32" i="6"/>
  <c r="K32" i="6"/>
  <c r="L32" i="6"/>
  <c r="M32" i="6" a="1"/>
  <c r="M32" i="6" s="1"/>
  <c r="N32" i="6" a="1"/>
  <c r="N32" i="6"/>
  <c r="O32" i="6"/>
  <c r="P32" i="6"/>
  <c r="Q32" i="6"/>
  <c r="R32" i="6"/>
  <c r="S32" i="6"/>
  <c r="G33" i="6"/>
  <c r="H33" i="6" s="1"/>
  <c r="I33" i="6"/>
  <c r="J33" i="6"/>
  <c r="K33" i="6"/>
  <c r="L33" i="6"/>
  <c r="M33" i="6" a="1"/>
  <c r="M33" i="6" s="1"/>
  <c r="N33" i="6" a="1"/>
  <c r="N33" i="6"/>
  <c r="O33" i="6"/>
  <c r="P33" i="6"/>
  <c r="Q33" i="6"/>
  <c r="R33" i="6"/>
  <c r="S33" i="6"/>
  <c r="G34" i="6"/>
  <c r="H34" i="6" s="1"/>
  <c r="I34" i="6"/>
  <c r="J34" i="6"/>
  <c r="K34" i="6"/>
  <c r="L34" i="6"/>
  <c r="M34" i="6" a="1"/>
  <c r="M34" i="6" s="1"/>
  <c r="N34" i="6" a="1"/>
  <c r="N34" i="6"/>
  <c r="O34" i="6"/>
  <c r="P34" i="6"/>
  <c r="Q34" i="6"/>
  <c r="R34" i="6"/>
  <c r="S34" i="6"/>
  <c r="G35" i="6"/>
  <c r="H35" i="6" s="1"/>
  <c r="I35" i="6"/>
  <c r="J35" i="6"/>
  <c r="K35" i="6"/>
  <c r="L35" i="6"/>
  <c r="M35" i="6" a="1"/>
  <c r="M35" i="6" s="1"/>
  <c r="N35" i="6" a="1"/>
  <c r="N35" i="6"/>
  <c r="O35" i="6"/>
  <c r="P35" i="6"/>
  <c r="Q35" i="6"/>
  <c r="R35" i="6"/>
  <c r="S35" i="6"/>
  <c r="G36" i="6"/>
  <c r="H36" i="6" s="1"/>
  <c r="I36" i="6"/>
  <c r="J36" i="6"/>
  <c r="K36" i="6"/>
  <c r="L36" i="6"/>
  <c r="M36" i="6" a="1"/>
  <c r="M36" i="6" s="1"/>
  <c r="N36" i="6" a="1"/>
  <c r="N36" i="6"/>
  <c r="O36" i="6"/>
  <c r="P36" i="6"/>
  <c r="Q36" i="6"/>
  <c r="R36" i="6"/>
  <c r="S36" i="6"/>
  <c r="G37" i="6"/>
  <c r="H37" i="6" s="1"/>
  <c r="I37" i="6"/>
  <c r="J37" i="6"/>
  <c r="K37" i="6"/>
  <c r="L37" i="6"/>
  <c r="M37" i="6" a="1"/>
  <c r="M37" i="6" s="1"/>
  <c r="N37" i="6" a="1"/>
  <c r="N37" i="6"/>
  <c r="O37" i="6"/>
  <c r="P37" i="6"/>
  <c r="Q37" i="6"/>
  <c r="R37" i="6"/>
  <c r="S37" i="6"/>
  <c r="G38" i="6"/>
  <c r="H38" i="6" s="1"/>
  <c r="I38" i="6"/>
  <c r="J38" i="6"/>
  <c r="K38" i="6"/>
  <c r="L38" i="6"/>
  <c r="M38" i="6" a="1"/>
  <c r="M38" i="6" s="1"/>
  <c r="N38" i="6" a="1"/>
  <c r="N38" i="6"/>
  <c r="O38" i="6"/>
  <c r="P38" i="6"/>
  <c r="Q38" i="6"/>
  <c r="R38" i="6"/>
  <c r="S38" i="6"/>
  <c r="G39" i="6"/>
  <c r="H39" i="6" s="1"/>
  <c r="I39" i="6"/>
  <c r="J39" i="6"/>
  <c r="K39" i="6"/>
  <c r="L39" i="6"/>
  <c r="M39" i="6" a="1"/>
  <c r="M39" i="6" s="1"/>
  <c r="N39" i="6" a="1"/>
  <c r="N39" i="6"/>
  <c r="O39" i="6"/>
  <c r="P39" i="6"/>
  <c r="Q39" i="6"/>
  <c r="R39" i="6"/>
  <c r="S39" i="6"/>
  <c r="G40" i="6"/>
  <c r="H40" i="6" s="1"/>
  <c r="I40" i="6"/>
  <c r="J40" i="6"/>
  <c r="K40" i="6"/>
  <c r="L40" i="6"/>
  <c r="M40" i="6" a="1"/>
  <c r="M40" i="6" s="1"/>
  <c r="N40" i="6" a="1"/>
  <c r="N40" i="6"/>
  <c r="O40" i="6"/>
  <c r="P40" i="6"/>
  <c r="Q40" i="6"/>
  <c r="R40" i="6"/>
  <c r="S40" i="6"/>
  <c r="G41" i="6"/>
  <c r="H41" i="6" s="1"/>
  <c r="I41" i="6"/>
  <c r="J41" i="6"/>
  <c r="K41" i="6"/>
  <c r="L41" i="6"/>
  <c r="M41" i="6" a="1"/>
  <c r="M41" i="6" s="1"/>
  <c r="N41" i="6" a="1"/>
  <c r="N41" i="6"/>
  <c r="O41" i="6"/>
  <c r="P41" i="6"/>
  <c r="Q41" i="6"/>
  <c r="R41" i="6"/>
  <c r="S41" i="6"/>
  <c r="G42" i="6"/>
  <c r="H42" i="6" s="1"/>
  <c r="I42" i="6"/>
  <c r="J42" i="6"/>
  <c r="K42" i="6"/>
  <c r="L42" i="6"/>
  <c r="M42" i="6" a="1"/>
  <c r="M42" i="6" s="1"/>
  <c r="N42" i="6" a="1"/>
  <c r="N42" i="6"/>
  <c r="O42" i="6"/>
  <c r="P42" i="6"/>
  <c r="Q42" i="6"/>
  <c r="R42" i="6"/>
  <c r="S42" i="6"/>
  <c r="G43" i="6"/>
  <c r="H43" i="6" s="1"/>
  <c r="I43" i="6"/>
  <c r="J43" i="6"/>
  <c r="K43" i="6"/>
  <c r="L43" i="6"/>
  <c r="M43" i="6" a="1"/>
  <c r="M43" i="6" s="1"/>
  <c r="N43" i="6" a="1"/>
  <c r="N43" i="6"/>
  <c r="O43" i="6"/>
  <c r="P43" i="6"/>
  <c r="Q43" i="6"/>
  <c r="R43" i="6"/>
  <c r="S43" i="6"/>
  <c r="G44" i="6"/>
  <c r="H44" i="6" s="1"/>
  <c r="I44" i="6"/>
  <c r="J44" i="6"/>
  <c r="K44" i="6"/>
  <c r="L44" i="6"/>
  <c r="M44" i="6" a="1"/>
  <c r="M44" i="6" s="1"/>
  <c r="N44" i="6" a="1"/>
  <c r="N44" i="6"/>
  <c r="O44" i="6"/>
  <c r="P44" i="6"/>
  <c r="Q44" i="6"/>
  <c r="R44" i="6"/>
  <c r="S44" i="6"/>
  <c r="G45" i="6"/>
  <c r="H45" i="6" s="1"/>
  <c r="I45" i="6"/>
  <c r="J45" i="6"/>
  <c r="K45" i="6"/>
  <c r="L45" i="6"/>
  <c r="M45" i="6" a="1"/>
  <c r="M45" i="6" s="1"/>
  <c r="N45" i="6" a="1"/>
  <c r="N45" i="6"/>
  <c r="O45" i="6"/>
  <c r="P45" i="6"/>
  <c r="Q45" i="6"/>
  <c r="R45" i="6"/>
  <c r="S45" i="6"/>
  <c r="G46" i="6"/>
  <c r="H46" i="6" s="1"/>
  <c r="I46" i="6"/>
  <c r="J46" i="6"/>
  <c r="K46" i="6"/>
  <c r="L46" i="6"/>
  <c r="M46" i="6" a="1"/>
  <c r="M46" i="6" s="1"/>
  <c r="N46" i="6" a="1"/>
  <c r="N46" i="6"/>
  <c r="O46" i="6"/>
  <c r="P46" i="6"/>
  <c r="Q46" i="6"/>
  <c r="R46" i="6"/>
  <c r="S46" i="6"/>
  <c r="G47" i="6"/>
  <c r="H47" i="6" s="1"/>
  <c r="I47" i="6"/>
  <c r="J47" i="6"/>
  <c r="K47" i="6"/>
  <c r="L47" i="6"/>
  <c r="M47" i="6" a="1"/>
  <c r="M47" i="6" s="1"/>
  <c r="N47" i="6" a="1"/>
  <c r="N47" i="6"/>
  <c r="O47" i="6"/>
  <c r="P47" i="6"/>
  <c r="Q47" i="6"/>
  <c r="R47" i="6"/>
  <c r="S47" i="6"/>
  <c r="G48" i="6"/>
  <c r="H48" i="6" s="1"/>
  <c r="I48" i="6"/>
  <c r="J48" i="6"/>
  <c r="K48" i="6"/>
  <c r="L48" i="6"/>
  <c r="M48" i="6" a="1"/>
  <c r="M48" i="6" s="1"/>
  <c r="N48" i="6" a="1"/>
  <c r="N48" i="6"/>
  <c r="O48" i="6"/>
  <c r="P48" i="6"/>
  <c r="Q48" i="6"/>
  <c r="R48" i="6"/>
  <c r="S48" i="6"/>
  <c r="G49" i="6"/>
  <c r="H49" i="6" s="1"/>
  <c r="I49" i="6"/>
  <c r="J49" i="6"/>
  <c r="K49" i="6"/>
  <c r="L49" i="6"/>
  <c r="M49" i="6" a="1"/>
  <c r="M49" i="6" s="1"/>
  <c r="N49" i="6" a="1"/>
  <c r="N49" i="6"/>
  <c r="O49" i="6"/>
  <c r="P49" i="6"/>
  <c r="Q49" i="6"/>
  <c r="R49" i="6"/>
  <c r="S49" i="6"/>
  <c r="G50" i="6"/>
  <c r="H50" i="6" s="1"/>
  <c r="I50" i="6"/>
  <c r="J50" i="6"/>
  <c r="K50" i="6"/>
  <c r="L50" i="6"/>
  <c r="M50" i="6" a="1"/>
  <c r="M50" i="6" s="1"/>
  <c r="N50" i="6" a="1"/>
  <c r="N50" i="6"/>
  <c r="O50" i="6"/>
  <c r="P50" i="6"/>
  <c r="Q50" i="6"/>
  <c r="R50" i="6"/>
  <c r="S50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R51" i="6"/>
  <c r="S51" i="6"/>
  <c r="G52" i="6"/>
  <c r="H52" i="6" s="1"/>
  <c r="I52" i="6"/>
  <c r="J52" i="6"/>
  <c r="K52" i="6"/>
  <c r="L52" i="6"/>
  <c r="M52" i="6" a="1"/>
  <c r="M52" i="6" s="1"/>
  <c r="N52" i="6" a="1"/>
  <c r="N52" i="6"/>
  <c r="O52" i="6"/>
  <c r="P52" i="6"/>
  <c r="Q52" i="6"/>
  <c r="R52" i="6"/>
  <c r="S52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11" i="5"/>
  <c r="A3" i="5"/>
  <c r="A4" i="5"/>
  <c r="A5" i="5"/>
  <c r="A6" i="5"/>
  <c r="A7" i="5"/>
  <c r="A8" i="5"/>
  <c r="A9" i="5"/>
  <c r="A10" i="5"/>
  <c r="A2" i="5"/>
  <c r="A3" i="1"/>
  <c r="B3" i="1" s="1"/>
  <c r="A4" i="1"/>
  <c r="B4" i="1" s="1"/>
  <c r="A5" i="1"/>
  <c r="A6" i="1"/>
  <c r="B6" i="1" s="1"/>
  <c r="A7" i="1"/>
  <c r="B7" i="1" s="1"/>
  <c r="A8" i="1"/>
  <c r="B8" i="1" s="1"/>
  <c r="A9" i="1"/>
  <c r="A10" i="1"/>
  <c r="B10" i="1" s="1"/>
  <c r="A11" i="1"/>
  <c r="B11" i="1" s="1"/>
  <c r="A12" i="1"/>
  <c r="B12" i="1" s="1"/>
  <c r="A13" i="1"/>
  <c r="A14" i="1"/>
  <c r="B14" i="1" s="1"/>
  <c r="A15" i="1"/>
  <c r="B15" i="1" s="1"/>
  <c r="A16" i="1"/>
  <c r="B16" i="1" s="1"/>
  <c r="A17" i="1"/>
  <c r="A18" i="1"/>
  <c r="B18" i="1" s="1"/>
  <c r="A19" i="1"/>
  <c r="B19" i="1" s="1"/>
  <c r="A20" i="1"/>
  <c r="B20" i="1" s="1"/>
  <c r="A21" i="1"/>
  <c r="A22" i="1"/>
  <c r="B22" i="1" s="1"/>
  <c r="A23" i="1"/>
  <c r="B23" i="1" s="1"/>
  <c r="A24" i="1"/>
  <c r="B24" i="1" s="1"/>
  <c r="A25" i="1"/>
  <c r="A26" i="1"/>
  <c r="B26" i="1" s="1"/>
  <c r="A27" i="1"/>
  <c r="B27" i="1" s="1"/>
  <c r="A28" i="1"/>
  <c r="B28" i="1" s="1"/>
  <c r="A29" i="1"/>
  <c r="A30" i="1"/>
  <c r="B30" i="1" s="1"/>
  <c r="A31" i="1"/>
  <c r="B31" i="1" s="1"/>
  <c r="A32" i="1"/>
  <c r="B32" i="1" s="1"/>
  <c r="A33" i="1"/>
  <c r="A34" i="1"/>
  <c r="B34" i="1" s="1"/>
  <c r="A35" i="1"/>
  <c r="B35" i="1" s="1"/>
  <c r="A36" i="1"/>
  <c r="B36" i="1" s="1"/>
  <c r="A37" i="1"/>
  <c r="A38" i="1"/>
  <c r="B38" i="1" s="1"/>
  <c r="A39" i="1"/>
  <c r="B39" i="1" s="1"/>
  <c r="A40" i="1"/>
  <c r="B40" i="1" s="1"/>
  <c r="A41" i="1"/>
  <c r="A42" i="1"/>
  <c r="B42" i="1" s="1"/>
  <c r="A43" i="1"/>
  <c r="B43" i="1" s="1"/>
  <c r="A44" i="1"/>
  <c r="B44" i="1" s="1"/>
  <c r="A45" i="1"/>
  <c r="A46" i="1"/>
  <c r="B46" i="1" s="1"/>
  <c r="A47" i="1"/>
  <c r="B47" i="1" s="1"/>
  <c r="A48" i="1"/>
  <c r="B48" i="1" s="1"/>
  <c r="A49" i="1"/>
  <c r="A50" i="1"/>
  <c r="B50" i="1" s="1"/>
  <c r="A51" i="1"/>
  <c r="B51" i="1" s="1"/>
  <c r="A52" i="1"/>
  <c r="B52" i="1" s="1"/>
  <c r="A53" i="1"/>
  <c r="B53" i="1" s="1"/>
  <c r="A54" i="1"/>
  <c r="B54" i="1" s="1"/>
  <c r="A55" i="1"/>
  <c r="B55" i="1" s="1"/>
  <c r="A56" i="1"/>
  <c r="B56" i="1" s="1"/>
  <c r="A57" i="1"/>
  <c r="A58" i="1"/>
  <c r="B58" i="1" s="1"/>
  <c r="A59" i="1"/>
  <c r="B59" i="1" s="1"/>
  <c r="A60" i="1"/>
  <c r="B60" i="1" s="1"/>
  <c r="A61" i="1"/>
  <c r="A62" i="1"/>
  <c r="B62" i="1" s="1"/>
  <c r="A63" i="1"/>
  <c r="B63" i="1" s="1"/>
  <c r="A64" i="1"/>
  <c r="B64" i="1" s="1"/>
  <c r="A65" i="1"/>
  <c r="A66" i="1"/>
  <c r="B66" i="1" s="1"/>
  <c r="A67" i="1"/>
  <c r="B67" i="1" s="1"/>
  <c r="A68" i="1"/>
  <c r="B68" i="1" s="1"/>
  <c r="A69" i="1"/>
  <c r="A70" i="1"/>
  <c r="B70" i="1" s="1"/>
  <c r="A71" i="1"/>
  <c r="B71" i="1" s="1"/>
  <c r="A72" i="1"/>
  <c r="B72" i="1" s="1"/>
  <c r="A73" i="1"/>
  <c r="A74" i="1"/>
  <c r="B74" i="1" s="1"/>
  <c r="A75" i="1"/>
  <c r="B75" i="1" s="1"/>
  <c r="A76" i="1"/>
  <c r="B76" i="1" s="1"/>
  <c r="A77" i="1"/>
  <c r="A78" i="1"/>
  <c r="B78" i="1" s="1"/>
  <c r="A79" i="1"/>
  <c r="B79" i="1" s="1"/>
  <c r="A80" i="1"/>
  <c r="B80" i="1" s="1"/>
  <c r="A81" i="1"/>
  <c r="A82" i="1"/>
  <c r="B82" i="1" s="1"/>
  <c r="A83" i="1"/>
  <c r="B83" i="1" s="1"/>
  <c r="A84" i="1"/>
  <c r="B84" i="1" s="1"/>
  <c r="A85" i="1"/>
  <c r="A86" i="1"/>
  <c r="B86" i="1" s="1"/>
  <c r="A87" i="1"/>
  <c r="B87" i="1" s="1"/>
  <c r="A88" i="1"/>
  <c r="B88" i="1" s="1"/>
  <c r="A89" i="1"/>
  <c r="A90" i="1"/>
  <c r="B90" i="1" s="1"/>
  <c r="A91" i="1"/>
  <c r="B91" i="1" s="1"/>
  <c r="A92" i="1"/>
  <c r="B92" i="1" s="1"/>
  <c r="A93" i="1"/>
  <c r="A94" i="1"/>
  <c r="B94" i="1" s="1"/>
  <c r="A95" i="1"/>
  <c r="B95" i="1" s="1"/>
  <c r="A96" i="1"/>
  <c r="B96" i="1" s="1"/>
  <c r="A97" i="1"/>
  <c r="A98" i="1"/>
  <c r="B98" i="1" s="1"/>
  <c r="A99" i="1"/>
  <c r="B99" i="1" s="1"/>
  <c r="A100" i="1"/>
  <c r="B100" i="1" s="1"/>
  <c r="A101" i="1"/>
  <c r="A102" i="1"/>
  <c r="B102" i="1" s="1"/>
  <c r="A103" i="1"/>
  <c r="B103" i="1" s="1"/>
  <c r="A104" i="1"/>
  <c r="B104" i="1" s="1"/>
  <c r="A105" i="1"/>
  <c r="A106" i="1"/>
  <c r="B106" i="1" s="1"/>
  <c r="A107" i="1"/>
  <c r="B107" i="1" s="1"/>
  <c r="A108" i="1"/>
  <c r="B108" i="1" s="1"/>
  <c r="A109" i="1"/>
  <c r="A110" i="1"/>
  <c r="B110" i="1" s="1"/>
  <c r="A111" i="1"/>
  <c r="B111" i="1" s="1"/>
  <c r="A112" i="1"/>
  <c r="B112" i="1" s="1"/>
  <c r="A113" i="1"/>
  <c r="A114" i="1"/>
  <c r="B114" i="1" s="1"/>
  <c r="A115" i="1"/>
  <c r="B115" i="1" s="1"/>
  <c r="A116" i="1"/>
  <c r="B116" i="1" s="1"/>
  <c r="A117" i="1"/>
  <c r="A118" i="1"/>
  <c r="B118" i="1" s="1"/>
  <c r="A119" i="1"/>
  <c r="B119" i="1" s="1"/>
  <c r="A120" i="1"/>
  <c r="B120" i="1" s="1"/>
  <c r="A121" i="1"/>
  <c r="A122" i="1"/>
  <c r="B122" i="1" s="1"/>
  <c r="A123" i="1"/>
  <c r="B123" i="1" s="1"/>
  <c r="A124" i="1"/>
  <c r="B124" i="1" s="1"/>
  <c r="A125" i="1"/>
  <c r="A126" i="1"/>
  <c r="B126" i="1" s="1"/>
  <c r="A127" i="1"/>
  <c r="B127" i="1" s="1"/>
  <c r="A128" i="1"/>
  <c r="B128" i="1" s="1"/>
  <c r="A129" i="1"/>
  <c r="A130" i="1"/>
  <c r="B130" i="1" s="1"/>
  <c r="A131" i="1"/>
  <c r="B131" i="1" s="1"/>
  <c r="A132" i="1"/>
  <c r="B132" i="1" s="1"/>
  <c r="A133" i="1"/>
  <c r="A134" i="1"/>
  <c r="B134" i="1" s="1"/>
  <c r="A135" i="1"/>
  <c r="B135" i="1" s="1"/>
  <c r="A136" i="1"/>
  <c r="B136" i="1" s="1"/>
  <c r="A137" i="1"/>
  <c r="A138" i="1"/>
  <c r="B138" i="1" s="1"/>
  <c r="A139" i="1"/>
  <c r="B139" i="1" s="1"/>
  <c r="A140" i="1"/>
  <c r="B140" i="1" s="1"/>
  <c r="A141" i="1"/>
  <c r="A142" i="1"/>
  <c r="B142" i="1" s="1"/>
  <c r="A143" i="1"/>
  <c r="B143" i="1" s="1"/>
  <c r="A144" i="1"/>
  <c r="B144" i="1" s="1"/>
  <c r="A145" i="1"/>
  <c r="A146" i="1"/>
  <c r="B146" i="1" s="1"/>
  <c r="A147" i="1"/>
  <c r="B147" i="1" s="1"/>
  <c r="A148" i="1"/>
  <c r="B148" i="1" s="1"/>
  <c r="A149" i="1"/>
  <c r="A150" i="1"/>
  <c r="B150" i="1" s="1"/>
  <c r="A151" i="1"/>
  <c r="B151" i="1" s="1"/>
  <c r="A152" i="1"/>
  <c r="B152" i="1" s="1"/>
  <c r="A153" i="1"/>
  <c r="A154" i="1"/>
  <c r="B154" i="1" s="1"/>
  <c r="A155" i="1"/>
  <c r="B155" i="1" s="1"/>
  <c r="A156" i="1"/>
  <c r="B156" i="1" s="1"/>
  <c r="A157" i="1"/>
  <c r="A158" i="1"/>
  <c r="B158" i="1" s="1"/>
  <c r="A159" i="1"/>
  <c r="A160" i="1"/>
  <c r="A161" i="1"/>
  <c r="A162" i="1"/>
  <c r="A163" i="1"/>
  <c r="A164" i="1"/>
  <c r="A165" i="1"/>
  <c r="A166" i="1"/>
  <c r="A167" i="1"/>
  <c r="A168" i="1"/>
  <c r="A169" i="1"/>
  <c r="A2" i="1"/>
  <c r="E2" i="1" s="1"/>
  <c r="A43" i="4"/>
  <c r="C43" i="4"/>
  <c r="D43" i="4"/>
  <c r="G43" i="4"/>
  <c r="H43" i="4" s="1"/>
  <c r="F43" i="4" s="1"/>
  <c r="L43" i="4"/>
  <c r="N43" i="4" s="1"/>
  <c r="P43" i="4" s="1"/>
  <c r="M43" i="4"/>
  <c r="O43" i="4" s="1" a="1"/>
  <c r="O43" i="4" s="1"/>
  <c r="Q43" i="4" a="1"/>
  <c r="Q43" i="4" s="1"/>
  <c r="S43" i="4"/>
  <c r="T43" i="4" s="1" a="1"/>
  <c r="T43" i="4" s="1"/>
  <c r="AA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Q44" i="4" a="1"/>
  <c r="Q44" i="4" s="1"/>
  <c r="S44" i="4"/>
  <c r="T44" i="4" s="1" a="1"/>
  <c r="T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Q45" i="4" a="1"/>
  <c r="Q45" i="4" s="1"/>
  <c r="S45" i="4"/>
  <c r="T45" i="4" a="1"/>
  <c r="T45" i="4" s="1"/>
  <c r="AA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Q46" i="4" a="1"/>
  <c r="Q46" i="4" s="1"/>
  <c r="S46" i="4"/>
  <c r="T46" i="4" s="1" a="1"/>
  <c r="T46" i="4" s="1"/>
  <c r="AA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Q47" i="4" a="1"/>
  <c r="Q47" i="4" s="1"/>
  <c r="S47" i="4"/>
  <c r="T47" i="4" s="1" a="1"/>
  <c r="T47" i="4" s="1"/>
  <c r="AA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Q48" i="4" a="1"/>
  <c r="Q48" i="4" s="1"/>
  <c r="S48" i="4"/>
  <c r="T48" i="4" s="1" a="1"/>
  <c r="T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Q49" i="4" a="1"/>
  <c r="Q49" i="4" s="1"/>
  <c r="S49" i="4"/>
  <c r="T49" i="4" s="1" a="1"/>
  <c r="T49" i="4" s="1"/>
  <c r="AA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Q50" i="4" a="1"/>
  <c r="Q50" i="4" s="1"/>
  <c r="S50" i="4"/>
  <c r="T50" i="4" s="1" a="1"/>
  <c r="T50" i="4" s="1"/>
  <c r="AA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Q51" i="4" a="1"/>
  <c r="Q51" i="4" s="1"/>
  <c r="S51" i="4"/>
  <c r="T51" i="4" s="1" a="1"/>
  <c r="T51" i="4" s="1"/>
  <c r="AA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Q52" i="4" a="1"/>
  <c r="Q52" i="4" s="1"/>
  <c r="S52" i="4"/>
  <c r="T52" i="4" s="1" a="1"/>
  <c r="T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Q53" i="4" a="1"/>
  <c r="Q53" i="4" s="1"/>
  <c r="S53" i="4"/>
  <c r="T53" i="4" s="1" a="1"/>
  <c r="T53" i="4" s="1"/>
  <c r="AA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Q54" i="4" a="1"/>
  <c r="Q54" i="4" s="1"/>
  <c r="S54" i="4"/>
  <c r="T54" i="4" s="1" a="1"/>
  <c r="T54" i="4" s="1"/>
  <c r="AA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Q55" i="4" a="1"/>
  <c r="Q55" i="4" s="1"/>
  <c r="S55" i="4"/>
  <c r="T55" i="4" s="1" a="1"/>
  <c r="T55" i="4" s="1"/>
  <c r="AA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Q56" i="4" a="1"/>
  <c r="Q56" i="4" s="1"/>
  <c r="S56" i="4"/>
  <c r="T56" i="4" s="1" a="1"/>
  <c r="T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Q57" i="4" a="1"/>
  <c r="Q57" i="4" s="1"/>
  <c r="S57" i="4"/>
  <c r="T57" i="4" s="1" a="1"/>
  <c r="T57" i="4" s="1"/>
  <c r="AA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Q58" i="4" a="1"/>
  <c r="Q58" i="4" s="1"/>
  <c r="S58" i="4"/>
  <c r="T58" i="4" s="1" a="1"/>
  <c r="T58" i="4" s="1"/>
  <c r="AA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Q59" i="4" a="1"/>
  <c r="Q59" i="4" s="1"/>
  <c r="S59" i="4"/>
  <c r="T59" i="4" s="1" a="1"/>
  <c r="T59" i="4" s="1"/>
  <c r="AA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Q60" i="4" a="1"/>
  <c r="Q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Q61" i="4" a="1"/>
  <c r="Q61" i="4" s="1"/>
  <c r="S61" i="4"/>
  <c r="T61" i="4" s="1" a="1"/>
  <c r="T61" i="4" s="1"/>
  <c r="AA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Q62" i="4" a="1"/>
  <c r="Q62" i="4" s="1"/>
  <c r="S62" i="4"/>
  <c r="T62" i="4" s="1" a="1"/>
  <c r="T62" i="4" s="1"/>
  <c r="AA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Q63" i="4" a="1"/>
  <c r="Q63" i="4" s="1"/>
  <c r="S63" i="4"/>
  <c r="T63" i="4" s="1" a="1"/>
  <c r="T63" i="4" s="1"/>
  <c r="AA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Q64" i="4" a="1"/>
  <c r="Q64" i="4" s="1"/>
  <c r="S64" i="4"/>
  <c r="T64" i="4" s="1" a="1"/>
  <c r="T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Q65" i="4" a="1"/>
  <c r="Q65" i="4" s="1"/>
  <c r="S65" i="4"/>
  <c r="T65" i="4" s="1" a="1"/>
  <c r="T65" i="4" s="1"/>
  <c r="AA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Q66" i="4" a="1"/>
  <c r="Q66" i="4" s="1"/>
  <c r="S66" i="4"/>
  <c r="T66" i="4" s="1" a="1"/>
  <c r="T66" i="4" s="1"/>
  <c r="AA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Q67" i="4" a="1"/>
  <c r="Q67" i="4" s="1"/>
  <c r="S67" i="4"/>
  <c r="T67" i="4" s="1" a="1"/>
  <c r="T67" i="4" s="1"/>
  <c r="AA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Q68" i="4" a="1"/>
  <c r="Q68" i="4" s="1"/>
  <c r="S68" i="4"/>
  <c r="T68" i="4" s="1" a="1"/>
  <c r="T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Q69" i="4" a="1"/>
  <c r="Q69" i="4" s="1"/>
  <c r="S69" i="4"/>
  <c r="T69" i="4" s="1" a="1"/>
  <c r="T69" i="4" s="1"/>
  <c r="AA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Q70" i="4" a="1"/>
  <c r="Q70" i="4" s="1"/>
  <c r="S70" i="4"/>
  <c r="T70" i="4" s="1" a="1"/>
  <c r="T70" i="4" s="1"/>
  <c r="AA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Q71" i="4" a="1"/>
  <c r="Q71" i="4" s="1"/>
  <c r="S71" i="4"/>
  <c r="T71" i="4" s="1" a="1"/>
  <c r="T71" i="4" s="1"/>
  <c r="AA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Q72" i="4" a="1"/>
  <c r="Q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Q73" i="4" a="1"/>
  <c r="Q73" i="4" s="1"/>
  <c r="S73" i="4"/>
  <c r="T73" i="4" s="1" a="1"/>
  <c r="T73" i="4" s="1"/>
  <c r="AA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Q74" i="4" a="1"/>
  <c r="Q74" i="4" s="1"/>
  <c r="S74" i="4"/>
  <c r="T74" i="4" s="1" a="1"/>
  <c r="T74" i="4" s="1"/>
  <c r="AA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Q75" i="4" a="1"/>
  <c r="Q75" i="4" s="1"/>
  <c r="S75" i="4"/>
  <c r="T75" i="4" s="1" a="1"/>
  <c r="T75" i="4" s="1"/>
  <c r="AA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Q76" i="4" a="1"/>
  <c r="Q76" i="4" s="1"/>
  <c r="S76" i="4"/>
  <c r="T76" i="4" s="1" a="1"/>
  <c r="T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Q77" i="4" a="1"/>
  <c r="Q77" i="4" s="1"/>
  <c r="S77" i="4"/>
  <c r="T77" i="4" s="1" a="1"/>
  <c r="T77" i="4" s="1"/>
  <c r="AA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Q78" i="4" a="1"/>
  <c r="Q78" i="4" s="1"/>
  <c r="S78" i="4"/>
  <c r="T78" i="4" s="1" a="1"/>
  <c r="T78" i="4" s="1"/>
  <c r="AA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Q79" i="4" a="1"/>
  <c r="Q79" i="4" s="1"/>
  <c r="S79" i="4"/>
  <c r="T79" i="4" s="1" a="1"/>
  <c r="T79" i="4" s="1"/>
  <c r="AA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Q80" i="4" a="1"/>
  <c r="Q80" i="4" s="1"/>
  <c r="S80" i="4"/>
  <c r="T80" i="4" s="1" a="1"/>
  <c r="T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Q81" i="4" a="1"/>
  <c r="Q81" i="4" s="1"/>
  <c r="S81" i="4"/>
  <c r="T81" i="4" s="1" a="1"/>
  <c r="T81" i="4" s="1"/>
  <c r="AA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Q82" i="4" a="1"/>
  <c r="Q82" i="4" s="1"/>
  <c r="S82" i="4"/>
  <c r="T82" i="4" s="1" a="1"/>
  <c r="T82" i="4" s="1"/>
  <c r="AA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Q83" i="4" a="1"/>
  <c r="Q83" i="4" s="1"/>
  <c r="S83" i="4"/>
  <c r="T83" i="4" s="1" a="1"/>
  <c r="T83" i="4" s="1"/>
  <c r="AA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Q84" i="4" a="1"/>
  <c r="Q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Q85" i="4" a="1"/>
  <c r="Q85" i="4" s="1"/>
  <c r="S85" i="4"/>
  <c r="T85" i="4" s="1" a="1"/>
  <c r="T85" i="4" s="1"/>
  <c r="AA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Q86" i="4" a="1"/>
  <c r="Q86" i="4" s="1"/>
  <c r="S86" i="4"/>
  <c r="T86" i="4" s="1" a="1"/>
  <c r="T86" i="4" s="1"/>
  <c r="AA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Q87" i="4" a="1"/>
  <c r="Q87" i="4" s="1"/>
  <c r="S87" i="4"/>
  <c r="T87" i="4" s="1" a="1"/>
  <c r="T87" i="4" s="1"/>
  <c r="AA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Q88" i="4" a="1"/>
  <c r="Q88" i="4" s="1"/>
  <c r="S88" i="4"/>
  <c r="T88" i="4" s="1" a="1"/>
  <c r="T88" i="4" s="1"/>
  <c r="AA88" i="4" s="1"/>
  <c r="A89" i="4"/>
  <c r="F89" i="4"/>
  <c r="L89" i="4"/>
  <c r="N89" i="4" s="1"/>
  <c r="M89" i="4"/>
  <c r="S89" i="4"/>
  <c r="T89" i="4" s="1" a="1"/>
  <c r="T89" i="4" s="1"/>
  <c r="AA89" i="4" s="1"/>
  <c r="F90" i="4"/>
  <c r="L90" i="4"/>
  <c r="N90" i="4" s="1"/>
  <c r="M90" i="4"/>
  <c r="S90" i="4"/>
  <c r="T90" i="4" s="1" a="1"/>
  <c r="T90" i="4" s="1"/>
  <c r="AA90" i="4" s="1"/>
  <c r="F91" i="4"/>
  <c r="L91" i="4"/>
  <c r="N91" i="4" s="1"/>
  <c r="M91" i="4"/>
  <c r="S91" i="4"/>
  <c r="T91" i="4" s="1" a="1"/>
  <c r="T91" i="4" s="1"/>
  <c r="AA91" i="4" s="1"/>
  <c r="F92" i="4"/>
  <c r="L92" i="4"/>
  <c r="N92" i="4" s="1"/>
  <c r="M92" i="4"/>
  <c r="S92" i="4"/>
  <c r="T92" i="4" s="1" a="1"/>
  <c r="T92" i="4" s="1"/>
  <c r="AA92" i="4" s="1"/>
  <c r="F93" i="4"/>
  <c r="L93" i="4"/>
  <c r="N93" i="4" s="1"/>
  <c r="M93" i="4"/>
  <c r="S93" i="4"/>
  <c r="T93" i="4" s="1" a="1"/>
  <c r="T93" i="4" s="1"/>
  <c r="AA93" i="4" s="1"/>
  <c r="F94" i="4"/>
  <c r="L94" i="4"/>
  <c r="N94" i="4" s="1"/>
  <c r="M94" i="4"/>
  <c r="S94" i="4"/>
  <c r="T94" i="4" s="1" a="1"/>
  <c r="T94" i="4" s="1"/>
  <c r="AA94" i="4" s="1"/>
  <c r="F95" i="4"/>
  <c r="L95" i="4"/>
  <c r="N95" i="4" s="1"/>
  <c r="M95" i="4"/>
  <c r="S95" i="4"/>
  <c r="T95" i="4" s="1" a="1"/>
  <c r="T95" i="4" s="1"/>
  <c r="AA95" i="4" s="1"/>
  <c r="F96" i="4"/>
  <c r="L96" i="4"/>
  <c r="N96" i="4" s="1"/>
  <c r="M96" i="4"/>
  <c r="S96" i="4"/>
  <c r="T96" i="4" s="1" a="1"/>
  <c r="T96" i="4" s="1"/>
  <c r="AA96" i="4" s="1"/>
  <c r="F97" i="4"/>
  <c r="L97" i="4"/>
  <c r="N97" i="4" s="1"/>
  <c r="M97" i="4"/>
  <c r="S97" i="4"/>
  <c r="T97" i="4" s="1" a="1"/>
  <c r="T97" i="4" s="1"/>
  <c r="AA97" i="4" s="1"/>
  <c r="F98" i="4"/>
  <c r="L98" i="4"/>
  <c r="N98" i="4" s="1"/>
  <c r="M98" i="4"/>
  <c r="S98" i="4"/>
  <c r="T98" i="4" s="1" a="1"/>
  <c r="T98" i="4" s="1"/>
  <c r="AA98" i="4" s="1"/>
  <c r="F99" i="4"/>
  <c r="L99" i="4"/>
  <c r="N99" i="4" s="1"/>
  <c r="M99" i="4"/>
  <c r="S99" i="4"/>
  <c r="T99" i="4" s="1" a="1"/>
  <c r="T99" i="4" s="1"/>
  <c r="AA99" i="4" s="1"/>
  <c r="F100" i="4"/>
  <c r="L100" i="4"/>
  <c r="N100" i="4" s="1"/>
  <c r="M100" i="4"/>
  <c r="S100" i="4"/>
  <c r="T100" i="4" s="1" a="1"/>
  <c r="T100" i="4" s="1"/>
  <c r="AA100" i="4" s="1"/>
  <c r="F101" i="4"/>
  <c r="L101" i="4"/>
  <c r="N101" i="4" s="1"/>
  <c r="M101" i="4"/>
  <c r="S101" i="4"/>
  <c r="T101" i="4" s="1" a="1"/>
  <c r="T101" i="4" s="1"/>
  <c r="AA101" i="4" s="1"/>
  <c r="F102" i="4"/>
  <c r="L102" i="4"/>
  <c r="N102" i="4" s="1"/>
  <c r="M102" i="4"/>
  <c r="S102" i="4"/>
  <c r="T102" i="4" s="1" a="1"/>
  <c r="T102" i="4" s="1"/>
  <c r="AA102" i="4" s="1"/>
  <c r="F103" i="4"/>
  <c r="L103" i="4"/>
  <c r="N103" i="4" s="1"/>
  <c r="M103" i="4"/>
  <c r="S103" i="4"/>
  <c r="T103" i="4" s="1" a="1"/>
  <c r="T103" i="4" s="1"/>
  <c r="AA103" i="4" s="1"/>
  <c r="F104" i="4"/>
  <c r="L104" i="4"/>
  <c r="N104" i="4" s="1"/>
  <c r="M104" i="4"/>
  <c r="S104" i="4"/>
  <c r="T104" i="4" s="1" a="1"/>
  <c r="T104" i="4" s="1"/>
  <c r="AA104" i="4" s="1"/>
  <c r="F105" i="4"/>
  <c r="L105" i="4"/>
  <c r="N105" i="4" s="1"/>
  <c r="M105" i="4"/>
  <c r="S105" i="4"/>
  <c r="T105" i="4" s="1" a="1"/>
  <c r="T105" i="4" s="1"/>
  <c r="AA105" i="4" s="1"/>
  <c r="F106" i="4"/>
  <c r="L106" i="4"/>
  <c r="N106" i="4" s="1"/>
  <c r="M106" i="4"/>
  <c r="S106" i="4"/>
  <c r="T106" i="4" s="1" a="1"/>
  <c r="T106" i="4" s="1"/>
  <c r="AA106" i="4" s="1"/>
  <c r="F107" i="4"/>
  <c r="L107" i="4"/>
  <c r="N107" i="4" s="1"/>
  <c r="M107" i="4"/>
  <c r="S107" i="4"/>
  <c r="T107" i="4" s="1" a="1"/>
  <c r="T107" i="4" s="1"/>
  <c r="AA107" i="4" s="1"/>
  <c r="F108" i="4"/>
  <c r="L108" i="4"/>
  <c r="N108" i="4" s="1"/>
  <c r="M108" i="4"/>
  <c r="S108" i="4"/>
  <c r="T108" i="4" s="1" a="1"/>
  <c r="T108" i="4" s="1"/>
  <c r="AA108" i="4" s="1"/>
  <c r="F109" i="4"/>
  <c r="L109" i="4"/>
  <c r="N109" i="4" s="1"/>
  <c r="M109" i="4"/>
  <c r="S109" i="4"/>
  <c r="T109" i="4" s="1" a="1"/>
  <c r="T109" i="4" s="1"/>
  <c r="AA109" i="4" s="1"/>
  <c r="F110" i="4"/>
  <c r="L110" i="4"/>
  <c r="N110" i="4" s="1"/>
  <c r="M110" i="4"/>
  <c r="S110" i="4"/>
  <c r="T110" i="4" s="1" a="1"/>
  <c r="T110" i="4" s="1"/>
  <c r="AA110" i="4" s="1"/>
  <c r="F111" i="4"/>
  <c r="L111" i="4"/>
  <c r="N111" i="4" s="1"/>
  <c r="M111" i="4"/>
  <c r="S111" i="4"/>
  <c r="T111" i="4" s="1" a="1"/>
  <c r="T111" i="4" s="1"/>
  <c r="AA111" i="4" s="1"/>
  <c r="F112" i="4"/>
  <c r="L112" i="4"/>
  <c r="N112" i="4" s="1"/>
  <c r="M112" i="4"/>
  <c r="S112" i="4"/>
  <c r="T112" i="4" s="1" a="1"/>
  <c r="T112" i="4" s="1"/>
  <c r="AA112" i="4" s="1"/>
  <c r="F113" i="4"/>
  <c r="L113" i="4"/>
  <c r="N113" i="4" s="1"/>
  <c r="M113" i="4"/>
  <c r="S113" i="4"/>
  <c r="T113" i="4" s="1" a="1"/>
  <c r="T113" i="4" s="1"/>
  <c r="AA113" i="4" s="1"/>
  <c r="F114" i="4"/>
  <c r="L114" i="4"/>
  <c r="N114" i="4" s="1"/>
  <c r="M114" i="4"/>
  <c r="S114" i="4"/>
  <c r="T114" i="4" s="1" a="1"/>
  <c r="T114" i="4" s="1"/>
  <c r="AA114" i="4" s="1"/>
  <c r="F115" i="4"/>
  <c r="L115" i="4"/>
  <c r="N115" i="4" s="1"/>
  <c r="M115" i="4"/>
  <c r="S115" i="4"/>
  <c r="T115" i="4" s="1" a="1"/>
  <c r="T115" i="4" s="1"/>
  <c r="AA115" i="4" s="1"/>
  <c r="F116" i="4"/>
  <c r="L116" i="4"/>
  <c r="N116" i="4" s="1"/>
  <c r="M116" i="4"/>
  <c r="S116" i="4"/>
  <c r="T116" i="4" s="1" a="1"/>
  <c r="T116" i="4" s="1"/>
  <c r="AA116" i="4" s="1"/>
  <c r="F117" i="4"/>
  <c r="L117" i="4"/>
  <c r="N117" i="4" s="1"/>
  <c r="M117" i="4"/>
  <c r="S117" i="4"/>
  <c r="T117" i="4" s="1" a="1"/>
  <c r="T117" i="4" s="1"/>
  <c r="AA117" i="4" s="1"/>
  <c r="F118" i="4"/>
  <c r="L118" i="4"/>
  <c r="N118" i="4" s="1"/>
  <c r="M118" i="4"/>
  <c r="S118" i="4"/>
  <c r="T118" i="4" s="1" a="1"/>
  <c r="T118" i="4" s="1"/>
  <c r="AA118" i="4" s="1"/>
  <c r="F119" i="4"/>
  <c r="L119" i="4"/>
  <c r="N119" i="4" s="1"/>
  <c r="M119" i="4"/>
  <c r="S119" i="4"/>
  <c r="T119" i="4" s="1" a="1"/>
  <c r="T119" i="4" s="1"/>
  <c r="AA119" i="4" s="1"/>
  <c r="F120" i="4"/>
  <c r="L120" i="4"/>
  <c r="N120" i="4" s="1"/>
  <c r="M120" i="4"/>
  <c r="S120" i="4"/>
  <c r="T120" i="4" s="1" a="1"/>
  <c r="T120" i="4" s="1"/>
  <c r="AA120" i="4" s="1"/>
  <c r="F121" i="4"/>
  <c r="L121" i="4"/>
  <c r="N121" i="4" s="1"/>
  <c r="M121" i="4"/>
  <c r="S121" i="4"/>
  <c r="T121" i="4" s="1" a="1"/>
  <c r="T121" i="4" s="1"/>
  <c r="AA121" i="4" s="1"/>
  <c r="F122" i="4"/>
  <c r="L122" i="4"/>
  <c r="N122" i="4" s="1"/>
  <c r="M122" i="4"/>
  <c r="S122" i="4"/>
  <c r="T122" i="4" s="1" a="1"/>
  <c r="T122" i="4" s="1"/>
  <c r="AA122" i="4" s="1"/>
  <c r="F123" i="4"/>
  <c r="L123" i="4"/>
  <c r="N123" i="4" s="1"/>
  <c r="M123" i="4"/>
  <c r="S123" i="4"/>
  <c r="T123" i="4" s="1" a="1"/>
  <c r="T123" i="4" s="1"/>
  <c r="AA123" i="4" s="1"/>
  <c r="F124" i="4"/>
  <c r="L124" i="4"/>
  <c r="N124" i="4" s="1"/>
  <c r="M124" i="4"/>
  <c r="S124" i="4"/>
  <c r="T124" i="4" s="1" a="1"/>
  <c r="T124" i="4" s="1"/>
  <c r="AA124" i="4" s="1"/>
  <c r="F125" i="4"/>
  <c r="L125" i="4"/>
  <c r="N125" i="4" s="1"/>
  <c r="M125" i="4"/>
  <c r="S125" i="4"/>
  <c r="T125" i="4" s="1" a="1"/>
  <c r="T125" i="4" s="1"/>
  <c r="AA125" i="4" s="1"/>
  <c r="F126" i="4"/>
  <c r="L126" i="4"/>
  <c r="N126" i="4" s="1"/>
  <c r="M126" i="4"/>
  <c r="S126" i="4"/>
  <c r="T126" i="4" s="1" a="1"/>
  <c r="T126" i="4" s="1"/>
  <c r="AA126" i="4" s="1"/>
  <c r="F127" i="4"/>
  <c r="L127" i="4"/>
  <c r="N127" i="4" s="1"/>
  <c r="M127" i="4"/>
  <c r="S127" i="4"/>
  <c r="T127" i="4" s="1" a="1"/>
  <c r="T127" i="4" s="1"/>
  <c r="AA127" i="4" s="1"/>
  <c r="F128" i="4"/>
  <c r="L128" i="4"/>
  <c r="N128" i="4" s="1"/>
  <c r="M128" i="4"/>
  <c r="S128" i="4"/>
  <c r="T128" i="4" s="1" a="1"/>
  <c r="T128" i="4" s="1"/>
  <c r="AA128" i="4" s="1"/>
  <c r="F129" i="4"/>
  <c r="L129" i="4"/>
  <c r="N129" i="4" s="1"/>
  <c r="M129" i="4"/>
  <c r="S129" i="4"/>
  <c r="T129" i="4" s="1" a="1"/>
  <c r="T129" i="4" s="1"/>
  <c r="AA129" i="4" s="1"/>
  <c r="F130" i="4"/>
  <c r="L130" i="4"/>
  <c r="N130" i="4" s="1"/>
  <c r="M130" i="4"/>
  <c r="S130" i="4"/>
  <c r="T130" i="4" s="1" a="1"/>
  <c r="T130" i="4" s="1"/>
  <c r="AA130" i="4" s="1"/>
  <c r="F131" i="4"/>
  <c r="L131" i="4"/>
  <c r="N131" i="4" s="1"/>
  <c r="M131" i="4"/>
  <c r="S131" i="4"/>
  <c r="T131" i="4" s="1" a="1"/>
  <c r="T131" i="4" s="1"/>
  <c r="AA131" i="4" s="1"/>
  <c r="F132" i="4"/>
  <c r="L132" i="4"/>
  <c r="N132" i="4" s="1"/>
  <c r="M132" i="4"/>
  <c r="S132" i="4"/>
  <c r="T132" i="4" s="1" a="1"/>
  <c r="T132" i="4" s="1"/>
  <c r="AA132" i="4" s="1"/>
  <c r="F133" i="4"/>
  <c r="L133" i="4"/>
  <c r="N133" i="4" s="1"/>
  <c r="M133" i="4"/>
  <c r="S133" i="4"/>
  <c r="T133" i="4" s="1" a="1"/>
  <c r="T133" i="4" s="1"/>
  <c r="AA133" i="4" s="1"/>
  <c r="F134" i="4"/>
  <c r="L134" i="4"/>
  <c r="N134" i="4" s="1"/>
  <c r="M134" i="4"/>
  <c r="S134" i="4"/>
  <c r="T134" i="4" s="1" a="1"/>
  <c r="T134" i="4" s="1"/>
  <c r="AA134" i="4" s="1"/>
  <c r="F135" i="4"/>
  <c r="L135" i="4"/>
  <c r="N135" i="4" s="1"/>
  <c r="M135" i="4"/>
  <c r="S135" i="4"/>
  <c r="T135" i="4" s="1" a="1"/>
  <c r="T135" i="4" s="1"/>
  <c r="AA135" i="4" s="1"/>
  <c r="F136" i="4"/>
  <c r="L136" i="4"/>
  <c r="N136" i="4" s="1"/>
  <c r="M136" i="4"/>
  <c r="S136" i="4"/>
  <c r="T136" i="4" s="1" a="1"/>
  <c r="T136" i="4" s="1"/>
  <c r="AA136" i="4" s="1"/>
  <c r="F137" i="4"/>
  <c r="L137" i="4"/>
  <c r="N137" i="4" s="1"/>
  <c r="M137" i="4"/>
  <c r="S137" i="4"/>
  <c r="T137" i="4" s="1" a="1"/>
  <c r="T137" i="4" s="1"/>
  <c r="AA137" i="4" s="1"/>
  <c r="F138" i="4"/>
  <c r="L138" i="4"/>
  <c r="N138" i="4" s="1"/>
  <c r="M138" i="4"/>
  <c r="S138" i="4"/>
  <c r="T138" i="4" s="1" a="1"/>
  <c r="T138" i="4" s="1"/>
  <c r="AA138" i="4" s="1"/>
  <c r="F139" i="4"/>
  <c r="L139" i="4"/>
  <c r="N139" i="4" s="1"/>
  <c r="M139" i="4"/>
  <c r="S139" i="4"/>
  <c r="T139" i="4" s="1" a="1"/>
  <c r="T139" i="4" s="1"/>
  <c r="AA139" i="4" s="1"/>
  <c r="F140" i="4"/>
  <c r="L140" i="4"/>
  <c r="N140" i="4" s="1"/>
  <c r="M140" i="4"/>
  <c r="S140" i="4"/>
  <c r="T140" i="4" s="1" a="1"/>
  <c r="T140" i="4" s="1"/>
  <c r="AA140" i="4" s="1"/>
  <c r="F141" i="4"/>
  <c r="L141" i="4"/>
  <c r="N141" i="4" s="1"/>
  <c r="M141" i="4"/>
  <c r="S141" i="4"/>
  <c r="T141" i="4" s="1" a="1"/>
  <c r="T141" i="4" s="1"/>
  <c r="AA141" i="4" s="1"/>
  <c r="F142" i="4"/>
  <c r="L142" i="4"/>
  <c r="N142" i="4" s="1"/>
  <c r="M142" i="4"/>
  <c r="S142" i="4"/>
  <c r="T142" i="4" s="1" a="1"/>
  <c r="T142" i="4" s="1"/>
  <c r="AA142" i="4" s="1"/>
  <c r="F143" i="4"/>
  <c r="L143" i="4"/>
  <c r="N143" i="4" s="1"/>
  <c r="M143" i="4"/>
  <c r="S143" i="4"/>
  <c r="T143" i="4" s="1" a="1"/>
  <c r="T143" i="4" s="1"/>
  <c r="AA143" i="4" s="1"/>
  <c r="F144" i="4"/>
  <c r="L144" i="4"/>
  <c r="N144" i="4" s="1"/>
  <c r="M144" i="4"/>
  <c r="S144" i="4"/>
  <c r="T144" i="4" s="1" a="1"/>
  <c r="T144" i="4" s="1"/>
  <c r="AA144" i="4" s="1"/>
  <c r="F145" i="4"/>
  <c r="L145" i="4"/>
  <c r="N145" i="4" s="1"/>
  <c r="M145" i="4"/>
  <c r="S145" i="4"/>
  <c r="T145" i="4" s="1" a="1"/>
  <c r="T145" i="4" s="1"/>
  <c r="AA145" i="4" s="1"/>
  <c r="F146" i="4"/>
  <c r="L146" i="4"/>
  <c r="N146" i="4" s="1"/>
  <c r="M146" i="4"/>
  <c r="S146" i="4"/>
  <c r="T146" i="4" s="1" a="1"/>
  <c r="T146" i="4" s="1"/>
  <c r="AA146" i="4" s="1"/>
  <c r="F147" i="4"/>
  <c r="L147" i="4"/>
  <c r="N147" i="4" s="1"/>
  <c r="M147" i="4"/>
  <c r="S147" i="4"/>
  <c r="T147" i="4" s="1" a="1"/>
  <c r="T147" i="4" s="1"/>
  <c r="AA147" i="4" s="1"/>
  <c r="F148" i="4"/>
  <c r="L148" i="4"/>
  <c r="N148" i="4" s="1"/>
  <c r="M148" i="4"/>
  <c r="S148" i="4"/>
  <c r="T148" i="4" s="1" a="1"/>
  <c r="T148" i="4" s="1"/>
  <c r="AA148" i="4" s="1"/>
  <c r="F149" i="4"/>
  <c r="L149" i="4"/>
  <c r="N149" i="4" s="1"/>
  <c r="M149" i="4"/>
  <c r="S149" i="4"/>
  <c r="T149" i="4" s="1" a="1"/>
  <c r="T149" i="4" s="1"/>
  <c r="AA149" i="4" s="1"/>
  <c r="F150" i="4"/>
  <c r="L150" i="4"/>
  <c r="N150" i="4" s="1"/>
  <c r="M150" i="4"/>
  <c r="S150" i="4"/>
  <c r="T150" i="4" s="1" a="1"/>
  <c r="T150" i="4" s="1"/>
  <c r="AA150" i="4" s="1"/>
  <c r="F151" i="4"/>
  <c r="L151" i="4"/>
  <c r="N151" i="4" s="1"/>
  <c r="M151" i="4"/>
  <c r="S151" i="4"/>
  <c r="T151" i="4" s="1" a="1"/>
  <c r="T151" i="4" s="1"/>
  <c r="AA151" i="4" s="1"/>
  <c r="F152" i="4"/>
  <c r="L152" i="4"/>
  <c r="N152" i="4" s="1"/>
  <c r="M152" i="4"/>
  <c r="S152" i="4"/>
  <c r="T152" i="4" s="1" a="1"/>
  <c r="T152" i="4" s="1"/>
  <c r="AA152" i="4" s="1"/>
  <c r="F153" i="4"/>
  <c r="L153" i="4"/>
  <c r="N153" i="4" s="1"/>
  <c r="M153" i="4"/>
  <c r="S153" i="4"/>
  <c r="T153" i="4" s="1" a="1"/>
  <c r="T153" i="4" s="1"/>
  <c r="AA153" i="4" s="1"/>
  <c r="F154" i="4"/>
  <c r="L154" i="4"/>
  <c r="N154" i="4" s="1"/>
  <c r="M154" i="4"/>
  <c r="S154" i="4"/>
  <c r="T154" i="4" s="1" a="1"/>
  <c r="T154" i="4" s="1"/>
  <c r="AA154" i="4" s="1"/>
  <c r="F155" i="4"/>
  <c r="L155" i="4"/>
  <c r="N155" i="4" s="1"/>
  <c r="M155" i="4"/>
  <c r="S155" i="4"/>
  <c r="T155" i="4" s="1" a="1"/>
  <c r="T155" i="4" s="1"/>
  <c r="AA155" i="4" s="1"/>
  <c r="F156" i="4"/>
  <c r="L156" i="4"/>
  <c r="N156" i="4" s="1"/>
  <c r="M156" i="4"/>
  <c r="S156" i="4"/>
  <c r="T156" i="4" s="1" a="1"/>
  <c r="T156" i="4" s="1"/>
  <c r="AA156" i="4" s="1"/>
  <c r="F157" i="4"/>
  <c r="L157" i="4"/>
  <c r="N157" i="4" s="1"/>
  <c r="M157" i="4"/>
  <c r="S157" i="4"/>
  <c r="T157" i="4" s="1" a="1"/>
  <c r="T157" i="4" s="1"/>
  <c r="AA157" i="4" s="1"/>
  <c r="F158" i="4"/>
  <c r="L158" i="4"/>
  <c r="N158" i="4" s="1"/>
  <c r="M158" i="4"/>
  <c r="S158" i="4"/>
  <c r="T158" i="4" s="1" a="1"/>
  <c r="T158" i="4" s="1"/>
  <c r="AA158" i="4" s="1"/>
  <c r="F159" i="4"/>
  <c r="L159" i="4"/>
  <c r="N159" i="4" s="1"/>
  <c r="M159" i="4"/>
  <c r="S159" i="4"/>
  <c r="T159" i="4" s="1" a="1"/>
  <c r="T159" i="4" s="1"/>
  <c r="AA159" i="4" s="1"/>
  <c r="F160" i="4"/>
  <c r="L160" i="4"/>
  <c r="N160" i="4" s="1"/>
  <c r="M160" i="4"/>
  <c r="S160" i="4"/>
  <c r="T160" i="4" s="1" a="1"/>
  <c r="T160" i="4" s="1"/>
  <c r="AA160" i="4" s="1"/>
  <c r="F161" i="4"/>
  <c r="L161" i="4"/>
  <c r="N161" i="4" s="1"/>
  <c r="M161" i="4"/>
  <c r="S161" i="4"/>
  <c r="T161" i="4" s="1" a="1"/>
  <c r="T161" i="4" s="1"/>
  <c r="AA161" i="4" s="1"/>
  <c r="F162" i="4"/>
  <c r="L162" i="4"/>
  <c r="N162" i="4" s="1"/>
  <c r="M162" i="4"/>
  <c r="S162" i="4"/>
  <c r="T162" i="4" s="1" a="1"/>
  <c r="T162" i="4" s="1"/>
  <c r="AA162" i="4" s="1"/>
  <c r="F163" i="4"/>
  <c r="L163" i="4"/>
  <c r="N163" i="4" s="1"/>
  <c r="M163" i="4"/>
  <c r="S163" i="4"/>
  <c r="T163" i="4" s="1" a="1"/>
  <c r="T163" i="4" s="1"/>
  <c r="AA163" i="4" s="1"/>
  <c r="F164" i="4"/>
  <c r="L164" i="4"/>
  <c r="N164" i="4" s="1"/>
  <c r="M164" i="4"/>
  <c r="S164" i="4"/>
  <c r="T164" i="4" s="1" a="1"/>
  <c r="T164" i="4" s="1"/>
  <c r="AA164" i="4" s="1"/>
  <c r="F165" i="4"/>
  <c r="L165" i="4"/>
  <c r="N165" i="4" s="1"/>
  <c r="M165" i="4"/>
  <c r="S165" i="4"/>
  <c r="T165" i="4" s="1" a="1"/>
  <c r="T165" i="4" s="1"/>
  <c r="AA165" i="4" s="1"/>
  <c r="F166" i="4"/>
  <c r="L166" i="4"/>
  <c r="N166" i="4" s="1"/>
  <c r="M166" i="4"/>
  <c r="S166" i="4"/>
  <c r="T166" i="4" s="1" a="1"/>
  <c r="T166" i="4" s="1"/>
  <c r="AA166" i="4" s="1"/>
  <c r="F167" i="4"/>
  <c r="L167" i="4"/>
  <c r="N167" i="4" s="1"/>
  <c r="M167" i="4"/>
  <c r="S167" i="4"/>
  <c r="T167" i="4" s="1" a="1"/>
  <c r="T167" i="4" s="1"/>
  <c r="AA167" i="4" s="1"/>
  <c r="F168" i="4"/>
  <c r="L168" i="4"/>
  <c r="N168" i="4" s="1"/>
  <c r="M168" i="4"/>
  <c r="S168" i="4"/>
  <c r="T168" i="4" s="1" a="1"/>
  <c r="T168" i="4" s="1"/>
  <c r="AA168" i="4" s="1"/>
  <c r="F169" i="4"/>
  <c r="L169" i="4"/>
  <c r="N169" i="4" s="1"/>
  <c r="M169" i="4"/>
  <c r="S169" i="4"/>
  <c r="T169" i="4" s="1" a="1"/>
  <c r="T169" i="4" s="1"/>
  <c r="AA169" i="4" s="1"/>
  <c r="F170" i="4"/>
  <c r="L170" i="4"/>
  <c r="N170" i="4" s="1"/>
  <c r="M170" i="4"/>
  <c r="S170" i="4"/>
  <c r="T170" i="4" s="1" a="1"/>
  <c r="T170" i="4" s="1"/>
  <c r="AA170" i="4" s="1"/>
  <c r="F171" i="4"/>
  <c r="L171" i="4"/>
  <c r="N171" i="4" s="1"/>
  <c r="M171" i="4"/>
  <c r="S171" i="4"/>
  <c r="T171" i="4" s="1" a="1"/>
  <c r="T171" i="4" s="1"/>
  <c r="AA171" i="4" s="1"/>
  <c r="F172" i="4"/>
  <c r="L172" i="4"/>
  <c r="N172" i="4" s="1"/>
  <c r="M172" i="4"/>
  <c r="S172" i="4"/>
  <c r="T172" i="4" s="1" a="1"/>
  <c r="T172" i="4" s="1"/>
  <c r="AA172" i="4" s="1"/>
  <c r="F173" i="4"/>
  <c r="L173" i="4"/>
  <c r="N173" i="4" s="1"/>
  <c r="M173" i="4"/>
  <c r="S173" i="4"/>
  <c r="T173" i="4" s="1" a="1"/>
  <c r="T173" i="4" s="1"/>
  <c r="AA173" i="4" s="1"/>
  <c r="F174" i="4"/>
  <c r="L174" i="4"/>
  <c r="N174" i="4" s="1"/>
  <c r="M174" i="4"/>
  <c r="S174" i="4"/>
  <c r="T174" i="4" s="1" a="1"/>
  <c r="T174" i="4" s="1"/>
  <c r="AA174" i="4" s="1"/>
  <c r="F175" i="4"/>
  <c r="L175" i="4"/>
  <c r="N175" i="4" s="1"/>
  <c r="M175" i="4"/>
  <c r="S175" i="4"/>
  <c r="T175" i="4" s="1" a="1"/>
  <c r="T175" i="4" s="1"/>
  <c r="AA175" i="4" s="1"/>
  <c r="F176" i="4"/>
  <c r="L176" i="4"/>
  <c r="N176" i="4" s="1"/>
  <c r="M176" i="4"/>
  <c r="S176" i="4"/>
  <c r="T176" i="4" s="1" a="1"/>
  <c r="T176" i="4" s="1"/>
  <c r="AA176" i="4" s="1"/>
  <c r="F177" i="4"/>
  <c r="L177" i="4"/>
  <c r="N177" i="4" s="1"/>
  <c r="M177" i="4"/>
  <c r="S177" i="4"/>
  <c r="T177" i="4" s="1" a="1"/>
  <c r="T177" i="4" s="1"/>
  <c r="AA177" i="4" s="1"/>
  <c r="F178" i="4"/>
  <c r="L178" i="4"/>
  <c r="N178" i="4" s="1"/>
  <c r="M178" i="4"/>
  <c r="S178" i="4"/>
  <c r="T178" i="4" s="1" a="1"/>
  <c r="T178" i="4" s="1"/>
  <c r="AA178" i="4" s="1"/>
  <c r="F179" i="4"/>
  <c r="L179" i="4"/>
  <c r="N179" i="4" s="1"/>
  <c r="M179" i="4"/>
  <c r="S179" i="4"/>
  <c r="T179" i="4" s="1" a="1"/>
  <c r="T179" i="4" s="1"/>
  <c r="AA179" i="4" s="1"/>
  <c r="F180" i="4"/>
  <c r="L180" i="4"/>
  <c r="N180" i="4" s="1"/>
  <c r="M180" i="4"/>
  <c r="S180" i="4"/>
  <c r="T180" i="4" s="1" a="1"/>
  <c r="T180" i="4" s="1"/>
  <c r="AA180" i="4" s="1"/>
  <c r="F181" i="4"/>
  <c r="L181" i="4"/>
  <c r="N181" i="4" s="1"/>
  <c r="M181" i="4"/>
  <c r="S181" i="4"/>
  <c r="T181" i="4" s="1" a="1"/>
  <c r="T181" i="4" s="1"/>
  <c r="AA181" i="4" s="1"/>
  <c r="F182" i="4"/>
  <c r="L182" i="4"/>
  <c r="N182" i="4" s="1"/>
  <c r="M182" i="4"/>
  <c r="S182" i="4"/>
  <c r="T182" i="4" s="1" a="1"/>
  <c r="T182" i="4" s="1"/>
  <c r="AA182" i="4" s="1"/>
  <c r="F183" i="4"/>
  <c r="L183" i="4"/>
  <c r="N183" i="4" s="1"/>
  <c r="M183" i="4"/>
  <c r="S183" i="4"/>
  <c r="T183" i="4" s="1" a="1"/>
  <c r="T183" i="4" s="1"/>
  <c r="AA183" i="4" s="1"/>
  <c r="F184" i="4"/>
  <c r="L184" i="4"/>
  <c r="N184" i="4" s="1"/>
  <c r="M184" i="4"/>
  <c r="S184" i="4"/>
  <c r="T184" i="4" s="1" a="1"/>
  <c r="T184" i="4" s="1"/>
  <c r="AA184" i="4" s="1"/>
  <c r="F185" i="4"/>
  <c r="L185" i="4"/>
  <c r="N185" i="4" s="1"/>
  <c r="M185" i="4"/>
  <c r="S185" i="4"/>
  <c r="T185" i="4" s="1" a="1"/>
  <c r="T185" i="4" s="1"/>
  <c r="AA185" i="4" s="1"/>
  <c r="F186" i="4"/>
  <c r="L186" i="4"/>
  <c r="N186" i="4" s="1"/>
  <c r="M186" i="4"/>
  <c r="S186" i="4"/>
  <c r="T186" i="4" s="1" a="1"/>
  <c r="T186" i="4" s="1"/>
  <c r="AA186" i="4" s="1"/>
  <c r="F187" i="4"/>
  <c r="L187" i="4"/>
  <c r="N187" i="4" s="1"/>
  <c r="M187" i="4"/>
  <c r="S187" i="4"/>
  <c r="T187" i="4" s="1" a="1"/>
  <c r="T187" i="4" s="1"/>
  <c r="AA187" i="4" s="1"/>
  <c r="F188" i="4"/>
  <c r="L188" i="4"/>
  <c r="N188" i="4" s="1"/>
  <c r="M188" i="4"/>
  <c r="S188" i="4"/>
  <c r="T188" i="4" s="1" a="1"/>
  <c r="T188" i="4" s="1"/>
  <c r="AA188" i="4" s="1"/>
  <c r="F189" i="4"/>
  <c r="L189" i="4"/>
  <c r="N189" i="4" s="1"/>
  <c r="M189" i="4"/>
  <c r="S189" i="4"/>
  <c r="T189" i="4" s="1" a="1"/>
  <c r="T189" i="4" s="1"/>
  <c r="AA189" i="4" s="1"/>
  <c r="F190" i="4"/>
  <c r="L190" i="4"/>
  <c r="N190" i="4" s="1"/>
  <c r="M190" i="4"/>
  <c r="S190" i="4"/>
  <c r="T190" i="4" s="1" a="1"/>
  <c r="T190" i="4" s="1"/>
  <c r="AA190" i="4" s="1"/>
  <c r="F191" i="4"/>
  <c r="L191" i="4"/>
  <c r="N191" i="4" s="1"/>
  <c r="M191" i="4"/>
  <c r="S191" i="4"/>
  <c r="T191" i="4" s="1" a="1"/>
  <c r="T191" i="4" s="1"/>
  <c r="AA191" i="4" s="1"/>
  <c r="F192" i="4"/>
  <c r="L192" i="4"/>
  <c r="N192" i="4" s="1"/>
  <c r="M192" i="4"/>
  <c r="S192" i="4"/>
  <c r="T192" i="4" s="1" a="1"/>
  <c r="T192" i="4" s="1"/>
  <c r="AA192" i="4" s="1"/>
  <c r="F193" i="4"/>
  <c r="L193" i="4"/>
  <c r="N193" i="4" s="1"/>
  <c r="M193" i="4"/>
  <c r="S193" i="4"/>
  <c r="T193" i="4" s="1" a="1"/>
  <c r="T193" i="4" s="1"/>
  <c r="AA193" i="4" s="1"/>
  <c r="F194" i="4"/>
  <c r="L194" i="4"/>
  <c r="N194" i="4" s="1"/>
  <c r="M194" i="4"/>
  <c r="S194" i="4"/>
  <c r="T194" i="4" s="1" a="1"/>
  <c r="T194" i="4" s="1"/>
  <c r="AA194" i="4" s="1"/>
  <c r="F195" i="4"/>
  <c r="L195" i="4"/>
  <c r="N195" i="4" s="1"/>
  <c r="M195" i="4"/>
  <c r="S195" i="4"/>
  <c r="T195" i="4" s="1" a="1"/>
  <c r="T195" i="4" s="1"/>
  <c r="AA195" i="4" s="1"/>
  <c r="F196" i="4"/>
  <c r="L196" i="4"/>
  <c r="N196" i="4" s="1"/>
  <c r="M196" i="4"/>
  <c r="S196" i="4"/>
  <c r="T196" i="4" s="1" a="1"/>
  <c r="T196" i="4" s="1"/>
  <c r="AA196" i="4" s="1"/>
  <c r="F197" i="4"/>
  <c r="L197" i="4"/>
  <c r="N197" i="4" s="1"/>
  <c r="M197" i="4"/>
  <c r="S197" i="4"/>
  <c r="T197" i="4" s="1" a="1"/>
  <c r="T197" i="4" s="1"/>
  <c r="AA197" i="4" s="1"/>
  <c r="F198" i="4"/>
  <c r="L198" i="4"/>
  <c r="N198" i="4" s="1"/>
  <c r="M198" i="4"/>
  <c r="S198" i="4"/>
  <c r="T198" i="4" s="1" a="1"/>
  <c r="T198" i="4" s="1"/>
  <c r="AA198" i="4" s="1"/>
  <c r="F199" i="4"/>
  <c r="L199" i="4"/>
  <c r="N199" i="4" s="1"/>
  <c r="M199" i="4"/>
  <c r="S199" i="4"/>
  <c r="T199" i="4" s="1" a="1"/>
  <c r="T199" i="4" s="1"/>
  <c r="AA199" i="4" s="1"/>
  <c r="F200" i="4"/>
  <c r="L200" i="4"/>
  <c r="N200" i="4" s="1"/>
  <c r="M200" i="4"/>
  <c r="S200" i="4"/>
  <c r="T200" i="4" s="1" a="1"/>
  <c r="T200" i="4" s="1"/>
  <c r="AA200" i="4" s="1"/>
  <c r="F201" i="4"/>
  <c r="L201" i="4"/>
  <c r="N201" i="4" s="1"/>
  <c r="M201" i="4"/>
  <c r="S201" i="4"/>
  <c r="T201" i="4" s="1" a="1"/>
  <c r="T201" i="4" s="1"/>
  <c r="AA201" i="4" s="1"/>
  <c r="F202" i="4"/>
  <c r="L202" i="4"/>
  <c r="N202" i="4" s="1"/>
  <c r="M202" i="4"/>
  <c r="S202" i="4"/>
  <c r="T202" i="4" s="1" a="1"/>
  <c r="T202" i="4" s="1"/>
  <c r="AA202" i="4" s="1"/>
  <c r="F203" i="4"/>
  <c r="L203" i="4"/>
  <c r="N203" i="4" s="1"/>
  <c r="M203" i="4"/>
  <c r="S203" i="4"/>
  <c r="T203" i="4" s="1" a="1"/>
  <c r="T203" i="4" s="1"/>
  <c r="AA203" i="4" s="1"/>
  <c r="F204" i="4"/>
  <c r="L204" i="4"/>
  <c r="N204" i="4" s="1"/>
  <c r="M204" i="4"/>
  <c r="S204" i="4"/>
  <c r="T204" i="4" s="1" a="1"/>
  <c r="T204" i="4" s="1"/>
  <c r="AA204" i="4" s="1"/>
  <c r="F205" i="4"/>
  <c r="L205" i="4"/>
  <c r="N205" i="4" s="1"/>
  <c r="M205" i="4"/>
  <c r="S205" i="4"/>
  <c r="T205" i="4" s="1" a="1"/>
  <c r="T205" i="4" s="1"/>
  <c r="AA205" i="4" s="1"/>
  <c r="F206" i="4"/>
  <c r="L206" i="4"/>
  <c r="N206" i="4" s="1"/>
  <c r="M206" i="4"/>
  <c r="S206" i="4"/>
  <c r="T206" i="4" s="1" a="1"/>
  <c r="T206" i="4" s="1"/>
  <c r="AA206" i="4" s="1"/>
  <c r="F207" i="4"/>
  <c r="L207" i="4"/>
  <c r="N207" i="4" s="1"/>
  <c r="M207" i="4"/>
  <c r="S207" i="4"/>
  <c r="T207" i="4" s="1" a="1"/>
  <c r="T207" i="4" s="1"/>
  <c r="AA207" i="4" s="1"/>
  <c r="F208" i="4"/>
  <c r="L208" i="4"/>
  <c r="N208" i="4" s="1"/>
  <c r="M208" i="4"/>
  <c r="S208" i="4"/>
  <c r="T208" i="4" s="1" a="1"/>
  <c r="T208" i="4" s="1"/>
  <c r="AA208" i="4" s="1"/>
  <c r="F209" i="4"/>
  <c r="L209" i="4"/>
  <c r="N209" i="4" s="1"/>
  <c r="M209" i="4"/>
  <c r="S209" i="4"/>
  <c r="T209" i="4" s="1" a="1"/>
  <c r="T209" i="4" s="1"/>
  <c r="AA209" i="4" s="1"/>
  <c r="F210" i="4"/>
  <c r="L210" i="4"/>
  <c r="N210" i="4" s="1"/>
  <c r="M210" i="4"/>
  <c r="S210" i="4"/>
  <c r="T210" i="4" s="1" a="1"/>
  <c r="T210" i="4" s="1"/>
  <c r="AA210" i="4" s="1"/>
  <c r="F211" i="4"/>
  <c r="L211" i="4"/>
  <c r="N211" i="4" s="1"/>
  <c r="M211" i="4"/>
  <c r="S211" i="4"/>
  <c r="T211" i="4" s="1" a="1"/>
  <c r="T211" i="4" s="1"/>
  <c r="AA211" i="4" s="1"/>
  <c r="F212" i="4"/>
  <c r="L212" i="4"/>
  <c r="N212" i="4" s="1"/>
  <c r="M212" i="4"/>
  <c r="S212" i="4"/>
  <c r="T212" i="4" s="1" a="1"/>
  <c r="T212" i="4" s="1"/>
  <c r="AA212" i="4" s="1"/>
  <c r="F213" i="4"/>
  <c r="L213" i="4"/>
  <c r="N213" i="4" s="1"/>
  <c r="M213" i="4"/>
  <c r="S213" i="4"/>
  <c r="T213" i="4" s="1" a="1"/>
  <c r="T213" i="4" s="1"/>
  <c r="AA213" i="4" s="1"/>
  <c r="F214" i="4"/>
  <c r="L214" i="4"/>
  <c r="N214" i="4" s="1"/>
  <c r="M214" i="4"/>
  <c r="S214" i="4"/>
  <c r="T214" i="4" s="1" a="1"/>
  <c r="T214" i="4" s="1"/>
  <c r="AA214" i="4" s="1"/>
  <c r="F215" i="4"/>
  <c r="L215" i="4"/>
  <c r="N215" i="4" s="1"/>
  <c r="M215" i="4"/>
  <c r="S215" i="4"/>
  <c r="T215" i="4" s="1" a="1"/>
  <c r="T215" i="4" s="1"/>
  <c r="AA215" i="4" s="1"/>
  <c r="F216" i="4"/>
  <c r="L216" i="4"/>
  <c r="N216" i="4" s="1"/>
  <c r="M216" i="4"/>
  <c r="S216" i="4"/>
  <c r="T216" i="4" s="1" a="1"/>
  <c r="T216" i="4" s="1"/>
  <c r="AA216" i="4" s="1"/>
  <c r="F217" i="4"/>
  <c r="L217" i="4"/>
  <c r="N217" i="4" s="1"/>
  <c r="M217" i="4"/>
  <c r="S217" i="4"/>
  <c r="T217" i="4" s="1" a="1"/>
  <c r="T217" i="4" s="1"/>
  <c r="AA217" i="4" s="1"/>
  <c r="F218" i="4"/>
  <c r="L218" i="4"/>
  <c r="N218" i="4" s="1"/>
  <c r="M218" i="4"/>
  <c r="S218" i="4"/>
  <c r="T218" i="4" s="1" a="1"/>
  <c r="T218" i="4" s="1"/>
  <c r="AA218" i="4" s="1"/>
  <c r="F219" i="4"/>
  <c r="L219" i="4"/>
  <c r="N219" i="4" s="1"/>
  <c r="M219" i="4"/>
  <c r="S219" i="4"/>
  <c r="T219" i="4" s="1" a="1"/>
  <c r="T219" i="4" s="1"/>
  <c r="AA219" i="4" s="1"/>
  <c r="F220" i="4"/>
  <c r="L220" i="4"/>
  <c r="N220" i="4" s="1"/>
  <c r="M220" i="4"/>
  <c r="S220" i="4"/>
  <c r="T220" i="4" s="1" a="1"/>
  <c r="T220" i="4" s="1"/>
  <c r="AA220" i="4" s="1"/>
  <c r="F221" i="4"/>
  <c r="L221" i="4"/>
  <c r="N221" i="4" s="1"/>
  <c r="M221" i="4"/>
  <c r="S221" i="4"/>
  <c r="T221" i="4" s="1" a="1"/>
  <c r="T221" i="4" s="1"/>
  <c r="AA221" i="4" s="1"/>
  <c r="F222" i="4"/>
  <c r="L222" i="4"/>
  <c r="N222" i="4" s="1"/>
  <c r="M222" i="4"/>
  <c r="S222" i="4"/>
  <c r="T222" i="4" s="1" a="1"/>
  <c r="T222" i="4" s="1"/>
  <c r="AA222" i="4" s="1"/>
  <c r="F223" i="4"/>
  <c r="L223" i="4"/>
  <c r="N223" i="4" s="1"/>
  <c r="M223" i="4"/>
  <c r="S223" i="4"/>
  <c r="T223" i="4" s="1" a="1"/>
  <c r="T223" i="4" s="1"/>
  <c r="AA223" i="4" s="1"/>
  <c r="F224" i="4"/>
  <c r="L224" i="4"/>
  <c r="N224" i="4" s="1"/>
  <c r="M224" i="4"/>
  <c r="S224" i="4"/>
  <c r="T224" i="4" s="1" a="1"/>
  <c r="T224" i="4" s="1"/>
  <c r="AA224" i="4" s="1"/>
  <c r="F225" i="4"/>
  <c r="L225" i="4"/>
  <c r="N225" i="4" s="1"/>
  <c r="M225" i="4"/>
  <c r="S225" i="4"/>
  <c r="T225" i="4" s="1" a="1"/>
  <c r="T225" i="4" s="1"/>
  <c r="AA225" i="4" s="1"/>
  <c r="F226" i="4"/>
  <c r="L226" i="4"/>
  <c r="N226" i="4" s="1"/>
  <c r="M226" i="4"/>
  <c r="S226" i="4"/>
  <c r="T226" i="4" s="1" a="1"/>
  <c r="T226" i="4" s="1"/>
  <c r="AA226" i="4" s="1"/>
  <c r="F227" i="4"/>
  <c r="L227" i="4"/>
  <c r="N227" i="4" s="1"/>
  <c r="M227" i="4"/>
  <c r="S227" i="4"/>
  <c r="T227" i="4" s="1" a="1"/>
  <c r="T227" i="4" s="1"/>
  <c r="AA227" i="4" s="1"/>
  <c r="F228" i="4"/>
  <c r="L228" i="4"/>
  <c r="N228" i="4" s="1"/>
  <c r="M228" i="4"/>
  <c r="S228" i="4"/>
  <c r="T228" i="4" s="1" a="1"/>
  <c r="T228" i="4" s="1"/>
  <c r="AA228" i="4" s="1"/>
  <c r="F229" i="4"/>
  <c r="L229" i="4"/>
  <c r="N229" i="4" s="1"/>
  <c r="M229" i="4"/>
  <c r="S229" i="4"/>
  <c r="T229" i="4" s="1" a="1"/>
  <c r="T229" i="4" s="1"/>
  <c r="AA229" i="4" s="1"/>
  <c r="F230" i="4"/>
  <c r="L230" i="4"/>
  <c r="N230" i="4" s="1"/>
  <c r="M230" i="4"/>
  <c r="S230" i="4"/>
  <c r="T230" i="4" s="1" a="1"/>
  <c r="T230" i="4" s="1"/>
  <c r="AA230" i="4" s="1"/>
  <c r="F231" i="4"/>
  <c r="L231" i="4"/>
  <c r="N231" i="4" s="1"/>
  <c r="M231" i="4"/>
  <c r="S231" i="4"/>
  <c r="T231" i="4" s="1" a="1"/>
  <c r="T231" i="4" s="1"/>
  <c r="AA231" i="4" s="1"/>
  <c r="F232" i="4"/>
  <c r="L232" i="4"/>
  <c r="N232" i="4" s="1"/>
  <c r="M232" i="4"/>
  <c r="S232" i="4"/>
  <c r="T232" i="4" s="1" a="1"/>
  <c r="T232" i="4" s="1"/>
  <c r="AA232" i="4" s="1"/>
  <c r="F233" i="4"/>
  <c r="L233" i="4"/>
  <c r="N233" i="4" s="1"/>
  <c r="M233" i="4"/>
  <c r="S233" i="4"/>
  <c r="T233" i="4" s="1" a="1"/>
  <c r="T233" i="4" s="1"/>
  <c r="AA233" i="4" s="1"/>
  <c r="F234" i="4"/>
  <c r="L234" i="4"/>
  <c r="N234" i="4" s="1"/>
  <c r="M234" i="4"/>
  <c r="S234" i="4"/>
  <c r="T234" i="4" s="1" a="1"/>
  <c r="T234" i="4" s="1"/>
  <c r="AA234" i="4" s="1"/>
  <c r="F235" i="4"/>
  <c r="L235" i="4"/>
  <c r="N235" i="4" s="1"/>
  <c r="M235" i="4"/>
  <c r="S235" i="4"/>
  <c r="T235" i="4" s="1" a="1"/>
  <c r="T235" i="4" s="1"/>
  <c r="AA235" i="4" s="1"/>
  <c r="F236" i="4"/>
  <c r="L236" i="4"/>
  <c r="N236" i="4" s="1"/>
  <c r="M236" i="4"/>
  <c r="S236" i="4"/>
  <c r="T236" i="4" s="1" a="1"/>
  <c r="T236" i="4" s="1"/>
  <c r="AA236" i="4" s="1"/>
  <c r="F237" i="4"/>
  <c r="L237" i="4"/>
  <c r="N237" i="4" s="1"/>
  <c r="M237" i="4"/>
  <c r="S237" i="4"/>
  <c r="T237" i="4" s="1" a="1"/>
  <c r="T237" i="4" s="1"/>
  <c r="AA237" i="4" s="1"/>
  <c r="F238" i="4"/>
  <c r="L238" i="4"/>
  <c r="N238" i="4" s="1"/>
  <c r="M238" i="4"/>
  <c r="S238" i="4"/>
  <c r="T238" i="4" s="1" a="1"/>
  <c r="T238" i="4" s="1"/>
  <c r="AA238" i="4" s="1"/>
  <c r="F239" i="4"/>
  <c r="L239" i="4"/>
  <c r="N239" i="4" s="1"/>
  <c r="M239" i="4"/>
  <c r="S239" i="4"/>
  <c r="T239" i="4" s="1" a="1"/>
  <c r="T239" i="4" s="1"/>
  <c r="AA239" i="4" s="1"/>
  <c r="F240" i="4"/>
  <c r="L240" i="4"/>
  <c r="N240" i="4" s="1"/>
  <c r="M240" i="4"/>
  <c r="S240" i="4"/>
  <c r="T240" i="4" s="1" a="1"/>
  <c r="T240" i="4" s="1"/>
  <c r="AA240" i="4" s="1"/>
  <c r="F241" i="4"/>
  <c r="L241" i="4"/>
  <c r="N241" i="4" s="1"/>
  <c r="M241" i="4"/>
  <c r="S241" i="4"/>
  <c r="T241" i="4" s="1" a="1"/>
  <c r="T241" i="4" s="1"/>
  <c r="AA241" i="4" s="1"/>
  <c r="F242" i="4"/>
  <c r="L242" i="4"/>
  <c r="N242" i="4" s="1"/>
  <c r="M242" i="4"/>
  <c r="S242" i="4"/>
  <c r="T242" i="4" s="1" a="1"/>
  <c r="T242" i="4" s="1"/>
  <c r="AA242" i="4" s="1"/>
  <c r="F243" i="4"/>
  <c r="L243" i="4"/>
  <c r="N243" i="4" s="1"/>
  <c r="M243" i="4"/>
  <c r="S243" i="4"/>
  <c r="T243" i="4" s="1" a="1"/>
  <c r="T243" i="4" s="1"/>
  <c r="AA243" i="4" s="1"/>
  <c r="F244" i="4"/>
  <c r="L244" i="4"/>
  <c r="N244" i="4" s="1"/>
  <c r="M244" i="4"/>
  <c r="S244" i="4"/>
  <c r="T244" i="4" s="1" a="1"/>
  <c r="T244" i="4" s="1"/>
  <c r="AA244" i="4" s="1"/>
  <c r="F245" i="4"/>
  <c r="L245" i="4"/>
  <c r="N245" i="4" s="1"/>
  <c r="M245" i="4"/>
  <c r="S245" i="4"/>
  <c r="T245" i="4" s="1" a="1"/>
  <c r="T245" i="4" s="1"/>
  <c r="AA245" i="4" s="1"/>
  <c r="F246" i="4"/>
  <c r="L246" i="4"/>
  <c r="N246" i="4" s="1"/>
  <c r="M246" i="4"/>
  <c r="S246" i="4"/>
  <c r="T246" i="4" s="1" a="1"/>
  <c r="T246" i="4" s="1"/>
  <c r="AA246" i="4" s="1"/>
  <c r="F247" i="4"/>
  <c r="L247" i="4"/>
  <c r="N247" i="4" s="1"/>
  <c r="M247" i="4"/>
  <c r="S247" i="4"/>
  <c r="T247" i="4" s="1" a="1"/>
  <c r="T247" i="4" s="1"/>
  <c r="AA247" i="4" s="1"/>
  <c r="F248" i="4"/>
  <c r="L248" i="4"/>
  <c r="N248" i="4" s="1"/>
  <c r="M248" i="4"/>
  <c r="S248" i="4"/>
  <c r="T248" i="4" s="1" a="1"/>
  <c r="T248" i="4" s="1"/>
  <c r="AA248" i="4" s="1"/>
  <c r="F249" i="4"/>
  <c r="L249" i="4"/>
  <c r="N249" i="4" s="1"/>
  <c r="M249" i="4"/>
  <c r="S249" i="4"/>
  <c r="T249" i="4" s="1" a="1"/>
  <c r="T249" i="4" s="1"/>
  <c r="AA249" i="4" s="1"/>
  <c r="F250" i="4"/>
  <c r="L250" i="4"/>
  <c r="N250" i="4" s="1"/>
  <c r="M250" i="4"/>
  <c r="S250" i="4"/>
  <c r="T250" i="4" s="1" a="1"/>
  <c r="T250" i="4" s="1"/>
  <c r="AA250" i="4" s="1"/>
  <c r="F251" i="4"/>
  <c r="L251" i="4"/>
  <c r="N251" i="4" s="1"/>
  <c r="M251" i="4"/>
  <c r="S251" i="4"/>
  <c r="T251" i="4" s="1" a="1"/>
  <c r="T251" i="4" s="1"/>
  <c r="AA251" i="4" s="1"/>
  <c r="U251" i="4" a="1"/>
  <c r="U251" i="4" s="1"/>
  <c r="F252" i="4"/>
  <c r="L252" i="4"/>
  <c r="N252" i="4" s="1"/>
  <c r="M252" i="4"/>
  <c r="S252" i="4"/>
  <c r="T252" i="4" s="1" a="1"/>
  <c r="T252" i="4" s="1"/>
  <c r="AA252" i="4" s="1"/>
  <c r="U252" i="4" a="1"/>
  <c r="U252" i="4" s="1"/>
  <c r="L253" i="4"/>
  <c r="N253" i="4" s="1"/>
  <c r="M253" i="4"/>
  <c r="L254" i="4"/>
  <c r="N254" i="4" s="1"/>
  <c r="M254" i="4"/>
  <c r="A1" i="10" a="1"/>
  <c r="A1" i="10" s="1"/>
  <c r="F253" i="4"/>
  <c r="F254" i="4"/>
  <c r="S253" i="4"/>
  <c r="T253" i="4" s="1" a="1"/>
  <c r="T253" i="4" s="1"/>
  <c r="AA253" i="4" s="1"/>
  <c r="S254" i="4"/>
  <c r="T254" i="4" s="1" a="1"/>
  <c r="T254" i="4" s="1"/>
  <c r="AA254" i="4" s="1"/>
  <c r="S255" i="4"/>
  <c r="T255" i="4" s="1" a="1"/>
  <c r="T255" i="4" s="1"/>
  <c r="AA255" i="4" s="1"/>
  <c r="S256" i="4"/>
  <c r="T256" i="4" s="1" a="1"/>
  <c r="T256" i="4" s="1"/>
  <c r="AA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6" i="3" s="1"/>
  <c r="A26" i="6" s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1" i="3" s="1"/>
  <c r="A31" i="6" s="1"/>
  <c r="A32" i="3" a="1"/>
  <c r="A32" i="3" s="1"/>
  <c r="A32" i="6" s="1"/>
  <c r="A33" i="3" a="1"/>
  <c r="A33" i="3" s="1"/>
  <c r="A33" i="6" s="1"/>
  <c r="A34" i="3" a="1"/>
  <c r="A34" i="3" s="1"/>
  <c r="A34" i="6" s="1"/>
  <c r="A2" i="3" a="1"/>
  <c r="C2" i="6" s="1"/>
  <c r="Q26" i="3"/>
  <c r="Q27" i="3"/>
  <c r="Q28" i="3"/>
  <c r="Q29" i="3"/>
  <c r="Q30" i="3"/>
  <c r="Q31" i="3"/>
  <c r="Q32" i="3"/>
  <c r="Q33" i="3"/>
  <c r="Q34" i="3"/>
  <c r="A22" i="3" l="1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C22" i="6"/>
  <c r="C15" i="6"/>
  <c r="Q25" i="6"/>
  <c r="L25" i="6"/>
  <c r="P24" i="6"/>
  <c r="K24" i="6"/>
  <c r="O23" i="6"/>
  <c r="G22" i="6"/>
  <c r="N21" i="6" a="1"/>
  <c r="N21" i="6" s="1"/>
  <c r="R20" i="6"/>
  <c r="M20" i="6" a="1"/>
  <c r="M20" i="6" s="1"/>
  <c r="Q19" i="6"/>
  <c r="L19" i="6"/>
  <c r="P18" i="6"/>
  <c r="K18" i="6"/>
  <c r="O17" i="6"/>
  <c r="G16" i="6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E5" i="1"/>
  <c r="B20" i="6"/>
  <c r="B13" i="6"/>
  <c r="C21" i="6"/>
  <c r="C14" i="6"/>
  <c r="P25" i="6"/>
  <c r="K25" i="6"/>
  <c r="O24" i="6"/>
  <c r="G23" i="6"/>
  <c r="N22" i="6" a="1"/>
  <c r="N22" i="6" s="1"/>
  <c r="R21" i="6"/>
  <c r="M21" i="6" a="1"/>
  <c r="M21" i="6" s="1"/>
  <c r="Q20" i="6"/>
  <c r="L20" i="6"/>
  <c r="P19" i="6"/>
  <c r="K19" i="6"/>
  <c r="O18" i="6"/>
  <c r="G17" i="6"/>
  <c r="N16" i="6" a="1"/>
  <c r="N16" i="6" s="1"/>
  <c r="R15" i="6"/>
  <c r="M15" i="6" a="1"/>
  <c r="M15" i="6" s="1"/>
  <c r="Q14" i="6"/>
  <c r="AB14" i="6" s="1"/>
  <c r="L14" i="6"/>
  <c r="P13" i="6"/>
  <c r="K13" i="6"/>
  <c r="O12" i="6"/>
  <c r="G11" i="6"/>
  <c r="M10" i="6" a="1"/>
  <c r="M10" i="6" s="1"/>
  <c r="B25" i="6"/>
  <c r="B18" i="6"/>
  <c r="B12" i="6"/>
  <c r="C20" i="6"/>
  <c r="C13" i="6"/>
  <c r="O25" i="6"/>
  <c r="G24" i="6"/>
  <c r="N23" i="6" a="1"/>
  <c r="N23" i="6" s="1"/>
  <c r="R22" i="6"/>
  <c r="M22" i="6" a="1"/>
  <c r="M22" i="6" s="1"/>
  <c r="Q21" i="6"/>
  <c r="AB21" i="6" s="1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N11" i="6" a="1"/>
  <c r="N11" i="6" s="1"/>
  <c r="R10" i="6"/>
  <c r="L10" i="6"/>
  <c r="B24" i="6"/>
  <c r="B17" i="6"/>
  <c r="B11" i="6"/>
  <c r="C25" i="6"/>
  <c r="C18" i="6"/>
  <c r="C12" i="6"/>
  <c r="G25" i="6"/>
  <c r="H25" i="6" s="1"/>
  <c r="N24" i="6" a="1"/>
  <c r="N24" i="6" s="1"/>
  <c r="R23" i="6"/>
  <c r="M23" i="6" a="1"/>
  <c r="M23" i="6" s="1"/>
  <c r="Q22" i="6"/>
  <c r="AB22" i="6" s="1"/>
  <c r="L22" i="6"/>
  <c r="P21" i="6"/>
  <c r="K21" i="6"/>
  <c r="O20" i="6"/>
  <c r="G19" i="6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N12" i="6" a="1"/>
  <c r="N12" i="6" s="1"/>
  <c r="R11" i="6"/>
  <c r="M11" i="6" a="1"/>
  <c r="M11" i="6" s="1"/>
  <c r="Q10" i="6"/>
  <c r="AB10" i="6" s="1"/>
  <c r="K10" i="6"/>
  <c r="E62" i="1"/>
  <c r="E56" i="1"/>
  <c r="E50" i="1"/>
  <c r="E44" i="1"/>
  <c r="E32" i="1"/>
  <c r="E26" i="1"/>
  <c r="E20" i="1"/>
  <c r="E14" i="1"/>
  <c r="E8" i="1"/>
  <c r="B23" i="6"/>
  <c r="B16" i="6"/>
  <c r="B10" i="6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N19" i="6" a="1"/>
  <c r="N19" i="6" s="1"/>
  <c r="R18" i="6"/>
  <c r="M18" i="6" a="1"/>
  <c r="M18" i="6" s="1"/>
  <c r="Q17" i="6"/>
  <c r="AB17" i="6" s="1"/>
  <c r="L17" i="6"/>
  <c r="P16" i="6"/>
  <c r="K16" i="6"/>
  <c r="O15" i="6"/>
  <c r="G14" i="6"/>
  <c r="N13" i="6" a="1"/>
  <c r="N13" i="6" s="1"/>
  <c r="R12" i="6"/>
  <c r="M12" i="6" a="1"/>
  <c r="M12" i="6" s="1"/>
  <c r="Q11" i="6"/>
  <c r="AB11" i="6" s="1"/>
  <c r="L11" i="6"/>
  <c r="P10" i="6"/>
  <c r="Q15" i="3"/>
  <c r="Q21" i="3"/>
  <c r="Q14" i="3"/>
  <c r="B22" i="6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N14" i="6" a="1"/>
  <c r="N14" i="6" s="1"/>
  <c r="R13" i="6"/>
  <c r="M13" i="6" a="1"/>
  <c r="M13" i="6" s="1"/>
  <c r="Q12" i="6"/>
  <c r="L12" i="6"/>
  <c r="P11" i="6"/>
  <c r="K11" i="6"/>
  <c r="O10" i="6"/>
  <c r="G10" i="6"/>
  <c r="H24" i="6"/>
  <c r="I24" i="6"/>
  <c r="H23" i="6"/>
  <c r="I23" i="6"/>
  <c r="H22" i="6"/>
  <c r="I22" i="6"/>
  <c r="H21" i="6"/>
  <c r="H20" i="6"/>
  <c r="I20" i="6"/>
  <c r="H19" i="6"/>
  <c r="I19" i="6"/>
  <c r="I18" i="6"/>
  <c r="H17" i="6"/>
  <c r="I17" i="6"/>
  <c r="H16" i="6"/>
  <c r="I16" i="6"/>
  <c r="H15" i="6"/>
  <c r="I15" i="6"/>
  <c r="H14" i="6"/>
  <c r="I14" i="6"/>
  <c r="J10" i="6"/>
  <c r="I13" i="6"/>
  <c r="I12" i="6"/>
  <c r="I11" i="6"/>
  <c r="C19" i="6"/>
  <c r="B19" i="6"/>
  <c r="F19" i="6" s="1"/>
  <c r="Q19" i="3"/>
  <c r="E30" i="1"/>
  <c r="E24" i="1"/>
  <c r="E18" i="1"/>
  <c r="E12" i="1"/>
  <c r="E6" i="1"/>
  <c r="E145" i="1"/>
  <c r="E139" i="1"/>
  <c r="E127" i="1"/>
  <c r="E121" i="1"/>
  <c r="E109" i="1"/>
  <c r="E103" i="1"/>
  <c r="E91" i="1"/>
  <c r="E85" i="1"/>
  <c r="E73" i="1"/>
  <c r="E67" i="1"/>
  <c r="E61" i="1"/>
  <c r="E55" i="1"/>
  <c r="E49" i="1"/>
  <c r="E43" i="1"/>
  <c r="E31" i="1"/>
  <c r="E19" i="1"/>
  <c r="E7" i="1"/>
  <c r="E66" i="1"/>
  <c r="E60" i="1"/>
  <c r="E54" i="1"/>
  <c r="E48" i="1"/>
  <c r="E42" i="1"/>
  <c r="E25" i="1"/>
  <c r="E13" i="1"/>
  <c r="E148" i="1"/>
  <c r="E142" i="1"/>
  <c r="E136" i="1"/>
  <c r="E130" i="1"/>
  <c r="E118" i="1"/>
  <c r="E112" i="1"/>
  <c r="E106" i="1"/>
  <c r="E100" i="1"/>
  <c r="E94" i="1"/>
  <c r="E88" i="1"/>
  <c r="E82" i="1"/>
  <c r="E76" i="1"/>
  <c r="E70" i="1"/>
  <c r="E64" i="1"/>
  <c r="E58" i="1"/>
  <c r="E52" i="1"/>
  <c r="E46" i="1"/>
  <c r="E40" i="1"/>
  <c r="E34" i="1"/>
  <c r="E28" i="1"/>
  <c r="E22" i="1"/>
  <c r="E16" i="1"/>
  <c r="E10" i="1"/>
  <c r="E4" i="1"/>
  <c r="E23" i="1"/>
  <c r="E124" i="1"/>
  <c r="E63" i="1"/>
  <c r="E57" i="1"/>
  <c r="E51" i="1"/>
  <c r="E45" i="1"/>
  <c r="E39" i="1"/>
  <c r="E33" i="1"/>
  <c r="E27" i="1"/>
  <c r="E21" i="1"/>
  <c r="E15" i="1"/>
  <c r="E9" i="1"/>
  <c r="E3" i="1"/>
  <c r="E115" i="1"/>
  <c r="E65" i="1"/>
  <c r="E47" i="1"/>
  <c r="E147" i="1"/>
  <c r="E141" i="1"/>
  <c r="E135" i="1"/>
  <c r="E129" i="1"/>
  <c r="E123" i="1"/>
  <c r="E117" i="1"/>
  <c r="E111" i="1"/>
  <c r="E105" i="1"/>
  <c r="E99" i="1"/>
  <c r="E93" i="1"/>
  <c r="E87" i="1"/>
  <c r="E81" i="1"/>
  <c r="E75" i="1"/>
  <c r="E69" i="1"/>
  <c r="E133" i="1"/>
  <c r="E79" i="1"/>
  <c r="E53" i="1"/>
  <c r="E35" i="1"/>
  <c r="E11" i="1"/>
  <c r="E140" i="1"/>
  <c r="E134" i="1"/>
  <c r="E128" i="1"/>
  <c r="E122" i="1"/>
  <c r="E116" i="1"/>
  <c r="E110" i="1"/>
  <c r="E104" i="1"/>
  <c r="E98" i="1"/>
  <c r="E92" i="1"/>
  <c r="E86" i="1"/>
  <c r="E80" i="1"/>
  <c r="E74" i="1"/>
  <c r="E68" i="1"/>
  <c r="E97" i="1"/>
  <c r="E59" i="1"/>
  <c r="E41" i="1"/>
  <c r="E17" i="1"/>
  <c r="E146" i="1"/>
  <c r="E38" i="1"/>
  <c r="E29" i="1"/>
  <c r="E144" i="1"/>
  <c r="E138" i="1"/>
  <c r="E132" i="1"/>
  <c r="E126" i="1"/>
  <c r="E120" i="1"/>
  <c r="E114" i="1"/>
  <c r="E108" i="1"/>
  <c r="E102" i="1"/>
  <c r="E96" i="1"/>
  <c r="E90" i="1"/>
  <c r="E84" i="1"/>
  <c r="E78" i="1"/>
  <c r="E72" i="1"/>
  <c r="E37" i="1"/>
  <c r="E149" i="1"/>
  <c r="E143" i="1"/>
  <c r="E137" i="1"/>
  <c r="E131" i="1"/>
  <c r="E125" i="1"/>
  <c r="E119" i="1"/>
  <c r="E113" i="1"/>
  <c r="E107" i="1"/>
  <c r="E101" i="1"/>
  <c r="E95" i="1"/>
  <c r="E89" i="1"/>
  <c r="E83" i="1"/>
  <c r="E77" i="1"/>
  <c r="E71" i="1"/>
  <c r="E36" i="1"/>
  <c r="F32" i="6"/>
  <c r="F811" i="6"/>
  <c r="F793" i="6"/>
  <c r="F739" i="6"/>
  <c r="F775" i="6"/>
  <c r="F757" i="6"/>
  <c r="F703" i="6"/>
  <c r="F631" i="6"/>
  <c r="F577" i="6"/>
  <c r="F326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308" i="6"/>
  <c r="F147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380" i="6"/>
  <c r="F290" i="6"/>
  <c r="F111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375" i="6"/>
  <c r="F272" i="6"/>
  <c r="F80" i="6"/>
  <c r="F721" i="6"/>
  <c r="F649" i="6"/>
  <c r="F595" i="6"/>
  <c r="F503" i="6"/>
  <c r="F18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362" i="6"/>
  <c r="F254" i="6"/>
  <c r="F44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344" i="6"/>
  <c r="F219" i="6"/>
  <c r="F8" i="6"/>
  <c r="F321" i="6"/>
  <c r="F267" i="6"/>
  <c r="F177" i="6"/>
  <c r="F38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74" i="6"/>
  <c r="F356" i="6"/>
  <c r="F338" i="6"/>
  <c r="F320" i="6"/>
  <c r="F302" i="6"/>
  <c r="F284" i="6"/>
  <c r="F266" i="6"/>
  <c r="F243" i="6"/>
  <c r="F207" i="6"/>
  <c r="F171" i="6"/>
  <c r="F135" i="6"/>
  <c r="F99" i="6"/>
  <c r="F68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262" i="6"/>
  <c r="F268" i="6"/>
  <c r="F274" i="6"/>
  <c r="F280" i="6"/>
  <c r="F286" i="6"/>
  <c r="F292" i="6"/>
  <c r="F298" i="6"/>
  <c r="F304" i="6"/>
  <c r="F310" i="6"/>
  <c r="F316" i="6"/>
  <c r="F322" i="6"/>
  <c r="F328" i="6"/>
  <c r="F334" i="6"/>
  <c r="F340" i="6"/>
  <c r="F346" i="6"/>
  <c r="F352" i="6"/>
  <c r="F358" i="6"/>
  <c r="F364" i="6"/>
  <c r="F370" i="6"/>
  <c r="F376" i="6"/>
  <c r="F382" i="6"/>
  <c r="F388" i="6"/>
  <c r="F394" i="6"/>
  <c r="F400" i="6"/>
  <c r="F406" i="6"/>
  <c r="F412" i="6"/>
  <c r="F418" i="6"/>
  <c r="F424" i="6"/>
  <c r="F430" i="6"/>
  <c r="F436" i="6"/>
  <c r="F442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263" i="6"/>
  <c r="F269" i="6"/>
  <c r="F275" i="6"/>
  <c r="F281" i="6"/>
  <c r="F287" i="6"/>
  <c r="F293" i="6"/>
  <c r="F299" i="6"/>
  <c r="F305" i="6"/>
  <c r="F311" i="6"/>
  <c r="F317" i="6"/>
  <c r="F323" i="6"/>
  <c r="F329" i="6"/>
  <c r="F335" i="6"/>
  <c r="F341" i="6"/>
  <c r="F347" i="6"/>
  <c r="F353" i="6"/>
  <c r="F359" i="6"/>
  <c r="F365" i="6"/>
  <c r="F371" i="6"/>
  <c r="F377" i="6"/>
  <c r="F383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0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258" i="6"/>
  <c r="F264" i="6"/>
  <c r="F270" i="6"/>
  <c r="F276" i="6"/>
  <c r="F282" i="6"/>
  <c r="F288" i="6"/>
  <c r="F294" i="6"/>
  <c r="F300" i="6"/>
  <c r="F306" i="6"/>
  <c r="F312" i="6"/>
  <c r="F318" i="6"/>
  <c r="F324" i="6"/>
  <c r="F330" i="6"/>
  <c r="F336" i="6"/>
  <c r="F342" i="6"/>
  <c r="F348" i="6"/>
  <c r="F354" i="6"/>
  <c r="F360" i="6"/>
  <c r="F366" i="6"/>
  <c r="F372" i="6"/>
  <c r="F378" i="6"/>
  <c r="F384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12" i="6"/>
  <c r="F18" i="6"/>
  <c r="F24" i="6"/>
  <c r="F30" i="6"/>
  <c r="F36" i="6"/>
  <c r="F42" i="6"/>
  <c r="F48" i="6"/>
  <c r="F54" i="6"/>
  <c r="F60" i="6"/>
  <c r="F66" i="6"/>
  <c r="F72" i="6"/>
  <c r="F78" i="6"/>
  <c r="F84" i="6"/>
  <c r="F90" i="6"/>
  <c r="F96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59" i="6"/>
  <c r="F265" i="6"/>
  <c r="F271" i="6"/>
  <c r="F277" i="6"/>
  <c r="F283" i="6"/>
  <c r="F289" i="6"/>
  <c r="F295" i="6"/>
  <c r="F301" i="6"/>
  <c r="F307" i="6"/>
  <c r="F313" i="6"/>
  <c r="F319" i="6"/>
  <c r="F325" i="6"/>
  <c r="F331" i="6"/>
  <c r="F337" i="6"/>
  <c r="F343" i="6"/>
  <c r="F349" i="6"/>
  <c r="F355" i="6"/>
  <c r="F361" i="6"/>
  <c r="F367" i="6"/>
  <c r="F373" i="6"/>
  <c r="F379" i="6"/>
  <c r="F385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387" i="6"/>
  <c r="F369" i="6"/>
  <c r="F351" i="6"/>
  <c r="F333" i="6"/>
  <c r="F315" i="6"/>
  <c r="F297" i="6"/>
  <c r="F279" i="6"/>
  <c r="F261" i="6"/>
  <c r="F237" i="6"/>
  <c r="F201" i="6"/>
  <c r="F165" i="6"/>
  <c r="F129" i="6"/>
  <c r="F62" i="6"/>
  <c r="F26" i="6"/>
  <c r="F459" i="6"/>
  <c r="F429" i="6"/>
  <c r="F393" i="6"/>
  <c r="F339" i="6"/>
  <c r="F303" i="6"/>
  <c r="F213" i="6"/>
  <c r="F105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386" i="6"/>
  <c r="F368" i="6"/>
  <c r="F350" i="6"/>
  <c r="F332" i="6"/>
  <c r="F314" i="6"/>
  <c r="F296" i="6"/>
  <c r="F278" i="6"/>
  <c r="F260" i="6"/>
  <c r="F231" i="6"/>
  <c r="F195" i="6"/>
  <c r="F159" i="6"/>
  <c r="F123" i="6"/>
  <c r="F92" i="6"/>
  <c r="F56" i="6"/>
  <c r="F20" i="6"/>
  <c r="F447" i="6"/>
  <c r="F411" i="6"/>
  <c r="F357" i="6"/>
  <c r="F285" i="6"/>
  <c r="F249" i="6"/>
  <c r="F141" i="6"/>
  <c r="F74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F381" i="6"/>
  <c r="F363" i="6"/>
  <c r="F345" i="6"/>
  <c r="F327" i="6"/>
  <c r="F309" i="6"/>
  <c r="F291" i="6"/>
  <c r="F273" i="6"/>
  <c r="F255" i="6"/>
  <c r="F225" i="6"/>
  <c r="F189" i="6"/>
  <c r="F153" i="6"/>
  <c r="F117" i="6"/>
  <c r="F86" i="6"/>
  <c r="F50" i="6"/>
  <c r="F14" i="6"/>
  <c r="A3" i="3"/>
  <c r="A3" i="6" s="1"/>
  <c r="R3" i="6"/>
  <c r="N3" i="6" a="1"/>
  <c r="N3" i="6" s="1"/>
  <c r="K3" i="6"/>
  <c r="Q3" i="6"/>
  <c r="P3" i="6"/>
  <c r="A7" i="3"/>
  <c r="A7" i="6" s="1"/>
  <c r="Q7" i="6"/>
  <c r="AB7" i="6" s="1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AB5" i="6" s="1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Q8" i="6"/>
  <c r="AB8" i="6" s="1"/>
  <c r="P8" i="6"/>
  <c r="L8" i="6"/>
  <c r="O8" i="6"/>
  <c r="B2" i="4" a="1"/>
  <c r="Q6" i="6"/>
  <c r="AB6" i="6" s="1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E165" i="1"/>
  <c r="E159" i="1"/>
  <c r="E153" i="1"/>
  <c r="E169" i="1"/>
  <c r="E163" i="1"/>
  <c r="E157" i="1"/>
  <c r="E151" i="1"/>
  <c r="E168" i="1"/>
  <c r="E162" i="1"/>
  <c r="E156" i="1"/>
  <c r="E150" i="1"/>
  <c r="E167" i="1"/>
  <c r="E161" i="1"/>
  <c r="E155" i="1"/>
  <c r="E166" i="1"/>
  <c r="E160" i="1"/>
  <c r="E154" i="1"/>
  <c r="E164" i="1"/>
  <c r="E158" i="1"/>
  <c r="E152" i="1"/>
  <c r="AC99" i="10"/>
  <c r="AC93" i="10"/>
  <c r="AC51" i="10"/>
  <c r="AC98" i="10"/>
  <c r="AC92" i="10"/>
  <c r="AC86" i="10"/>
  <c r="AC80" i="10"/>
  <c r="AC74" i="10"/>
  <c r="AC68" i="10"/>
  <c r="AC62" i="10"/>
  <c r="AC56" i="10"/>
  <c r="AC50" i="10"/>
  <c r="AC44" i="10"/>
  <c r="AC38" i="10"/>
  <c r="AC32" i="10"/>
  <c r="AC26" i="10"/>
  <c r="AC20" i="10"/>
  <c r="AC14" i="10"/>
  <c r="AC8" i="10"/>
  <c r="AC97" i="10"/>
  <c r="AC91" i="10"/>
  <c r="AC85" i="10"/>
  <c r="AC79" i="10"/>
  <c r="AC73" i="10"/>
  <c r="AC67" i="10"/>
  <c r="AC61" i="10"/>
  <c r="AC55" i="10"/>
  <c r="AC49" i="10"/>
  <c r="AC43" i="10"/>
  <c r="AC37" i="10"/>
  <c r="AC31" i="10"/>
  <c r="AC25" i="10"/>
  <c r="AC19" i="10"/>
  <c r="AC13" i="10"/>
  <c r="AC7" i="10"/>
  <c r="AC2" i="10"/>
  <c r="AC81" i="10"/>
  <c r="AC69" i="10"/>
  <c r="AC63" i="10"/>
  <c r="AC57" i="10"/>
  <c r="AC45" i="10"/>
  <c r="AC39" i="10"/>
  <c r="AC27" i="10"/>
  <c r="AC21" i="10"/>
  <c r="AC15" i="10"/>
  <c r="AC9" i="10"/>
  <c r="AC3" i="10"/>
  <c r="AC96" i="10"/>
  <c r="AC90" i="10"/>
  <c r="AC84" i="10"/>
  <c r="AC78" i="10"/>
  <c r="AC72" i="10"/>
  <c r="AC66" i="10"/>
  <c r="AC60" i="10"/>
  <c r="AC54" i="10"/>
  <c r="AC48" i="10"/>
  <c r="AC42" i="10"/>
  <c r="AC36" i="10"/>
  <c r="AC30" i="10"/>
  <c r="AC24" i="10"/>
  <c r="AC18" i="10"/>
  <c r="AC12" i="10"/>
  <c r="AC6" i="10"/>
  <c r="AC87" i="10"/>
  <c r="AC75" i="10"/>
  <c r="AC33" i="10"/>
  <c r="AC95" i="10"/>
  <c r="AC89" i="10"/>
  <c r="AC83" i="10"/>
  <c r="AC77" i="10"/>
  <c r="AC71" i="10"/>
  <c r="AC65" i="10"/>
  <c r="AC59" i="10"/>
  <c r="AC53" i="10"/>
  <c r="AC47" i="10"/>
  <c r="AC41" i="10"/>
  <c r="AC35" i="10"/>
  <c r="AC29" i="10"/>
  <c r="AC23" i="10"/>
  <c r="AC17" i="10"/>
  <c r="AC11" i="10"/>
  <c r="AC5" i="10"/>
  <c r="AC94" i="10"/>
  <c r="AC88" i="10"/>
  <c r="AC82" i="10"/>
  <c r="AC76" i="10"/>
  <c r="AC70" i="10"/>
  <c r="AC64" i="10"/>
  <c r="AC58" i="10"/>
  <c r="AC52" i="10"/>
  <c r="AC46" i="10"/>
  <c r="AC40" i="10"/>
  <c r="AC34" i="10"/>
  <c r="AC28" i="10"/>
  <c r="AC22" i="10"/>
  <c r="AC16" i="10"/>
  <c r="AC10" i="10"/>
  <c r="AC4" i="10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AB2" i="6" s="1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X40" i="1" l="1"/>
  <c r="S23" i="6"/>
  <c r="AB23" i="6"/>
  <c r="X99" i="1"/>
  <c r="X51" i="1"/>
  <c r="X87" i="1"/>
  <c r="X45" i="1"/>
  <c r="X29" i="1"/>
  <c r="X65" i="1"/>
  <c r="X101" i="1"/>
  <c r="X137" i="1"/>
  <c r="X6" i="1"/>
  <c r="X42" i="1"/>
  <c r="X78" i="1"/>
  <c r="X114" i="1"/>
  <c r="X150" i="1"/>
  <c r="X25" i="1"/>
  <c r="X61" i="1"/>
  <c r="X133" i="1"/>
  <c r="X142" i="1"/>
  <c r="X44" i="1"/>
  <c r="X92" i="1"/>
  <c r="X21" i="1"/>
  <c r="X57" i="1"/>
  <c r="X129" i="1"/>
  <c r="X165" i="1"/>
  <c r="AB18" i="6"/>
  <c r="AB20" i="6"/>
  <c r="AB13" i="6"/>
  <c r="AB25" i="6"/>
  <c r="X69" i="1"/>
  <c r="X94" i="1"/>
  <c r="X63" i="1"/>
  <c r="X97" i="1"/>
  <c r="X35" i="1"/>
  <c r="X71" i="1"/>
  <c r="X107" i="1"/>
  <c r="X143" i="1"/>
  <c r="X12" i="1"/>
  <c r="X48" i="1"/>
  <c r="X84" i="1"/>
  <c r="X120" i="1"/>
  <c r="X156" i="1"/>
  <c r="X136" i="1"/>
  <c r="X31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AB15" i="6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AB24" i="6"/>
  <c r="AB19" i="6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55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U7" i="4" a="1"/>
  <c r="U7" i="4" s="1"/>
  <c r="U17" i="4" a="1"/>
  <c r="U17" i="4" s="1"/>
  <c r="U23" i="4" a="1"/>
  <c r="U23" i="4" s="1"/>
  <c r="U29" i="4" a="1"/>
  <c r="U29" i="4" s="1"/>
  <c r="U35" i="4" a="1"/>
  <c r="U35" i="4" s="1"/>
  <c r="U41" i="4" a="1"/>
  <c r="U41" i="4" s="1"/>
  <c r="U3" i="4" a="1"/>
  <c r="U3" i="4" s="1"/>
  <c r="U8" i="4" a="1"/>
  <c r="U8" i="4" s="1"/>
  <c r="U12" i="4" a="1"/>
  <c r="U12" i="4" s="1"/>
  <c r="U18" i="4" a="1"/>
  <c r="U18" i="4" s="1"/>
  <c r="U24" i="4" a="1"/>
  <c r="U24" i="4" s="1"/>
  <c r="U30" i="4" a="1"/>
  <c r="U30" i="4" s="1"/>
  <c r="U36" i="4" a="1"/>
  <c r="U36" i="4" s="1"/>
  <c r="U42" i="4" a="1"/>
  <c r="U42" i="4" s="1"/>
  <c r="U4" i="4" a="1"/>
  <c r="U4" i="4" s="1"/>
  <c r="U13" i="4" a="1"/>
  <c r="U13" i="4" s="1"/>
  <c r="U19" i="4" a="1"/>
  <c r="U19" i="4" s="1"/>
  <c r="U25" i="4" a="1"/>
  <c r="U25" i="4" s="1"/>
  <c r="U31" i="4" a="1"/>
  <c r="U31" i="4" s="1"/>
  <c r="U37" i="4" a="1"/>
  <c r="U37" i="4" s="1"/>
  <c r="U5" i="4" a="1"/>
  <c r="U5" i="4" s="1"/>
  <c r="U9" i="4" a="1"/>
  <c r="U9" i="4" s="1"/>
  <c r="U14" i="4" a="1"/>
  <c r="U14" i="4" s="1"/>
  <c r="U20" i="4" a="1"/>
  <c r="U20" i="4" s="1"/>
  <c r="U26" i="4" a="1"/>
  <c r="U26" i="4" s="1"/>
  <c r="U32" i="4" a="1"/>
  <c r="U32" i="4" s="1"/>
  <c r="U38" i="4" a="1"/>
  <c r="U38" i="4" s="1"/>
  <c r="U10" i="4" a="1"/>
  <c r="U10" i="4" s="1"/>
  <c r="U15" i="4" a="1"/>
  <c r="U15" i="4" s="1"/>
  <c r="U21" i="4" a="1"/>
  <c r="U21" i="4" s="1"/>
  <c r="U27" i="4" a="1"/>
  <c r="U27" i="4" s="1"/>
  <c r="U33" i="4" a="1"/>
  <c r="U33" i="4" s="1"/>
  <c r="U39" i="4" a="1"/>
  <c r="U39" i="4" s="1"/>
  <c r="L10" i="4"/>
  <c r="N10" i="4" s="1"/>
  <c r="U6" i="4" a="1"/>
  <c r="U6" i="4" s="1"/>
  <c r="U11" i="4" a="1"/>
  <c r="U11" i="4" s="1"/>
  <c r="U16" i="4" a="1"/>
  <c r="U16" i="4" s="1"/>
  <c r="U22" i="4" a="1"/>
  <c r="U22" i="4" s="1"/>
  <c r="U28" i="4" a="1"/>
  <c r="U28" i="4" s="1"/>
  <c r="U34" i="4" a="1"/>
  <c r="U34" i="4" s="1"/>
  <c r="U40" i="4" a="1"/>
  <c r="U40" i="4" s="1"/>
  <c r="L6" i="4"/>
  <c r="I8" i="6"/>
  <c r="I7" i="6"/>
  <c r="H4" i="6"/>
  <c r="S3" i="6"/>
  <c r="S8" i="6"/>
  <c r="S5" i="6"/>
  <c r="Q8" i="4" a="1"/>
  <c r="Q8" i="4" s="1"/>
  <c r="L3" i="4"/>
  <c r="N3" i="4" s="1"/>
  <c r="A4" i="4"/>
  <c r="L5" i="4"/>
  <c r="N5" i="4" s="1"/>
  <c r="M6" i="4"/>
  <c r="O6" i="4" s="1" a="1"/>
  <c r="O6" i="4" s="1"/>
  <c r="A7" i="4"/>
  <c r="S7" i="4"/>
  <c r="T7" i="4" s="1" a="1"/>
  <c r="T7" i="4" s="1"/>
  <c r="AA7" i="4" s="1"/>
  <c r="M9" i="4"/>
  <c r="O9" i="4" s="1" a="1"/>
  <c r="O9" i="4" s="1"/>
  <c r="A10" i="4"/>
  <c r="G11" i="4"/>
  <c r="H11" i="4" s="1"/>
  <c r="F11" i="4" s="1"/>
  <c r="L12" i="4"/>
  <c r="N12" i="4" s="1"/>
  <c r="Q13" i="4" a="1"/>
  <c r="Q13" i="4" s="1"/>
  <c r="Q3" i="4" a="1"/>
  <c r="Q3" i="4" s="1"/>
  <c r="Q9" i="4" a="1"/>
  <c r="Q9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S13" i="4"/>
  <c r="T13" i="4" s="1" a="1"/>
  <c r="T13" i="4" s="1"/>
  <c r="AA13" i="4" s="1"/>
  <c r="A15" i="4"/>
  <c r="S15" i="4"/>
  <c r="T15" i="4" s="1" a="1"/>
  <c r="T15" i="4" s="1"/>
  <c r="AA15" i="4" s="1"/>
  <c r="C16" i="4"/>
  <c r="D16" i="4" s="1"/>
  <c r="Q16" i="4" a="1"/>
  <c r="Q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S27" i="4"/>
  <c r="T27" i="4" s="1" a="1"/>
  <c r="T27" i="4" s="1"/>
  <c r="AA27" i="4" s="1"/>
  <c r="C28" i="4"/>
  <c r="D28" i="4" s="1"/>
  <c r="Q28" i="4" a="1"/>
  <c r="Q28" i="4" s="1"/>
  <c r="Q4" i="4" a="1"/>
  <c r="Q4" i="4" s="1"/>
  <c r="Q10" i="4" a="1"/>
  <c r="Q10" i="4" s="1"/>
  <c r="S3" i="4"/>
  <c r="T3" i="4" s="1" a="1"/>
  <c r="T3" i="4" s="1"/>
  <c r="G4" i="4"/>
  <c r="H4" i="4" s="1"/>
  <c r="F4" i="4" s="1"/>
  <c r="C6" i="4"/>
  <c r="D6" i="4" s="1"/>
  <c r="S6" i="4"/>
  <c r="T6" i="4" s="1" a="1"/>
  <c r="T6" i="4" s="1"/>
  <c r="G7" i="4"/>
  <c r="H7" i="4" s="1"/>
  <c r="F7" i="4" s="1"/>
  <c r="L8" i="4"/>
  <c r="N8" i="4" s="1"/>
  <c r="A9" i="4"/>
  <c r="S9" i="4"/>
  <c r="T9" i="4" s="1" a="1"/>
  <c r="T9" i="4" s="1"/>
  <c r="AA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Q14" i="4" a="1"/>
  <c r="Q14" i="4" s="1"/>
  <c r="Q5" i="4" a="1"/>
  <c r="Q5" i="4" s="1"/>
  <c r="A3" i="4"/>
  <c r="L4" i="4"/>
  <c r="N4" i="4" s="1"/>
  <c r="A5" i="4"/>
  <c r="S5" i="4"/>
  <c r="T5" i="4" s="1" a="1"/>
  <c r="T5" i="4" s="1"/>
  <c r="AA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S14" i="4"/>
  <c r="T14" i="4" s="1" a="1"/>
  <c r="T14" i="4" s="1"/>
  <c r="AA14" i="4" s="1"/>
  <c r="G15" i="4"/>
  <c r="H15" i="4" s="1"/>
  <c r="F15" i="4" s="1"/>
  <c r="G16" i="4"/>
  <c r="H16" i="4" s="1"/>
  <c r="F16" i="4" s="1"/>
  <c r="S16" i="4"/>
  <c r="T16" i="4" s="1" a="1"/>
  <c r="T16" i="4" s="1"/>
  <c r="AA16" i="4" s="1"/>
  <c r="C17" i="4"/>
  <c r="D17" i="4" s="1"/>
  <c r="A18" i="4"/>
  <c r="Q18" i="4" a="1"/>
  <c r="Q18" i="4" s="1"/>
  <c r="A19" i="4"/>
  <c r="Q19" i="4" a="1"/>
  <c r="Q19" i="4" s="1"/>
  <c r="A22" i="4"/>
  <c r="S22" i="4"/>
  <c r="T22" i="4" s="1" a="1"/>
  <c r="T22" i="4" s="1"/>
  <c r="AA22" i="4" s="1"/>
  <c r="S23" i="4"/>
  <c r="T23" i="4" s="1" a="1"/>
  <c r="T23" i="4" s="1"/>
  <c r="AA23" i="4" s="1"/>
  <c r="G24" i="4"/>
  <c r="H24" i="4" s="1"/>
  <c r="F24" i="4" s="1"/>
  <c r="S24" i="4"/>
  <c r="T24" i="4" s="1" a="1"/>
  <c r="T24" i="4" s="1"/>
  <c r="AA24" i="4" s="1"/>
  <c r="C25" i="4"/>
  <c r="D25" i="4" s="1"/>
  <c r="S25" i="4"/>
  <c r="T25" i="4" s="1" a="1"/>
  <c r="T25" i="4" s="1"/>
  <c r="AA25" i="4" s="1"/>
  <c r="S26" i="4"/>
  <c r="T26" i="4" s="1" a="1"/>
  <c r="T26" i="4" s="1"/>
  <c r="AA26" i="4" s="1"/>
  <c r="G27" i="4"/>
  <c r="H27" i="4" s="1"/>
  <c r="F27" i="4" s="1"/>
  <c r="G28" i="4"/>
  <c r="H28" i="4" s="1"/>
  <c r="F28" i="4" s="1"/>
  <c r="S28" i="4"/>
  <c r="T28" i="4" s="1" a="1"/>
  <c r="T28" i="4" s="1"/>
  <c r="C29" i="4"/>
  <c r="D29" i="4" s="1"/>
  <c r="A30" i="4"/>
  <c r="Q30" i="4" a="1"/>
  <c r="Q30" i="4" s="1"/>
  <c r="A31" i="4"/>
  <c r="Q31" i="4" a="1"/>
  <c r="Q31" i="4" s="1"/>
  <c r="Q6" i="4" a="1"/>
  <c r="Q6" i="4" s="1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S8" i="4"/>
  <c r="T8" i="4" s="1" a="1"/>
  <c r="T8" i="4" s="1"/>
  <c r="AA8" i="4" s="1"/>
  <c r="G9" i="4"/>
  <c r="H9" i="4" s="1"/>
  <c r="F9" i="4" s="1"/>
  <c r="M10" i="4"/>
  <c r="O10" i="4" s="1" a="1"/>
  <c r="O10" i="4" s="1"/>
  <c r="C11" i="4"/>
  <c r="D11" i="4" s="1"/>
  <c r="Q11" i="4" a="1"/>
  <c r="Q11" i="4" s="1"/>
  <c r="C12" i="4"/>
  <c r="D12" i="4" s="1"/>
  <c r="Q12" i="4" a="1"/>
  <c r="Q12" i="4" s="1"/>
  <c r="A13" i="4"/>
  <c r="L14" i="4"/>
  <c r="N14" i="4" s="1"/>
  <c r="L15" i="4"/>
  <c r="N15" i="4" s="1"/>
  <c r="Q17" i="4" a="1"/>
  <c r="Q17" i="4" s="1"/>
  <c r="C18" i="4"/>
  <c r="D18" i="4" s="1"/>
  <c r="C19" i="4"/>
  <c r="D19" i="4" s="1"/>
  <c r="A20" i="4"/>
  <c r="Q20" i="4" a="1"/>
  <c r="Q20" i="4" s="1"/>
  <c r="Q7" i="4" a="1"/>
  <c r="Q7" i="4" s="1"/>
  <c r="G3" i="4"/>
  <c r="H3" i="4" s="1"/>
  <c r="F3" i="4" s="1"/>
  <c r="S4" i="4"/>
  <c r="T4" i="4" s="1" a="1"/>
  <c r="T4" i="4" s="1"/>
  <c r="AA4" i="4" s="1"/>
  <c r="G5" i="4"/>
  <c r="H5" i="4" s="1"/>
  <c r="F5" i="4" s="1"/>
  <c r="N6" i="4"/>
  <c r="C8" i="4"/>
  <c r="D8" i="4" s="1"/>
  <c r="L9" i="4"/>
  <c r="N9" i="4" s="1"/>
  <c r="S10" i="4"/>
  <c r="T10" i="4" s="1" a="1"/>
  <c r="T10" i="4" s="1"/>
  <c r="S11" i="4"/>
  <c r="T11" i="4" s="1" a="1"/>
  <c r="T11" i="4" s="1"/>
  <c r="AA11" i="4" s="1"/>
  <c r="G12" i="4"/>
  <c r="H12" i="4" s="1"/>
  <c r="F12" i="4" s="1"/>
  <c r="S12" i="4"/>
  <c r="T12" i="4" s="1" a="1"/>
  <c r="T12" i="4" s="1"/>
  <c r="AA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S17" i="4"/>
  <c r="T17" i="4" s="1" a="1"/>
  <c r="T17" i="4" s="1"/>
  <c r="AA17" i="4" s="1"/>
  <c r="S18" i="4"/>
  <c r="T18" i="4" s="1" a="1"/>
  <c r="T18" i="4" s="1"/>
  <c r="AA18" i="4" s="1"/>
  <c r="G19" i="4"/>
  <c r="H19" i="4" s="1"/>
  <c r="F19" i="4" s="1"/>
  <c r="S19" i="4"/>
  <c r="T19" i="4" s="1" a="1"/>
  <c r="T19" i="4" s="1"/>
  <c r="AA19" i="4" s="1"/>
  <c r="C20" i="4"/>
  <c r="D20" i="4" s="1"/>
  <c r="C21" i="4"/>
  <c r="D21" i="4" s="1"/>
  <c r="S21" i="4"/>
  <c r="T21" i="4" s="1" a="1"/>
  <c r="T21" i="4" s="1"/>
  <c r="AA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S29" i="4"/>
  <c r="T29" i="4" s="1" a="1"/>
  <c r="T29" i="4" s="1"/>
  <c r="AA29" i="4" s="1"/>
  <c r="S30" i="4"/>
  <c r="T30" i="4" s="1" a="1"/>
  <c r="T30" i="4" s="1"/>
  <c r="AA30" i="4" s="1"/>
  <c r="G31" i="4"/>
  <c r="H31" i="4" s="1"/>
  <c r="F31" i="4" s="1"/>
  <c r="S31" i="4"/>
  <c r="T31" i="4" s="1" a="1"/>
  <c r="T31" i="4" s="1"/>
  <c r="AA31" i="4" s="1"/>
  <c r="C32" i="4"/>
  <c r="D32" i="4" s="1"/>
  <c r="C33" i="4"/>
  <c r="D33" i="4" s="1"/>
  <c r="S33" i="4"/>
  <c r="T33" i="4" s="1" a="1"/>
  <c r="T33" i="4" s="1"/>
  <c r="AA33" i="4" s="1"/>
  <c r="G34" i="4"/>
  <c r="H34" i="4" s="1"/>
  <c r="F34" i="4" s="1"/>
  <c r="L35" i="4"/>
  <c r="N35" i="4" s="1"/>
  <c r="M39" i="4"/>
  <c r="O39" i="4" s="1" a="1"/>
  <c r="O39" i="4" s="1"/>
  <c r="Q41" i="4" a="1"/>
  <c r="Q41" i="4" s="1"/>
  <c r="C42" i="4"/>
  <c r="D42" i="4" s="1"/>
  <c r="Q42" i="4" a="1"/>
  <c r="Q42" i="4" s="1"/>
  <c r="C14" i="4"/>
  <c r="D14" i="4" s="1"/>
  <c r="A16" i="4"/>
  <c r="G20" i="4"/>
  <c r="H20" i="4" s="1"/>
  <c r="F20" i="4" s="1"/>
  <c r="M21" i="4"/>
  <c r="O21" i="4" s="1" a="1"/>
  <c r="O21" i="4" s="1"/>
  <c r="Q22" i="4" a="1"/>
  <c r="Q22" i="4" s="1"/>
  <c r="Q23" i="4" a="1"/>
  <c r="Q23" i="4" s="1"/>
  <c r="Q24" i="4" a="1"/>
  <c r="Q24" i="4" s="1"/>
  <c r="Q25" i="4" a="1"/>
  <c r="Q25" i="4" s="1"/>
  <c r="Q26" i="4" a="1"/>
  <c r="Q26" i="4" s="1"/>
  <c r="A32" i="4"/>
  <c r="S32" i="4"/>
  <c r="T32" i="4" s="1" a="1"/>
  <c r="T32" i="4" s="1"/>
  <c r="AA32" i="4" s="1"/>
  <c r="L33" i="4"/>
  <c r="N33" i="4" s="1"/>
  <c r="S34" i="4"/>
  <c r="T34" i="4" s="1" a="1"/>
  <c r="T34" i="4" s="1"/>
  <c r="G35" i="4"/>
  <c r="H35" i="4" s="1"/>
  <c r="F35" i="4" s="1"/>
  <c r="A36" i="4"/>
  <c r="Q36" i="4" a="1"/>
  <c r="Q36" i="4" s="1"/>
  <c r="C37" i="4"/>
  <c r="D37" i="4" s="1"/>
  <c r="S37" i="4"/>
  <c r="T37" i="4" s="1" a="1"/>
  <c r="T37" i="4" s="1"/>
  <c r="AA37" i="4" s="1"/>
  <c r="G38" i="4"/>
  <c r="H38" i="4" s="1"/>
  <c r="F38" i="4" s="1"/>
  <c r="Q39" i="4" a="1"/>
  <c r="Q39" i="4" s="1"/>
  <c r="C40" i="4"/>
  <c r="D40" i="4" s="1"/>
  <c r="C41" i="4"/>
  <c r="D41" i="4" s="1"/>
  <c r="S41" i="4"/>
  <c r="T41" i="4" s="1" a="1"/>
  <c r="T41" i="4" s="1"/>
  <c r="AA41" i="4" s="1"/>
  <c r="G42" i="4"/>
  <c r="H42" i="4" s="1"/>
  <c r="F42" i="4" s="1"/>
  <c r="M17" i="4"/>
  <c r="O17" i="4" s="1" a="1"/>
  <c r="O17" i="4" s="1"/>
  <c r="M20" i="4"/>
  <c r="O20" i="4" s="1" a="1"/>
  <c r="O20" i="4" s="1"/>
  <c r="Q21" i="4" a="1"/>
  <c r="Q21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S36" i="4"/>
  <c r="T36" i="4" s="1" a="1"/>
  <c r="T36" i="4" s="1"/>
  <c r="AA36" i="4" s="1"/>
  <c r="L38" i="4"/>
  <c r="N38" i="4" s="1"/>
  <c r="A39" i="4"/>
  <c r="S39" i="4"/>
  <c r="T39" i="4" s="1" a="1"/>
  <c r="T39" i="4" s="1"/>
  <c r="AA39" i="4" s="1"/>
  <c r="S40" i="4"/>
  <c r="T40" i="4" s="1" a="1"/>
  <c r="T40" i="4" s="1"/>
  <c r="AA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S20" i="4"/>
  <c r="T20" i="4" s="1" a="1"/>
  <c r="T20" i="4" s="1"/>
  <c r="AA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Q35" i="4" a="1"/>
  <c r="Q35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Q29" i="4" a="1"/>
  <c r="Q29" i="4" s="1"/>
  <c r="L30" i="4"/>
  <c r="N30" i="4" s="1"/>
  <c r="C31" i="4"/>
  <c r="D31" i="4" s="1"/>
  <c r="M32" i="4"/>
  <c r="O32" i="4" s="1" a="1"/>
  <c r="O32" i="4" s="1"/>
  <c r="Q33" i="4" a="1"/>
  <c r="Q33" i="4" s="1"/>
  <c r="L34" i="4"/>
  <c r="N34" i="4" s="1"/>
  <c r="A35" i="4"/>
  <c r="S35" i="4"/>
  <c r="T35" i="4" s="1" a="1"/>
  <c r="T35" i="4" s="1"/>
  <c r="AA35" i="4" s="1"/>
  <c r="L36" i="4"/>
  <c r="N36" i="4" s="1"/>
  <c r="L37" i="4"/>
  <c r="N37" i="4" s="1"/>
  <c r="A38" i="4"/>
  <c r="Q38" i="4" a="1"/>
  <c r="Q38" i="4" s="1"/>
  <c r="G39" i="4"/>
  <c r="H39" i="4" s="1"/>
  <c r="F39" i="4" s="1"/>
  <c r="L40" i="4"/>
  <c r="N40" i="4" s="1"/>
  <c r="L41" i="4"/>
  <c r="N41" i="4" s="1"/>
  <c r="Q15" i="4" a="1"/>
  <c r="Q15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S38" i="4"/>
  <c r="T38" i="4" s="1" a="1"/>
  <c r="T38" i="4" s="1"/>
  <c r="AA38" i="4" s="1"/>
  <c r="L39" i="4"/>
  <c r="N39" i="4" s="1"/>
  <c r="M40" i="4"/>
  <c r="O40" i="4" s="1" a="1"/>
  <c r="O40" i="4" s="1"/>
  <c r="M41" i="4"/>
  <c r="O41" i="4" s="1" a="1"/>
  <c r="O41" i="4" s="1"/>
  <c r="A42" i="4"/>
  <c r="S42" i="4"/>
  <c r="T42" i="4" s="1" a="1"/>
  <c r="T42" i="4" s="1"/>
  <c r="AA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Q27" i="4" a="1"/>
  <c r="Q27" i="4" s="1"/>
  <c r="M28" i="4"/>
  <c r="O28" i="4" s="1" a="1"/>
  <c r="O28" i="4" s="1"/>
  <c r="M31" i="4"/>
  <c r="O31" i="4" s="1" a="1"/>
  <c r="O31" i="4" s="1"/>
  <c r="Q32" i="4" a="1"/>
  <c r="Q32" i="4" s="1"/>
  <c r="G33" i="4"/>
  <c r="H33" i="4" s="1"/>
  <c r="F33" i="4" s="1"/>
  <c r="Q34" i="4" a="1"/>
  <c r="Q34" i="4" s="1"/>
  <c r="A37" i="4"/>
  <c r="Q37" i="4" a="1"/>
  <c r="Q37" i="4" s="1"/>
  <c r="A40" i="4"/>
  <c r="Q40" i="4" a="1"/>
  <c r="Q40" i="4" s="1"/>
  <c r="A41" i="4"/>
  <c r="B2" i="4"/>
  <c r="I7" i="1"/>
  <c r="I9" i="1"/>
  <c r="I4" i="1"/>
  <c r="I17" i="1"/>
  <c r="I23" i="1"/>
  <c r="I29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22" i="1"/>
  <c r="I46" i="1"/>
  <c r="I64" i="1"/>
  <c r="I82" i="1"/>
  <c r="I100" i="1"/>
  <c r="I124" i="1"/>
  <c r="I142" i="1"/>
  <c r="I160" i="1"/>
  <c r="I12" i="1"/>
  <c r="I18" i="1"/>
  <c r="I24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25" i="1"/>
  <c r="I31" i="1"/>
  <c r="I37" i="1"/>
  <c r="I43" i="1"/>
  <c r="I49" i="1"/>
  <c r="I55" i="1"/>
  <c r="I61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28" i="1"/>
  <c r="I40" i="1"/>
  <c r="I58" i="1"/>
  <c r="I76" i="1"/>
  <c r="I94" i="1"/>
  <c r="I118" i="1"/>
  <c r="I136" i="1"/>
  <c r="I154" i="1"/>
  <c r="I14" i="1"/>
  <c r="I20" i="1"/>
  <c r="I26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21" i="1"/>
  <c r="I27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AA28" i="4" l="1"/>
  <c r="AA6" i="4"/>
  <c r="AA34" i="4"/>
  <c r="AA10" i="4"/>
  <c r="AA3" i="4"/>
  <c r="I6" i="1"/>
  <c r="I3" i="1"/>
  <c r="I10" i="1"/>
  <c r="I81" i="1"/>
  <c r="S2" i="4"/>
  <c r="T2" i="4" s="1" a="1"/>
  <c r="T2" i="4" s="1"/>
  <c r="U2" i="4" a="1"/>
  <c r="U2" i="4" s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Q2" i="4" a="1"/>
  <c r="Q2" i="4" s="1"/>
  <c r="L2" i="4"/>
  <c r="M2" i="4"/>
  <c r="O2" i="4" s="1" a="1"/>
  <c r="O2" i="4" s="1"/>
  <c r="C5" i="8"/>
  <c r="F5" i="8" s="1"/>
  <c r="D5" i="8"/>
  <c r="G5" i="8" s="1"/>
  <c r="E5" i="8"/>
  <c r="H5" i="8" s="1"/>
  <c r="C99" i="8"/>
  <c r="F99" i="8" s="1"/>
  <c r="D99" i="8"/>
  <c r="G99" i="8" s="1"/>
  <c r="E99" i="8"/>
  <c r="H99" i="8" s="1"/>
  <c r="D102" i="8"/>
  <c r="G102" i="8" s="1"/>
  <c r="C102" i="8"/>
  <c r="F102" i="8" s="1"/>
  <c r="E102" i="8"/>
  <c r="H102" i="8" s="1"/>
  <c r="C69" i="8"/>
  <c r="F69" i="8" s="1"/>
  <c r="E69" i="8"/>
  <c r="H69" i="8" s="1"/>
  <c r="D69" i="8"/>
  <c r="G69" i="8" s="1"/>
  <c r="C62" i="8"/>
  <c r="F62" i="8" s="1"/>
  <c r="D62" i="8"/>
  <c r="G62" i="8" s="1"/>
  <c r="E62" i="8"/>
  <c r="H62" i="8" s="1"/>
  <c r="D98" i="8"/>
  <c r="G98" i="8" s="1"/>
  <c r="E98" i="8"/>
  <c r="H98" i="8" s="1"/>
  <c r="C98" i="8"/>
  <c r="F98" i="8" s="1"/>
  <c r="C14" i="8"/>
  <c r="F14" i="8" s="1"/>
  <c r="D14" i="8"/>
  <c r="G14" i="8" s="1"/>
  <c r="E14" i="8"/>
  <c r="H14" i="8" s="1"/>
  <c r="D66" i="8"/>
  <c r="G66" i="8" s="1"/>
  <c r="C66" i="8"/>
  <c r="F66" i="8" s="1"/>
  <c r="E66" i="8"/>
  <c r="H66" i="8" s="1"/>
  <c r="E87" i="8"/>
  <c r="H87" i="8" s="1"/>
  <c r="C87" i="8"/>
  <c r="F87" i="8" s="1"/>
  <c r="D87" i="8"/>
  <c r="G87" i="8" s="1"/>
  <c r="E63" i="8"/>
  <c r="H63" i="8" s="1"/>
  <c r="C63" i="8"/>
  <c r="F63" i="8" s="1"/>
  <c r="D63" i="8"/>
  <c r="G63" i="8" s="1"/>
  <c r="D89" i="8"/>
  <c r="G89" i="8" s="1"/>
  <c r="E89" i="8"/>
  <c r="H89" i="8" s="1"/>
  <c r="C89" i="8"/>
  <c r="F89" i="8" s="1"/>
  <c r="C65" i="8"/>
  <c r="F65" i="8" s="1"/>
  <c r="D65" i="8"/>
  <c r="G65" i="8" s="1"/>
  <c r="E65" i="8"/>
  <c r="H65" i="8" s="1"/>
  <c r="A2" i="8"/>
  <c r="C37" i="8"/>
  <c r="F37" i="8" s="1"/>
  <c r="D37" i="8"/>
  <c r="G37" i="8" s="1"/>
  <c r="E37" i="8"/>
  <c r="H37" i="8" s="1"/>
  <c r="C28" i="8"/>
  <c r="F28" i="8" s="1"/>
  <c r="D28" i="8"/>
  <c r="G28" i="8" s="1"/>
  <c r="E28" i="8"/>
  <c r="H28" i="8" s="1"/>
  <c r="D60" i="8"/>
  <c r="G60" i="8" s="1"/>
  <c r="E60" i="8"/>
  <c r="H60" i="8" s="1"/>
  <c r="C60" i="8"/>
  <c r="F60" i="8" s="1"/>
  <c r="G2" i="4"/>
  <c r="H2" i="4" s="1"/>
  <c r="F2" i="4" s="1"/>
  <c r="D18" i="8"/>
  <c r="G18" i="8" s="1"/>
  <c r="C18" i="8"/>
  <c r="F18" i="8" s="1"/>
  <c r="E18" i="8"/>
  <c r="H18" i="8" s="1"/>
  <c r="C34" i="8"/>
  <c r="F34" i="8" s="1"/>
  <c r="D34" i="8"/>
  <c r="G34" i="8" s="1"/>
  <c r="E34" i="8"/>
  <c r="H34" i="8" s="1"/>
  <c r="C40" i="8"/>
  <c r="F40" i="8" s="1"/>
  <c r="D40" i="8"/>
  <c r="G40" i="8" s="1"/>
  <c r="E40" i="8"/>
  <c r="H40" i="8" s="1"/>
  <c r="E39" i="8"/>
  <c r="H39" i="8" s="1"/>
  <c r="C39" i="8"/>
  <c r="F39" i="8" s="1"/>
  <c r="D39" i="8"/>
  <c r="G39" i="8" s="1"/>
  <c r="C20" i="8"/>
  <c r="F20" i="8" s="1"/>
  <c r="D20" i="8"/>
  <c r="G20" i="8" s="1"/>
  <c r="E20" i="8"/>
  <c r="H20" i="8" s="1"/>
  <c r="C52" i="8"/>
  <c r="F52" i="8" s="1"/>
  <c r="D52" i="8"/>
  <c r="G52" i="8" s="1"/>
  <c r="E52" i="8"/>
  <c r="H52" i="8" s="1"/>
  <c r="D54" i="8"/>
  <c r="G54" i="8" s="1"/>
  <c r="C54" i="8"/>
  <c r="F54" i="8" s="1"/>
  <c r="E54" i="8"/>
  <c r="H54" i="8" s="1"/>
  <c r="C32" i="8"/>
  <c r="F32" i="8" s="1"/>
  <c r="D32" i="8"/>
  <c r="G32" i="8" s="1"/>
  <c r="E32" i="8"/>
  <c r="H32" i="8" s="1"/>
  <c r="C9" i="8"/>
  <c r="F9" i="8" s="1"/>
  <c r="E9" i="8"/>
  <c r="H9" i="8" s="1"/>
  <c r="D9" i="8"/>
  <c r="G9" i="8" s="1"/>
  <c r="C21" i="8"/>
  <c r="F21" i="8" s="1"/>
  <c r="E21" i="8"/>
  <c r="H21" i="8" s="1"/>
  <c r="D21" i="8"/>
  <c r="G21" i="8" s="1"/>
  <c r="D82" i="8"/>
  <c r="G82" i="8" s="1"/>
  <c r="E82" i="8"/>
  <c r="H82" i="8" s="1"/>
  <c r="C82" i="8"/>
  <c r="F82" i="8" s="1"/>
  <c r="C31" i="8"/>
  <c r="F31" i="8" s="1"/>
  <c r="D31" i="8"/>
  <c r="G31" i="8" s="1"/>
  <c r="E31" i="8"/>
  <c r="H31" i="8" s="1"/>
  <c r="C80" i="8"/>
  <c r="F80" i="8" s="1"/>
  <c r="D80" i="8"/>
  <c r="G80" i="8" s="1"/>
  <c r="E80" i="8"/>
  <c r="H80" i="8" s="1"/>
  <c r="C25" i="8"/>
  <c r="F25" i="8" s="1"/>
  <c r="D25" i="8"/>
  <c r="G25" i="8" s="1"/>
  <c r="E25" i="8"/>
  <c r="H25" i="8" s="1"/>
  <c r="C22" i="8"/>
  <c r="F22" i="8" s="1"/>
  <c r="D22" i="8"/>
  <c r="G22" i="8" s="1"/>
  <c r="E22" i="8"/>
  <c r="H22" i="8" s="1"/>
  <c r="C33" i="8"/>
  <c r="F33" i="8" s="1"/>
  <c r="E33" i="8"/>
  <c r="H33" i="8" s="1"/>
  <c r="D33" i="8"/>
  <c r="G33" i="8" s="1"/>
  <c r="D92" i="8"/>
  <c r="G92" i="8" s="1"/>
  <c r="C92" i="8"/>
  <c r="F92" i="8" s="1"/>
  <c r="E92" i="8"/>
  <c r="H92" i="8" s="1"/>
  <c r="C45" i="8"/>
  <c r="F45" i="8" s="1"/>
  <c r="E45" i="8"/>
  <c r="H45" i="8" s="1"/>
  <c r="D45" i="8"/>
  <c r="G45" i="8" s="1"/>
  <c r="C47" i="8"/>
  <c r="F47" i="8" s="1"/>
  <c r="D47" i="8"/>
  <c r="G47" i="8" s="1"/>
  <c r="E47" i="8"/>
  <c r="H47" i="8" s="1"/>
  <c r="C29" i="8"/>
  <c r="F29" i="8" s="1"/>
  <c r="D29" i="8"/>
  <c r="G29" i="8" s="1"/>
  <c r="E29" i="8"/>
  <c r="H29" i="8" s="1"/>
  <c r="E3" i="8"/>
  <c r="H3" i="8" s="1"/>
  <c r="C3" i="8"/>
  <c r="F3" i="8" s="1"/>
  <c r="D3" i="8"/>
  <c r="G3" i="8" s="1"/>
  <c r="C70" i="8"/>
  <c r="F70" i="8" s="1"/>
  <c r="D70" i="8"/>
  <c r="G70" i="8" s="1"/>
  <c r="E70" i="8"/>
  <c r="H70" i="8" s="1"/>
  <c r="E74" i="8"/>
  <c r="H74" i="8" s="1"/>
  <c r="D74" i="8"/>
  <c r="G74" i="8" s="1"/>
  <c r="C74" i="8"/>
  <c r="F74" i="8" s="1"/>
  <c r="C91" i="8"/>
  <c r="F91" i="8" s="1"/>
  <c r="D91" i="8"/>
  <c r="G91" i="8" s="1"/>
  <c r="E91" i="8"/>
  <c r="H91" i="8" s="1"/>
  <c r="C67" i="8"/>
  <c r="F67" i="8" s="1"/>
  <c r="D67" i="8"/>
  <c r="G67" i="8" s="1"/>
  <c r="E67" i="8"/>
  <c r="H67" i="8" s="1"/>
  <c r="D88" i="8"/>
  <c r="G88" i="8" s="1"/>
  <c r="C88" i="8"/>
  <c r="F88" i="8" s="1"/>
  <c r="E88" i="8"/>
  <c r="H88" i="8" s="1"/>
  <c r="C56" i="8"/>
  <c r="F56" i="8" s="1"/>
  <c r="D56" i="8"/>
  <c r="G56" i="8" s="1"/>
  <c r="E56" i="8"/>
  <c r="H56" i="8" s="1"/>
  <c r="C95" i="8"/>
  <c r="F95" i="8" s="1"/>
  <c r="D95" i="8"/>
  <c r="G95" i="8" s="1"/>
  <c r="E95" i="8"/>
  <c r="H95" i="8" s="1"/>
  <c r="C64" i="8"/>
  <c r="F64" i="8" s="1"/>
  <c r="D64" i="8"/>
  <c r="G64" i="8" s="1"/>
  <c r="E64" i="8"/>
  <c r="H64" i="8" s="1"/>
  <c r="D24" i="8"/>
  <c r="G24" i="8" s="1"/>
  <c r="E24" i="8"/>
  <c r="H24" i="8" s="1"/>
  <c r="C24" i="8"/>
  <c r="F24" i="8" s="1"/>
  <c r="C84" i="8"/>
  <c r="F84" i="8" s="1"/>
  <c r="D84" i="8"/>
  <c r="G84" i="8" s="1"/>
  <c r="E84" i="8"/>
  <c r="H84" i="8" s="1"/>
  <c r="D30" i="8"/>
  <c r="G30" i="8" s="1"/>
  <c r="C30" i="8"/>
  <c r="F30" i="8" s="1"/>
  <c r="E30" i="8"/>
  <c r="H30" i="8" s="1"/>
  <c r="C44" i="8"/>
  <c r="F44" i="8" s="1"/>
  <c r="D44" i="8"/>
  <c r="G44" i="8" s="1"/>
  <c r="E44" i="8"/>
  <c r="H44" i="8" s="1"/>
  <c r="C26" i="8"/>
  <c r="F26" i="8" s="1"/>
  <c r="D26" i="8"/>
  <c r="G26" i="8" s="1"/>
  <c r="E26" i="8"/>
  <c r="H26" i="8" s="1"/>
  <c r="D96" i="8"/>
  <c r="G96" i="8" s="1"/>
  <c r="E96" i="8"/>
  <c r="H96" i="8" s="1"/>
  <c r="C96" i="8"/>
  <c r="F96" i="8" s="1"/>
  <c r="C46" i="8"/>
  <c r="F46" i="8" s="1"/>
  <c r="D46" i="8"/>
  <c r="G46" i="8" s="1"/>
  <c r="E46" i="8"/>
  <c r="H46" i="8" s="1"/>
  <c r="C17" i="8"/>
  <c r="F17" i="8" s="1"/>
  <c r="D17" i="8"/>
  <c r="G17" i="8" s="1"/>
  <c r="E17" i="8"/>
  <c r="H17" i="8" s="1"/>
  <c r="D72" i="8"/>
  <c r="G72" i="8" s="1"/>
  <c r="E72" i="8"/>
  <c r="H72" i="8" s="1"/>
  <c r="C72" i="8"/>
  <c r="F72" i="8" s="1"/>
  <c r="D48" i="8"/>
  <c r="G48" i="8" s="1"/>
  <c r="E48" i="8"/>
  <c r="H48" i="8" s="1"/>
  <c r="C48" i="8"/>
  <c r="F48" i="8" s="1"/>
  <c r="C11" i="8"/>
  <c r="F11" i="8" s="1"/>
  <c r="D11" i="8"/>
  <c r="G11" i="8" s="1"/>
  <c r="E11" i="8"/>
  <c r="H11" i="8" s="1"/>
  <c r="C76" i="8"/>
  <c r="F76" i="8" s="1"/>
  <c r="D76" i="8"/>
  <c r="G76" i="8" s="1"/>
  <c r="E76" i="8"/>
  <c r="H76" i="8" s="1"/>
  <c r="C16" i="8"/>
  <c r="F16" i="8" s="1"/>
  <c r="D16" i="8"/>
  <c r="G16" i="8" s="1"/>
  <c r="E16" i="8"/>
  <c r="H16" i="8" s="1"/>
  <c r="C41" i="8"/>
  <c r="F41" i="8" s="1"/>
  <c r="D41" i="8"/>
  <c r="G41" i="8" s="1"/>
  <c r="E41" i="8"/>
  <c r="H41" i="8" s="1"/>
  <c r="C23" i="8"/>
  <c r="F23" i="8" s="1"/>
  <c r="D23" i="8"/>
  <c r="G23" i="8" s="1"/>
  <c r="E23" i="8"/>
  <c r="H23" i="8" s="1"/>
  <c r="D42" i="8"/>
  <c r="G42" i="8" s="1"/>
  <c r="C42" i="8"/>
  <c r="F42" i="8" s="1"/>
  <c r="E42" i="8"/>
  <c r="H42" i="8" s="1"/>
  <c r="C8" i="8"/>
  <c r="F8" i="8" s="1"/>
  <c r="D8" i="8"/>
  <c r="G8" i="8" s="1"/>
  <c r="E8" i="8"/>
  <c r="H8" i="8" s="1"/>
  <c r="C58" i="8"/>
  <c r="F58" i="8" s="1"/>
  <c r="D58" i="8"/>
  <c r="G58" i="8" s="1"/>
  <c r="E58" i="8"/>
  <c r="H58" i="8" s="1"/>
  <c r="D83" i="8"/>
  <c r="G83" i="8" s="1"/>
  <c r="C83" i="8"/>
  <c r="F83" i="8" s="1"/>
  <c r="E83" i="8"/>
  <c r="H83" i="8" s="1"/>
  <c r="C59" i="8"/>
  <c r="F59" i="8" s="1"/>
  <c r="D59" i="8"/>
  <c r="G59" i="8" s="1"/>
  <c r="E59" i="8"/>
  <c r="H59" i="8" s="1"/>
  <c r="C13" i="8"/>
  <c r="F13" i="8" s="1"/>
  <c r="D13" i="8"/>
  <c r="G13" i="8" s="1"/>
  <c r="E13" i="8"/>
  <c r="H13" i="8" s="1"/>
  <c r="D85" i="8"/>
  <c r="G85" i="8" s="1"/>
  <c r="E85" i="8"/>
  <c r="H85" i="8" s="1"/>
  <c r="C85" i="8"/>
  <c r="F85" i="8" s="1"/>
  <c r="C61" i="8"/>
  <c r="F61" i="8" s="1"/>
  <c r="D61" i="8"/>
  <c r="G61" i="8" s="1"/>
  <c r="E61" i="8"/>
  <c r="H61" i="8" s="1"/>
  <c r="C101" i="8"/>
  <c r="F101" i="8" s="1"/>
  <c r="D101" i="8"/>
  <c r="G101" i="8" s="1"/>
  <c r="E101" i="8"/>
  <c r="H101" i="8" s="1"/>
  <c r="D12" i="8"/>
  <c r="G12" i="8" s="1"/>
  <c r="E12" i="8"/>
  <c r="H12" i="8" s="1"/>
  <c r="C12" i="8"/>
  <c r="F12" i="8" s="1"/>
  <c r="D6" i="8"/>
  <c r="G6" i="8" s="1"/>
  <c r="C6" i="8"/>
  <c r="F6" i="8" s="1"/>
  <c r="E6" i="8"/>
  <c r="H6" i="8" s="1"/>
  <c r="D86" i="8"/>
  <c r="G86" i="8" s="1"/>
  <c r="E86" i="8"/>
  <c r="H86" i="8" s="1"/>
  <c r="C86" i="8"/>
  <c r="F86" i="8" s="1"/>
  <c r="C68" i="8"/>
  <c r="F68" i="8" s="1"/>
  <c r="D68" i="8"/>
  <c r="G68" i="8" s="1"/>
  <c r="E68" i="8"/>
  <c r="H68" i="8" s="1"/>
  <c r="C93" i="8"/>
  <c r="F93" i="8" s="1"/>
  <c r="D93" i="8"/>
  <c r="G93" i="8" s="1"/>
  <c r="E93" i="8"/>
  <c r="H93" i="8" s="1"/>
  <c r="C38" i="8"/>
  <c r="F38" i="8" s="1"/>
  <c r="D38" i="8"/>
  <c r="G38" i="8" s="1"/>
  <c r="E38" i="8"/>
  <c r="H38" i="8" s="1"/>
  <c r="C19" i="8"/>
  <c r="F19" i="8" s="1"/>
  <c r="D19" i="8"/>
  <c r="G19" i="8" s="1"/>
  <c r="E19" i="8"/>
  <c r="H19" i="8" s="1"/>
  <c r="D36" i="8"/>
  <c r="G36" i="8" s="1"/>
  <c r="E36" i="8"/>
  <c r="H36" i="8" s="1"/>
  <c r="C36" i="8"/>
  <c r="F36" i="8" s="1"/>
  <c r="D97" i="8"/>
  <c r="G97" i="8" s="1"/>
  <c r="E97" i="8"/>
  <c r="H97" i="8" s="1"/>
  <c r="C97" i="8"/>
  <c r="F97" i="8" s="1"/>
  <c r="C50" i="8"/>
  <c r="F50" i="8" s="1"/>
  <c r="D50" i="8"/>
  <c r="G50" i="8" s="1"/>
  <c r="E50" i="8"/>
  <c r="H50" i="8" s="1"/>
  <c r="C79" i="8"/>
  <c r="F79" i="8" s="1"/>
  <c r="D79" i="8"/>
  <c r="G79" i="8" s="1"/>
  <c r="E79" i="8"/>
  <c r="H79" i="8" s="1"/>
  <c r="C55" i="8"/>
  <c r="F55" i="8" s="1"/>
  <c r="D55" i="8"/>
  <c r="G55" i="8" s="1"/>
  <c r="E55" i="8"/>
  <c r="H55" i="8" s="1"/>
  <c r="C10" i="8"/>
  <c r="F10" i="8" s="1"/>
  <c r="D10" i="8"/>
  <c r="G10" i="8" s="1"/>
  <c r="E10" i="8"/>
  <c r="H10" i="8" s="1"/>
  <c r="D81" i="8"/>
  <c r="G81" i="8" s="1"/>
  <c r="C81" i="8"/>
  <c r="F81" i="8" s="1"/>
  <c r="E81" i="8"/>
  <c r="H81" i="8" s="1"/>
  <c r="C57" i="8"/>
  <c r="F57" i="8" s="1"/>
  <c r="E57" i="8"/>
  <c r="H57" i="8" s="1"/>
  <c r="D57" i="8"/>
  <c r="G57" i="8" s="1"/>
  <c r="D94" i="8"/>
  <c r="G94" i="8" s="1"/>
  <c r="E94" i="8"/>
  <c r="H94" i="8" s="1"/>
  <c r="C94" i="8"/>
  <c r="F94" i="8" s="1"/>
  <c r="E78" i="8"/>
  <c r="H78" i="8" s="1"/>
  <c r="C78" i="8"/>
  <c r="F78" i="8" s="1"/>
  <c r="D78" i="8"/>
  <c r="G78" i="8" s="1"/>
  <c r="C35" i="8"/>
  <c r="F35" i="8" s="1"/>
  <c r="D35" i="8"/>
  <c r="G35" i="8" s="1"/>
  <c r="E35" i="8"/>
  <c r="H35" i="8" s="1"/>
  <c r="E15" i="8"/>
  <c r="H15" i="8" s="1"/>
  <c r="C15" i="8"/>
  <c r="F15" i="8" s="1"/>
  <c r="D15" i="8"/>
  <c r="G15" i="8" s="1"/>
  <c r="E27" i="8"/>
  <c r="H27" i="8" s="1"/>
  <c r="C27" i="8"/>
  <c r="F27" i="8" s="1"/>
  <c r="D27" i="8"/>
  <c r="G27" i="8" s="1"/>
  <c r="D90" i="8"/>
  <c r="G90" i="8" s="1"/>
  <c r="E90" i="8"/>
  <c r="H90" i="8" s="1"/>
  <c r="C90" i="8"/>
  <c r="F90" i="8" s="1"/>
  <c r="D104" i="8"/>
  <c r="G104" i="8" s="1"/>
  <c r="E104" i="8"/>
  <c r="H104" i="8" s="1"/>
  <c r="C104" i="8"/>
  <c r="F104" i="8" s="1"/>
  <c r="C75" i="8"/>
  <c r="F75" i="8" s="1"/>
  <c r="D75" i="8"/>
  <c r="G75" i="8" s="1"/>
  <c r="E75" i="8"/>
  <c r="H75" i="8" s="1"/>
  <c r="E51" i="8"/>
  <c r="H51" i="8" s="1"/>
  <c r="C51" i="8"/>
  <c r="F51" i="8" s="1"/>
  <c r="D51" i="8"/>
  <c r="G51" i="8" s="1"/>
  <c r="C7" i="8"/>
  <c r="F7" i="8" s="1"/>
  <c r="D7" i="8"/>
  <c r="G7" i="8" s="1"/>
  <c r="E7" i="8"/>
  <c r="H7" i="8" s="1"/>
  <c r="C77" i="8"/>
  <c r="F77" i="8" s="1"/>
  <c r="D77" i="8"/>
  <c r="G77" i="8" s="1"/>
  <c r="E77" i="8"/>
  <c r="H77" i="8" s="1"/>
  <c r="C53" i="8"/>
  <c r="F53" i="8" s="1"/>
  <c r="D53" i="8"/>
  <c r="G53" i="8" s="1"/>
  <c r="E53" i="8"/>
  <c r="H53" i="8" s="1"/>
  <c r="C43" i="8"/>
  <c r="F43" i="8" s="1"/>
  <c r="D43" i="8"/>
  <c r="G43" i="8" s="1"/>
  <c r="E43" i="8"/>
  <c r="H43" i="8" s="1"/>
  <c r="D100" i="8"/>
  <c r="G100" i="8" s="1"/>
  <c r="C100" i="8"/>
  <c r="F100" i="8" s="1"/>
  <c r="E100" i="8"/>
  <c r="H100" i="8" s="1"/>
  <c r="C71" i="8"/>
  <c r="F71" i="8" s="1"/>
  <c r="D71" i="8"/>
  <c r="G71" i="8" s="1"/>
  <c r="E71" i="8"/>
  <c r="H71" i="8" s="1"/>
  <c r="D103" i="8"/>
  <c r="G103" i="8" s="1"/>
  <c r="C103" i="8"/>
  <c r="F103" i="8" s="1"/>
  <c r="E103" i="8"/>
  <c r="H103" i="8" s="1"/>
  <c r="C4" i="8"/>
  <c r="F4" i="8" s="1"/>
  <c r="D4" i="8"/>
  <c r="G4" i="8" s="1"/>
  <c r="E4" i="8"/>
  <c r="H4" i="8" s="1"/>
  <c r="C73" i="8"/>
  <c r="F73" i="8" s="1"/>
  <c r="D73" i="8"/>
  <c r="G73" i="8" s="1"/>
  <c r="E73" i="8"/>
  <c r="H73" i="8" s="1"/>
  <c r="C49" i="8"/>
  <c r="F49" i="8" s="1"/>
  <c r="D49" i="8"/>
  <c r="G49" i="8" s="1"/>
  <c r="E49" i="8"/>
  <c r="H49" i="8" s="1"/>
  <c r="C2" i="4"/>
  <c r="D2" i="4" s="1"/>
  <c r="A2" i="4"/>
  <c r="N2" i="4"/>
  <c r="C22" i="1" l="1" a="1"/>
  <c r="C22" i="1" s="1"/>
  <c r="O50" i="1"/>
  <c r="O86" i="1"/>
  <c r="O122" i="1"/>
  <c r="O158" i="1"/>
  <c r="O32" i="1"/>
  <c r="O116" i="1"/>
  <c r="O56" i="1"/>
  <c r="O92" i="1"/>
  <c r="O128" i="1"/>
  <c r="O164" i="1"/>
  <c r="O44" i="1"/>
  <c r="O62" i="1"/>
  <c r="O98" i="1"/>
  <c r="O134" i="1"/>
  <c r="O8" i="1"/>
  <c r="O80" i="1"/>
  <c r="O68" i="1"/>
  <c r="O104" i="1"/>
  <c r="O140" i="1"/>
  <c r="O14" i="1"/>
  <c r="O152" i="1"/>
  <c r="O38" i="1"/>
  <c r="O74" i="1"/>
  <c r="O110" i="1"/>
  <c r="O146" i="1"/>
  <c r="O20" i="1"/>
  <c r="O26" i="1"/>
  <c r="O87" i="1"/>
  <c r="O51" i="1"/>
  <c r="O15" i="1"/>
  <c r="O70" i="1"/>
  <c r="O25" i="1"/>
  <c r="O151" i="1"/>
  <c r="O115" i="1"/>
  <c r="O73" i="1"/>
  <c r="O12" i="1"/>
  <c r="O138" i="1"/>
  <c r="O102" i="1"/>
  <c r="O54" i="1"/>
  <c r="O23" i="1"/>
  <c r="O149" i="1"/>
  <c r="O113" i="1"/>
  <c r="O77" i="1"/>
  <c r="O41" i="1"/>
  <c r="O148" i="1"/>
  <c r="O112" i="1"/>
  <c r="O21" i="1"/>
  <c r="O135" i="1"/>
  <c r="O75" i="1"/>
  <c r="O81" i="1"/>
  <c r="O45" i="1"/>
  <c r="O9" i="1"/>
  <c r="O100" i="1"/>
  <c r="O52" i="1"/>
  <c r="O19" i="1"/>
  <c r="O145" i="1"/>
  <c r="O109" i="1"/>
  <c r="O67" i="1"/>
  <c r="O6" i="1"/>
  <c r="O132" i="1"/>
  <c r="O84" i="1"/>
  <c r="O48" i="1"/>
  <c r="O17" i="1"/>
  <c r="O143" i="1"/>
  <c r="O107" i="1"/>
  <c r="O71" i="1"/>
  <c r="O142" i="1"/>
  <c r="O106" i="1"/>
  <c r="O3" i="1"/>
  <c r="O129" i="1"/>
  <c r="O57" i="1"/>
  <c r="O28" i="1"/>
  <c r="O96" i="1"/>
  <c r="O13" i="1"/>
  <c r="O139" i="1"/>
  <c r="O103" i="1"/>
  <c r="O61" i="1"/>
  <c r="O2" i="1"/>
  <c r="O162" i="1"/>
  <c r="O126" i="1"/>
  <c r="O78" i="1"/>
  <c r="O42" i="1"/>
  <c r="O11" i="1"/>
  <c r="O137" i="1"/>
  <c r="O101" i="1"/>
  <c r="O65" i="1"/>
  <c r="O22" i="1"/>
  <c r="O136" i="1"/>
  <c r="O76" i="1"/>
  <c r="O159" i="1"/>
  <c r="O123" i="1"/>
  <c r="O39" i="1"/>
  <c r="O69" i="1"/>
  <c r="O33" i="1"/>
  <c r="O46" i="1"/>
  <c r="O90" i="1"/>
  <c r="O88" i="1"/>
  <c r="O7" i="1"/>
  <c r="O133" i="1"/>
  <c r="O91" i="1"/>
  <c r="O55" i="1"/>
  <c r="O30" i="1"/>
  <c r="O156" i="1"/>
  <c r="O120" i="1"/>
  <c r="O72" i="1"/>
  <c r="O36" i="1"/>
  <c r="O5" i="1"/>
  <c r="O131" i="1"/>
  <c r="O95" i="1"/>
  <c r="O59" i="1"/>
  <c r="O4" i="1"/>
  <c r="O130" i="1"/>
  <c r="O58" i="1"/>
  <c r="O153" i="1"/>
  <c r="O117" i="1"/>
  <c r="O16" i="1"/>
  <c r="O99" i="1"/>
  <c r="O63" i="1"/>
  <c r="O27" i="1"/>
  <c r="O10" i="1"/>
  <c r="O64" i="1"/>
  <c r="O163" i="1"/>
  <c r="O127" i="1"/>
  <c r="O85" i="1"/>
  <c r="O49" i="1"/>
  <c r="O24" i="1"/>
  <c r="O150" i="1"/>
  <c r="O114" i="1"/>
  <c r="O66" i="1"/>
  <c r="O35" i="1"/>
  <c r="O161" i="1"/>
  <c r="O125" i="1"/>
  <c r="O89" i="1"/>
  <c r="O53" i="1"/>
  <c r="O160" i="1"/>
  <c r="O124" i="1"/>
  <c r="O40" i="1"/>
  <c r="O147" i="1"/>
  <c r="O111" i="1"/>
  <c r="O93" i="1"/>
  <c r="O82" i="1"/>
  <c r="O97" i="1"/>
  <c r="O94" i="1"/>
  <c r="O34" i="1"/>
  <c r="O31" i="1"/>
  <c r="O157" i="1"/>
  <c r="O121" i="1"/>
  <c r="O79" i="1"/>
  <c r="O43" i="1"/>
  <c r="O18" i="1"/>
  <c r="O144" i="1"/>
  <c r="O108" i="1"/>
  <c r="O60" i="1"/>
  <c r="O29" i="1"/>
  <c r="O155" i="1"/>
  <c r="O119" i="1"/>
  <c r="O83" i="1"/>
  <c r="O47" i="1"/>
  <c r="O154" i="1"/>
  <c r="O118" i="1"/>
  <c r="O141" i="1"/>
  <c r="O105" i="1"/>
  <c r="AA2" i="4"/>
  <c r="O37" i="1" s="1"/>
  <c r="D38" i="1" a="1"/>
  <c r="D38" i="1" s="1"/>
  <c r="D36" i="1" a="1"/>
  <c r="D36" i="1" s="1"/>
  <c r="D37" i="1" a="1"/>
  <c r="D37" i="1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C2" i="8" s="1"/>
  <c r="F2" i="8" s="1"/>
  <c r="I87" i="8"/>
  <c r="Q79" i="1" a="1"/>
  <c r="Q79" i="1" s="1"/>
  <c r="P84" i="1" a="1"/>
  <c r="P84" i="1" s="1"/>
  <c r="P83" i="1" a="1"/>
  <c r="P83" i="1" s="1"/>
  <c r="Q84" i="1" a="1"/>
  <c r="Q84" i="1" s="1"/>
  <c r="Q93" i="1" a="1"/>
  <c r="Q93" i="1" s="1"/>
  <c r="F71" i="1" a="1"/>
  <c r="F71" i="1" s="1"/>
  <c r="F48" i="1" a="1"/>
  <c r="F48" i="1" s="1"/>
  <c r="F85" i="1" a="1"/>
  <c r="F85" i="1" s="1"/>
  <c r="F76" i="1" a="1"/>
  <c r="F76" i="1" s="1"/>
  <c r="F31" i="1" a="1"/>
  <c r="F31" i="1" s="1"/>
  <c r="F63" i="1" a="1"/>
  <c r="F63" i="1" s="1"/>
  <c r="F68" i="1" a="1"/>
  <c r="F68" i="1" s="1"/>
  <c r="F60" i="1" a="1"/>
  <c r="F60" i="1" s="1"/>
  <c r="F18" i="1" a="1"/>
  <c r="F18" i="1" s="1"/>
  <c r="J2" i="1" a="1"/>
  <c r="J2" i="1" s="1"/>
  <c r="F2" i="1" a="1"/>
  <c r="F2" i="1" s="1"/>
  <c r="F52" i="1" a="1"/>
  <c r="F52" i="1" s="1"/>
  <c r="F95" i="1" a="1"/>
  <c r="F95" i="1" s="1"/>
  <c r="F19" i="1" a="1"/>
  <c r="F19" i="1" s="1"/>
  <c r="F8" i="1" a="1"/>
  <c r="F8" i="1" s="1"/>
  <c r="H11" i="1" a="1"/>
  <c r="H11" i="1" s="1"/>
  <c r="Q49" i="1" a="1"/>
  <c r="Q49" i="1" s="1"/>
  <c r="Q98" i="1" a="1"/>
  <c r="Q98" i="1" s="1"/>
  <c r="Q88" i="1" a="1"/>
  <c r="Q88" i="1" s="1"/>
  <c r="Q87" i="1" a="1"/>
  <c r="Q87" i="1" s="1"/>
  <c r="Q103" i="1" a="1"/>
  <c r="Q103" i="1" s="1"/>
  <c r="P104" i="1" a="1"/>
  <c r="P104" i="1" s="1"/>
  <c r="F66" i="1" a="1"/>
  <c r="F66" i="1" s="1"/>
  <c r="F98" i="1" a="1"/>
  <c r="F98" i="1" s="1"/>
  <c r="F72" i="1" a="1"/>
  <c r="F72" i="1" s="1"/>
  <c r="F92" i="1" a="1"/>
  <c r="F92" i="1" s="1"/>
  <c r="F77" i="1" a="1"/>
  <c r="F77" i="1" s="1"/>
  <c r="J8" i="1" a="1"/>
  <c r="J8" i="1" s="1"/>
  <c r="F22" i="1" a="1"/>
  <c r="F22" i="1" s="1"/>
  <c r="F87" i="1" a="1"/>
  <c r="F87" i="1" s="1"/>
  <c r="F89" i="1" a="1"/>
  <c r="F89" i="1" s="1"/>
  <c r="F15" i="1" a="1"/>
  <c r="F15" i="1" s="1"/>
  <c r="F29" i="1" a="1"/>
  <c r="F29" i="1" s="1"/>
  <c r="D8" i="1" a="1"/>
  <c r="D8" i="1" s="1"/>
  <c r="F88" i="1" a="1"/>
  <c r="F88" i="1" s="1"/>
  <c r="F51" i="1" a="1"/>
  <c r="F51" i="1" s="1"/>
  <c r="F83" i="1" a="1"/>
  <c r="F83" i="1" s="1"/>
  <c r="Q59" i="1" a="1"/>
  <c r="Q59" i="1" s="1"/>
  <c r="Q90" i="1" a="1"/>
  <c r="Q90" i="1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Q112" i="1" a="1"/>
  <c r="Q112" i="1" s="1"/>
  <c r="Q117" i="1" a="1"/>
  <c r="Q117" i="1" s="1"/>
  <c r="Q121" i="1" a="1"/>
  <c r="Q121" i="1" s="1"/>
  <c r="Q126" i="1" a="1"/>
  <c r="Q126" i="1" s="1"/>
  <c r="Q130" i="1" a="1"/>
  <c r="Q130" i="1" s="1"/>
  <c r="Q135" i="1" a="1"/>
  <c r="Q135" i="1" s="1"/>
  <c r="Q139" i="1" a="1"/>
  <c r="Q139" i="1" s="1"/>
  <c r="Q144" i="1" a="1"/>
  <c r="Q144" i="1" s="1"/>
  <c r="Q152" i="1" a="1"/>
  <c r="Q152" i="1" s="1"/>
  <c r="Q156" i="1" a="1"/>
  <c r="Q156" i="1" s="1"/>
  <c r="Q160" i="1" a="1"/>
  <c r="Q160" i="1" s="1"/>
  <c r="Q165" i="1" a="1"/>
  <c r="Q165" i="1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Q118" i="1" a="1"/>
  <c r="Q118" i="1" s="1"/>
  <c r="Q122" i="1" a="1"/>
  <c r="Q122" i="1" s="1"/>
  <c r="Q131" i="1" a="1"/>
  <c r="Q131" i="1" s="1"/>
  <c r="Q136" i="1" a="1"/>
  <c r="Q136" i="1" s="1"/>
  <c r="Q140" i="1" a="1"/>
  <c r="Q140" i="1" s="1"/>
  <c r="Q148" i="1" a="1"/>
  <c r="Q148" i="1" s="1"/>
  <c r="Q153" i="1" a="1"/>
  <c r="Q153" i="1" s="1"/>
  <c r="Q161" i="1" a="1"/>
  <c r="Q161" i="1" s="1"/>
  <c r="O166" i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Q119" i="1" a="1"/>
  <c r="Q119" i="1" s="1"/>
  <c r="Q127" i="1" a="1"/>
  <c r="Q127" i="1" s="1"/>
  <c r="Q137" i="1" a="1"/>
  <c r="Q137" i="1" s="1"/>
  <c r="Q145" i="1" a="1"/>
  <c r="Q145" i="1" s="1"/>
  <c r="Q149" i="1" a="1"/>
  <c r="Q149" i="1" s="1"/>
  <c r="Q157" i="1" a="1"/>
  <c r="Q157" i="1" s="1"/>
  <c r="Q162" i="1" a="1"/>
  <c r="Q162" i="1" s="1"/>
  <c r="Q166" i="1" a="1"/>
  <c r="Q166" i="1" s="1"/>
  <c r="O167" i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Q114" i="1" a="1"/>
  <c r="Q114" i="1" s="1"/>
  <c r="Q123" i="1" a="1"/>
  <c r="Q123" i="1" s="1"/>
  <c r="Q128" i="1" a="1"/>
  <c r="Q128" i="1" s="1"/>
  <c r="Q132" i="1" a="1"/>
  <c r="Q132" i="1" s="1"/>
  <c r="Q141" i="1" a="1"/>
  <c r="Q141" i="1" s="1"/>
  <c r="Q146" i="1" a="1"/>
  <c r="Q146" i="1" s="1"/>
  <c r="Q154" i="1" a="1"/>
  <c r="Q154" i="1" s="1"/>
  <c r="Q158" i="1" a="1"/>
  <c r="Q158" i="1" s="1"/>
  <c r="Q167" i="1" a="1"/>
  <c r="Q167" i="1" s="1"/>
  <c r="O168" i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Q120" i="1" a="1"/>
  <c r="Q120" i="1" s="1"/>
  <c r="Q133" i="1" a="1"/>
  <c r="Q133" i="1" s="1"/>
  <c r="O169" i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Q134" i="1" a="1"/>
  <c r="Q134" i="1" s="1"/>
  <c r="Q147" i="1" a="1"/>
  <c r="Q147" i="1" s="1"/>
  <c r="Q159" i="1" a="1"/>
  <c r="Q159" i="1" s="1"/>
  <c r="O170" i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Q124" i="1" a="1"/>
  <c r="Q124" i="1" s="1"/>
  <c r="Q138" i="1" a="1"/>
  <c r="Q138" i="1" s="1"/>
  <c r="Q150" i="1" a="1"/>
  <c r="Q150" i="1" s="1"/>
  <c r="Q163" i="1" a="1"/>
  <c r="Q163" i="1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Q151" i="1" a="1"/>
  <c r="Q151" i="1" s="1"/>
  <c r="Q164" i="1" a="1"/>
  <c r="Q164" i="1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Q129" i="1" a="1"/>
  <c r="Q129" i="1" s="1"/>
  <c r="Q142" i="1" a="1"/>
  <c r="Q142" i="1" s="1"/>
  <c r="Q155" i="1" a="1"/>
  <c r="Q155" i="1" s="1"/>
  <c r="O165" i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P137" i="1" a="1"/>
  <c r="P137" i="1" s="1"/>
  <c r="Q143" i="1" a="1"/>
  <c r="Q143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7" i="1" a="1"/>
  <c r="L7" i="1" s="1"/>
  <c r="L16" i="1" a="1"/>
  <c r="L16" i="1" s="1"/>
  <c r="L25" i="1" a="1"/>
  <c r="L25" i="1" s="1"/>
  <c r="L34" i="1" a="1"/>
  <c r="L34" i="1" s="1"/>
  <c r="Q168" i="1" a="1"/>
  <c r="Q168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K154" i="1" a="1"/>
  <c r="K154" i="1" s="1"/>
  <c r="K160" i="1" a="1"/>
  <c r="K160" i="1" s="1"/>
  <c r="K166" i="1" a="1"/>
  <c r="K166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7" i="1" a="1"/>
  <c r="K47" i="1" s="1"/>
  <c r="K59" i="1" a="1"/>
  <c r="K59" i="1" s="1"/>
  <c r="K83" i="1" a="1"/>
  <c r="K83" i="1" s="1"/>
  <c r="K89" i="1" a="1"/>
  <c r="K89" i="1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K137" i="1" a="1"/>
  <c r="K137" i="1" s="1"/>
  <c r="K143" i="1" a="1"/>
  <c r="K143" i="1" s="1"/>
  <c r="K149" i="1" a="1"/>
  <c r="K149" i="1" s="1"/>
  <c r="K155" i="1" a="1"/>
  <c r="K155" i="1" s="1"/>
  <c r="K161" i="1" a="1"/>
  <c r="K161" i="1" s="1"/>
  <c r="K167" i="1" a="1"/>
  <c r="K167" i="1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K84" i="1" a="1"/>
  <c r="K84" i="1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K138" i="1" a="1"/>
  <c r="K138" i="1" s="1"/>
  <c r="K144" i="1" a="1"/>
  <c r="K144" i="1" s="1"/>
  <c r="K150" i="1" a="1"/>
  <c r="K150" i="1" s="1"/>
  <c r="K156" i="1" a="1"/>
  <c r="K156" i="1" s="1"/>
  <c r="K162" i="1" a="1"/>
  <c r="K162" i="1" s="1"/>
  <c r="K168" i="1" a="1"/>
  <c r="K168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K115" i="1" a="1"/>
  <c r="K115" i="1" s="1"/>
  <c r="K121" i="1" a="1"/>
  <c r="K121" i="1" s="1"/>
  <c r="K127" i="1" a="1"/>
  <c r="K127" i="1" s="1"/>
  <c r="K133" i="1" a="1"/>
  <c r="K133" i="1" s="1"/>
  <c r="K139" i="1" a="1"/>
  <c r="K139" i="1" s="1"/>
  <c r="K145" i="1" a="1"/>
  <c r="K145" i="1" s="1"/>
  <c r="K151" i="1" a="1"/>
  <c r="K151" i="1" s="1"/>
  <c r="K157" i="1" a="1"/>
  <c r="K157" i="1" s="1"/>
  <c r="K163" i="1" a="1"/>
  <c r="K163" i="1" s="1"/>
  <c r="K169" i="1" a="1"/>
  <c r="K169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22" i="1" a="1"/>
  <c r="L22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22" i="1" a="1"/>
  <c r="K22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K116" i="1" a="1"/>
  <c r="K116" i="1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H164" i="1" a="1"/>
  <c r="H164" i="1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F47" i="1" a="1"/>
  <c r="F47" i="1" s="1"/>
  <c r="F56" i="1" a="1"/>
  <c r="F56" i="1" s="1"/>
  <c r="F84" i="1" a="1"/>
  <c r="F84" i="1" s="1"/>
  <c r="F108" i="1" a="1"/>
  <c r="F108" i="1" s="1"/>
  <c r="F113" i="1" a="1"/>
  <c r="F113" i="1" s="1"/>
  <c r="F117" i="1" a="1"/>
  <c r="F117" i="1" s="1"/>
  <c r="F123" i="1" a="1"/>
  <c r="F123" i="1" s="1"/>
  <c r="F127" i="1" a="1"/>
  <c r="F127" i="1" s="1"/>
  <c r="F132" i="1" a="1"/>
  <c r="F132" i="1" s="1"/>
  <c r="F146" i="1" a="1"/>
  <c r="F146" i="1" s="1"/>
  <c r="F150" i="1" a="1"/>
  <c r="F150" i="1" s="1"/>
  <c r="F164" i="1" a="1"/>
  <c r="F164" i="1" s="1"/>
  <c r="F168" i="1" a="1"/>
  <c r="F168" i="1" s="1"/>
  <c r="D12" i="1" a="1"/>
  <c r="D12" i="1" s="1"/>
  <c r="D15" i="1" a="1"/>
  <c r="D15" i="1" s="1"/>
  <c r="D18" i="1" a="1"/>
  <c r="D18" i="1" s="1"/>
  <c r="D21" i="1" a="1"/>
  <c r="D21" i="1" s="1"/>
  <c r="D24" i="1" a="1"/>
  <c r="D24" i="1" s="1"/>
  <c r="D27" i="1" a="1"/>
  <c r="D27" i="1" s="1"/>
  <c r="D30" i="1" a="1"/>
  <c r="D30" i="1" s="1"/>
  <c r="D33" i="1" a="1"/>
  <c r="D33" i="1" s="1"/>
  <c r="D39" i="1" a="1"/>
  <c r="D39" i="1" s="1"/>
  <c r="D42" i="1" a="1"/>
  <c r="D42" i="1" s="1"/>
  <c r="D45" i="1" a="1"/>
  <c r="D45" i="1" s="1"/>
  <c r="L47" i="1" a="1"/>
  <c r="L47" i="1" s="1"/>
  <c r="L112" i="1" a="1"/>
  <c r="L112" i="1" s="1"/>
  <c r="L139" i="1" a="1"/>
  <c r="L139" i="1" s="1"/>
  <c r="L166" i="1" a="1"/>
  <c r="L166" i="1" s="1"/>
  <c r="K111" i="1" a="1"/>
  <c r="K111" i="1" s="1"/>
  <c r="K147" i="1" a="1"/>
  <c r="K147" i="1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F49" i="1" a="1"/>
  <c r="F49" i="1" s="1"/>
  <c r="F64" i="1" a="1"/>
  <c r="F64" i="1" s="1"/>
  <c r="F94" i="1" a="1"/>
  <c r="F94" i="1" s="1"/>
  <c r="F109" i="1" a="1"/>
  <c r="F109" i="1" s="1"/>
  <c r="F114" i="1" a="1"/>
  <c r="F114" i="1" s="1"/>
  <c r="F118" i="1" a="1"/>
  <c r="F118" i="1" s="1"/>
  <c r="F128" i="1" a="1"/>
  <c r="F128" i="1" s="1"/>
  <c r="F133" i="1" a="1"/>
  <c r="F133" i="1" s="1"/>
  <c r="F137" i="1" a="1"/>
  <c r="F137" i="1" s="1"/>
  <c r="F142" i="1" a="1"/>
  <c r="F142" i="1" s="1"/>
  <c r="F147" i="1" a="1"/>
  <c r="F147" i="1" s="1"/>
  <c r="F151" i="1" a="1"/>
  <c r="F151" i="1" s="1"/>
  <c r="F155" i="1" a="1"/>
  <c r="F155" i="1" s="1"/>
  <c r="F160" i="1" a="1"/>
  <c r="F160" i="1" s="1"/>
  <c r="F165" i="1" a="1"/>
  <c r="F165" i="1" s="1"/>
  <c r="F169" i="1" a="1"/>
  <c r="F169" i="1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K87" i="1" a="1"/>
  <c r="K87" i="1" s="1"/>
  <c r="K123" i="1" a="1"/>
  <c r="K123" i="1" s="1"/>
  <c r="K159" i="1" a="1"/>
  <c r="K159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F12" i="1" a="1"/>
  <c r="F12" i="1" s="1"/>
  <c r="F54" i="1" a="1"/>
  <c r="F54" i="1" s="1"/>
  <c r="F75" i="1" a="1"/>
  <c r="F75" i="1" s="1"/>
  <c r="F106" i="1" a="1"/>
  <c r="F106" i="1" s="1"/>
  <c r="F110" i="1" a="1"/>
  <c r="F110" i="1" s="1"/>
  <c r="F115" i="1" a="1"/>
  <c r="F115" i="1" s="1"/>
  <c r="F120" i="1" a="1"/>
  <c r="F120" i="1" s="1"/>
  <c r="F130" i="1" a="1"/>
  <c r="F130" i="1" s="1"/>
  <c r="F135" i="1" a="1"/>
  <c r="F135" i="1" s="1"/>
  <c r="F139" i="1" a="1"/>
  <c r="F139" i="1" s="1"/>
  <c r="F143" i="1" a="1"/>
  <c r="F143" i="1" s="1"/>
  <c r="F148" i="1" a="1"/>
  <c r="F148" i="1" s="1"/>
  <c r="F153" i="1" a="1"/>
  <c r="F153" i="1" s="1"/>
  <c r="F157" i="1" a="1"/>
  <c r="F157" i="1" s="1"/>
  <c r="F161" i="1" a="1"/>
  <c r="F161" i="1" s="1"/>
  <c r="F166" i="1" a="1"/>
  <c r="F166" i="1" s="1"/>
  <c r="D167" i="1" a="1"/>
  <c r="D167" i="1" s="1"/>
  <c r="C6" i="1" a="1"/>
  <c r="C6" i="1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F30" i="1" a="1"/>
  <c r="F30" i="1" s="1"/>
  <c r="F55" i="1" a="1"/>
  <c r="F55" i="1" s="1"/>
  <c r="F80" i="1" a="1"/>
  <c r="F80" i="1" s="1"/>
  <c r="F111" i="1" a="1"/>
  <c r="F111" i="1" s="1"/>
  <c r="F121" i="1" a="1"/>
  <c r="F121" i="1" s="1"/>
  <c r="F125" i="1" a="1"/>
  <c r="F125" i="1" s="1"/>
  <c r="F140" i="1" a="1"/>
  <c r="F140" i="1" s="1"/>
  <c r="F144" i="1" a="1"/>
  <c r="F144" i="1" s="1"/>
  <c r="F158" i="1" a="1"/>
  <c r="F158" i="1" s="1"/>
  <c r="F162" i="1" a="1"/>
  <c r="F162" i="1" s="1"/>
  <c r="D4" i="1" a="1"/>
  <c r="D4" i="1" s="1"/>
  <c r="D14" i="1" a="1"/>
  <c r="D14" i="1" s="1"/>
  <c r="D17" i="1" a="1"/>
  <c r="D17" i="1" s="1"/>
  <c r="D20" i="1" a="1"/>
  <c r="D20" i="1" s="1"/>
  <c r="D23" i="1" a="1"/>
  <c r="D23" i="1" s="1"/>
  <c r="D26" i="1" a="1"/>
  <c r="D26" i="1" s="1"/>
  <c r="D29" i="1" a="1"/>
  <c r="D29" i="1" s="1"/>
  <c r="D32" i="1" a="1"/>
  <c r="D32" i="1" s="1"/>
  <c r="D35" i="1" a="1"/>
  <c r="D35" i="1" s="1"/>
  <c r="D41" i="1" a="1"/>
  <c r="D41" i="1" s="1"/>
  <c r="D44" i="1" a="1"/>
  <c r="D44" i="1" s="1"/>
  <c r="D47" i="1" a="1"/>
  <c r="D47" i="1" s="1"/>
  <c r="D50" i="1" a="1"/>
  <c r="D50" i="1" s="1"/>
  <c r="D53" i="1" a="1"/>
  <c r="D53" i="1" s="1"/>
  <c r="D56" i="1" a="1"/>
  <c r="D56" i="1" s="1"/>
  <c r="D59" i="1" a="1"/>
  <c r="D59" i="1" s="1"/>
  <c r="D62" i="1" a="1"/>
  <c r="D62" i="1" s="1"/>
  <c r="D65" i="1" a="1"/>
  <c r="D65" i="1" s="1"/>
  <c r="D68" i="1" a="1"/>
  <c r="D68" i="1" s="1"/>
  <c r="H67" i="1" a="1"/>
  <c r="H67" i="1" s="1"/>
  <c r="H127" i="1" a="1"/>
  <c r="H127" i="1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F124" i="1" a="1"/>
  <c r="F124" i="1" s="1"/>
  <c r="F138" i="1" a="1"/>
  <c r="F138" i="1" s="1"/>
  <c r="F152" i="1" a="1"/>
  <c r="F152" i="1" s="1"/>
  <c r="D16" i="1" a="1"/>
  <c r="D16" i="1" s="1"/>
  <c r="D25" i="1" a="1"/>
  <c r="D25" i="1" s="1"/>
  <c r="D34" i="1" a="1"/>
  <c r="D34" i="1" s="1"/>
  <c r="D43" i="1" a="1"/>
  <c r="D43" i="1" s="1"/>
  <c r="D55" i="1" a="1"/>
  <c r="D55" i="1" s="1"/>
  <c r="D60" i="1" a="1"/>
  <c r="D60" i="1" s="1"/>
  <c r="D64" i="1" a="1"/>
  <c r="D64" i="1" s="1"/>
  <c r="D69" i="1" a="1"/>
  <c r="D69" i="1" s="1"/>
  <c r="D76" i="1" a="1"/>
  <c r="D76" i="1" s="1"/>
  <c r="D80" i="1" a="1"/>
  <c r="D80" i="1" s="1"/>
  <c r="D87" i="1" a="1"/>
  <c r="D87" i="1" s="1"/>
  <c r="D94" i="1" a="1"/>
  <c r="D94" i="1" s="1"/>
  <c r="D98" i="1" a="1"/>
  <c r="D98" i="1" s="1"/>
  <c r="D105" i="1" a="1"/>
  <c r="D105" i="1" s="1"/>
  <c r="D112" i="1" a="1"/>
  <c r="D112" i="1" s="1"/>
  <c r="D116" i="1" a="1"/>
  <c r="D116" i="1" s="1"/>
  <c r="D123" i="1" a="1"/>
  <c r="D123" i="1" s="1"/>
  <c r="D130" i="1" a="1"/>
  <c r="D130" i="1" s="1"/>
  <c r="D134" i="1" a="1"/>
  <c r="D134" i="1" s="1"/>
  <c r="D141" i="1" a="1"/>
  <c r="D141" i="1" s="1"/>
  <c r="D148" i="1" a="1"/>
  <c r="D148" i="1" s="1"/>
  <c r="D152" i="1" a="1"/>
  <c r="D152" i="1" s="1"/>
  <c r="D159" i="1" a="1"/>
  <c r="D159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K99" i="1" a="1"/>
  <c r="K99" i="1" s="1"/>
  <c r="H85" i="1" a="1"/>
  <c r="H85" i="1" s="1"/>
  <c r="H134" i="1" a="1"/>
  <c r="H134" i="1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F126" i="1" a="1"/>
  <c r="F126" i="1" s="1"/>
  <c r="F141" i="1" a="1"/>
  <c r="F141" i="1" s="1"/>
  <c r="F154" i="1" a="1"/>
  <c r="F154" i="1" s="1"/>
  <c r="F167" i="1" a="1"/>
  <c r="F167" i="1" s="1"/>
  <c r="D51" i="1" a="1"/>
  <c r="D51" i="1" s="1"/>
  <c r="D73" i="1" a="1"/>
  <c r="D73" i="1" s="1"/>
  <c r="D77" i="1" a="1"/>
  <c r="D77" i="1" s="1"/>
  <c r="D84" i="1" a="1"/>
  <c r="D84" i="1" s="1"/>
  <c r="D91" i="1" a="1"/>
  <c r="D91" i="1" s="1"/>
  <c r="D95" i="1" a="1"/>
  <c r="D95" i="1" s="1"/>
  <c r="D102" i="1" a="1"/>
  <c r="D102" i="1" s="1"/>
  <c r="D109" i="1" a="1"/>
  <c r="D109" i="1" s="1"/>
  <c r="D113" i="1" a="1"/>
  <c r="D113" i="1" s="1"/>
  <c r="D120" i="1" a="1"/>
  <c r="D120" i="1" s="1"/>
  <c r="D127" i="1" a="1"/>
  <c r="D127" i="1" s="1"/>
  <c r="D131" i="1" a="1"/>
  <c r="D131" i="1" s="1"/>
  <c r="D138" i="1" a="1"/>
  <c r="D138" i="1" s="1"/>
  <c r="D145" i="1" a="1"/>
  <c r="D145" i="1" s="1"/>
  <c r="D149" i="1" a="1"/>
  <c r="D149" i="1" s="1"/>
  <c r="D156" i="1" a="1"/>
  <c r="D156" i="1" s="1"/>
  <c r="D163" i="1" a="1"/>
  <c r="D163" i="1" s="1"/>
  <c r="D168" i="1" a="1"/>
  <c r="D168" i="1" s="1"/>
  <c r="C21" i="1" a="1"/>
  <c r="C21" i="1" s="1"/>
  <c r="C52" i="1" a="1"/>
  <c r="C52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L103" i="1" a="1"/>
  <c r="L103" i="1" s="1"/>
  <c r="K135" i="1" a="1"/>
  <c r="K135" i="1" s="1"/>
  <c r="H97" i="1" a="1"/>
  <c r="H97" i="1" s="1"/>
  <c r="H142" i="1" a="1"/>
  <c r="H142" i="1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F65" i="1" a="1"/>
  <c r="F65" i="1" s="1"/>
  <c r="F129" i="1" a="1"/>
  <c r="F129" i="1" s="1"/>
  <c r="F156" i="1" a="1"/>
  <c r="F156" i="1" s="1"/>
  <c r="D3" i="1" a="1"/>
  <c r="D3" i="1" s="1"/>
  <c r="D19" i="1" a="1"/>
  <c r="D19" i="1" s="1"/>
  <c r="D28" i="1" a="1"/>
  <c r="D28" i="1" s="1"/>
  <c r="D46" i="1" a="1"/>
  <c r="D46" i="1" s="1"/>
  <c r="D52" i="1" a="1"/>
  <c r="D52" i="1" s="1"/>
  <c r="D57" i="1" a="1"/>
  <c r="D57" i="1" s="1"/>
  <c r="D61" i="1" a="1"/>
  <c r="D61" i="1" s="1"/>
  <c r="D66" i="1" a="1"/>
  <c r="D66" i="1" s="1"/>
  <c r="D70" i="1" a="1"/>
  <c r="D70" i="1" s="1"/>
  <c r="D74" i="1" a="1"/>
  <c r="D74" i="1" s="1"/>
  <c r="D81" i="1" a="1"/>
  <c r="D81" i="1" s="1"/>
  <c r="D88" i="1" a="1"/>
  <c r="D88" i="1" s="1"/>
  <c r="D92" i="1" a="1"/>
  <c r="D92" i="1" s="1"/>
  <c r="D99" i="1" a="1"/>
  <c r="D99" i="1" s="1"/>
  <c r="D106" i="1" a="1"/>
  <c r="D106" i="1" s="1"/>
  <c r="D110" i="1" a="1"/>
  <c r="D110" i="1" s="1"/>
  <c r="D117" i="1" a="1"/>
  <c r="D117" i="1" s="1"/>
  <c r="D124" i="1" a="1"/>
  <c r="D124" i="1" s="1"/>
  <c r="D128" i="1" a="1"/>
  <c r="D128" i="1" s="1"/>
  <c r="D135" i="1" a="1"/>
  <c r="D135" i="1" s="1"/>
  <c r="D142" i="1" a="1"/>
  <c r="D142" i="1" s="1"/>
  <c r="D146" i="1" a="1"/>
  <c r="D146" i="1" s="1"/>
  <c r="D153" i="1" a="1"/>
  <c r="D153" i="1" s="1"/>
  <c r="D160" i="1" a="1"/>
  <c r="D160" i="1" s="1"/>
  <c r="D164" i="1" a="1"/>
  <c r="D164" i="1" s="1"/>
  <c r="J168" i="1" a="1"/>
  <c r="J168" i="1" s="1"/>
  <c r="C24" i="1" a="1"/>
  <c r="C24" i="1" s="1"/>
  <c r="C34" i="1" a="1"/>
  <c r="C34" i="1" s="1"/>
  <c r="C54" i="1" a="1"/>
  <c r="C5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F81" i="1" a="1"/>
  <c r="F81" i="1" s="1"/>
  <c r="F116" i="1" a="1"/>
  <c r="F116" i="1" s="1"/>
  <c r="F131" i="1" a="1"/>
  <c r="F131" i="1" s="1"/>
  <c r="F145" i="1" a="1"/>
  <c r="F145" i="1" s="1"/>
  <c r="F159" i="1" a="1"/>
  <c r="F159" i="1" s="1"/>
  <c r="D71" i="1" a="1"/>
  <c r="D71" i="1" s="1"/>
  <c r="D78" i="1" a="1"/>
  <c r="D78" i="1" s="1"/>
  <c r="D85" i="1" a="1"/>
  <c r="D85" i="1" s="1"/>
  <c r="D89" i="1" a="1"/>
  <c r="D89" i="1" s="1"/>
  <c r="D96" i="1" a="1"/>
  <c r="D96" i="1" s="1"/>
  <c r="D103" i="1" a="1"/>
  <c r="D103" i="1" s="1"/>
  <c r="D107" i="1" a="1"/>
  <c r="D107" i="1" s="1"/>
  <c r="D114" i="1" a="1"/>
  <c r="D114" i="1" s="1"/>
  <c r="D121" i="1" a="1"/>
  <c r="D121" i="1" s="1"/>
  <c r="D125" i="1" a="1"/>
  <c r="D125" i="1" s="1"/>
  <c r="D132" i="1" a="1"/>
  <c r="D132" i="1" s="1"/>
  <c r="D139" i="1" a="1"/>
  <c r="D139" i="1" s="1"/>
  <c r="D143" i="1" a="1"/>
  <c r="D143" i="1" s="1"/>
  <c r="D150" i="1" a="1"/>
  <c r="D150" i="1" s="1"/>
  <c r="D157" i="1" a="1"/>
  <c r="D157" i="1" s="1"/>
  <c r="D161" i="1" a="1"/>
  <c r="D161" i="1" s="1"/>
  <c r="D165" i="1" a="1"/>
  <c r="D165" i="1" s="1"/>
  <c r="D169" i="1" a="1"/>
  <c r="D169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F103" i="1" a="1"/>
  <c r="F103" i="1" s="1"/>
  <c r="F119" i="1" a="1"/>
  <c r="F119" i="1" s="1"/>
  <c r="F134" i="1" a="1"/>
  <c r="F134" i="1" s="1"/>
  <c r="D13" i="1" a="1"/>
  <c r="D13" i="1" s="1"/>
  <c r="D22" i="1" a="1"/>
  <c r="D22" i="1" s="1"/>
  <c r="D31" i="1" a="1"/>
  <c r="D31" i="1" s="1"/>
  <c r="D40" i="1" a="1"/>
  <c r="D40" i="1" s="1"/>
  <c r="D48" i="1" a="1"/>
  <c r="D48" i="1" s="1"/>
  <c r="D54" i="1" a="1"/>
  <c r="D54" i="1" s="1"/>
  <c r="D58" i="1" a="1"/>
  <c r="D58" i="1" s="1"/>
  <c r="D63" i="1" a="1"/>
  <c r="D63" i="1" s="1"/>
  <c r="D67" i="1" a="1"/>
  <c r="D67" i="1" s="1"/>
  <c r="D75" i="1" a="1"/>
  <c r="D75" i="1" s="1"/>
  <c r="D82" i="1" a="1"/>
  <c r="D82" i="1" s="1"/>
  <c r="D86" i="1" a="1"/>
  <c r="D86" i="1" s="1"/>
  <c r="D93" i="1" a="1"/>
  <c r="D93" i="1" s="1"/>
  <c r="D100" i="1" a="1"/>
  <c r="D100" i="1" s="1"/>
  <c r="D104" i="1" a="1"/>
  <c r="D104" i="1" s="1"/>
  <c r="D111" i="1" a="1"/>
  <c r="D111" i="1" s="1"/>
  <c r="D118" i="1" a="1"/>
  <c r="D118" i="1" s="1"/>
  <c r="D122" i="1" a="1"/>
  <c r="D122" i="1" s="1"/>
  <c r="D129" i="1" a="1"/>
  <c r="D129" i="1" s="1"/>
  <c r="D136" i="1" a="1"/>
  <c r="D136" i="1" s="1"/>
  <c r="D140" i="1" a="1"/>
  <c r="D140" i="1" s="1"/>
  <c r="D147" i="1" a="1"/>
  <c r="D147" i="1" s="1"/>
  <c r="D154" i="1" a="1"/>
  <c r="D154" i="1" s="1"/>
  <c r="D158" i="1" a="1"/>
  <c r="D158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166" i="1" a="1"/>
  <c r="C166" i="1" s="1"/>
  <c r="D133" i="1" a="1"/>
  <c r="D133" i="1" s="1"/>
  <c r="D151" i="1" a="1"/>
  <c r="D151" i="1" s="1"/>
  <c r="D162" i="1" a="1"/>
  <c r="D162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H49" i="1" a="1"/>
  <c r="H49" i="1" s="1"/>
  <c r="H120" i="1" a="1"/>
  <c r="H120" i="1" s="1"/>
  <c r="H163" i="1" a="1"/>
  <c r="H163" i="1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F107" i="1" a="1"/>
  <c r="F107" i="1" s="1"/>
  <c r="F122" i="1" a="1"/>
  <c r="F122" i="1" s="1"/>
  <c r="F136" i="1" a="1"/>
  <c r="F136" i="1" s="1"/>
  <c r="F149" i="1" a="1"/>
  <c r="F149" i="1" s="1"/>
  <c r="F163" i="1" a="1"/>
  <c r="F163" i="1" s="1"/>
  <c r="D49" i="1" a="1"/>
  <c r="D49" i="1" s="1"/>
  <c r="D72" i="1" a="1"/>
  <c r="D72" i="1" s="1"/>
  <c r="D79" i="1" a="1"/>
  <c r="D79" i="1" s="1"/>
  <c r="D83" i="1" a="1"/>
  <c r="D83" i="1" s="1"/>
  <c r="D90" i="1" a="1"/>
  <c r="D90" i="1" s="1"/>
  <c r="D97" i="1" a="1"/>
  <c r="D97" i="1" s="1"/>
  <c r="D101" i="1" a="1"/>
  <c r="D101" i="1" s="1"/>
  <c r="D108" i="1" a="1"/>
  <c r="D108" i="1" s="1"/>
  <c r="D115" i="1" a="1"/>
  <c r="D115" i="1" s="1"/>
  <c r="D119" i="1" a="1"/>
  <c r="D119" i="1" s="1"/>
  <c r="D126" i="1" a="1"/>
  <c r="D126" i="1" s="1"/>
  <c r="D137" i="1" a="1"/>
  <c r="D137" i="1" s="1"/>
  <c r="D144" i="1" a="1"/>
  <c r="D144" i="1" s="1"/>
  <c r="D155" i="1" a="1"/>
  <c r="D155" i="1" s="1"/>
  <c r="D166" i="1" a="1"/>
  <c r="D166" i="1" s="1"/>
  <c r="C66" i="1" a="1"/>
  <c r="C66" i="1" s="1"/>
  <c r="C115" i="1" a="1"/>
  <c r="C115" i="1" s="1"/>
  <c r="C144" i="1" a="1"/>
  <c r="C144" i="1" s="1"/>
  <c r="H7" i="1" a="1"/>
  <c r="H7" i="1" s="1"/>
  <c r="C28" i="1" a="1"/>
  <c r="C28" i="1" s="1"/>
  <c r="J165" i="1" a="1"/>
  <c r="J165" i="1" s="1"/>
  <c r="J169" i="1" a="1"/>
  <c r="J169" i="1" s="1"/>
  <c r="C165" i="1" a="1"/>
  <c r="C165" i="1" s="1"/>
  <c r="C87" i="1" a="1"/>
  <c r="C87" i="1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53" i="1" a="1"/>
  <c r="C53" i="1" s="1"/>
  <c r="C41" i="1" a="1"/>
  <c r="C41" i="1" s="1"/>
  <c r="C29" i="1" a="1"/>
  <c r="C29" i="1" s="1"/>
  <c r="C17" i="1" a="1"/>
  <c r="C17" i="1" s="1"/>
  <c r="C67" i="1" a="1"/>
  <c r="C67" i="1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C111" i="1" a="1"/>
  <c r="C111" i="1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26" i="1" a="1"/>
  <c r="J26" i="1" s="1"/>
  <c r="J14" i="1" a="1"/>
  <c r="J14" i="1" s="1"/>
  <c r="C147" i="1" a="1"/>
  <c r="C147" i="1" s="1"/>
  <c r="C64" i="1" a="1"/>
  <c r="C64" i="1" s="1"/>
  <c r="H10" i="1" a="1"/>
  <c r="H10" i="1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C55" i="1" a="1"/>
  <c r="C5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50" i="1" a="1"/>
  <c r="C50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J21" i="1" a="1"/>
  <c r="J21" i="1" s="1"/>
  <c r="J9" i="1" a="1"/>
  <c r="J9" i="1" s="1"/>
  <c r="C93" i="1" a="1"/>
  <c r="C93" i="1" s="1"/>
  <c r="C141" i="1" a="1"/>
  <c r="C141" i="1" s="1"/>
  <c r="C51" i="1" a="1"/>
  <c r="C51" i="1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C7" i="1" a="1"/>
  <c r="C7" i="1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C25" i="1" a="1"/>
  <c r="C25" i="1" s="1"/>
  <c r="C169" i="1" a="1"/>
  <c r="C169" i="1" s="1"/>
  <c r="C105" i="1" a="1"/>
  <c r="C105" i="1" s="1"/>
  <c r="J167" i="1" a="1"/>
  <c r="J167" i="1" s="1"/>
  <c r="C118" i="1" a="1"/>
  <c r="C118" i="1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C19" i="1" a="1"/>
  <c r="C19" i="1" s="1"/>
  <c r="C117" i="1" a="1"/>
  <c r="C117" i="1" s="1"/>
  <c r="C167" i="1" a="1"/>
  <c r="C16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J4" i="1" a="1"/>
  <c r="J4" i="1" s="1"/>
  <c r="C2" i="1" a="1"/>
  <c r="C2" i="1" s="1"/>
  <c r="C43" i="1" a="1"/>
  <c r="C43" i="1" s="1"/>
  <c r="C16" i="1" a="1"/>
  <c r="C16" i="1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C100" i="1" a="1"/>
  <c r="C100" i="1" s="1"/>
  <c r="J33" i="1" a="1"/>
  <c r="J33" i="1" s="1"/>
  <c r="J15" i="1" a="1"/>
  <c r="J15" i="1" s="1"/>
  <c r="C82" i="1" a="1"/>
  <c r="C82" i="1" s="1"/>
  <c r="J3" i="1" a="1"/>
  <c r="J3" i="1" s="1"/>
  <c r="C123" i="1" a="1"/>
  <c r="C123" i="1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49" i="1" a="1"/>
  <c r="C49" i="1" s="1"/>
  <c r="C85" i="1" a="1"/>
  <c r="C85" i="1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J28" i="1" a="1"/>
  <c r="J28" i="1" s="1"/>
  <c r="C163" i="1" a="1"/>
  <c r="C163" i="1" s="1"/>
  <c r="C39" i="1" a="1"/>
  <c r="C39" i="1" s="1"/>
  <c r="C164" i="1" a="1"/>
  <c r="C164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56" i="1" a="1"/>
  <c r="C56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C168" i="1" a="1"/>
  <c r="C168" i="1" s="1"/>
  <c r="C45" i="1" a="1"/>
  <c r="C45" i="1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J22" i="1" a="1"/>
  <c r="J22" i="1" s="1"/>
  <c r="C159" i="1" a="1"/>
  <c r="C159" i="1" s="1"/>
  <c r="N166" i="1" a="1"/>
  <c r="N166" i="1" s="1"/>
  <c r="C8" i="1" a="1"/>
  <c r="C8" i="1" s="1"/>
  <c r="Q169" i="1" a="1"/>
  <c r="Q169" i="1" s="1"/>
  <c r="C69" i="1" a="1"/>
  <c r="C69" i="1" s="1"/>
  <c r="J27" i="1" a="1"/>
  <c r="J27" i="1" s="1"/>
  <c r="P95" i="1" a="1"/>
  <c r="P95" i="1" s="1"/>
  <c r="F105" i="1" a="1"/>
  <c r="F105" i="1" s="1"/>
  <c r="J10" i="1" a="1"/>
  <c r="J10" i="1" s="1"/>
  <c r="P102" i="1" a="1"/>
  <c r="P102" i="1" s="1"/>
  <c r="D10" i="1" a="1"/>
  <c r="D10" i="1" s="1"/>
  <c r="P49" i="1" a="1"/>
  <c r="P49" i="1" s="1"/>
  <c r="P94" i="1" a="1"/>
  <c r="P94" i="1" s="1"/>
  <c r="Q94" i="1" a="1"/>
  <c r="Q94" i="1" s="1"/>
  <c r="P27" i="1" a="1"/>
  <c r="P27" i="1" s="1"/>
  <c r="P105" i="1" a="1"/>
  <c r="P105" i="1" s="1"/>
  <c r="Q22" i="1" a="1"/>
  <c r="Q22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P59" i="1" a="1"/>
  <c r="P59" i="1" s="1"/>
  <c r="F9" i="1" a="1"/>
  <c r="F9" i="1" s="1"/>
  <c r="P22" i="1" a="1"/>
  <c r="P22" i="1" s="1"/>
  <c r="P87" i="1" a="1"/>
  <c r="P87" i="1" s="1"/>
  <c r="H9" i="1" a="1"/>
  <c r="H9" i="1" s="1"/>
  <c r="P47" i="1" a="1"/>
  <c r="P47" i="1" s="1"/>
  <c r="H6" i="1" a="1"/>
  <c r="H6" i="1" s="1"/>
  <c r="F7" i="1" a="1"/>
  <c r="F7" i="1" s="1"/>
  <c r="P82" i="1" a="1"/>
  <c r="P82" i="1" s="1"/>
  <c r="D9" i="1" a="1"/>
  <c r="D9" i="1" s="1"/>
  <c r="P90" i="1" a="1"/>
  <c r="P90" i="1" s="1"/>
  <c r="P79" i="1" a="1"/>
  <c r="P79" i="1" s="1"/>
  <c r="P98" i="1" a="1"/>
  <c r="P98" i="1" s="1"/>
  <c r="P103" i="1" a="1"/>
  <c r="P103" i="1" s="1"/>
  <c r="Q92" i="1" a="1"/>
  <c r="Q92" i="1" s="1"/>
  <c r="Q101" i="1" a="1"/>
  <c r="Q101" i="1" s="1"/>
  <c r="P92" i="1" a="1"/>
  <c r="P92" i="1" s="1"/>
  <c r="Q100" i="1" a="1"/>
  <c r="Q100" i="1" s="1"/>
  <c r="D7" i="1" a="1"/>
  <c r="D7" i="1" s="1"/>
  <c r="F10" i="1" a="1"/>
  <c r="F10" i="1" s="1"/>
  <c r="P97" i="1" a="1"/>
  <c r="P97" i="1" s="1"/>
  <c r="P101" i="1" a="1"/>
  <c r="P101" i="1" s="1"/>
  <c r="P91" i="1" a="1"/>
  <c r="P91" i="1" s="1"/>
  <c r="P96" i="1" a="1"/>
  <c r="P96" i="1" s="1"/>
  <c r="P85" i="1" a="1"/>
  <c r="P85" i="1" s="1"/>
  <c r="P100" i="1" a="1"/>
  <c r="P100" i="1" s="1"/>
  <c r="Q28" i="1" a="1"/>
  <c r="Q28" i="1" s="1"/>
  <c r="F17" i="1" a="1"/>
  <c r="F17" i="1" s="1"/>
  <c r="F34" i="1" a="1"/>
  <c r="F34" i="1" s="1"/>
  <c r="F46" i="1" a="1"/>
  <c r="F46" i="1" s="1"/>
  <c r="F86" i="1" a="1"/>
  <c r="F86" i="1" s="1"/>
  <c r="F67" i="1" a="1"/>
  <c r="F67" i="1" s="1"/>
  <c r="F11" i="1" a="1"/>
  <c r="F11" i="1" s="1"/>
  <c r="F38" i="1" a="1"/>
  <c r="F38" i="1" s="1"/>
  <c r="F90" i="1" a="1"/>
  <c r="F90" i="1" s="1"/>
  <c r="F37" i="1" a="1"/>
  <c r="F37" i="1" s="1"/>
  <c r="F26" i="1" a="1"/>
  <c r="F26" i="1" s="1"/>
  <c r="F24" i="1" a="1"/>
  <c r="F24" i="1" s="1"/>
  <c r="F35" i="1" a="1"/>
  <c r="F35" i="1" s="1"/>
  <c r="F69" i="1" a="1"/>
  <c r="F69" i="1" s="1"/>
  <c r="F5" i="1" a="1"/>
  <c r="F5" i="1" s="1"/>
  <c r="F21" i="1" a="1"/>
  <c r="F21" i="1" s="1"/>
  <c r="F16" i="1" a="1"/>
  <c r="F16" i="1" s="1"/>
  <c r="Q104" i="1" a="1"/>
  <c r="Q104" i="1" s="1"/>
  <c r="Q96" i="1" a="1"/>
  <c r="Q96" i="1" s="1"/>
  <c r="P28" i="1" a="1"/>
  <c r="P28" i="1" s="1"/>
  <c r="Q41" i="1" a="1"/>
  <c r="Q41" i="1" s="1"/>
  <c r="Q86" i="1" a="1"/>
  <c r="Q86" i="1" s="1"/>
  <c r="F50" i="1" a="1"/>
  <c r="F50" i="1" s="1"/>
  <c r="D5" i="1" a="1"/>
  <c r="D5" i="1" s="1"/>
  <c r="F25" i="1" a="1"/>
  <c r="F25" i="1" s="1"/>
  <c r="H5" i="1" a="1"/>
  <c r="H5" i="1" s="1"/>
  <c r="F45" i="1" a="1"/>
  <c r="F45" i="1" s="1"/>
  <c r="F91" i="1" a="1"/>
  <c r="F91" i="1" s="1"/>
  <c r="J5" i="1" a="1"/>
  <c r="J5" i="1" s="1"/>
  <c r="D11" i="1" a="1"/>
  <c r="D11" i="1" s="1"/>
  <c r="H2" i="1" a="1"/>
  <c r="H2" i="1" s="1"/>
  <c r="F93" i="1" a="1"/>
  <c r="F93" i="1" s="1"/>
  <c r="F100" i="1" a="1"/>
  <c r="F100" i="1" s="1"/>
  <c r="F23" i="1" a="1"/>
  <c r="F23" i="1" s="1"/>
  <c r="F6" i="1" a="1"/>
  <c r="F6" i="1" s="1"/>
  <c r="D2" i="1" a="1"/>
  <c r="D2" i="1" s="1"/>
  <c r="F27" i="1" a="1"/>
  <c r="F27" i="1" s="1"/>
  <c r="F39" i="1" a="1"/>
  <c r="F39" i="1" s="1"/>
  <c r="Q99" i="1" a="1"/>
  <c r="Q99" i="1" s="1"/>
  <c r="Q95" i="1" a="1"/>
  <c r="Q95" i="1" s="1"/>
  <c r="Q27" i="1" a="1"/>
  <c r="Q27" i="1" s="1"/>
  <c r="F96" i="1" a="1"/>
  <c r="F96" i="1" s="1"/>
  <c r="F36" i="1" a="1"/>
  <c r="F36" i="1" s="1"/>
  <c r="H8" i="1" a="1"/>
  <c r="H8" i="1" s="1"/>
  <c r="F20" i="1" a="1"/>
  <c r="F20" i="1" s="1"/>
  <c r="F62" i="1" a="1"/>
  <c r="F62" i="1" s="1"/>
  <c r="F33" i="1" a="1"/>
  <c r="F33" i="1" s="1"/>
  <c r="F14" i="1" a="1"/>
  <c r="F14" i="1" s="1"/>
  <c r="F57" i="1" a="1"/>
  <c r="F57" i="1" s="1"/>
  <c r="F70" i="1" a="1"/>
  <c r="F70" i="1" s="1"/>
  <c r="F42" i="1" a="1"/>
  <c r="F42" i="1" s="1"/>
  <c r="F99" i="1" a="1"/>
  <c r="F99" i="1" s="1"/>
  <c r="F43" i="1" a="1"/>
  <c r="F43" i="1" s="1"/>
  <c r="J11" i="1" a="1"/>
  <c r="J11" i="1" s="1"/>
  <c r="F102" i="1" a="1"/>
  <c r="F102" i="1" s="1"/>
  <c r="F28" i="1" a="1"/>
  <c r="F28" i="1" s="1"/>
  <c r="F101" i="1" a="1"/>
  <c r="F101" i="1" s="1"/>
  <c r="Q91" i="1" a="1"/>
  <c r="Q91" i="1" s="1"/>
  <c r="Q47" i="1" a="1"/>
  <c r="Q47" i="1" s="1"/>
  <c r="Q102" i="1" a="1"/>
  <c r="Q102" i="1" s="1"/>
  <c r="P86" i="1" a="1"/>
  <c r="P86" i="1" s="1"/>
  <c r="Q105" i="1" a="1"/>
  <c r="Q105" i="1" s="1"/>
  <c r="Q85" i="1" a="1"/>
  <c r="Q85" i="1" s="1"/>
  <c r="Q82" i="1" a="1"/>
  <c r="Q82" i="1" s="1"/>
  <c r="F41" i="1" a="1"/>
  <c r="F41" i="1" s="1"/>
  <c r="F78" i="1" a="1"/>
  <c r="F78" i="1" s="1"/>
  <c r="F32" i="1" a="1"/>
  <c r="F32" i="1" s="1"/>
  <c r="F79" i="1" a="1"/>
  <c r="F79" i="1" s="1"/>
  <c r="F82" i="1" a="1"/>
  <c r="F82" i="1" s="1"/>
  <c r="F59" i="1" a="1"/>
  <c r="F59" i="1" s="1"/>
  <c r="F58" i="1" a="1"/>
  <c r="F58" i="1" s="1"/>
  <c r="F104" i="1" a="1"/>
  <c r="F104" i="1" s="1"/>
  <c r="F74" i="1" a="1"/>
  <c r="F74" i="1" s="1"/>
  <c r="J6" i="1" a="1"/>
  <c r="J6" i="1" s="1"/>
  <c r="F61" i="1" a="1"/>
  <c r="F61" i="1" s="1"/>
  <c r="F40" i="1" a="1"/>
  <c r="F40" i="1" s="1"/>
  <c r="F13" i="1" a="1"/>
  <c r="F13" i="1" s="1"/>
  <c r="F97" i="1" a="1"/>
  <c r="F97" i="1" s="1"/>
  <c r="F73" i="1" a="1"/>
  <c r="F73" i="1" s="1"/>
  <c r="D6" i="1" a="1"/>
  <c r="D6" i="1" s="1"/>
  <c r="Q83" i="1" a="1"/>
  <c r="Q83" i="1" s="1"/>
  <c r="Q97" i="1" a="1"/>
  <c r="Q97" i="1" s="1"/>
  <c r="Q89" i="1" a="1"/>
  <c r="Q89" i="1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L37" i="1" l="1" a="1"/>
  <c r="L37" i="1" s="1"/>
  <c r="K6" i="1" a="1"/>
  <c r="K6" i="1" s="1"/>
  <c r="K21" i="1" a="1"/>
  <c r="K21" i="1" s="1"/>
  <c r="K25" i="1" a="1"/>
  <c r="K25" i="1" s="1"/>
  <c r="K10" i="1" a="1"/>
  <c r="K10" i="1" s="1"/>
  <c r="A2" i="13" a="1"/>
  <c r="D17" i="13"/>
  <c r="E18" i="13"/>
  <c r="F19" i="13"/>
  <c r="B21" i="13"/>
  <c r="C22" i="13"/>
  <c r="D23" i="13"/>
  <c r="E24" i="13"/>
  <c r="F25" i="13"/>
  <c r="B27" i="13"/>
  <c r="C28" i="13"/>
  <c r="D29" i="13"/>
  <c r="E30" i="13"/>
  <c r="F31" i="13"/>
  <c r="B33" i="13"/>
  <c r="C34" i="13"/>
  <c r="D35" i="13"/>
  <c r="E36" i="13"/>
  <c r="F37" i="13"/>
  <c r="B39" i="13"/>
  <c r="C40" i="13"/>
  <c r="D41" i="13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E17" i="13"/>
  <c r="F18" i="13"/>
  <c r="B20" i="13"/>
  <c r="C21" i="13"/>
  <c r="D22" i="13"/>
  <c r="E23" i="13"/>
  <c r="F24" i="13"/>
  <c r="B26" i="13"/>
  <c r="C27" i="13"/>
  <c r="D28" i="13"/>
  <c r="E29" i="13"/>
  <c r="F30" i="13"/>
  <c r="B32" i="13"/>
  <c r="C33" i="13"/>
  <c r="D34" i="13"/>
  <c r="E35" i="13"/>
  <c r="F36" i="13"/>
  <c r="B38" i="13"/>
  <c r="C39" i="13"/>
  <c r="D40" i="13"/>
  <c r="E41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F17" i="13"/>
  <c r="B19" i="13"/>
  <c r="C20" i="13"/>
  <c r="D21" i="13"/>
  <c r="E22" i="13"/>
  <c r="F23" i="13"/>
  <c r="B25" i="13"/>
  <c r="C26" i="13"/>
  <c r="D27" i="13"/>
  <c r="E28" i="13"/>
  <c r="F29" i="13"/>
  <c r="B31" i="13"/>
  <c r="C32" i="13"/>
  <c r="D33" i="13"/>
  <c r="E34" i="13"/>
  <c r="F35" i="13"/>
  <c r="B37" i="13"/>
  <c r="C38" i="13"/>
  <c r="D39" i="13"/>
  <c r="E40" i="13"/>
  <c r="F41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18" i="13"/>
  <c r="C19" i="13"/>
  <c r="D20" i="13"/>
  <c r="E21" i="13"/>
  <c r="F22" i="13"/>
  <c r="B24" i="13"/>
  <c r="C25" i="13"/>
  <c r="D26" i="13"/>
  <c r="E27" i="13"/>
  <c r="F28" i="13"/>
  <c r="B30" i="13"/>
  <c r="C31" i="13"/>
  <c r="D32" i="13"/>
  <c r="E33" i="13"/>
  <c r="F34" i="13"/>
  <c r="B36" i="13"/>
  <c r="C37" i="13"/>
  <c r="D38" i="13"/>
  <c r="E39" i="13"/>
  <c r="F40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C18" i="13"/>
  <c r="F21" i="13"/>
  <c r="D25" i="13"/>
  <c r="B29" i="13"/>
  <c r="E32" i="13"/>
  <c r="C36" i="13"/>
  <c r="F39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D18" i="13"/>
  <c r="B22" i="13"/>
  <c r="E25" i="13"/>
  <c r="C29" i="13"/>
  <c r="F32" i="13"/>
  <c r="D36" i="13"/>
  <c r="B40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D19" i="13"/>
  <c r="B23" i="13"/>
  <c r="E26" i="13"/>
  <c r="C30" i="13"/>
  <c r="F33" i="13"/>
  <c r="D37" i="13"/>
  <c r="B41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E19" i="13"/>
  <c r="C23" i="13"/>
  <c r="F26" i="13"/>
  <c r="D30" i="13"/>
  <c r="B34" i="13"/>
  <c r="E37" i="13"/>
  <c r="C41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B17" i="13"/>
  <c r="E20" i="13"/>
  <c r="C24" i="13"/>
  <c r="F27" i="13"/>
  <c r="D31" i="13"/>
  <c r="B35" i="13"/>
  <c r="E38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C17" i="13"/>
  <c r="F20" i="13"/>
  <c r="D24" i="13"/>
  <c r="B28" i="13"/>
  <c r="E31" i="13"/>
  <c r="C35" i="13"/>
  <c r="F38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K13" i="4"/>
  <c r="K50" i="1" s="1" a="1"/>
  <c r="K50" i="1" s="1"/>
  <c r="K20" i="4"/>
  <c r="K74" i="1" s="1" a="1"/>
  <c r="K74" i="1" s="1"/>
  <c r="K4" i="4"/>
  <c r="K23" i="4"/>
  <c r="K56" i="1" s="1" a="1"/>
  <c r="K56" i="1" s="1"/>
  <c r="K6" i="4"/>
  <c r="K7" i="1" s="1" a="1"/>
  <c r="K7" i="1" s="1"/>
  <c r="K7" i="4"/>
  <c r="K13" i="1" s="1" a="1"/>
  <c r="K13" i="1" s="1"/>
  <c r="K14" i="4"/>
  <c r="L57" i="1" a="1"/>
  <c r="L57" i="1" s="1"/>
  <c r="K34" i="4"/>
  <c r="K64" i="1" s="1" a="1"/>
  <c r="K64" i="1" s="1"/>
  <c r="K17" i="4"/>
  <c r="K73" i="1" s="1" a="1"/>
  <c r="K73" i="1" s="1"/>
  <c r="K36" i="4"/>
  <c r="K52" i="1" s="1" a="1"/>
  <c r="K52" i="1" s="1"/>
  <c r="K37" i="4"/>
  <c r="K65" i="1" s="1" a="1"/>
  <c r="K65" i="1" s="1"/>
  <c r="K8" i="4"/>
  <c r="K23" i="1" s="1" a="1"/>
  <c r="K23" i="1" s="1"/>
  <c r="K21" i="4"/>
  <c r="K28" i="4"/>
  <c r="K30" i="4"/>
  <c r="K63" i="1" s="1" a="1"/>
  <c r="K63" i="1" s="1"/>
  <c r="K31" i="4"/>
  <c r="K38" i="4"/>
  <c r="K12" i="1" s="1" a="1"/>
  <c r="K12" i="1" s="1"/>
  <c r="K15" i="4"/>
  <c r="K46" i="1" s="1" a="1"/>
  <c r="K46" i="1" s="1"/>
  <c r="K22" i="4"/>
  <c r="K61" i="1" s="1" a="1"/>
  <c r="K61" i="1" s="1"/>
  <c r="K41" i="4"/>
  <c r="K77" i="1" s="1" a="1"/>
  <c r="K77" i="1" s="1"/>
  <c r="K5" i="4"/>
  <c r="K24" i="4"/>
  <c r="K32" i="4"/>
  <c r="K71" i="1" s="1" a="1"/>
  <c r="K71" i="1" s="1"/>
  <c r="K9" i="4"/>
  <c r="K24" i="1" s="1" a="1"/>
  <c r="K24" i="1" s="1"/>
  <c r="K16" i="4"/>
  <c r="K80" i="1" s="1" a="1"/>
  <c r="K80" i="1" s="1"/>
  <c r="K35" i="4"/>
  <c r="K68" i="1" s="1" a="1"/>
  <c r="K68" i="1" s="1"/>
  <c r="K18" i="4"/>
  <c r="K26" i="4"/>
  <c r="K14" i="1" s="1" a="1"/>
  <c r="K14" i="1" s="1"/>
  <c r="K3" i="4"/>
  <c r="K39" i="1" s="1" a="1"/>
  <c r="K39" i="1" s="1"/>
  <c r="K9" i="1" a="1"/>
  <c r="K9" i="1" s="1"/>
  <c r="K3" i="1" a="1"/>
  <c r="K3" i="1" s="1"/>
  <c r="K11" i="1" a="1"/>
  <c r="K11" i="1" s="1"/>
  <c r="K2" i="1" a="1"/>
  <c r="K2" i="1" s="1"/>
  <c r="D2" i="8"/>
  <c r="G2" i="8" s="1"/>
  <c r="E2" i="8"/>
  <c r="H2" i="8" s="1"/>
  <c r="H94" i="12"/>
  <c r="H226" i="12"/>
  <c r="J18" i="12"/>
  <c r="J71" i="12"/>
  <c r="K125" i="12"/>
  <c r="J237" i="12"/>
  <c r="K64" i="12"/>
  <c r="H123" i="12"/>
  <c r="H194" i="12"/>
  <c r="H315" i="12"/>
  <c r="K21" i="12"/>
  <c r="K185" i="12"/>
  <c r="J310" i="12"/>
  <c r="H67" i="12"/>
  <c r="K150" i="12"/>
  <c r="K22" i="12"/>
  <c r="K135" i="12"/>
  <c r="J142" i="12"/>
  <c r="H364" i="12"/>
  <c r="J159" i="12"/>
  <c r="K117" i="12"/>
  <c r="J431" i="12"/>
  <c r="H31" i="12"/>
  <c r="H75" i="12"/>
  <c r="J394" i="12"/>
  <c r="K172" i="12"/>
  <c r="H317" i="12"/>
  <c r="H403" i="12"/>
  <c r="K44" i="12"/>
  <c r="J136" i="12"/>
  <c r="H234" i="12"/>
  <c r="K146" i="12"/>
  <c r="J397" i="12"/>
  <c r="K77" i="12"/>
  <c r="J411" i="12"/>
  <c r="H95" i="12"/>
  <c r="K199" i="12"/>
  <c r="J183" i="12"/>
  <c r="H391" i="12"/>
  <c r="H47" i="12"/>
  <c r="H200" i="12"/>
  <c r="K132" i="12"/>
  <c r="J171" i="12"/>
  <c r="J242" i="12"/>
  <c r="H376" i="12"/>
  <c r="K38" i="12"/>
  <c r="H344" i="12"/>
  <c r="H399" i="12"/>
  <c r="H372" i="12"/>
  <c r="K8" i="12"/>
  <c r="K180" i="12"/>
  <c r="J367" i="12"/>
  <c r="J147" i="12"/>
  <c r="J430" i="12"/>
  <c r="J173" i="12"/>
  <c r="J232" i="12"/>
  <c r="J276" i="12"/>
  <c r="H56" i="12"/>
  <c r="J338" i="12"/>
  <c r="H76" i="12"/>
  <c r="H197" i="12"/>
  <c r="K192" i="12"/>
  <c r="J312" i="12"/>
  <c r="H203" i="12"/>
  <c r="J261" i="12"/>
  <c r="H16" i="12"/>
  <c r="J121" i="12"/>
  <c r="H52" i="12"/>
  <c r="H210" i="12"/>
  <c r="J249" i="12"/>
  <c r="H355" i="12"/>
  <c r="J41" i="12"/>
  <c r="K15" i="12"/>
  <c r="K126" i="12"/>
  <c r="H247" i="12"/>
  <c r="J224" i="12"/>
  <c r="H73" i="12"/>
  <c r="K194" i="12"/>
  <c r="J334" i="12"/>
  <c r="J132" i="12"/>
  <c r="H118" i="12"/>
  <c r="J323" i="12"/>
  <c r="J300" i="12"/>
  <c r="H211" i="12"/>
  <c r="H422" i="12"/>
  <c r="J143" i="12"/>
  <c r="K11" i="12"/>
  <c r="K177" i="12"/>
  <c r="H386" i="12"/>
  <c r="H163" i="12"/>
  <c r="H357" i="12"/>
  <c r="H48" i="12"/>
  <c r="H415" i="12"/>
  <c r="H346" i="12"/>
  <c r="J349" i="12"/>
  <c r="H324" i="12"/>
  <c r="J84" i="12"/>
  <c r="J351" i="12"/>
  <c r="H431" i="12"/>
  <c r="H398" i="12"/>
  <c r="J228" i="12"/>
  <c r="J10" i="12"/>
  <c r="H295" i="12"/>
  <c r="J89" i="12"/>
  <c r="K245" i="12"/>
  <c r="H64" i="12"/>
  <c r="H169" i="12"/>
  <c r="K72" i="12"/>
  <c r="J375" i="12"/>
  <c r="H35" i="12"/>
  <c r="J217" i="12"/>
  <c r="J402" i="12"/>
  <c r="J333" i="12"/>
  <c r="J255" i="12"/>
  <c r="H356" i="12"/>
  <c r="J322" i="12"/>
  <c r="H9" i="12"/>
  <c r="K165" i="12"/>
  <c r="H409" i="12"/>
  <c r="K195" i="12"/>
  <c r="J396" i="12"/>
  <c r="J420" i="12"/>
  <c r="H347" i="12"/>
  <c r="K235" i="12"/>
  <c r="H312" i="12"/>
  <c r="H332" i="12"/>
  <c r="J247" i="12"/>
  <c r="J14" i="12"/>
  <c r="K58" i="12"/>
  <c r="J214" i="12"/>
  <c r="H370" i="12"/>
  <c r="H254" i="12"/>
  <c r="J116" i="12"/>
  <c r="H229" i="12"/>
  <c r="K103" i="12"/>
  <c r="H148" i="12"/>
  <c r="J172" i="12"/>
  <c r="K93" i="12"/>
  <c r="H270" i="12"/>
  <c r="K76" i="12"/>
  <c r="H183" i="12"/>
  <c r="J210" i="12"/>
  <c r="J425" i="12"/>
  <c r="H157" i="12"/>
  <c r="H90" i="12"/>
  <c r="K193" i="12"/>
  <c r="J222" i="12"/>
  <c r="H268" i="12"/>
  <c r="H149" i="12"/>
  <c r="H70" i="12"/>
  <c r="H413" i="12"/>
  <c r="H352" i="12"/>
  <c r="H209" i="12"/>
  <c r="J361" i="12"/>
  <c r="H93" i="12"/>
  <c r="J49" i="12"/>
  <c r="K54" i="12"/>
  <c r="J35" i="12"/>
  <c r="J146" i="12"/>
  <c r="K186" i="12"/>
  <c r="J443" i="12"/>
  <c r="H62" i="12"/>
  <c r="J352" i="12"/>
  <c r="H20" i="12"/>
  <c r="J252" i="12"/>
  <c r="H383" i="12"/>
  <c r="K217" i="12"/>
  <c r="H388" i="12"/>
  <c r="J389" i="12"/>
  <c r="J108" i="12"/>
  <c r="J20" i="12"/>
  <c r="J418" i="12"/>
  <c r="K153" i="12"/>
  <c r="H373" i="12"/>
  <c r="H246" i="12"/>
  <c r="J95" i="12"/>
  <c r="K241" i="12"/>
  <c r="H174" i="12"/>
  <c r="H387" i="12"/>
  <c r="K123" i="12"/>
  <c r="H276" i="12"/>
  <c r="H23" i="12"/>
  <c r="J417" i="12"/>
  <c r="J327" i="12"/>
  <c r="J112" i="12"/>
  <c r="H360" i="12"/>
  <c r="H368" i="12"/>
  <c r="H72" i="12"/>
  <c r="H261" i="12"/>
  <c r="H359" i="12"/>
  <c r="J16" i="12"/>
  <c r="K81" i="12"/>
  <c r="H417" i="12"/>
  <c r="J67" i="12"/>
  <c r="K74" i="12"/>
  <c r="H24" i="12"/>
  <c r="H248" i="12"/>
  <c r="H137" i="12"/>
  <c r="K113" i="12"/>
  <c r="J433" i="12"/>
  <c r="H206" i="12"/>
  <c r="J179" i="12"/>
  <c r="J28" i="12"/>
  <c r="H225" i="12"/>
  <c r="J317" i="12"/>
  <c r="J202" i="12"/>
  <c r="K66" i="12"/>
  <c r="J280" i="12"/>
  <c r="H433" i="12"/>
  <c r="H334" i="12"/>
  <c r="J371" i="12"/>
  <c r="J398" i="12"/>
  <c r="J30" i="12"/>
  <c r="H382" i="12"/>
  <c r="J241" i="12"/>
  <c r="J36" i="12"/>
  <c r="J270" i="12"/>
  <c r="J42" i="12"/>
  <c r="H198" i="12"/>
  <c r="H235" i="12"/>
  <c r="J225" i="12"/>
  <c r="K187" i="12"/>
  <c r="J77" i="12"/>
  <c r="K60" i="12"/>
  <c r="J59" i="12"/>
  <c r="H320" i="12"/>
  <c r="J385" i="12"/>
  <c r="J72" i="12"/>
  <c r="J233" i="12"/>
  <c r="H71" i="12"/>
  <c r="H120" i="12"/>
  <c r="J154" i="12"/>
  <c r="H126" i="12"/>
  <c r="J55" i="12"/>
  <c r="H255" i="12"/>
  <c r="H402" i="12"/>
  <c r="H131" i="12"/>
  <c r="H274" i="12"/>
  <c r="H281" i="12"/>
  <c r="K48" i="12"/>
  <c r="K207" i="12"/>
  <c r="K92" i="12"/>
  <c r="J256" i="12"/>
  <c r="H184" i="12"/>
  <c r="K147" i="12"/>
  <c r="H393" i="12"/>
  <c r="H273" i="12"/>
  <c r="J96" i="12"/>
  <c r="H292" i="12"/>
  <c r="H113" i="12"/>
  <c r="K28" i="12"/>
  <c r="H160" i="12"/>
  <c r="J170" i="12"/>
  <c r="J70" i="12"/>
  <c r="J235" i="12"/>
  <c r="J125" i="12"/>
  <c r="H185" i="12"/>
  <c r="J43" i="12"/>
  <c r="J434" i="12"/>
  <c r="H411" i="12"/>
  <c r="J105" i="12"/>
  <c r="H201" i="12"/>
  <c r="J403" i="12"/>
  <c r="K104" i="12"/>
  <c r="K55" i="12"/>
  <c r="H241" i="12"/>
  <c r="K156" i="12"/>
  <c r="K24" i="12"/>
  <c r="K190" i="12"/>
  <c r="H298" i="12"/>
  <c r="H348" i="12"/>
  <c r="K223" i="12"/>
  <c r="J40" i="12"/>
  <c r="H233" i="12"/>
  <c r="J207" i="12"/>
  <c r="H60" i="12"/>
  <c r="K251" i="12"/>
  <c r="H408" i="12"/>
  <c r="H353" i="12"/>
  <c r="J25" i="12"/>
  <c r="H164" i="12"/>
  <c r="J267" i="12"/>
  <c r="H112" i="12"/>
  <c r="J313" i="12"/>
  <c r="J22" i="12"/>
  <c r="J264" i="12"/>
  <c r="K166" i="12"/>
  <c r="J364" i="12"/>
  <c r="J348" i="12"/>
  <c r="J206" i="12"/>
  <c r="J337" i="12"/>
  <c r="J45" i="12"/>
  <c r="H228" i="12"/>
  <c r="H392" i="12"/>
  <c r="H65" i="12"/>
  <c r="J212" i="12"/>
  <c r="J341" i="12"/>
  <c r="J44" i="12"/>
  <c r="H28" i="12"/>
  <c r="K33" i="12"/>
  <c r="J205" i="12"/>
  <c r="K154" i="12"/>
  <c r="J15" i="12"/>
  <c r="H263" i="12"/>
  <c r="J308" i="12"/>
  <c r="H189" i="12"/>
  <c r="J99" i="12"/>
  <c r="J302" i="12"/>
  <c r="J414" i="12"/>
  <c r="K12" i="12"/>
  <c r="H340" i="12"/>
  <c r="K249" i="12"/>
  <c r="H244" i="12"/>
  <c r="J149" i="12"/>
  <c r="H272" i="12"/>
  <c r="H111" i="12"/>
  <c r="H196" i="12"/>
  <c r="J178" i="12"/>
  <c r="K90" i="12"/>
  <c r="J441" i="12"/>
  <c r="H313" i="12"/>
  <c r="J265" i="12"/>
  <c r="J165" i="12"/>
  <c r="J32" i="12"/>
  <c r="H365" i="12"/>
  <c r="J377" i="12"/>
  <c r="K20" i="12"/>
  <c r="J97" i="12"/>
  <c r="K88" i="12"/>
  <c r="H271" i="12"/>
  <c r="J400" i="12"/>
  <c r="J244" i="12"/>
  <c r="J63" i="12"/>
  <c r="H389" i="12"/>
  <c r="J429" i="12"/>
  <c r="H301" i="12"/>
  <c r="K122" i="12"/>
  <c r="J266" i="12"/>
  <c r="H173" i="12"/>
  <c r="J303" i="12"/>
  <c r="J262" i="12"/>
  <c r="K78" i="12"/>
  <c r="K105" i="12"/>
  <c r="H186" i="12"/>
  <c r="H278" i="12"/>
  <c r="K94" i="12"/>
  <c r="J62" i="12"/>
  <c r="J101" i="12"/>
  <c r="J139" i="12"/>
  <c r="J216" i="12"/>
  <c r="J376" i="12"/>
  <c r="H105" i="12"/>
  <c r="J283" i="12"/>
  <c r="H162" i="12"/>
  <c r="H311" i="12"/>
  <c r="J193" i="12"/>
  <c r="K29" i="12"/>
  <c r="H231" i="12"/>
  <c r="H158" i="12"/>
  <c r="H256" i="12"/>
  <c r="K83" i="12"/>
  <c r="J275" i="12"/>
  <c r="H242" i="12"/>
  <c r="H61" i="12"/>
  <c r="H223" i="12"/>
  <c r="H133" i="12"/>
  <c r="J350" i="12"/>
  <c r="H319" i="12"/>
  <c r="H191" i="12"/>
  <c r="H109" i="12"/>
  <c r="H318" i="12"/>
  <c r="H308" i="12"/>
  <c r="K145" i="12"/>
  <c r="H345" i="12"/>
  <c r="H91" i="12"/>
  <c r="J197" i="12"/>
  <c r="K204" i="12"/>
  <c r="K47" i="12"/>
  <c r="K45" i="12"/>
  <c r="H239" i="12"/>
  <c r="J188" i="12"/>
  <c r="J401" i="12"/>
  <c r="H124" i="12"/>
  <c r="H59" i="12"/>
  <c r="J107" i="12"/>
  <c r="H432" i="12"/>
  <c r="K70" i="12"/>
  <c r="J9" i="12"/>
  <c r="J384" i="12"/>
  <c r="K219" i="12"/>
  <c r="J115" i="12"/>
  <c r="J258" i="12"/>
  <c r="H57" i="12"/>
  <c r="J68" i="12"/>
  <c r="J318" i="12"/>
  <c r="K176" i="12"/>
  <c r="H264" i="12"/>
  <c r="J332" i="12"/>
  <c r="J192" i="12"/>
  <c r="K239" i="12"/>
  <c r="K242" i="12"/>
  <c r="J346" i="12"/>
  <c r="K229" i="12"/>
  <c r="H384" i="12"/>
  <c r="H426" i="12"/>
  <c r="H100" i="12"/>
  <c r="J102" i="12"/>
  <c r="H425" i="12"/>
  <c r="K129" i="12"/>
  <c r="J227" i="12"/>
  <c r="J83" i="12"/>
  <c r="K119" i="12"/>
  <c r="J362" i="12"/>
  <c r="J215" i="12"/>
  <c r="J223" i="12"/>
  <c r="K152" i="12"/>
  <c r="J356" i="12"/>
  <c r="H141" i="12"/>
  <c r="H325" i="12"/>
  <c r="J198" i="12"/>
  <c r="J360" i="12"/>
  <c r="H119" i="12"/>
  <c r="J47" i="12"/>
  <c r="J357" i="12"/>
  <c r="J285" i="12"/>
  <c r="H219" i="12"/>
  <c r="H350" i="12"/>
  <c r="J79" i="12"/>
  <c r="J106" i="12"/>
  <c r="J383" i="12"/>
  <c r="H336" i="12"/>
  <c r="H307" i="12"/>
  <c r="K39" i="12"/>
  <c r="H378" i="12"/>
  <c r="J446" i="12"/>
  <c r="H53" i="12"/>
  <c r="J177" i="12"/>
  <c r="H419" i="12"/>
  <c r="J175" i="12"/>
  <c r="H400" i="12"/>
  <c r="K102" i="12"/>
  <c r="H375" i="12"/>
  <c r="K178" i="12"/>
  <c r="H117" i="12"/>
  <c r="J415" i="12"/>
  <c r="K23" i="12"/>
  <c r="H187" i="12"/>
  <c r="J321" i="12"/>
  <c r="K128" i="12"/>
  <c r="J12" i="12"/>
  <c r="J160" i="12"/>
  <c r="H135" i="12"/>
  <c r="K80" i="12"/>
  <c r="J131" i="12"/>
  <c r="J366" i="12"/>
  <c r="H152" i="12"/>
  <c r="K208" i="12"/>
  <c r="K158" i="12"/>
  <c r="K69" i="12"/>
  <c r="H230" i="12"/>
  <c r="J374" i="12"/>
  <c r="J117" i="12"/>
  <c r="H204" i="12"/>
  <c r="J363" i="12"/>
  <c r="H435" i="12"/>
  <c r="K116" i="12"/>
  <c r="H121" i="12"/>
  <c r="H253" i="12"/>
  <c r="J380" i="12"/>
  <c r="K10" i="12"/>
  <c r="J38" i="12"/>
  <c r="K138" i="12"/>
  <c r="H88" i="12"/>
  <c r="H212" i="12"/>
  <c r="H331" i="12"/>
  <c r="K41" i="12"/>
  <c r="K82" i="12"/>
  <c r="K148" i="12"/>
  <c r="J282" i="12"/>
  <c r="J340" i="12"/>
  <c r="H249" i="12"/>
  <c r="H416" i="12"/>
  <c r="J208" i="12"/>
  <c r="K100" i="12"/>
  <c r="H102" i="12"/>
  <c r="H371" i="12"/>
  <c r="J196" i="12"/>
  <c r="J185" i="12"/>
  <c r="H309" i="12"/>
  <c r="J413" i="12"/>
  <c r="J134" i="12"/>
  <c r="H322" i="12"/>
  <c r="J328" i="12"/>
  <c r="J445" i="12"/>
  <c r="H326" i="12"/>
  <c r="H305" i="12"/>
  <c r="H394" i="12"/>
  <c r="J8" i="12"/>
  <c r="J161" i="12"/>
  <c r="J305" i="12"/>
  <c r="K115" i="12"/>
  <c r="H89" i="12"/>
  <c r="J325" i="12"/>
  <c r="J145" i="12"/>
  <c r="H280" i="12"/>
  <c r="H434" i="12"/>
  <c r="K111" i="12"/>
  <c r="K171" i="12"/>
  <c r="H107" i="12"/>
  <c r="H22" i="12"/>
  <c r="J194" i="12"/>
  <c r="J293" i="12"/>
  <c r="J114" i="12"/>
  <c r="H215" i="12"/>
  <c r="H55" i="12"/>
  <c r="J331" i="12"/>
  <c r="H106" i="12"/>
  <c r="J113" i="12"/>
  <c r="J124" i="12"/>
  <c r="H46" i="12"/>
  <c r="J421" i="12"/>
  <c r="K43" i="12"/>
  <c r="H237" i="12"/>
  <c r="J373" i="12"/>
  <c r="K161" i="12"/>
  <c r="J405" i="12"/>
  <c r="J298" i="12"/>
  <c r="J98" i="12"/>
  <c r="H180" i="12"/>
  <c r="H97" i="12"/>
  <c r="J91" i="12"/>
  <c r="H101" i="12"/>
  <c r="J169" i="12"/>
  <c r="H395" i="12"/>
  <c r="K173" i="12"/>
  <c r="H224" i="12"/>
  <c r="J432" i="12"/>
  <c r="H310" i="12"/>
  <c r="J26" i="12"/>
  <c r="H155" i="12"/>
  <c r="H277" i="12"/>
  <c r="H130" i="12"/>
  <c r="H136" i="12"/>
  <c r="J358" i="12"/>
  <c r="H390" i="12"/>
  <c r="K179" i="12"/>
  <c r="H288" i="12"/>
  <c r="J88" i="12"/>
  <c r="H404" i="12"/>
  <c r="J182" i="12"/>
  <c r="J399" i="12"/>
  <c r="J343" i="12"/>
  <c r="H171" i="12"/>
  <c r="K51" i="12"/>
  <c r="J153" i="12"/>
  <c r="K234" i="12"/>
  <c r="J234" i="12"/>
  <c r="J245" i="12"/>
  <c r="K97" i="12"/>
  <c r="J370" i="12"/>
  <c r="J209" i="12"/>
  <c r="J347" i="12"/>
  <c r="K139" i="12"/>
  <c r="H12" i="12"/>
  <c r="H323" i="12"/>
  <c r="J315" i="12"/>
  <c r="H128" i="12"/>
  <c r="H19" i="12"/>
  <c r="H342" i="12"/>
  <c r="J281" i="12"/>
  <c r="K155" i="12"/>
  <c r="J253" i="12"/>
  <c r="J87" i="12"/>
  <c r="K110" i="12"/>
  <c r="J294" i="12"/>
  <c r="H151" i="12"/>
  <c r="H412" i="12"/>
  <c r="K17" i="12"/>
  <c r="K196" i="12"/>
  <c r="J94" i="12"/>
  <c r="K35" i="12"/>
  <c r="J269" i="12"/>
  <c r="K225" i="12"/>
  <c r="H414" i="12"/>
  <c r="H250" i="12"/>
  <c r="J174" i="12"/>
  <c r="H354" i="12"/>
  <c r="H266" i="12"/>
  <c r="J354" i="12"/>
  <c r="H80" i="12"/>
  <c r="H380" i="12"/>
  <c r="H10" i="12"/>
  <c r="H406" i="12"/>
  <c r="J393" i="12"/>
  <c r="K9" i="12"/>
  <c r="J219" i="12"/>
  <c r="J309" i="12"/>
  <c r="K27" i="12"/>
  <c r="J279" i="12"/>
  <c r="H11" i="12"/>
  <c r="J201" i="12"/>
  <c r="J7" i="12"/>
  <c r="H381" i="12"/>
  <c r="H245" i="12"/>
  <c r="H358" i="12"/>
  <c r="J320" i="12"/>
  <c r="J123" i="12"/>
  <c r="J435" i="12"/>
  <c r="J295" i="12"/>
  <c r="K203" i="12"/>
  <c r="H192" i="12"/>
  <c r="J86" i="12"/>
  <c r="J329" i="12"/>
  <c r="J204" i="12"/>
  <c r="K236" i="12"/>
  <c r="J33" i="12"/>
  <c r="H297" i="12"/>
  <c r="J220" i="12"/>
  <c r="H30" i="12"/>
  <c r="J422" i="12"/>
  <c r="J23" i="12"/>
  <c r="H58" i="12"/>
  <c r="H49" i="12"/>
  <c r="H361" i="12"/>
  <c r="H14" i="12"/>
  <c r="J330" i="12"/>
  <c r="J390" i="12"/>
  <c r="J440" i="12"/>
  <c r="H116" i="12"/>
  <c r="J290" i="12"/>
  <c r="J190" i="12"/>
  <c r="J272" i="12"/>
  <c r="H190" i="12"/>
  <c r="H92" i="12"/>
  <c r="H99" i="12"/>
  <c r="H168" i="12"/>
  <c r="J100" i="12"/>
  <c r="H222" i="12"/>
  <c r="H166" i="12"/>
  <c r="J372" i="12"/>
  <c r="J226" i="12"/>
  <c r="H161" i="12"/>
  <c r="J162" i="12"/>
  <c r="J189" i="12"/>
  <c r="H289" i="12"/>
  <c r="K57" i="12"/>
  <c r="J271" i="12"/>
  <c r="H236" i="12"/>
  <c r="K202" i="12"/>
  <c r="K151" i="12"/>
  <c r="H428" i="12"/>
  <c r="J82" i="12"/>
  <c r="J292" i="12"/>
  <c r="K130" i="12"/>
  <c r="H32" i="12"/>
  <c r="H26" i="12"/>
  <c r="H138" i="12"/>
  <c r="J51" i="12"/>
  <c r="J191" i="12"/>
  <c r="H260" i="12"/>
  <c r="J250" i="12"/>
  <c r="H339" i="12"/>
  <c r="J90" i="12"/>
  <c r="K25" i="12"/>
  <c r="J369" i="12"/>
  <c r="J50" i="12"/>
  <c r="J246" i="12"/>
  <c r="K114" i="12"/>
  <c r="J365" i="12"/>
  <c r="H427" i="12"/>
  <c r="J203" i="12"/>
  <c r="K226" i="12"/>
  <c r="H328" i="12"/>
  <c r="K210" i="12"/>
  <c r="J155" i="12"/>
  <c r="K32" i="12"/>
  <c r="H401" i="12"/>
  <c r="J152" i="12"/>
  <c r="H143" i="12"/>
  <c r="H74" i="12"/>
  <c r="J211" i="12"/>
  <c r="H259" i="12"/>
  <c r="J248" i="12"/>
  <c r="K168" i="12"/>
  <c r="J37" i="12"/>
  <c r="H303" i="12"/>
  <c r="H220" i="12"/>
  <c r="H43" i="12"/>
  <c r="H385" i="12"/>
  <c r="H407" i="12"/>
  <c r="H82" i="12"/>
  <c r="J73" i="12"/>
  <c r="H341" i="12"/>
  <c r="H29" i="12"/>
  <c r="J76" i="12"/>
  <c r="H285" i="12"/>
  <c r="J273" i="12"/>
  <c r="H178" i="12"/>
  <c r="J231" i="12"/>
  <c r="H377" i="12"/>
  <c r="H290" i="12"/>
  <c r="H269" i="12"/>
  <c r="H140" i="12"/>
  <c r="K149" i="12"/>
  <c r="J81" i="12"/>
  <c r="K233" i="12"/>
  <c r="H172" i="12"/>
  <c r="H221" i="12"/>
  <c r="H40" i="12"/>
  <c r="K224" i="12"/>
  <c r="K209" i="12"/>
  <c r="H304" i="12"/>
  <c r="H374" i="12"/>
  <c r="H293" i="12"/>
  <c r="J137" i="12"/>
  <c r="J416" i="12"/>
  <c r="J304" i="12"/>
  <c r="K205" i="12"/>
  <c r="J13" i="12"/>
  <c r="H42" i="12"/>
  <c r="J140" i="12"/>
  <c r="H86" i="12"/>
  <c r="K37" i="12"/>
  <c r="H21" i="12"/>
  <c r="H83" i="12"/>
  <c r="J382" i="12"/>
  <c r="H129" i="12"/>
  <c r="J288" i="12"/>
  <c r="K52" i="12"/>
  <c r="H85" i="12"/>
  <c r="K197" i="12"/>
  <c r="J424" i="12"/>
  <c r="K84" i="12"/>
  <c r="H150" i="12"/>
  <c r="J437" i="12"/>
  <c r="J326" i="12"/>
  <c r="J291" i="12"/>
  <c r="H108" i="12"/>
  <c r="J158" i="12"/>
  <c r="H153" i="12"/>
  <c r="K248" i="12"/>
  <c r="J74" i="12"/>
  <c r="K215" i="12"/>
  <c r="H351" i="12"/>
  <c r="K50" i="12"/>
  <c r="H208" i="12"/>
  <c r="H405" i="12"/>
  <c r="H96" i="12"/>
  <c r="K101" i="12"/>
  <c r="J395" i="12"/>
  <c r="J180" i="12"/>
  <c r="K159" i="12"/>
  <c r="H205" i="12"/>
  <c r="K134" i="12"/>
  <c r="J404" i="12"/>
  <c r="J268" i="12"/>
  <c r="J120" i="12"/>
  <c r="H279" i="12"/>
  <c r="J239" i="12"/>
  <c r="J65" i="12"/>
  <c r="J257" i="12"/>
  <c r="H144" i="12"/>
  <c r="H283" i="12"/>
  <c r="J427" i="12"/>
  <c r="H44" i="12"/>
  <c r="H8" i="12"/>
  <c r="H300" i="12"/>
  <c r="K218" i="12"/>
  <c r="J85" i="12"/>
  <c r="H267" i="12"/>
  <c r="H232" i="12"/>
  <c r="J388" i="12"/>
  <c r="K244" i="12"/>
  <c r="J130" i="12"/>
  <c r="H154" i="12"/>
  <c r="K118" i="12"/>
  <c r="J355" i="12"/>
  <c r="J286" i="12"/>
  <c r="H349" i="12"/>
  <c r="K62" i="12"/>
  <c r="K133" i="12"/>
  <c r="K230" i="12"/>
  <c r="H306" i="12"/>
  <c r="H216" i="12"/>
  <c r="J236" i="12"/>
  <c r="K67" i="12"/>
  <c r="H114" i="12"/>
  <c r="J335" i="12"/>
  <c r="J296" i="12"/>
  <c r="J438" i="12"/>
  <c r="J168" i="12"/>
  <c r="J186" i="12"/>
  <c r="H177" i="12"/>
  <c r="J407" i="12"/>
  <c r="J48" i="12"/>
  <c r="J263" i="12"/>
  <c r="H213" i="12"/>
  <c r="J277" i="12"/>
  <c r="H327" i="12"/>
  <c r="K141" i="12"/>
  <c r="J324" i="12"/>
  <c r="H287" i="12"/>
  <c r="J69" i="12"/>
  <c r="J46" i="12"/>
  <c r="J345" i="12"/>
  <c r="K144" i="12"/>
  <c r="J230" i="12"/>
  <c r="K86" i="12"/>
  <c r="K98" i="12"/>
  <c r="H25" i="12"/>
  <c r="K26" i="12"/>
  <c r="K188" i="12"/>
  <c r="K107" i="12"/>
  <c r="H410" i="12"/>
  <c r="J251" i="12"/>
  <c r="K63" i="12"/>
  <c r="H275" i="12"/>
  <c r="H18" i="12"/>
  <c r="H98" i="12"/>
  <c r="H316" i="12"/>
  <c r="J24" i="12"/>
  <c r="H337" i="12"/>
  <c r="K89" i="12"/>
  <c r="K243" i="12"/>
  <c r="J11" i="12"/>
  <c r="H134" i="12"/>
  <c r="J118" i="12"/>
  <c r="J127" i="12"/>
  <c r="H329" i="12"/>
  <c r="J260" i="12"/>
  <c r="J195" i="12"/>
  <c r="H115" i="12"/>
  <c r="H369" i="12"/>
  <c r="H418" i="12"/>
  <c r="H69" i="12"/>
  <c r="K109" i="12"/>
  <c r="H195" i="12"/>
  <c r="J156" i="12"/>
  <c r="J410" i="12"/>
  <c r="H17" i="12"/>
  <c r="K228" i="12"/>
  <c r="H142" i="12"/>
  <c r="K18" i="12"/>
  <c r="K108" i="12"/>
  <c r="J176" i="12"/>
  <c r="K71" i="12"/>
  <c r="K68" i="12"/>
  <c r="H240" i="12"/>
  <c r="K170" i="12"/>
  <c r="H314" i="12"/>
  <c r="J31" i="12"/>
  <c r="K160" i="12"/>
  <c r="K53" i="12"/>
  <c r="J344" i="12"/>
  <c r="J164" i="12"/>
  <c r="J163" i="12"/>
  <c r="K49" i="12"/>
  <c r="J64" i="12"/>
  <c r="K191" i="12"/>
  <c r="J442" i="12"/>
  <c r="J229" i="12"/>
  <c r="H214" i="12"/>
  <c r="K142" i="12"/>
  <c r="H181" i="12"/>
  <c r="J391" i="12"/>
  <c r="H139" i="12"/>
  <c r="H424" i="12"/>
  <c r="H63" i="12"/>
  <c r="K175" i="12"/>
  <c r="H77" i="12"/>
  <c r="J199" i="12"/>
  <c r="H258" i="12"/>
  <c r="J56" i="12"/>
  <c r="H199" i="12"/>
  <c r="J52" i="12"/>
  <c r="J359" i="12"/>
  <c r="K231" i="12"/>
  <c r="H251" i="12"/>
  <c r="J439" i="12"/>
  <c r="K73" i="12"/>
  <c r="H343" i="12"/>
  <c r="J336" i="12"/>
  <c r="K120" i="12"/>
  <c r="K96" i="12"/>
  <c r="J133" i="12"/>
  <c r="J144" i="12"/>
  <c r="H243" i="12"/>
  <c r="J66" i="12"/>
  <c r="J104" i="12"/>
  <c r="H110" i="12"/>
  <c r="K46" i="12"/>
  <c r="J150" i="12"/>
  <c r="J412" i="12"/>
  <c r="H262" i="12"/>
  <c r="H420" i="12"/>
  <c r="J119" i="12"/>
  <c r="H284" i="12"/>
  <c r="J278" i="12"/>
  <c r="H27" i="12"/>
  <c r="J129" i="12"/>
  <c r="H188" i="12"/>
  <c r="J316" i="12"/>
  <c r="H66" i="12"/>
  <c r="K42" i="12"/>
  <c r="J109" i="12"/>
  <c r="J166" i="12"/>
  <c r="H202" i="12"/>
  <c r="H81" i="12"/>
  <c r="H34" i="12"/>
  <c r="J311" i="12"/>
  <c r="H50" i="12"/>
  <c r="H38" i="12"/>
  <c r="H127" i="12"/>
  <c r="K252" i="12"/>
  <c r="H175" i="12"/>
  <c r="J381" i="12"/>
  <c r="J342" i="12"/>
  <c r="H146" i="12"/>
  <c r="H396" i="12"/>
  <c r="H125" i="12"/>
  <c r="H296" i="12"/>
  <c r="J444" i="12"/>
  <c r="K75" i="12"/>
  <c r="J289" i="12"/>
  <c r="J184" i="12"/>
  <c r="H7" i="12"/>
  <c r="J167" i="12"/>
  <c r="K56" i="12"/>
  <c r="H302" i="12"/>
  <c r="K198" i="12"/>
  <c r="K162" i="12"/>
  <c r="J128" i="12"/>
  <c r="H122" i="12"/>
  <c r="H265" i="12"/>
  <c r="K79" i="12"/>
  <c r="J60" i="12"/>
  <c r="H363" i="12"/>
  <c r="K19" i="12"/>
  <c r="J141" i="12"/>
  <c r="K189" i="12"/>
  <c r="H104" i="12"/>
  <c r="H286" i="12"/>
  <c r="J307" i="12"/>
  <c r="H36" i="12"/>
  <c r="K59" i="12"/>
  <c r="K157" i="12"/>
  <c r="J259" i="12"/>
  <c r="H321" i="12"/>
  <c r="J274" i="12"/>
  <c r="J379" i="12"/>
  <c r="K91" i="12"/>
  <c r="J297" i="12"/>
  <c r="K164" i="12"/>
  <c r="H282" i="12"/>
  <c r="K200" i="12"/>
  <c r="H330" i="12"/>
  <c r="H41" i="12"/>
  <c r="H366" i="12"/>
  <c r="J287" i="12"/>
  <c r="J181" i="12"/>
  <c r="H87" i="12"/>
  <c r="K136" i="12"/>
  <c r="J19" i="12"/>
  <c r="K163" i="12"/>
  <c r="J122" i="12"/>
  <c r="K127" i="12"/>
  <c r="K213" i="12"/>
  <c r="J254" i="12"/>
  <c r="H176" i="12"/>
  <c r="J218" i="12"/>
  <c r="J75" i="12"/>
  <c r="H338" i="12"/>
  <c r="K40" i="12"/>
  <c r="H33" i="12"/>
  <c r="K238" i="12"/>
  <c r="J187" i="12"/>
  <c r="J29" i="12"/>
  <c r="K7" i="12"/>
  <c r="H257" i="12"/>
  <c r="J368" i="12"/>
  <c r="H78" i="12"/>
  <c r="J387" i="12"/>
  <c r="H430" i="12"/>
  <c r="H132" i="12"/>
  <c r="H294" i="12"/>
  <c r="J240" i="12"/>
  <c r="K201" i="12"/>
  <c r="H167" i="12"/>
  <c r="K61" i="12"/>
  <c r="H147" i="12"/>
  <c r="H156" i="12"/>
  <c r="J21" i="12"/>
  <c r="K16" i="12"/>
  <c r="H333" i="12"/>
  <c r="J339" i="12"/>
  <c r="K143" i="12"/>
  <c r="H145" i="12"/>
  <c r="J39" i="12"/>
  <c r="J78" i="12"/>
  <c r="H193" i="12"/>
  <c r="J319" i="12"/>
  <c r="H335" i="12"/>
  <c r="H299" i="12"/>
  <c r="K221" i="12"/>
  <c r="K85" i="12"/>
  <c r="K124" i="12"/>
  <c r="K182" i="12"/>
  <c r="K36" i="12"/>
  <c r="J378" i="12"/>
  <c r="H367" i="12"/>
  <c r="J314" i="12"/>
  <c r="J406" i="12"/>
  <c r="K112" i="12"/>
  <c r="J34" i="12"/>
  <c r="K13" i="12"/>
  <c r="J61" i="12"/>
  <c r="J306" i="12"/>
  <c r="J58" i="12"/>
  <c r="K246" i="12"/>
  <c r="K87" i="12"/>
  <c r="H159" i="12"/>
  <c r="J428" i="12"/>
  <c r="H218" i="12"/>
  <c r="K174" i="12"/>
  <c r="K232" i="12"/>
  <c r="H68" i="12"/>
  <c r="J27" i="12"/>
  <c r="K95" i="12"/>
  <c r="K220" i="12"/>
  <c r="J301" i="12"/>
  <c r="H379" i="12"/>
  <c r="J436" i="12"/>
  <c r="J80" i="12"/>
  <c r="K183" i="12"/>
  <c r="J423" i="12"/>
  <c r="J126" i="12"/>
  <c r="K137" i="12"/>
  <c r="K250" i="12"/>
  <c r="H362" i="12"/>
  <c r="J111" i="12"/>
  <c r="H217" i="12"/>
  <c r="J392" i="12"/>
  <c r="H182" i="12"/>
  <c r="J135" i="12"/>
  <c r="H423" i="12"/>
  <c r="K214" i="12"/>
  <c r="K121" i="12"/>
  <c r="H397" i="12"/>
  <c r="K240" i="12"/>
  <c r="H15" i="12"/>
  <c r="K181" i="12"/>
  <c r="K167" i="12"/>
  <c r="J221" i="12"/>
  <c r="H13" i="12"/>
  <c r="J238" i="12"/>
  <c r="J419" i="12"/>
  <c r="H84" i="12"/>
  <c r="H252" i="12"/>
  <c r="J57" i="12"/>
  <c r="H421" i="12"/>
  <c r="K222" i="12"/>
  <c r="K227" i="12"/>
  <c r="J53" i="12"/>
  <c r="H170" i="12"/>
  <c r="H37" i="12"/>
  <c r="K30" i="12"/>
  <c r="H227" i="12"/>
  <c r="J213" i="12"/>
  <c r="K34" i="12"/>
  <c r="H291" i="12"/>
  <c r="J93" i="12"/>
  <c r="J408" i="12"/>
  <c r="J386" i="12"/>
  <c r="K184" i="12"/>
  <c r="J92" i="12"/>
  <c r="K65" i="12"/>
  <c r="K14" i="12"/>
  <c r="H165" i="12"/>
  <c r="J148" i="12"/>
  <c r="H436" i="12"/>
  <c r="K206" i="12"/>
  <c r="J157" i="12"/>
  <c r="J299" i="12"/>
  <c r="K247" i="12"/>
  <c r="J17" i="12"/>
  <c r="K169" i="12"/>
  <c r="H79" i="12"/>
  <c r="K253" i="12"/>
  <c r="K131" i="12"/>
  <c r="J243" i="12"/>
  <c r="J110" i="12"/>
  <c r="J353" i="12"/>
  <c r="K99" i="12"/>
  <c r="J426" i="12"/>
  <c r="J103" i="12"/>
  <c r="K212" i="12"/>
  <c r="J200" i="12"/>
  <c r="K140" i="12"/>
  <c r="J151" i="12"/>
  <c r="J409" i="12"/>
  <c r="K106" i="12"/>
  <c r="K211" i="12"/>
  <c r="H238" i="12"/>
  <c r="H54" i="12"/>
  <c r="H103" i="12"/>
  <c r="H51" i="12"/>
  <c r="J284" i="12"/>
  <c r="K237" i="12"/>
  <c r="J138" i="12"/>
  <c r="H45" i="12"/>
  <c r="H207" i="12"/>
  <c r="H429" i="12"/>
  <c r="H39" i="12"/>
  <c r="K31" i="12"/>
  <c r="K216" i="12"/>
  <c r="J54" i="12"/>
  <c r="H179" i="12"/>
  <c r="H2" i="12"/>
  <c r="J3" i="12"/>
  <c r="H3" i="12"/>
  <c r="K2" i="12"/>
  <c r="K3" i="12"/>
  <c r="K4" i="12"/>
  <c r="J5" i="12"/>
  <c r="H5" i="12"/>
  <c r="J6" i="12"/>
  <c r="K5" i="12"/>
  <c r="H6" i="12"/>
  <c r="K6" i="12"/>
  <c r="H4" i="12"/>
  <c r="J2" i="12"/>
  <c r="J4" i="12"/>
  <c r="K16" i="1" l="1" a="1"/>
  <c r="K16" i="1" s="1"/>
  <c r="K40" i="1" a="1"/>
  <c r="K40" i="1" s="1"/>
  <c r="K8" i="1" a="1"/>
  <c r="K8" i="1" s="1"/>
  <c r="K38" i="1" a="1"/>
  <c r="K38" i="1" s="1"/>
  <c r="K44" i="1" a="1"/>
  <c r="K44" i="1" s="1"/>
  <c r="K19" i="1" a="1"/>
  <c r="K19" i="1" s="1"/>
  <c r="K51" i="1" a="1"/>
  <c r="K51" i="1" s="1"/>
  <c r="K20" i="1" a="1"/>
  <c r="K20" i="1" s="1"/>
  <c r="K54" i="1" a="1"/>
  <c r="K54" i="1" s="1"/>
  <c r="K26" i="1" a="1"/>
  <c r="K26" i="1" s="1"/>
  <c r="K58" i="1" a="1"/>
  <c r="K58" i="1" s="1"/>
  <c r="K15" i="1" a="1"/>
  <c r="K15" i="1" s="1"/>
  <c r="K5" i="1" a="1"/>
  <c r="K5" i="1" s="1"/>
  <c r="K66" i="1" a="1"/>
  <c r="K66" i="1" s="1"/>
  <c r="K17" i="1" a="1"/>
  <c r="K17" i="1" s="1"/>
  <c r="K67" i="1" a="1"/>
  <c r="K67" i="1" s="1"/>
  <c r="K18" i="1" a="1"/>
  <c r="K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K34" i="1" a="1"/>
  <c r="K34" i="1" s="1"/>
  <c r="K78" i="1" a="1"/>
  <c r="K78" i="1" s="1"/>
  <c r="K29" i="1" a="1"/>
  <c r="K29" i="1" s="1"/>
  <c r="K81" i="1" a="1"/>
  <c r="K81" i="1" s="1"/>
  <c r="K31" i="1" a="1"/>
  <c r="K31" i="1" s="1"/>
  <c r="K60" i="1" a="1"/>
  <c r="K60" i="1" s="1"/>
  <c r="K35" i="1" a="1"/>
  <c r="K35" i="1" s="1"/>
  <c r="K70" i="1" a="1"/>
  <c r="K70" i="1" s="1"/>
  <c r="K32" i="1" a="1"/>
  <c r="K32" i="1" s="1"/>
  <c r="K43" i="1" a="1"/>
  <c r="K43" i="1" s="1"/>
  <c r="K30" i="1" a="1"/>
  <c r="K30" i="1" s="1"/>
  <c r="K62" i="1" a="1"/>
  <c r="K62" i="1" s="1"/>
  <c r="K36" i="1" a="1"/>
  <c r="K36" i="1" s="1"/>
  <c r="M107" i="12" a="1"/>
  <c r="M107" i="12" s="1"/>
  <c r="M98" i="12" a="1"/>
  <c r="M98" i="12" s="1"/>
  <c r="L85" i="12" a="1"/>
  <c r="L85" i="12" s="1"/>
  <c r="L231" i="12" a="1"/>
  <c r="L231" i="12" s="1"/>
  <c r="M157" i="12" a="1"/>
  <c r="M157" i="12" s="1"/>
  <c r="M167" i="12" a="1"/>
  <c r="M167" i="12" s="1"/>
  <c r="M2" i="12" a="1"/>
  <c r="M2" i="12" s="1"/>
  <c r="L11" i="12" a="1"/>
  <c r="L11" i="12" s="1"/>
  <c r="M68" i="12" a="1"/>
  <c r="M68" i="12" s="1"/>
  <c r="L61" i="12" a="1"/>
  <c r="L61" i="12" s="1"/>
  <c r="L103" i="12" a="1"/>
  <c r="L103" i="12" s="1"/>
  <c r="I66" i="12" a="1"/>
  <c r="I66" i="12" s="1"/>
  <c r="M62" i="12" a="1"/>
  <c r="M62" i="12" s="1"/>
  <c r="M127" i="12" a="1"/>
  <c r="M127" i="12" s="1"/>
  <c r="L148" i="12" a="1"/>
  <c r="L148" i="12" s="1"/>
  <c r="L209" i="12" a="1"/>
  <c r="L209" i="12" s="1"/>
  <c r="L92" i="12" a="1"/>
  <c r="L92" i="12" s="1"/>
  <c r="I45" i="12" a="1"/>
  <c r="I45" i="12" s="1"/>
  <c r="L127" i="12" a="1"/>
  <c r="L127" i="12" s="1"/>
  <c r="L80" i="12" a="1"/>
  <c r="L80" i="12" s="1"/>
  <c r="M232" i="12" a="1"/>
  <c r="M232" i="12" s="1"/>
  <c r="I33" i="12" a="1"/>
  <c r="I33" i="12" s="1"/>
  <c r="M131" i="12" a="1"/>
  <c r="M131" i="12" s="1"/>
  <c r="M163" i="12" a="1"/>
  <c r="M163" i="12" s="1"/>
  <c r="M218" i="12" a="1"/>
  <c r="M218" i="12" s="1"/>
  <c r="L144" i="12" a="1"/>
  <c r="L144" i="12" s="1"/>
  <c r="L221" i="12" a="1"/>
  <c r="L221" i="12" s="1"/>
  <c r="M181" i="12" a="1"/>
  <c r="M181" i="12" s="1"/>
  <c r="L56" i="12" a="1"/>
  <c r="L56" i="12" s="1"/>
  <c r="I3" i="12" a="1"/>
  <c r="I3" i="12" s="1"/>
  <c r="I87" i="12" a="1"/>
  <c r="I87" i="12" s="1"/>
  <c r="M109" i="12" a="1"/>
  <c r="M109" i="12" s="1"/>
  <c r="M86" i="12" a="1"/>
  <c r="M86" i="12" s="1"/>
  <c r="L65" i="12" a="1"/>
  <c r="L65" i="12" s="1"/>
  <c r="L195" i="12" a="1"/>
  <c r="L195" i="12" s="1"/>
  <c r="M71" i="12" a="1"/>
  <c r="M71" i="12" s="1"/>
  <c r="M13" i="12" a="1"/>
  <c r="M13" i="12" s="1"/>
  <c r="M183" i="12" a="1"/>
  <c r="M183" i="12" s="1"/>
  <c r="L60" i="12" a="1"/>
  <c r="L60" i="12" s="1"/>
  <c r="M63" i="12" a="1"/>
  <c r="M63" i="12" s="1"/>
  <c r="M91" i="12" a="1"/>
  <c r="M91" i="12" s="1"/>
  <c r="M97" i="12" a="1"/>
  <c r="M97" i="12" s="1"/>
  <c r="M200" i="12" a="1"/>
  <c r="M200" i="12" s="1"/>
  <c r="I15" i="12" a="1"/>
  <c r="I15" i="12" s="1"/>
  <c r="M174" i="12" a="1"/>
  <c r="M174" i="12" s="1"/>
  <c r="L133" i="12" a="1"/>
  <c r="L133" i="12" s="1"/>
  <c r="L53" i="12" a="1"/>
  <c r="L53" i="12" s="1"/>
  <c r="L156" i="12" a="1"/>
  <c r="L156" i="12" s="1"/>
  <c r="M40" i="12" a="1"/>
  <c r="M40" i="12" s="1"/>
  <c r="N40" i="12" s="1"/>
  <c r="L129" i="12" a="1"/>
  <c r="L129" i="12" s="1"/>
  <c r="L181" i="12" a="1"/>
  <c r="L181" i="12" s="1"/>
  <c r="L78" i="12" a="1"/>
  <c r="L78" i="12" s="1"/>
  <c r="M134" i="12" a="1"/>
  <c r="M134" i="12" s="1"/>
  <c r="I34" i="12" a="1"/>
  <c r="I34" i="12" s="1"/>
  <c r="I51" i="12" a="1"/>
  <c r="I51" i="12" s="1"/>
  <c r="M79" i="12" a="1"/>
  <c r="M79" i="12" s="1"/>
  <c r="L245" i="12" a="1"/>
  <c r="L245" i="12" s="1"/>
  <c r="M32" i="12" a="1"/>
  <c r="M32" i="12" s="1"/>
  <c r="L24" i="12" a="1"/>
  <c r="L24" i="12" s="1"/>
  <c r="M84" i="12" a="1"/>
  <c r="M84" i="12" s="1"/>
  <c r="L76" i="12" a="1"/>
  <c r="L76" i="12" s="1"/>
  <c r="L100" i="12" a="1"/>
  <c r="L100" i="12" s="1"/>
  <c r="M99" i="12" a="1"/>
  <c r="M99" i="12" s="1"/>
  <c r="M188" i="12" a="1"/>
  <c r="M188" i="12" s="1"/>
  <c r="L199" i="12" a="1"/>
  <c r="L199" i="12" s="1"/>
  <c r="L176" i="12" a="1"/>
  <c r="L176" i="12" s="1"/>
  <c r="M27" i="12" a="1"/>
  <c r="M27" i="12" s="1"/>
  <c r="L4" i="12" a="1"/>
  <c r="L4" i="12" s="1"/>
  <c r="L34" i="12" a="1"/>
  <c r="L34" i="12" s="1"/>
  <c r="M227" i="12" a="1"/>
  <c r="M227" i="12" s="1"/>
  <c r="L69" i="12" a="1"/>
  <c r="L69" i="12" s="1"/>
  <c r="L111" i="12" a="1"/>
  <c r="L111" i="12" s="1"/>
  <c r="L39" i="12" a="1"/>
  <c r="L39" i="12" s="1"/>
  <c r="L234" i="12" a="1"/>
  <c r="L234" i="12" s="1"/>
  <c r="L155" i="12" a="1"/>
  <c r="L155" i="12" s="1"/>
  <c r="I8" i="12" a="1"/>
  <c r="I8" i="12" s="1"/>
  <c r="I29" i="12" a="1"/>
  <c r="I29" i="12" s="1"/>
  <c r="M213" i="12" a="1"/>
  <c r="M213" i="12" s="1"/>
  <c r="M31" i="12" a="1"/>
  <c r="M31" i="12" s="1"/>
  <c r="L230" i="12" a="1"/>
  <c r="L230" i="12" s="1"/>
  <c r="I77" i="12" a="1"/>
  <c r="I77" i="12" s="1"/>
  <c r="L239" i="12" a="1"/>
  <c r="L239" i="12" s="1"/>
  <c r="I81" i="12" a="1"/>
  <c r="I81" i="12" s="1"/>
  <c r="L138" i="12" a="1"/>
  <c r="L138" i="12" s="1"/>
  <c r="L118" i="12" a="1"/>
  <c r="L118" i="12" s="1"/>
  <c r="M222" i="12" a="1"/>
  <c r="M222" i="12" s="1"/>
  <c r="M234" i="12" a="1"/>
  <c r="M234" i="12" s="1"/>
  <c r="M210" i="12" a="1"/>
  <c r="M210" i="12" s="1"/>
  <c r="M96" i="12" a="1"/>
  <c r="M96" i="12" s="1"/>
  <c r="M197" i="12" a="1"/>
  <c r="M197" i="12" s="1"/>
  <c r="L58" i="12" a="1"/>
  <c r="L58" i="12" s="1"/>
  <c r="I99" i="12" a="1"/>
  <c r="I99" i="12" s="1"/>
  <c r="I79" i="12" a="1"/>
  <c r="I79" i="12" s="1"/>
  <c r="L19" i="12" a="1"/>
  <c r="L19" i="12" s="1"/>
  <c r="M108" i="12" a="1"/>
  <c r="M108" i="12" s="1"/>
  <c r="L219" i="12" a="1"/>
  <c r="L219" i="12" s="1"/>
  <c r="L119" i="12" a="1"/>
  <c r="L119" i="12" s="1"/>
  <c r="M175" i="12" a="1"/>
  <c r="M175" i="12" s="1"/>
  <c r="M211" i="12" a="1"/>
  <c r="M211" i="12" s="1"/>
  <c r="L153" i="12" a="1"/>
  <c r="L153" i="12" s="1"/>
  <c r="I44" i="12" a="1"/>
  <c r="I44" i="12" s="1"/>
  <c r="M112" i="12" a="1"/>
  <c r="M112" i="12" s="1"/>
  <c r="I85" i="12" a="1"/>
  <c r="I85" i="12" s="1"/>
  <c r="L73" i="12" a="1"/>
  <c r="L73" i="12" s="1"/>
  <c r="I92" i="12" a="1"/>
  <c r="I92" i="12" s="1"/>
  <c r="I69" i="12" a="1"/>
  <c r="I69" i="12" s="1"/>
  <c r="L48" i="12" a="1"/>
  <c r="L48" i="12" s="1"/>
  <c r="L157" i="12" a="1"/>
  <c r="L157" i="12" s="1"/>
  <c r="L75" i="12" a="1"/>
  <c r="L75" i="12" s="1"/>
  <c r="M9" i="12" a="1"/>
  <c r="M9" i="12" s="1"/>
  <c r="L151" i="12" a="1"/>
  <c r="L151" i="12" s="1"/>
  <c r="M159" i="12" a="1"/>
  <c r="M159" i="12" s="1"/>
  <c r="M143" i="12" a="1"/>
  <c r="M143" i="12" s="1"/>
  <c r="M173" i="12" a="1"/>
  <c r="M173" i="12" s="1"/>
  <c r="L128" i="12" a="1"/>
  <c r="L128" i="12" s="1"/>
  <c r="M220" i="12" a="1"/>
  <c r="M220" i="12" s="1"/>
  <c r="M51" i="12" a="1"/>
  <c r="M51" i="12" s="1"/>
  <c r="M226" i="12" a="1"/>
  <c r="M226" i="12" s="1"/>
  <c r="M14" i="12" a="1"/>
  <c r="M14" i="12" s="1"/>
  <c r="M52" i="12" a="1"/>
  <c r="M52" i="12" s="1"/>
  <c r="I98" i="12" a="1"/>
  <c r="I98" i="12" s="1"/>
  <c r="I82" i="12" a="1"/>
  <c r="I82" i="12" s="1"/>
  <c r="L251" i="12" a="1"/>
  <c r="L251" i="12" s="1"/>
  <c r="M169" i="12" a="1"/>
  <c r="M169" i="12" s="1"/>
  <c r="I63" i="12" a="1"/>
  <c r="I63" i="12" s="1"/>
  <c r="M18" i="12" a="1"/>
  <c r="M18" i="12" s="1"/>
  <c r="M120" i="12" a="1"/>
  <c r="M120" i="12" s="1"/>
  <c r="M118" i="12" a="1"/>
  <c r="M118" i="12" s="1"/>
  <c r="M121" i="12" a="1"/>
  <c r="M121" i="12" s="1"/>
  <c r="M89" i="12" a="1"/>
  <c r="M89" i="12" s="1"/>
  <c r="L203" i="12" a="1"/>
  <c r="L203" i="12" s="1"/>
  <c r="L93" i="12" a="1"/>
  <c r="L93" i="12" s="1"/>
  <c r="L54" i="12" a="1"/>
  <c r="L54" i="12" s="1"/>
  <c r="M162" i="12" a="1"/>
  <c r="M162" i="12" s="1"/>
  <c r="L218" i="12" a="1"/>
  <c r="L218" i="12" s="1"/>
  <c r="L122" i="12" a="1"/>
  <c r="L122" i="12" s="1"/>
  <c r="M206" i="12" a="1"/>
  <c r="M206" i="12" s="1"/>
  <c r="M170" i="12" a="1"/>
  <c r="M170" i="12" s="1"/>
  <c r="L166" i="12" a="1"/>
  <c r="L166" i="12" s="1"/>
  <c r="L169" i="12" a="1"/>
  <c r="L169" i="12" s="1"/>
  <c r="L180" i="12" a="1"/>
  <c r="L180" i="12" s="1"/>
  <c r="L57" i="12" a="1"/>
  <c r="L57" i="12" s="1"/>
  <c r="M184" i="12" a="1"/>
  <c r="M184" i="12" s="1"/>
  <c r="M230" i="12" a="1"/>
  <c r="M230" i="12" s="1"/>
  <c r="L190" i="12" a="1"/>
  <c r="L190" i="12" s="1"/>
  <c r="L150" i="12" a="1"/>
  <c r="L150" i="12" s="1"/>
  <c r="M95" i="12" a="1"/>
  <c r="M95" i="12" s="1"/>
  <c r="I10" i="12" a="1"/>
  <c r="I10" i="12" s="1"/>
  <c r="L66" i="12" a="1"/>
  <c r="L66" i="12" s="1"/>
  <c r="N66" i="12" s="1"/>
  <c r="M198" i="12" a="1"/>
  <c r="M198" i="12" s="1"/>
  <c r="M5" i="12" a="1"/>
  <c r="M5" i="12" s="1"/>
  <c r="M59" i="12" a="1"/>
  <c r="M59" i="12" s="1"/>
  <c r="L110" i="12" a="1"/>
  <c r="L110" i="12" s="1"/>
  <c r="M26" i="12" a="1"/>
  <c r="M26" i="12" s="1"/>
  <c r="L187" i="12" a="1"/>
  <c r="L187" i="12" s="1"/>
  <c r="I43" i="12" a="1"/>
  <c r="I43" i="12" s="1"/>
  <c r="L46" i="12" a="1"/>
  <c r="L46" i="12" s="1"/>
  <c r="L2" i="12" a="1"/>
  <c r="L2" i="12" s="1"/>
  <c r="M214" i="12" a="1"/>
  <c r="M214" i="12" s="1"/>
  <c r="M16" i="12" a="1"/>
  <c r="M16" i="12" s="1"/>
  <c r="I38" i="12" a="1"/>
  <c r="I38" i="12" s="1"/>
  <c r="L109" i="12" a="1"/>
  <c r="L109" i="12" s="1"/>
  <c r="M137" i="12" a="1"/>
  <c r="M137" i="12" s="1"/>
  <c r="I12" i="12" a="1"/>
  <c r="I12" i="12" s="1"/>
  <c r="L182" i="12" a="1"/>
  <c r="L182" i="12" s="1"/>
  <c r="L91" i="12" a="1"/>
  <c r="L91" i="12" s="1"/>
  <c r="M212" i="12" a="1"/>
  <c r="M212" i="12" s="1"/>
  <c r="I83" i="12" a="1"/>
  <c r="I83" i="12" s="1"/>
  <c r="L163" i="12" a="1"/>
  <c r="L163" i="12" s="1"/>
  <c r="M114" i="12" a="1"/>
  <c r="M114" i="12" s="1"/>
  <c r="M164" i="12" a="1"/>
  <c r="M164" i="12" s="1"/>
  <c r="M228" i="12" a="1"/>
  <c r="M228" i="12" s="1"/>
  <c r="I27" i="12" a="1"/>
  <c r="I27" i="12" s="1"/>
  <c r="M106" i="12" a="1"/>
  <c r="M106" i="12" s="1"/>
  <c r="I13" i="12" a="1"/>
  <c r="I13" i="12" s="1"/>
  <c r="L130" i="12" a="1"/>
  <c r="L130" i="12" s="1"/>
  <c r="I80" i="12" a="1"/>
  <c r="I80" i="12" s="1"/>
  <c r="L21" i="12" a="1"/>
  <c r="L21" i="12" s="1"/>
  <c r="I97" i="12" a="1"/>
  <c r="I97" i="12" s="1"/>
  <c r="I21" i="12" a="1"/>
  <c r="I21" i="12" s="1"/>
  <c r="L246" i="12" a="1"/>
  <c r="L246" i="12" s="1"/>
  <c r="M144" i="12" a="1"/>
  <c r="M144" i="12" s="1"/>
  <c r="M56" i="12" a="1"/>
  <c r="M56" i="12" s="1"/>
  <c r="M133" i="12" a="1"/>
  <c r="M133" i="12" s="1"/>
  <c r="I41" i="12" a="1"/>
  <c r="I41" i="12" s="1"/>
  <c r="M141" i="12" a="1"/>
  <c r="M141" i="12" s="1"/>
  <c r="M42" i="12" a="1"/>
  <c r="M42" i="12" s="1"/>
  <c r="I84" i="12" a="1"/>
  <c r="I84" i="12" s="1"/>
  <c r="M139" i="12" a="1"/>
  <c r="M139" i="12" s="1"/>
  <c r="L88" i="12" a="1"/>
  <c r="L88" i="12" s="1"/>
  <c r="L17" i="12" a="1"/>
  <c r="L17" i="12" s="1"/>
  <c r="M37" i="12" a="1"/>
  <c r="M37" i="12" s="1"/>
  <c r="L37" i="12" a="1"/>
  <c r="L37" i="12" s="1"/>
  <c r="L50" i="12" a="1"/>
  <c r="L50" i="12" s="1"/>
  <c r="I17" i="12" a="1"/>
  <c r="I17" i="12" s="1"/>
  <c r="L120" i="12" a="1"/>
  <c r="L120" i="12" s="1"/>
  <c r="L167" i="12" a="1"/>
  <c r="L167" i="12" s="1"/>
  <c r="L164" i="12" a="1"/>
  <c r="L164" i="12" s="1"/>
  <c r="L126" i="12" a="1"/>
  <c r="L126" i="12" s="1"/>
  <c r="L27" i="12" a="1"/>
  <c r="L27" i="12" s="1"/>
  <c r="M142" i="12" a="1"/>
  <c r="M142" i="12" s="1"/>
  <c r="L98" i="12" a="1"/>
  <c r="L98" i="12" s="1"/>
  <c r="N98" i="12" s="1"/>
  <c r="I86" i="12" a="1"/>
  <c r="I86" i="12" s="1"/>
  <c r="M119" i="12" a="1"/>
  <c r="M119" i="12" s="1"/>
  <c r="M168" i="12" a="1"/>
  <c r="M168" i="12" s="1"/>
  <c r="I6" i="12" a="1"/>
  <c r="I6" i="12" s="1"/>
  <c r="L22" i="12" a="1"/>
  <c r="L22" i="12" s="1"/>
  <c r="M209" i="12" a="1"/>
  <c r="M209" i="12" s="1"/>
  <c r="I39" i="12" a="1"/>
  <c r="I39" i="12" s="1"/>
  <c r="L35" i="12" a="1"/>
  <c r="L35" i="12" s="1"/>
  <c r="M50" i="12" a="1"/>
  <c r="M50" i="12" s="1"/>
  <c r="M73" i="12" a="1"/>
  <c r="M73" i="12" s="1"/>
  <c r="I7" i="12" a="1"/>
  <c r="I7" i="12" s="1"/>
  <c r="M179" i="12" a="1"/>
  <c r="M179" i="12" s="1"/>
  <c r="L83" i="12" a="1"/>
  <c r="L83" i="12" s="1"/>
  <c r="M65" i="12" a="1"/>
  <c r="M65" i="12" s="1"/>
  <c r="L213" i="12" a="1"/>
  <c r="L213" i="12" s="1"/>
  <c r="L140" i="12" a="1"/>
  <c r="L140" i="12" s="1"/>
  <c r="L220" i="12" a="1"/>
  <c r="L220" i="12" s="1"/>
  <c r="L248" i="12" a="1"/>
  <c r="L248" i="12" s="1"/>
  <c r="M25" i="12" a="1"/>
  <c r="M25" i="12" s="1"/>
  <c r="M54" i="12" a="1"/>
  <c r="M54" i="12" s="1"/>
  <c r="M101" i="12" a="1"/>
  <c r="M101" i="12" s="1"/>
  <c r="M196" i="12" a="1"/>
  <c r="M196" i="12" s="1"/>
  <c r="M182" i="12" a="1"/>
  <c r="M182" i="12" s="1"/>
  <c r="L136" i="12" a="1"/>
  <c r="L136" i="12" s="1"/>
  <c r="M224" i="12" a="1"/>
  <c r="M224" i="12" s="1"/>
  <c r="L124" i="12" a="1"/>
  <c r="L124" i="12" s="1"/>
  <c r="L189" i="12" a="1"/>
  <c r="L189" i="12" s="1"/>
  <c r="I14" i="12" a="1"/>
  <c r="I14" i="12" s="1"/>
  <c r="L227" i="12" a="1"/>
  <c r="L227" i="12" s="1"/>
  <c r="L200" i="12" a="1"/>
  <c r="L200" i="12" s="1"/>
  <c r="I26" i="12" a="1"/>
  <c r="I26" i="12" s="1"/>
  <c r="L174" i="12" a="1"/>
  <c r="L174" i="12" s="1"/>
  <c r="L49" i="12" a="1"/>
  <c r="L49" i="12" s="1"/>
  <c r="M17" i="12" a="1"/>
  <c r="M17" i="12" s="1"/>
  <c r="M61" i="12" a="1"/>
  <c r="M61" i="12" s="1"/>
  <c r="M44" i="12" a="1"/>
  <c r="M44" i="12" s="1"/>
  <c r="I78" i="12" a="1"/>
  <c r="I78" i="12" s="1"/>
  <c r="L113" i="12" a="1"/>
  <c r="L113" i="12" s="1"/>
  <c r="M129" i="12" a="1"/>
  <c r="M129" i="12" s="1"/>
  <c r="I54" i="12" a="1"/>
  <c r="I54" i="12" s="1"/>
  <c r="I32" i="12" a="1"/>
  <c r="I32" i="12" s="1"/>
  <c r="M122" i="12" a="1"/>
  <c r="M122" i="12" s="1"/>
  <c r="I42" i="12" a="1"/>
  <c r="I42" i="12" s="1"/>
  <c r="L33" i="12" a="1"/>
  <c r="L33" i="12" s="1"/>
  <c r="L90" i="12" a="1"/>
  <c r="L90" i="12" s="1"/>
  <c r="I93" i="12" a="1"/>
  <c r="I93" i="12" s="1"/>
  <c r="L104" i="12" a="1"/>
  <c r="L104" i="12" s="1"/>
  <c r="L184" i="12" a="1"/>
  <c r="L184" i="12" s="1"/>
  <c r="I40" i="12" a="1"/>
  <c r="I40" i="12" s="1"/>
  <c r="L162" i="12" a="1"/>
  <c r="L162" i="12" s="1"/>
  <c r="M87" i="12" a="1"/>
  <c r="M87" i="12" s="1"/>
  <c r="M130" i="12" a="1"/>
  <c r="M130" i="12" s="1"/>
  <c r="M215" i="12" a="1"/>
  <c r="M215" i="12" s="1"/>
  <c r="L229" i="12" a="1"/>
  <c r="L229" i="12" s="1"/>
  <c r="M53" i="12" a="1"/>
  <c r="M53" i="12" s="1"/>
  <c r="N53" i="12" s="1"/>
  <c r="I18" i="12" a="1"/>
  <c r="I18" i="12" s="1"/>
  <c r="M124" i="12" a="1"/>
  <c r="M124" i="12" s="1"/>
  <c r="L186" i="12" a="1"/>
  <c r="L186" i="12" s="1"/>
  <c r="I50" i="12" a="1"/>
  <c r="I50" i="12" s="1"/>
  <c r="L117" i="12" a="1"/>
  <c r="L117" i="12" s="1"/>
  <c r="L5" i="12" a="1"/>
  <c r="L5" i="12" s="1"/>
  <c r="L102" i="12" a="1"/>
  <c r="L102" i="12" s="1"/>
  <c r="L13" i="12" a="1"/>
  <c r="L13" i="12" s="1"/>
  <c r="N13" i="12" s="1"/>
  <c r="L25" i="12" a="1"/>
  <c r="L25" i="12" s="1"/>
  <c r="M67" i="12" a="1"/>
  <c r="M67" i="12" s="1"/>
  <c r="L204" i="12" a="1"/>
  <c r="L204" i="12" s="1"/>
  <c r="L211" i="12" a="1"/>
  <c r="L211" i="12" s="1"/>
  <c r="M161" i="12" a="1"/>
  <c r="M161" i="12" s="1"/>
  <c r="L243" i="12" a="1"/>
  <c r="L243" i="12" s="1"/>
  <c r="M172" i="12" a="1"/>
  <c r="M172" i="12" s="1"/>
  <c r="I55" i="12" a="1"/>
  <c r="I55" i="12" s="1"/>
  <c r="I100" i="12" a="1"/>
  <c r="I100" i="12" s="1"/>
  <c r="I25" i="12" a="1"/>
  <c r="I25" i="12" s="1"/>
  <c r="L82" i="12" a="1"/>
  <c r="L82" i="12" s="1"/>
  <c r="L74" i="12" a="1"/>
  <c r="L74" i="12" s="1"/>
  <c r="N74" i="12" s="1"/>
  <c r="M66" i="12" a="1"/>
  <c r="M66" i="12" s="1"/>
  <c r="I49" i="12" a="1"/>
  <c r="I49" i="12" s="1"/>
  <c r="M110" i="12" a="1"/>
  <c r="M110" i="12" s="1"/>
  <c r="L132" i="12" a="1"/>
  <c r="L132" i="12" s="1"/>
  <c r="M85" i="12" a="1"/>
  <c r="M85" i="12" s="1"/>
  <c r="L63" i="12" a="1"/>
  <c r="L63" i="12" s="1"/>
  <c r="M205" i="12" a="1"/>
  <c r="M205" i="12" s="1"/>
  <c r="M160" i="12" a="1"/>
  <c r="M160" i="12" s="1"/>
  <c r="L86" i="12" a="1"/>
  <c r="L86" i="12" s="1"/>
  <c r="I74" i="12" a="1"/>
  <c r="I74" i="12" s="1"/>
  <c r="L202" i="12" a="1"/>
  <c r="L202" i="12" s="1"/>
  <c r="L6" i="12" a="1"/>
  <c r="L6" i="12" s="1"/>
  <c r="L87" i="12" a="1"/>
  <c r="L87" i="12" s="1"/>
  <c r="L238" i="12" a="1"/>
  <c r="L238" i="12" s="1"/>
  <c r="L236" i="12" a="1"/>
  <c r="L236" i="12" s="1"/>
  <c r="L114" i="12" a="1"/>
  <c r="L114" i="12" s="1"/>
  <c r="L226" i="12" a="1"/>
  <c r="L226" i="12" s="1"/>
  <c r="M69" i="12" a="1"/>
  <c r="M69" i="12" s="1"/>
  <c r="I23" i="12" a="1"/>
  <c r="I23" i="12" s="1"/>
  <c r="I75" i="12" a="1"/>
  <c r="I75" i="12" s="1"/>
  <c r="L250" i="12" a="1"/>
  <c r="L250" i="12" s="1"/>
  <c r="M151" i="12" a="1"/>
  <c r="M151" i="12" s="1"/>
  <c r="L244" i="12" a="1"/>
  <c r="L244" i="12" s="1"/>
  <c r="L173" i="12" a="1"/>
  <c r="L173" i="12" s="1"/>
  <c r="M34" i="12" a="1"/>
  <c r="M34" i="12" s="1"/>
  <c r="L253" i="12" a="1"/>
  <c r="L253" i="12" s="1"/>
  <c r="M72" i="12" a="1"/>
  <c r="M72" i="12" s="1"/>
  <c r="M194" i="12" a="1"/>
  <c r="M194" i="12" s="1"/>
  <c r="I70" i="12" a="1"/>
  <c r="I70" i="12" s="1"/>
  <c r="M201" i="12" a="1"/>
  <c r="M201" i="12" s="1"/>
  <c r="L185" i="12" a="1"/>
  <c r="L185" i="12" s="1"/>
  <c r="M158" i="12" a="1"/>
  <c r="M158" i="12" s="1"/>
  <c r="I31" i="12" a="1"/>
  <c r="I31" i="12" s="1"/>
  <c r="M202" i="12" a="1"/>
  <c r="M202" i="12" s="1"/>
  <c r="M83" i="12" a="1"/>
  <c r="M83" i="12" s="1"/>
  <c r="M229" i="12" a="1"/>
  <c r="M229" i="12" s="1"/>
  <c r="L7" i="12" a="1"/>
  <c r="L7" i="12" s="1"/>
  <c r="M203" i="12" a="1"/>
  <c r="M203" i="12" s="1"/>
  <c r="L55" i="12" a="1"/>
  <c r="L55" i="12" s="1"/>
  <c r="I60" i="12" a="1"/>
  <c r="I60" i="12" s="1"/>
  <c r="I58" i="12" a="1"/>
  <c r="I58" i="12" s="1"/>
  <c r="M155" i="12" a="1"/>
  <c r="M155" i="12" s="1"/>
  <c r="I73" i="12" a="1"/>
  <c r="I73" i="12" s="1"/>
  <c r="L99" i="12" a="1"/>
  <c r="L99" i="12" s="1"/>
  <c r="N99" i="12" s="1"/>
  <c r="L135" i="12" a="1"/>
  <c r="L135" i="12" s="1"/>
  <c r="L194" i="12" a="1"/>
  <c r="L194" i="12" s="1"/>
  <c r="L196" i="12" a="1"/>
  <c r="L196" i="12" s="1"/>
  <c r="M208" i="12" a="1"/>
  <c r="M208" i="12" s="1"/>
  <c r="M123" i="12" a="1"/>
  <c r="M123" i="12" s="1"/>
  <c r="M231" i="12" a="1"/>
  <c r="M231" i="12" s="1"/>
  <c r="L147" i="12" a="1"/>
  <c r="L147" i="12" s="1"/>
  <c r="M75" i="12" a="1"/>
  <c r="M75" i="12" s="1"/>
  <c r="N75" i="12" s="1"/>
  <c r="L28" i="12" a="1"/>
  <c r="L28" i="12" s="1"/>
  <c r="M39" i="12" a="1"/>
  <c r="M39" i="12" s="1"/>
  <c r="L207" i="12" a="1"/>
  <c r="L207" i="12" s="1"/>
  <c r="I64" i="12" a="1"/>
  <c r="I64" i="12" s="1"/>
  <c r="L224" i="12" a="1"/>
  <c r="L224" i="12" s="1"/>
  <c r="I22" i="12" a="1"/>
  <c r="I22" i="12" s="1"/>
  <c r="M117" i="12" a="1"/>
  <c r="M117" i="12" s="1"/>
  <c r="M225" i="12" a="1"/>
  <c r="M225" i="12" s="1"/>
  <c r="M88" i="12" a="1"/>
  <c r="M88" i="12" s="1"/>
  <c r="L154" i="12" a="1"/>
  <c r="L154" i="12" s="1"/>
  <c r="L179" i="12" a="1"/>
  <c r="L179" i="12" s="1"/>
  <c r="M30" i="12" a="1"/>
  <c r="M30" i="12" s="1"/>
  <c r="I2" i="12" a="1"/>
  <c r="I2" i="12" s="1"/>
  <c r="L222" i="12" a="1"/>
  <c r="L222" i="12" s="1"/>
  <c r="L159" i="12" a="1"/>
  <c r="L159" i="12" s="1"/>
  <c r="M57" i="12" a="1"/>
  <c r="M57" i="12" s="1"/>
  <c r="L3" i="12" a="1"/>
  <c r="L3" i="12" s="1"/>
  <c r="M180" i="12" a="1"/>
  <c r="M180" i="12" s="1"/>
  <c r="L123" i="12" a="1"/>
  <c r="L123" i="12" s="1"/>
  <c r="L97" i="12" a="1"/>
  <c r="L97" i="12" s="1"/>
  <c r="L40" i="12" a="1"/>
  <c r="L40" i="12" s="1"/>
  <c r="I19" i="12" a="1"/>
  <c r="I19" i="12" s="1"/>
  <c r="M193" i="12" a="1"/>
  <c r="M193" i="12" s="1"/>
  <c r="M171" i="12" a="1"/>
  <c r="M171" i="12" s="1"/>
  <c r="L89" i="12" a="1"/>
  <c r="L89" i="12" s="1"/>
  <c r="M126" i="12" a="1"/>
  <c r="M126" i="12" s="1"/>
  <c r="M221" i="12" a="1"/>
  <c r="M221" i="12" s="1"/>
  <c r="L247" i="12" a="1"/>
  <c r="L247" i="12" s="1"/>
  <c r="M100" i="12" a="1"/>
  <c r="M100" i="12" s="1"/>
  <c r="N100" i="12" s="1"/>
  <c r="L131" i="12" a="1"/>
  <c r="L131" i="12" s="1"/>
  <c r="M8" i="12" a="1"/>
  <c r="M8" i="12" s="1"/>
  <c r="L192" i="12" a="1"/>
  <c r="L192" i="12" s="1"/>
  <c r="M191" i="12" a="1"/>
  <c r="M191" i="12" s="1"/>
  <c r="M111" i="12" a="1"/>
  <c r="M111" i="12" s="1"/>
  <c r="M29" i="12" a="1"/>
  <c r="M29" i="12" s="1"/>
  <c r="M20" i="12" a="1"/>
  <c r="M20" i="12" s="1"/>
  <c r="M223" i="12" a="1"/>
  <c r="M223" i="12" s="1"/>
  <c r="L31" i="12" a="1"/>
  <c r="L31" i="12" s="1"/>
  <c r="N31" i="12" s="1"/>
  <c r="I71" i="12" a="1"/>
  <c r="I71" i="12" s="1"/>
  <c r="L15" i="12" a="1"/>
  <c r="L15" i="12" s="1"/>
  <c r="I90" i="12" a="1"/>
  <c r="I90" i="12" s="1"/>
  <c r="L170" i="12" a="1"/>
  <c r="L170" i="12" s="1"/>
  <c r="M15" i="12" a="1"/>
  <c r="M15" i="12" s="1"/>
  <c r="L95" i="12" a="1"/>
  <c r="L95" i="12" s="1"/>
  <c r="N95" i="12" s="1"/>
  <c r="L142" i="12" a="1"/>
  <c r="L142" i="12" s="1"/>
  <c r="L208" i="12" a="1"/>
  <c r="L208" i="12" s="1"/>
  <c r="M80" i="12" a="1"/>
  <c r="M80" i="12" s="1"/>
  <c r="N80" i="12" s="1"/>
  <c r="L193" i="12" a="1"/>
  <c r="L193" i="12" s="1"/>
  <c r="L106" i="12" a="1"/>
  <c r="L106" i="12" s="1"/>
  <c r="N106" i="12" s="1"/>
  <c r="M45" i="12" a="1"/>
  <c r="M45" i="12" s="1"/>
  <c r="L233" i="12" a="1"/>
  <c r="L233" i="12" s="1"/>
  <c r="M113" i="12" a="1"/>
  <c r="M113" i="12" s="1"/>
  <c r="M154" i="12" a="1"/>
  <c r="M154" i="12" s="1"/>
  <c r="L168" i="12" a="1"/>
  <c r="L168" i="12" s="1"/>
  <c r="L10" i="12" a="1"/>
  <c r="L10" i="12" s="1"/>
  <c r="L41" i="12" a="1"/>
  <c r="L41" i="12" s="1"/>
  <c r="M135" i="12" a="1"/>
  <c r="M135" i="12" s="1"/>
  <c r="M233" i="12" a="1"/>
  <c r="M233" i="12" s="1"/>
  <c r="L201" i="12" a="1"/>
  <c r="L201" i="12" s="1"/>
  <c r="L79" i="12" a="1"/>
  <c r="L79" i="12" s="1"/>
  <c r="L23" i="12" a="1"/>
  <c r="L23" i="12" s="1"/>
  <c r="M47" i="12" a="1"/>
  <c r="M47" i="12" s="1"/>
  <c r="L72" i="12" a="1"/>
  <c r="L72" i="12" s="1"/>
  <c r="L205" i="12" a="1"/>
  <c r="L205" i="12" s="1"/>
  <c r="M28" i="12" a="1"/>
  <c r="M28" i="12" s="1"/>
  <c r="L228" i="12" a="1"/>
  <c r="L228" i="12" s="1"/>
  <c r="M22" i="12" a="1"/>
  <c r="M22" i="12" s="1"/>
  <c r="M189" i="12" a="1"/>
  <c r="M189" i="12" s="1"/>
  <c r="M235" i="12" a="1"/>
  <c r="M235" i="12" s="1"/>
  <c r="L160" i="12" a="1"/>
  <c r="L160" i="12" s="1"/>
  <c r="M176" i="12" a="1"/>
  <c r="M176" i="12" s="1"/>
  <c r="L240" i="12" a="1"/>
  <c r="L240" i="12" s="1"/>
  <c r="L145" i="12" a="1"/>
  <c r="L145" i="12" s="1"/>
  <c r="L32" i="12" a="1"/>
  <c r="L32" i="12" s="1"/>
  <c r="M190" i="12" a="1"/>
  <c r="M190" i="12" s="1"/>
  <c r="M204" i="12" a="1"/>
  <c r="M204" i="12" s="1"/>
  <c r="M33" i="12" a="1"/>
  <c r="M33" i="12" s="1"/>
  <c r="L210" i="12" a="1"/>
  <c r="L210" i="12" s="1"/>
  <c r="L249" i="12" a="1"/>
  <c r="L249" i="12" s="1"/>
  <c r="M153" i="12" a="1"/>
  <c r="M153" i="12" s="1"/>
  <c r="M150" i="12" a="1"/>
  <c r="M150" i="12" s="1"/>
  <c r="L12" i="12" a="1"/>
  <c r="L12" i="12" s="1"/>
  <c r="M38" i="12" a="1"/>
  <c r="M38" i="12" s="1"/>
  <c r="M36" i="12" a="1"/>
  <c r="M36" i="12" s="1"/>
  <c r="M4" i="12" a="1"/>
  <c r="M4" i="12" s="1"/>
  <c r="M3" i="12" a="1"/>
  <c r="M3" i="12" s="1"/>
  <c r="M24" i="12" a="1"/>
  <c r="M24" i="12" s="1"/>
  <c r="L197" i="12" a="1"/>
  <c r="L197" i="12" s="1"/>
  <c r="L165" i="12" a="1"/>
  <c r="L165" i="12" s="1"/>
  <c r="I24" i="12" a="1"/>
  <c r="I24" i="12" s="1"/>
  <c r="I28" i="12" a="1"/>
  <c r="I28" i="12" s="1"/>
  <c r="I67" i="12" a="1"/>
  <c r="I67" i="12" s="1"/>
  <c r="M7" i="12" a="1"/>
  <c r="M7" i="12" s="1"/>
  <c r="L68" i="12" a="1"/>
  <c r="L68" i="12" s="1"/>
  <c r="L152" i="12" a="1"/>
  <c r="L152" i="12" s="1"/>
  <c r="I89" i="12" a="1"/>
  <c r="I89" i="12" s="1"/>
  <c r="M128" i="12" a="1"/>
  <c r="M128" i="12" s="1"/>
  <c r="M156" i="12" a="1"/>
  <c r="M156" i="12" s="1"/>
  <c r="M43" i="12" a="1"/>
  <c r="M43" i="12" s="1"/>
  <c r="I91" i="12" a="1"/>
  <c r="I91" i="12" s="1"/>
  <c r="L59" i="12" a="1"/>
  <c r="L59" i="12" s="1"/>
  <c r="M76" i="12" a="1"/>
  <c r="M76" i="12" s="1"/>
  <c r="M216" i="12" a="1"/>
  <c r="M216" i="12" s="1"/>
  <c r="L96" i="12" a="1"/>
  <c r="L96" i="12" s="1"/>
  <c r="N96" i="12" s="1"/>
  <c r="M74" i="12" a="1"/>
  <c r="M74" i="12" s="1"/>
  <c r="L44" i="12" a="1"/>
  <c r="L44" i="12" s="1"/>
  <c r="M148" i="12" a="1"/>
  <c r="M148" i="12" s="1"/>
  <c r="I52" i="12" a="1"/>
  <c r="I52" i="12" s="1"/>
  <c r="L20" i="12" a="1"/>
  <c r="L20" i="12" s="1"/>
  <c r="I57" i="12" a="1"/>
  <c r="I57" i="12" s="1"/>
  <c r="M115" i="12" a="1"/>
  <c r="M115" i="12" s="1"/>
  <c r="L242" i="12" a="1"/>
  <c r="L242" i="12" s="1"/>
  <c r="M60" i="12" a="1"/>
  <c r="M60" i="12" s="1"/>
  <c r="N60" i="12" s="1"/>
  <c r="I5" i="12" a="1"/>
  <c r="I5" i="12" s="1"/>
  <c r="L84" i="12" a="1"/>
  <c r="L84" i="12" s="1"/>
  <c r="N84" i="12" s="1"/>
  <c r="L67" i="12" a="1"/>
  <c r="L67" i="12" s="1"/>
  <c r="N67" i="12" s="1"/>
  <c r="M185" i="12" a="1"/>
  <c r="M185" i="12" s="1"/>
  <c r="L191" i="12" a="1"/>
  <c r="L191" i="12" s="1"/>
  <c r="M195" i="12" a="1"/>
  <c r="M195" i="12" s="1"/>
  <c r="M82" i="12" a="1"/>
  <c r="M82" i="12" s="1"/>
  <c r="L121" i="12" a="1"/>
  <c r="L121" i="12" s="1"/>
  <c r="L108" i="12" a="1"/>
  <c r="L108" i="12" s="1"/>
  <c r="N108" i="12" s="1"/>
  <c r="L216" i="12" a="1"/>
  <c r="L216" i="12" s="1"/>
  <c r="L171" i="12" a="1"/>
  <c r="L171" i="12" s="1"/>
  <c r="M55" i="12" a="1"/>
  <c r="M55" i="12" s="1"/>
  <c r="L158" i="12" a="1"/>
  <c r="L158" i="12" s="1"/>
  <c r="M145" i="12" a="1"/>
  <c r="M145" i="12" s="1"/>
  <c r="L77" i="12" a="1"/>
  <c r="L77" i="12" s="1"/>
  <c r="L47" i="12" a="1"/>
  <c r="L47" i="12" s="1"/>
  <c r="M93" i="12" a="1"/>
  <c r="M93" i="12" s="1"/>
  <c r="L64" i="12" a="1"/>
  <c r="L64" i="12" s="1"/>
  <c r="L212" i="12" a="1"/>
  <c r="L212" i="12" s="1"/>
  <c r="M21" i="12" a="1"/>
  <c r="M21" i="12" s="1"/>
  <c r="L81" i="12" a="1"/>
  <c r="L81" i="12" s="1"/>
  <c r="I4" i="12" a="1"/>
  <c r="I4" i="12" s="1"/>
  <c r="M41" i="12" a="1"/>
  <c r="M41" i="12" s="1"/>
  <c r="I16" i="12" a="1"/>
  <c r="I16" i="12" s="1"/>
  <c r="L115" i="12" a="1"/>
  <c r="L115" i="12" s="1"/>
  <c r="L139" i="12" a="1"/>
  <c r="L139" i="12" s="1"/>
  <c r="M23" i="12" a="1"/>
  <c r="M23" i="12" s="1"/>
  <c r="M132" i="12" a="1"/>
  <c r="M132" i="12" s="1"/>
  <c r="M104" i="12" a="1"/>
  <c r="M104" i="12" s="1"/>
  <c r="L161" i="12" a="1"/>
  <c r="L161" i="12" s="1"/>
  <c r="M187" i="12" a="1"/>
  <c r="M187" i="12" s="1"/>
  <c r="M90" i="12" a="1"/>
  <c r="M90" i="12" s="1"/>
  <c r="N90" i="12" s="1"/>
  <c r="L172" i="12" a="1"/>
  <c r="L172" i="12" s="1"/>
  <c r="I68" i="12" a="1"/>
  <c r="I68" i="12" s="1"/>
  <c r="M81" i="12" a="1"/>
  <c r="M81" i="12" s="1"/>
  <c r="I65" i="12" a="1"/>
  <c r="I65" i="12" s="1"/>
  <c r="M147" i="12" a="1"/>
  <c r="M147" i="12" s="1"/>
  <c r="M219" i="12" a="1"/>
  <c r="M219" i="12" s="1"/>
  <c r="M165" i="12" a="1"/>
  <c r="M165" i="12" s="1"/>
  <c r="L101" i="12" a="1"/>
  <c r="L101" i="12" s="1"/>
  <c r="N101" i="12" s="1"/>
  <c r="L8" i="12" a="1"/>
  <c r="L8" i="12" s="1"/>
  <c r="L225" i="12" a="1"/>
  <c r="L225" i="12" s="1"/>
  <c r="L178" i="12" a="1"/>
  <c r="L178" i="12" s="1"/>
  <c r="I11" i="12" a="1"/>
  <c r="I11" i="12" s="1"/>
  <c r="L16" i="12" a="1"/>
  <c r="L16" i="12" s="1"/>
  <c r="M35" i="12" a="1"/>
  <c r="M35" i="12" s="1"/>
  <c r="M217" i="12" a="1"/>
  <c r="M217" i="12" s="1"/>
  <c r="M140" i="12" a="1"/>
  <c r="M140" i="12" s="1"/>
  <c r="I9" i="12" a="1"/>
  <c r="I9" i="12" s="1"/>
  <c r="L62" i="12" a="1"/>
  <c r="L62" i="12" s="1"/>
  <c r="I47" i="12" a="1"/>
  <c r="I47" i="12" s="1"/>
  <c r="L141" i="12" a="1"/>
  <c r="L141" i="12" s="1"/>
  <c r="L198" i="12" a="1"/>
  <c r="L198" i="12" s="1"/>
  <c r="M103" i="12" a="1"/>
  <c r="M103" i="12" s="1"/>
  <c r="L137" i="12" a="1"/>
  <c r="L137" i="12" s="1"/>
  <c r="I88" i="12" a="1"/>
  <c r="I88" i="12" s="1"/>
  <c r="L9" i="12" a="1"/>
  <c r="L9" i="12" s="1"/>
  <c r="N9" i="12" s="1"/>
  <c r="M6" i="12" a="1"/>
  <c r="M6" i="12" s="1"/>
  <c r="M178" i="12" a="1"/>
  <c r="M178" i="12" s="1"/>
  <c r="L105" i="12" a="1"/>
  <c r="L105" i="12" s="1"/>
  <c r="M94" i="12" a="1"/>
  <c r="M94" i="12" s="1"/>
  <c r="I96" i="12" a="1"/>
  <c r="I96" i="12" s="1"/>
  <c r="L45" i="12" a="1"/>
  <c r="L45" i="12" s="1"/>
  <c r="N45" i="12" s="1"/>
  <c r="M64" i="12" a="1"/>
  <c r="M64" i="12" s="1"/>
  <c r="L52" i="12" a="1"/>
  <c r="L52" i="12" s="1"/>
  <c r="M92" i="12" a="1"/>
  <c r="M92" i="12" s="1"/>
  <c r="I48" i="12" a="1"/>
  <c r="I48" i="12" s="1"/>
  <c r="M192" i="12" a="1"/>
  <c r="M192" i="12" s="1"/>
  <c r="L252" i="12" a="1"/>
  <c r="L252" i="12" s="1"/>
  <c r="M70" i="12" a="1"/>
  <c r="M70" i="12" s="1"/>
  <c r="M138" i="12" a="1"/>
  <c r="M138" i="12" s="1"/>
  <c r="L183" i="12" a="1"/>
  <c r="L183" i="12" s="1"/>
  <c r="L116" i="12" a="1"/>
  <c r="L116" i="12" s="1"/>
  <c r="L42" i="12" a="1"/>
  <c r="L42" i="12" s="1"/>
  <c r="N42" i="12" s="1"/>
  <c r="I72" i="12" a="1"/>
  <c r="I72" i="12" s="1"/>
  <c r="L237" i="12" a="1"/>
  <c r="L237" i="12" s="1"/>
  <c r="L51" i="12" a="1"/>
  <c r="L51" i="12" s="1"/>
  <c r="M207" i="12" a="1"/>
  <c r="M207" i="12" s="1"/>
  <c r="I20" i="12" a="1"/>
  <c r="I20" i="12" s="1"/>
  <c r="I36" i="12" a="1"/>
  <c r="I36" i="12" s="1"/>
  <c r="L38" i="12" a="1"/>
  <c r="L38" i="12" s="1"/>
  <c r="M102" i="12" a="1"/>
  <c r="M102" i="12" s="1"/>
  <c r="M199" i="12" a="1"/>
  <c r="M199" i="12" s="1"/>
  <c r="L149" i="12" a="1"/>
  <c r="L149" i="12" s="1"/>
  <c r="L206" i="12" a="1"/>
  <c r="L206" i="12" s="1"/>
  <c r="M125" i="12" a="1"/>
  <c r="M125" i="12" s="1"/>
  <c r="M149" i="12" a="1"/>
  <c r="M149" i="12" s="1"/>
  <c r="M48" i="12" a="1"/>
  <c r="M48" i="12" s="1"/>
  <c r="I76" i="12" a="1"/>
  <c r="I76" i="12" s="1"/>
  <c r="L107" i="12" a="1"/>
  <c r="L107" i="12" s="1"/>
  <c r="M10" i="12" a="1"/>
  <c r="M10" i="12" s="1"/>
  <c r="I95" i="12" a="1"/>
  <c r="I95" i="12" s="1"/>
  <c r="L43" i="12" a="1"/>
  <c r="L43" i="12" s="1"/>
  <c r="I30" i="12" a="1"/>
  <c r="I30" i="12" s="1"/>
  <c r="M105" i="12" a="1"/>
  <c r="M105" i="12" s="1"/>
  <c r="M152" i="12" a="1"/>
  <c r="M152" i="12" s="1"/>
  <c r="L36" i="12" a="1"/>
  <c r="L36" i="12" s="1"/>
  <c r="L71" i="12" a="1"/>
  <c r="L71" i="12" s="1"/>
  <c r="N71" i="12" s="1"/>
  <c r="I37" i="12" a="1"/>
  <c r="I37" i="12" s="1"/>
  <c r="I62" i="12" a="1"/>
  <c r="I62" i="12" s="1"/>
  <c r="I59" i="12" a="1"/>
  <c r="I59" i="12" s="1"/>
  <c r="M49" i="12" a="1"/>
  <c r="M49" i="12" s="1"/>
  <c r="N49" i="12" s="1"/>
  <c r="L175" i="12" a="1"/>
  <c r="L175" i="12" s="1"/>
  <c r="L29" i="12" a="1"/>
  <c r="L29" i="12" s="1"/>
  <c r="M78" i="12" a="1"/>
  <c r="M78" i="12" s="1"/>
  <c r="L223" i="12" a="1"/>
  <c r="L223" i="12" s="1"/>
  <c r="L214" i="12" a="1"/>
  <c r="L214" i="12" s="1"/>
  <c r="L241" i="12" a="1"/>
  <c r="L241" i="12" s="1"/>
  <c r="L112" i="12" a="1"/>
  <c r="L112" i="12" s="1"/>
  <c r="L18" i="12" a="1"/>
  <c r="L18" i="12" s="1"/>
  <c r="N18" i="12" s="1"/>
  <c r="L94" i="12" a="1"/>
  <c r="L94" i="12" s="1"/>
  <c r="M177" i="12" a="1"/>
  <c r="M177" i="12" s="1"/>
  <c r="I56" i="12" a="1"/>
  <c r="I56" i="12" s="1"/>
  <c r="M46" i="12" a="1"/>
  <c r="M46" i="12" s="1"/>
  <c r="L217" i="12" a="1"/>
  <c r="L217" i="12" s="1"/>
  <c r="M77" i="12" a="1"/>
  <c r="M77" i="12" s="1"/>
  <c r="L125" i="12" a="1"/>
  <c r="L125" i="12" s="1"/>
  <c r="L134" i="12" a="1"/>
  <c r="L134" i="12" s="1"/>
  <c r="L215" i="12" a="1"/>
  <c r="L215" i="12" s="1"/>
  <c r="M58" i="12" a="1"/>
  <c r="M58" i="12" s="1"/>
  <c r="N58" i="12" s="1"/>
  <c r="I61" i="12" a="1"/>
  <c r="I61" i="12" s="1"/>
  <c r="M166" i="12" a="1"/>
  <c r="M166" i="12" s="1"/>
  <c r="M11" i="12" a="1"/>
  <c r="M11" i="12" s="1"/>
  <c r="M186" i="12" a="1"/>
  <c r="M186" i="12" s="1"/>
  <c r="L26" i="12" a="1"/>
  <c r="L26" i="12" s="1"/>
  <c r="I35" i="12" a="1"/>
  <c r="I35" i="12" s="1"/>
  <c r="L177" i="12" a="1"/>
  <c r="L177" i="12" s="1"/>
  <c r="L235" i="12" a="1"/>
  <c r="L235" i="12" s="1"/>
  <c r="I46" i="12" a="1"/>
  <c r="I46" i="12" s="1"/>
  <c r="M12" i="12" a="1"/>
  <c r="M12" i="12" s="1"/>
  <c r="L14" i="12" a="1"/>
  <c r="L14" i="12" s="1"/>
  <c r="M136" i="12" a="1"/>
  <c r="M136" i="12" s="1"/>
  <c r="L30" i="12" a="1"/>
  <c r="L30" i="12" s="1"/>
  <c r="I94" i="12" a="1"/>
  <c r="I94" i="12" s="1"/>
  <c r="M19" i="12" a="1"/>
  <c r="M19" i="12" s="1"/>
  <c r="L143" i="12" a="1"/>
  <c r="L143" i="12" s="1"/>
  <c r="L232" i="12" a="1"/>
  <c r="L232" i="12" s="1"/>
  <c r="L146" i="12" a="1"/>
  <c r="L146" i="12" s="1"/>
  <c r="L188" i="12" a="1"/>
  <c r="L188" i="12" s="1"/>
  <c r="M116" i="12" a="1"/>
  <c r="M116" i="12" s="1"/>
  <c r="I53" i="12" a="1"/>
  <c r="I53" i="12" s="1"/>
  <c r="M146" i="12" a="1"/>
  <c r="M146" i="12" s="1"/>
  <c r="L70" i="12" a="1"/>
  <c r="L70" i="12" s="1"/>
  <c r="N47" i="12"/>
  <c r="P81" i="1" a="1"/>
  <c r="P81" i="1" s="1"/>
  <c r="N24" i="12"/>
  <c r="N39" i="12"/>
  <c r="I2" i="8"/>
  <c r="K2" i="4" s="1"/>
  <c r="N107" i="12" l="1"/>
  <c r="N92" i="12"/>
  <c r="N62" i="12"/>
  <c r="N30" i="12"/>
  <c r="N36" i="12"/>
  <c r="N51" i="12"/>
  <c r="N76" i="12"/>
  <c r="N68" i="12"/>
  <c r="N87" i="12"/>
  <c r="N86" i="12"/>
  <c r="N59" i="12"/>
  <c r="N4" i="12"/>
  <c r="N109" i="12"/>
  <c r="N70" i="12"/>
  <c r="N11" i="12"/>
  <c r="N79" i="12"/>
  <c r="T14" i="6"/>
  <c r="N2" i="12"/>
  <c r="AC2" i="4" s="1"/>
  <c r="Q37" i="1" s="1" a="1"/>
  <c r="Q37" i="1" s="1"/>
  <c r="K33" i="1" a="1"/>
  <c r="K33" i="1" s="1"/>
  <c r="K37" i="1" a="1"/>
  <c r="K37" i="1" s="1"/>
  <c r="T16" i="6"/>
  <c r="T24" i="6"/>
  <c r="P25" i="1" s="1" a="1"/>
  <c r="P25" i="1" s="1"/>
  <c r="AB112" i="4"/>
  <c r="T20" i="6"/>
  <c r="P20" i="1" s="1" a="1"/>
  <c r="P20" i="1" s="1"/>
  <c r="T22" i="6"/>
  <c r="T11" i="6"/>
  <c r="P11" i="1" s="1" a="1"/>
  <c r="P11" i="1" s="1"/>
  <c r="F9" i="13" s="1"/>
  <c r="T13" i="6"/>
  <c r="T23" i="6"/>
  <c r="T19" i="6"/>
  <c r="P19" i="1" s="1" a="1"/>
  <c r="P19" i="1" s="1"/>
  <c r="F14" i="13" s="1"/>
  <c r="N5" i="12"/>
  <c r="T12" i="6"/>
  <c r="T21" i="6"/>
  <c r="N14" i="12"/>
  <c r="T10" i="6"/>
  <c r="T17" i="6"/>
  <c r="P17" i="1" s="1" a="1"/>
  <c r="P17" i="1" s="1"/>
  <c r="F15" i="13"/>
  <c r="D2" i="13"/>
  <c r="C2" i="13"/>
  <c r="E2" i="13"/>
  <c r="B2" i="13"/>
  <c r="N27" i="12"/>
  <c r="N34" i="12"/>
  <c r="N22" i="12"/>
  <c r="N85" i="12"/>
  <c r="N6" i="12"/>
  <c r="U7" i="6" s="1"/>
  <c r="V7" i="6" s="1"/>
  <c r="N77" i="12"/>
  <c r="N12" i="12"/>
  <c r="AB67" i="4"/>
  <c r="N64" i="12"/>
  <c r="N88" i="12"/>
  <c r="N57" i="12"/>
  <c r="N63" i="12"/>
  <c r="N61" i="12"/>
  <c r="N26" i="12"/>
  <c r="N44" i="12"/>
  <c r="AB136" i="4"/>
  <c r="N72" i="12"/>
  <c r="AB188" i="4"/>
  <c r="N19" i="12"/>
  <c r="N16" i="12"/>
  <c r="N32" i="12"/>
  <c r="N29" i="12"/>
  <c r="N21" i="12"/>
  <c r="N89" i="12"/>
  <c r="N65" i="12"/>
  <c r="N20" i="12"/>
  <c r="Q17" i="1" a="1"/>
  <c r="Q17" i="1" s="1"/>
  <c r="Q20" i="1" a="1"/>
  <c r="Q20" i="1" s="1"/>
  <c r="Q26" i="1" a="1"/>
  <c r="Q26" i="1" s="1"/>
  <c r="AB36" i="4"/>
  <c r="P52" i="1" s="1" a="1"/>
  <c r="P52" i="1" s="1"/>
  <c r="AB11" i="4"/>
  <c r="P55" i="1" s="1" a="1"/>
  <c r="P55" i="1" s="1"/>
  <c r="N23" i="12"/>
  <c r="T5" i="6"/>
  <c r="P5" i="1" s="1" a="1"/>
  <c r="P5" i="1" s="1"/>
  <c r="F3" i="13" s="1"/>
  <c r="AB137" i="4"/>
  <c r="AB84" i="4"/>
  <c r="U38" i="6"/>
  <c r="V38" i="6" s="1"/>
  <c r="U31" i="6"/>
  <c r="V31" i="6" s="1"/>
  <c r="U34" i="6"/>
  <c r="V34" i="6" s="1"/>
  <c r="U44" i="6"/>
  <c r="V44" i="6" s="1"/>
  <c r="U37" i="6"/>
  <c r="V37" i="6" s="1"/>
  <c r="U29" i="6"/>
  <c r="V29" i="6" s="1"/>
  <c r="AB28" i="4"/>
  <c r="P58" i="1" s="1" a="1"/>
  <c r="P58" i="1" s="1"/>
  <c r="T15" i="6"/>
  <c r="P15" i="1" s="1" a="1"/>
  <c r="P15" i="1" s="1"/>
  <c r="AB18" i="4"/>
  <c r="P54" i="1" s="1" a="1"/>
  <c r="P54" i="1" s="1"/>
  <c r="T25" i="6"/>
  <c r="P26" i="1" s="1" a="1"/>
  <c r="P26" i="1" s="1"/>
  <c r="AB21" i="4"/>
  <c r="P67" i="1" s="1" a="1"/>
  <c r="P67" i="1" s="1"/>
  <c r="T18" i="6"/>
  <c r="P18" i="1" s="1" a="1"/>
  <c r="P18" i="1" s="1"/>
  <c r="F13" i="13" s="1"/>
  <c r="T31" i="6"/>
  <c r="T49" i="6"/>
  <c r="T33" i="6"/>
  <c r="T51" i="6"/>
  <c r="T38" i="6"/>
  <c r="T34" i="6"/>
  <c r="T52" i="6"/>
  <c r="T36" i="6"/>
  <c r="T41" i="6"/>
  <c r="T37" i="6"/>
  <c r="T39" i="6"/>
  <c r="T26" i="6"/>
  <c r="T44" i="6"/>
  <c r="T40" i="6"/>
  <c r="T42" i="6"/>
  <c r="T29" i="6"/>
  <c r="T47" i="6"/>
  <c r="T43" i="6"/>
  <c r="T27" i="6"/>
  <c r="T45" i="6"/>
  <c r="T32" i="6"/>
  <c r="T50" i="6"/>
  <c r="T28" i="6"/>
  <c r="T46" i="6"/>
  <c r="T30" i="6"/>
  <c r="T48" i="6"/>
  <c r="T35" i="6"/>
  <c r="Q19" i="1" a="1"/>
  <c r="Q19" i="1" s="1"/>
  <c r="Q57" i="1" a="1"/>
  <c r="Q57" i="1" s="1"/>
  <c r="Q33" i="1" a="1"/>
  <c r="Q33" i="1" s="1"/>
  <c r="N94" i="12"/>
  <c r="AB141" i="4"/>
  <c r="AB59" i="4"/>
  <c r="AB162" i="4"/>
  <c r="AB240" i="4"/>
  <c r="AB49" i="4"/>
  <c r="AB168" i="4"/>
  <c r="AB139" i="4"/>
  <c r="AB224" i="4"/>
  <c r="AB99" i="4"/>
  <c r="AB209" i="4"/>
  <c r="AB132" i="4"/>
  <c r="N50" i="12"/>
  <c r="AB117" i="4"/>
  <c r="N10" i="12"/>
  <c r="U21" i="6" s="1"/>
  <c r="N28" i="12"/>
  <c r="U15" i="6" s="1"/>
  <c r="N102" i="12"/>
  <c r="N33" i="12"/>
  <c r="U9" i="6" s="1"/>
  <c r="Q10" i="1" s="1" a="1"/>
  <c r="Q10" i="1" s="1"/>
  <c r="N35" i="12"/>
  <c r="N93" i="12"/>
  <c r="N111" i="12"/>
  <c r="N48" i="12"/>
  <c r="N91" i="12"/>
  <c r="N103" i="12"/>
  <c r="N43" i="12"/>
  <c r="T6" i="6"/>
  <c r="P6" i="1" s="1" a="1"/>
  <c r="P6" i="1" s="1"/>
  <c r="F4" i="13" s="1"/>
  <c r="T2" i="6"/>
  <c r="P2" i="1" s="1" a="1"/>
  <c r="P2" i="1" s="1"/>
  <c r="AB214" i="4"/>
  <c r="AB157" i="4"/>
  <c r="AB145" i="4"/>
  <c r="AB126" i="4"/>
  <c r="AB135" i="4"/>
  <c r="AB155" i="4"/>
  <c r="AB243" i="4"/>
  <c r="AB46" i="4"/>
  <c r="AB138" i="4"/>
  <c r="AB176" i="4"/>
  <c r="AB66" i="4"/>
  <c r="AB131" i="4"/>
  <c r="AB134" i="4"/>
  <c r="AB121" i="4"/>
  <c r="AB239" i="4"/>
  <c r="AB181" i="4"/>
  <c r="AB236" i="4"/>
  <c r="AB220" i="4"/>
  <c r="AB120" i="4"/>
  <c r="AB238" i="4"/>
  <c r="AB143" i="4"/>
  <c r="AB235" i="4"/>
  <c r="AB217" i="4"/>
  <c r="AB103" i="4"/>
  <c r="AB72" i="4"/>
  <c r="AB90" i="4"/>
  <c r="AB186" i="4"/>
  <c r="AB34" i="4"/>
  <c r="P64" i="1" s="1" a="1"/>
  <c r="P64" i="1" s="1"/>
  <c r="AB16" i="4"/>
  <c r="P80" i="1" s="1" a="1"/>
  <c r="P80" i="1" s="1"/>
  <c r="AB130" i="4"/>
  <c r="AB50" i="4"/>
  <c r="AB65" i="4"/>
  <c r="AB196" i="4"/>
  <c r="AB48" i="4"/>
  <c r="AB230" i="4"/>
  <c r="AB237" i="4"/>
  <c r="AB199" i="4"/>
  <c r="AB167" i="4"/>
  <c r="AB115" i="4"/>
  <c r="AB107" i="4"/>
  <c r="AB221" i="4"/>
  <c r="AB86" i="4"/>
  <c r="AB82" i="4"/>
  <c r="AB180" i="4"/>
  <c r="AB44" i="4"/>
  <c r="AB108" i="4"/>
  <c r="AB246" i="4"/>
  <c r="AB64" i="4"/>
  <c r="AB80" i="4"/>
  <c r="AB169" i="4"/>
  <c r="AB87" i="4"/>
  <c r="AB245" i="4"/>
  <c r="AB95" i="4"/>
  <c r="AB159" i="4"/>
  <c r="AB7" i="4"/>
  <c r="P13" i="1" s="1" a="1"/>
  <c r="P13" i="1" s="1"/>
  <c r="F11" i="13" s="1"/>
  <c r="AB153" i="4"/>
  <c r="AB79" i="4"/>
  <c r="AB5" i="4"/>
  <c r="AB22" i="4"/>
  <c r="P61" i="1" s="1" a="1"/>
  <c r="P61" i="1" s="1"/>
  <c r="AB25" i="4"/>
  <c r="P45" i="1" s="1" a="1"/>
  <c r="P45" i="1" s="1"/>
  <c r="AB40" i="4"/>
  <c r="P53" i="1" s="1" a="1"/>
  <c r="P53" i="1" s="1"/>
  <c r="AB26" i="4"/>
  <c r="P14" i="1" s="1" a="1"/>
  <c r="P14" i="1" s="1"/>
  <c r="AB39" i="4"/>
  <c r="P69" i="1" s="1" a="1"/>
  <c r="P69" i="1" s="1"/>
  <c r="AB41" i="4"/>
  <c r="P77" i="1" s="1" a="1"/>
  <c r="P77" i="1" s="1"/>
  <c r="AB27" i="4"/>
  <c r="AB38" i="4"/>
  <c r="P12" i="1" s="1" a="1"/>
  <c r="P12" i="1" s="1"/>
  <c r="F10" i="13" s="1"/>
  <c r="AB241" i="4"/>
  <c r="AB163" i="4"/>
  <c r="AB77" i="4"/>
  <c r="AB113" i="4"/>
  <c r="AB69" i="4"/>
  <c r="AB33" i="4"/>
  <c r="P48" i="1" s="1" a="1"/>
  <c r="P48" i="1" s="1"/>
  <c r="AB9" i="4"/>
  <c r="P31" i="1" s="1" a="1"/>
  <c r="P31" i="1" s="1"/>
  <c r="AB232" i="4"/>
  <c r="AB190" i="4"/>
  <c r="AB119" i="4"/>
  <c r="AB70" i="4"/>
  <c r="AB96" i="4"/>
  <c r="AB175" i="4"/>
  <c r="AB206" i="4"/>
  <c r="AB71" i="4"/>
  <c r="AB179" i="4"/>
  <c r="AB74" i="4"/>
  <c r="AB62" i="4"/>
  <c r="AB81" i="4"/>
  <c r="AB226" i="4"/>
  <c r="AB178" i="4"/>
  <c r="AB116" i="4"/>
  <c r="AB73" i="4"/>
  <c r="AB192" i="4"/>
  <c r="T7" i="6"/>
  <c r="AB148" i="4"/>
  <c r="AB122" i="4"/>
  <c r="AB227" i="4"/>
  <c r="AB125" i="4"/>
  <c r="AB207" i="4"/>
  <c r="AB24" i="4"/>
  <c r="P44" i="1" s="1" a="1"/>
  <c r="P44" i="1" s="1"/>
  <c r="AB45" i="4"/>
  <c r="AB182" i="4"/>
  <c r="AB201" i="4"/>
  <c r="AB215" i="4"/>
  <c r="AB222" i="4"/>
  <c r="AB83" i="4"/>
  <c r="AB211" i="4"/>
  <c r="AB247" i="4"/>
  <c r="AB109" i="4"/>
  <c r="AB154" i="4"/>
  <c r="AB144" i="4"/>
  <c r="AB147" i="4"/>
  <c r="AB140" i="4"/>
  <c r="AB114" i="4"/>
  <c r="AB29" i="4"/>
  <c r="P42" i="1" s="1" a="1"/>
  <c r="P42" i="1" s="1"/>
  <c r="AB23" i="4"/>
  <c r="P56" i="1" s="1" a="1"/>
  <c r="P56" i="1" s="1"/>
  <c r="N52" i="12"/>
  <c r="AB51" i="4"/>
  <c r="AB193" i="4"/>
  <c r="AB93" i="4"/>
  <c r="AB68" i="4"/>
  <c r="AB101" i="4"/>
  <c r="AB88" i="4"/>
  <c r="AB160" i="4"/>
  <c r="AB118" i="4"/>
  <c r="AB129" i="4"/>
  <c r="AB252" i="4"/>
  <c r="AB231" i="4"/>
  <c r="AB102" i="4"/>
  <c r="AB212" i="4"/>
  <c r="AB173" i="4"/>
  <c r="AB161" i="4"/>
  <c r="AB204" i="4"/>
  <c r="AB244" i="4"/>
  <c r="AB216" i="4"/>
  <c r="N112" i="12"/>
  <c r="AB20" i="4"/>
  <c r="P74" i="1" s="1" a="1"/>
  <c r="P74" i="1" s="1"/>
  <c r="AB63" i="4"/>
  <c r="AB111" i="4"/>
  <c r="AB171" i="4"/>
  <c r="AB58" i="4"/>
  <c r="AB85" i="4"/>
  <c r="AB156" i="4"/>
  <c r="AB146" i="4"/>
  <c r="AB52" i="4"/>
  <c r="AB127" i="4"/>
  <c r="AB56" i="4"/>
  <c r="AB164" i="4"/>
  <c r="AB185" i="4"/>
  <c r="AB151" i="4"/>
  <c r="AB200" i="4"/>
  <c r="AB133" i="4"/>
  <c r="AB105" i="4"/>
  <c r="AB76" i="4"/>
  <c r="AB142" i="4"/>
  <c r="AB165" i="4"/>
  <c r="AB75" i="4"/>
  <c r="AB55" i="4"/>
  <c r="AB123" i="4"/>
  <c r="AB248" i="4"/>
  <c r="T4" i="6"/>
  <c r="P4" i="1" s="1" a="1"/>
  <c r="P4" i="1" s="1"/>
  <c r="F2" i="13" s="1"/>
  <c r="T8" i="6"/>
  <c r="P9" i="1" s="1" a="1"/>
  <c r="P9" i="1" s="1"/>
  <c r="F7" i="13" s="1"/>
  <c r="AB35" i="4"/>
  <c r="P68" i="1" s="1" a="1"/>
  <c r="P68" i="1" s="1"/>
  <c r="N3" i="12"/>
  <c r="AB31" i="4"/>
  <c r="P51" i="1" s="1" a="1"/>
  <c r="P51" i="1" s="1"/>
  <c r="AB10" i="4"/>
  <c r="P76" i="1" s="1" a="1"/>
  <c r="P76" i="1" s="1"/>
  <c r="AB8" i="4"/>
  <c r="P23" i="1" s="1" a="1"/>
  <c r="P23" i="1" s="1"/>
  <c r="N8" i="12"/>
  <c r="U22" i="6" s="1"/>
  <c r="N113" i="12"/>
  <c r="N15" i="12"/>
  <c r="U3" i="6" s="1"/>
  <c r="AB19" i="4"/>
  <c r="P8" i="1" s="1" a="1"/>
  <c r="P8" i="1" s="1"/>
  <c r="F6" i="13" s="1"/>
  <c r="AB32" i="4"/>
  <c r="P71" i="1" s="1" a="1"/>
  <c r="P71" i="1" s="1"/>
  <c r="AB17" i="4"/>
  <c r="P73" i="1" s="1" a="1"/>
  <c r="P73" i="1" s="1"/>
  <c r="N56" i="12"/>
  <c r="AB30" i="4"/>
  <c r="P63" i="1" s="1" a="1"/>
  <c r="P63" i="1" s="1"/>
  <c r="AB4" i="4"/>
  <c r="P38" i="1" s="1" a="1"/>
  <c r="P38" i="1" s="1"/>
  <c r="N25" i="12"/>
  <c r="U24" i="6" s="1"/>
  <c r="AB14" i="4"/>
  <c r="P66" i="1" s="1" a="1"/>
  <c r="P66" i="1" s="1"/>
  <c r="AB6" i="4"/>
  <c r="AB12" i="4"/>
  <c r="P75" i="1" s="1" a="1"/>
  <c r="P75" i="1" s="1"/>
  <c r="AB15" i="4"/>
  <c r="P46" i="1" s="1" a="1"/>
  <c r="P46" i="1" s="1"/>
  <c r="U6" i="6"/>
  <c r="AB37" i="4"/>
  <c r="P65" i="1" s="1" a="1"/>
  <c r="P65" i="1" s="1"/>
  <c r="N97" i="12"/>
  <c r="AB13" i="4"/>
  <c r="P50" i="1" s="1" a="1"/>
  <c r="P50" i="1" s="1"/>
  <c r="AB2" i="4"/>
  <c r="P37" i="1" s="1" a="1"/>
  <c r="P37" i="1" s="1"/>
  <c r="T9" i="6"/>
  <c r="P10" i="1" s="1" a="1"/>
  <c r="P10" i="1" s="1"/>
  <c r="F8" i="13" s="1"/>
  <c r="T3" i="6"/>
  <c r="P3" i="1" s="1" a="1"/>
  <c r="P3" i="1" s="1"/>
  <c r="N82" i="12"/>
  <c r="AB3" i="4"/>
  <c r="P39" i="1" s="1" a="1"/>
  <c r="P39" i="1" s="1"/>
  <c r="AB184" i="4"/>
  <c r="AB229" i="4"/>
  <c r="AB228" i="4"/>
  <c r="AB234" i="4"/>
  <c r="AB213" i="4"/>
  <c r="AB170" i="4"/>
  <c r="AB223" i="4"/>
  <c r="AB210" i="4"/>
  <c r="AB250" i="4"/>
  <c r="AB106" i="4"/>
  <c r="AB104" i="4"/>
  <c r="AB219" i="4"/>
  <c r="AB57" i="4"/>
  <c r="AB174" i="4"/>
  <c r="AB166" i="4"/>
  <c r="AB189" i="4"/>
  <c r="AB78" i="4"/>
  <c r="AB233" i="4"/>
  <c r="AB124" i="4"/>
  <c r="AB197" i="4"/>
  <c r="AB198" i="4"/>
  <c r="AB92" i="4"/>
  <c r="AB225" i="4"/>
  <c r="AB47" i="4"/>
  <c r="AB89" i="4"/>
  <c r="AB158" i="4"/>
  <c r="AB60" i="4"/>
  <c r="AB187" i="4"/>
  <c r="AB128" i="4"/>
  <c r="AB97" i="4"/>
  <c r="AB177" i="4"/>
  <c r="AB110" i="4"/>
  <c r="AB208" i="4"/>
  <c r="AB91" i="4"/>
  <c r="AB150" i="4"/>
  <c r="AB203" i="4"/>
  <c r="AB191" i="4"/>
  <c r="AB183" i="4"/>
  <c r="AB152" i="4"/>
  <c r="AB100" i="4"/>
  <c r="AB242" i="4"/>
  <c r="AB149" i="4"/>
  <c r="AB43" i="4"/>
  <c r="AB61" i="4"/>
  <c r="AB249" i="4"/>
  <c r="AB94" i="4"/>
  <c r="AB42" i="4"/>
  <c r="AB205" i="4"/>
  <c r="AB202" i="4"/>
  <c r="AB194" i="4"/>
  <c r="AB218" i="4"/>
  <c r="AB172" i="4"/>
  <c r="AB195" i="4"/>
  <c r="AB53" i="4"/>
  <c r="AB98" i="4"/>
  <c r="AB251" i="4"/>
  <c r="AB54" i="4"/>
  <c r="N83" i="12"/>
  <c r="N17" i="12"/>
  <c r="U2" i="6" s="1"/>
  <c r="N69" i="12"/>
  <c r="N105" i="12"/>
  <c r="N55" i="12"/>
  <c r="N78" i="12"/>
  <c r="N104" i="12"/>
  <c r="N110" i="12"/>
  <c r="N7" i="12"/>
  <c r="U13" i="6" s="1"/>
  <c r="N73" i="12"/>
  <c r="N38" i="12"/>
  <c r="N81" i="12"/>
  <c r="N41" i="12"/>
  <c r="N37" i="12"/>
  <c r="N46" i="12"/>
  <c r="N54" i="12"/>
  <c r="Q81" i="1" a="1"/>
  <c r="Q81" i="1" s="1"/>
  <c r="AC166" i="4"/>
  <c r="AC116" i="4"/>
  <c r="AC90" i="4"/>
  <c r="AC81" i="4"/>
  <c r="AC228" i="4"/>
  <c r="K4" i="1" a="1"/>
  <c r="K4" i="1" s="1"/>
  <c r="K57" i="1" a="1"/>
  <c r="K57" i="1" s="1"/>
  <c r="U52" i="6" l="1"/>
  <c r="V52" i="6" s="1"/>
  <c r="U48" i="6"/>
  <c r="V48" i="6" s="1"/>
  <c r="AC141" i="4"/>
  <c r="AC177" i="4"/>
  <c r="AC92" i="4"/>
  <c r="AC250" i="4"/>
  <c r="AC170" i="4"/>
  <c r="AC99" i="4"/>
  <c r="U43" i="6"/>
  <c r="V43" i="6" s="1"/>
  <c r="U41" i="6"/>
  <c r="V41" i="6" s="1"/>
  <c r="U46" i="6"/>
  <c r="V46" i="6" s="1"/>
  <c r="U32" i="6"/>
  <c r="V32" i="6" s="1"/>
  <c r="U47" i="6"/>
  <c r="V47" i="6" s="1"/>
  <c r="U26" i="6"/>
  <c r="V26" i="6" s="1"/>
  <c r="U49" i="6"/>
  <c r="V49" i="6" s="1"/>
  <c r="U28" i="6"/>
  <c r="V28" i="6" s="1"/>
  <c r="U45" i="6"/>
  <c r="V45" i="6" s="1"/>
  <c r="AC169" i="4"/>
  <c r="AC224" i="4"/>
  <c r="AC244" i="4"/>
  <c r="AC9" i="4"/>
  <c r="Q31" i="1" s="1" a="1"/>
  <c r="Q31" i="1" s="1"/>
  <c r="U33" i="6"/>
  <c r="V33" i="6" s="1"/>
  <c r="U30" i="6"/>
  <c r="V30" i="6" s="1"/>
  <c r="U27" i="6"/>
  <c r="V27" i="6" s="1"/>
  <c r="AC167" i="4"/>
  <c r="AC66" i="4"/>
  <c r="AC52" i="4"/>
  <c r="AC51" i="4"/>
  <c r="U18" i="6"/>
  <c r="Q18" i="1" s="1" a="1"/>
  <c r="Q18" i="1" s="1"/>
  <c r="U11" i="6"/>
  <c r="V11" i="6" s="1"/>
  <c r="U8" i="6"/>
  <c r="V8" i="6" s="1"/>
  <c r="U42" i="6"/>
  <c r="V42" i="6" s="1"/>
  <c r="U39" i="6"/>
  <c r="V39" i="6" s="1"/>
  <c r="U36" i="6"/>
  <c r="V36" i="6" s="1"/>
  <c r="U51" i="6"/>
  <c r="V51" i="6" s="1"/>
  <c r="U35" i="6"/>
  <c r="V35" i="6" s="1"/>
  <c r="U50" i="6"/>
  <c r="V50" i="6" s="1"/>
  <c r="U40" i="6"/>
  <c r="V40" i="6" s="1"/>
  <c r="U5" i="6"/>
  <c r="V5" i="6" s="1"/>
  <c r="U12" i="6"/>
  <c r="V12" i="6" s="1"/>
  <c r="U4" i="6"/>
  <c r="V4" i="6" s="1"/>
  <c r="U16" i="6"/>
  <c r="V16" i="6" s="1"/>
  <c r="U25" i="6"/>
  <c r="V25" i="6" s="1"/>
  <c r="AC35" i="4"/>
  <c r="Q68" i="1" s="1" a="1"/>
  <c r="Q68" i="1" s="1"/>
  <c r="U17" i="6"/>
  <c r="V17" i="6" s="1"/>
  <c r="U14" i="6"/>
  <c r="V14" i="6" s="1"/>
  <c r="U19" i="6"/>
  <c r="V19" i="6" s="1"/>
  <c r="U20" i="6"/>
  <c r="V20" i="6" s="1"/>
  <c r="U10" i="6"/>
  <c r="V10" i="6" s="1"/>
  <c r="U23" i="6"/>
  <c r="V23" i="6" s="1"/>
  <c r="P16" i="1" a="1"/>
  <c r="P16" i="1" s="1"/>
  <c r="F12" i="13" s="1"/>
  <c r="P40" i="1" a="1"/>
  <c r="P40" i="1" s="1"/>
  <c r="AC151" i="4"/>
  <c r="AC176" i="4"/>
  <c r="AC196" i="4"/>
  <c r="AC162" i="4"/>
  <c r="AC226" i="4"/>
  <c r="AC57" i="4"/>
  <c r="AC221" i="4"/>
  <c r="AC129" i="4"/>
  <c r="AC252" i="4"/>
  <c r="AC60" i="4"/>
  <c r="AC241" i="4"/>
  <c r="AC62" i="4"/>
  <c r="AC128" i="4"/>
  <c r="AC182" i="4"/>
  <c r="AC130" i="4"/>
  <c r="AC136" i="4"/>
  <c r="AC100" i="4"/>
  <c r="AC131" i="4"/>
  <c r="AC84" i="4"/>
  <c r="AC108" i="4"/>
  <c r="AC215" i="4"/>
  <c r="AC199" i="4"/>
  <c r="AC94" i="4"/>
  <c r="AC222" i="4"/>
  <c r="AC110" i="4"/>
  <c r="AC187" i="4"/>
  <c r="AC48" i="4"/>
  <c r="AC138" i="4"/>
  <c r="AC103" i="4"/>
  <c r="AC124" i="4"/>
  <c r="AC64" i="4"/>
  <c r="AC86" i="4"/>
  <c r="AC240" i="4"/>
  <c r="AC158" i="4"/>
  <c r="AC213" i="4"/>
  <c r="P7" i="1" a="1"/>
  <c r="P7" i="1" s="1"/>
  <c r="F5" i="13" s="1"/>
  <c r="P24" i="1" a="1"/>
  <c r="P24" i="1" s="1"/>
  <c r="F16" i="13" s="1"/>
  <c r="Q24" i="1" a="1"/>
  <c r="Q24" i="1" s="1"/>
  <c r="P21" i="1" a="1"/>
  <c r="P21" i="1" s="1"/>
  <c r="Q7" i="1" a="1"/>
  <c r="Q7" i="1" s="1"/>
  <c r="Q4" i="1" a="1"/>
  <c r="Q4" i="1" s="1"/>
  <c r="Q9" i="1" a="1"/>
  <c r="Q9" i="1" s="1"/>
  <c r="Q5" i="1" a="1"/>
  <c r="Q5" i="1" s="1"/>
  <c r="Q11" i="1" a="1"/>
  <c r="Q11" i="1" s="1"/>
  <c r="V22" i="6"/>
  <c r="Q23" i="1" a="1"/>
  <c r="Q23" i="1" s="1"/>
  <c r="V9" i="6"/>
  <c r="V13" i="6"/>
  <c r="V15" i="6"/>
  <c r="Q15" i="1" a="1"/>
  <c r="Q15" i="1" s="1"/>
  <c r="V24" i="6"/>
  <c r="Q25" i="1" a="1"/>
  <c r="Q25" i="1" s="1"/>
  <c r="V21" i="6"/>
  <c r="P43" i="1" a="1"/>
  <c r="P43" i="1" s="1"/>
  <c r="P30" i="1" a="1"/>
  <c r="P30" i="1" s="1"/>
  <c r="P72" i="1" a="1"/>
  <c r="P72" i="1" s="1"/>
  <c r="P34" i="1" a="1"/>
  <c r="P34" i="1" s="1"/>
  <c r="P57" i="1" a="1"/>
  <c r="P57" i="1" s="1"/>
  <c r="P33" i="1" a="1"/>
  <c r="P33" i="1" s="1"/>
  <c r="P78" i="1" a="1"/>
  <c r="P78" i="1" s="1"/>
  <c r="P29" i="1" a="1"/>
  <c r="P29" i="1" s="1"/>
  <c r="P70" i="1" a="1"/>
  <c r="P70" i="1" s="1"/>
  <c r="P32" i="1" a="1"/>
  <c r="P32" i="1" s="1"/>
  <c r="P62" i="1" a="1"/>
  <c r="P62" i="1" s="1"/>
  <c r="P36" i="1" a="1"/>
  <c r="P36" i="1" s="1"/>
  <c r="P60" i="1" a="1"/>
  <c r="P60" i="1" s="1"/>
  <c r="P35" i="1" a="1"/>
  <c r="P35" i="1" s="1"/>
  <c r="V3" i="6"/>
  <c r="Q3" i="1" a="1"/>
  <c r="Q3" i="1" s="1"/>
  <c r="V6" i="6"/>
  <c r="Q6" i="1" a="1"/>
  <c r="Q6" i="1" s="1"/>
  <c r="V2" i="6"/>
  <c r="Q2" i="1" a="1"/>
  <c r="Q2" i="1" s="1"/>
  <c r="AC140" i="4"/>
  <c r="AC184" i="4"/>
  <c r="AC79" i="4"/>
  <c r="AC146" i="4"/>
  <c r="AC200" i="4"/>
  <c r="AC132" i="4"/>
  <c r="AC242" i="4"/>
  <c r="AC97" i="4"/>
  <c r="AC247" i="4"/>
  <c r="AC107" i="4"/>
  <c r="AC193" i="4"/>
  <c r="AC70" i="4"/>
  <c r="AC145" i="4"/>
  <c r="AC230" i="4"/>
  <c r="AC63" i="4"/>
  <c r="AC50" i="4"/>
  <c r="AC198" i="4"/>
  <c r="AC154" i="4"/>
  <c r="AC104" i="4"/>
  <c r="AC211" i="4"/>
  <c r="AC8" i="4"/>
  <c r="AC165" i="4"/>
  <c r="AC164" i="4"/>
  <c r="AC95" i="4"/>
  <c r="AC68" i="4"/>
  <c r="AC218" i="4"/>
  <c r="AC225" i="4"/>
  <c r="AC205" i="4"/>
  <c r="AC234" i="4"/>
  <c r="AC219" i="4"/>
  <c r="AC217" i="4"/>
  <c r="AC216" i="4"/>
  <c r="AC31" i="4"/>
  <c r="Q51" i="1" s="1" a="1"/>
  <c r="Q51" i="1" s="1"/>
  <c r="AC11" i="4"/>
  <c r="Q55" i="1" s="1" a="1"/>
  <c r="Q55" i="1" s="1"/>
  <c r="AC190" i="4"/>
  <c r="AC212" i="4"/>
  <c r="AC243" i="4"/>
  <c r="AC125" i="4"/>
  <c r="AC58" i="4"/>
  <c r="AC106" i="4"/>
  <c r="AC147" i="4"/>
  <c r="AC180" i="4"/>
  <c r="AC44" i="4"/>
  <c r="AC237" i="4"/>
  <c r="AC39" i="4"/>
  <c r="Q69" i="1" s="1" a="1"/>
  <c r="Q69" i="1" s="1"/>
  <c r="AC6" i="4"/>
  <c r="AC40" i="4"/>
  <c r="Q53" i="1" s="1" a="1"/>
  <c r="Q53" i="1" s="1"/>
  <c r="AC55" i="4"/>
  <c r="AC80" i="4"/>
  <c r="AC220" i="4"/>
  <c r="AC179" i="4"/>
  <c r="AC126" i="4"/>
  <c r="AC85" i="4"/>
  <c r="AC75" i="4"/>
  <c r="AC229" i="4"/>
  <c r="AC148" i="4"/>
  <c r="AC202" i="4"/>
  <c r="AC149" i="4"/>
  <c r="AC208" i="4"/>
  <c r="AC98" i="4"/>
  <c r="AC192" i="4"/>
  <c r="AC235" i="4"/>
  <c r="AC93" i="4"/>
  <c r="AC251" i="4"/>
  <c r="AC195" i="4"/>
  <c r="AC246" i="4"/>
  <c r="AC115" i="4"/>
  <c r="AC153" i="4"/>
  <c r="AC45" i="4"/>
  <c r="AC137" i="4"/>
  <c r="AC87" i="4"/>
  <c r="AC37" i="4"/>
  <c r="Q65" i="1" s="1" a="1"/>
  <c r="Q65" i="1" s="1"/>
  <c r="AC7" i="4"/>
  <c r="Q13" i="1" s="1" a="1"/>
  <c r="Q13" i="1" s="1"/>
  <c r="AC27" i="4"/>
  <c r="AC19" i="4"/>
  <c r="AC59" i="4"/>
  <c r="AC43" i="4"/>
  <c r="AC121" i="4"/>
  <c r="AC46" i="4"/>
  <c r="AC105" i="4"/>
  <c r="AC249" i="4"/>
  <c r="AC67" i="4"/>
  <c r="AC188" i="4"/>
  <c r="AC78" i="4"/>
  <c r="AC117" i="4"/>
  <c r="AC181" i="4"/>
  <c r="AC207" i="4"/>
  <c r="AC191" i="4"/>
  <c r="AC91" i="4"/>
  <c r="AC233" i="4"/>
  <c r="AC134" i="4"/>
  <c r="AC96" i="4"/>
  <c r="AC236" i="4"/>
  <c r="AC201" i="4"/>
  <c r="AC109" i="4"/>
  <c r="AC206" i="4"/>
  <c r="AC161" i="4"/>
  <c r="AC65" i="4"/>
  <c r="AC34" i="4"/>
  <c r="Q64" i="1" s="1" a="1"/>
  <c r="Q64" i="1" s="1"/>
  <c r="AC5" i="4"/>
  <c r="AC26" i="4"/>
  <c r="Q14" i="1" s="1" a="1"/>
  <c r="Q14" i="1" s="1"/>
  <c r="AC21" i="4"/>
  <c r="Q67" i="1" s="1" a="1"/>
  <c r="Q67" i="1" s="1"/>
  <c r="AC20" i="4"/>
  <c r="Q74" i="1" s="1" a="1"/>
  <c r="Q74" i="1" s="1"/>
  <c r="AC3" i="4"/>
  <c r="Q39" i="1" s="1" a="1"/>
  <c r="Q39" i="1" s="1"/>
  <c r="AC42" i="4"/>
  <c r="AC18" i="4"/>
  <c r="Q54" i="1" s="1" a="1"/>
  <c r="Q54" i="1" s="1"/>
  <c r="AC173" i="4"/>
  <c r="AC102" i="4"/>
  <c r="AC171" i="4"/>
  <c r="AC183" i="4"/>
  <c r="AC47" i="4"/>
  <c r="AC168" i="4"/>
  <c r="AC238" i="4"/>
  <c r="AC89" i="4"/>
  <c r="AC239" i="4"/>
  <c r="AC174" i="4"/>
  <c r="AC172" i="4"/>
  <c r="AC32" i="4"/>
  <c r="Q71" i="1" s="1" a="1"/>
  <c r="Q71" i="1" s="1"/>
  <c r="AC209" i="4"/>
  <c r="AC88" i="4"/>
  <c r="AC120" i="4"/>
  <c r="AC231" i="4"/>
  <c r="AC185" i="4"/>
  <c r="AC186" i="4"/>
  <c r="AC113" i="4"/>
  <c r="AC13" i="4"/>
  <c r="Q50" i="1" s="1" a="1"/>
  <c r="Q50" i="1" s="1"/>
  <c r="AC15" i="4"/>
  <c r="Q46" i="1" s="1" a="1"/>
  <c r="Q46" i="1" s="1"/>
  <c r="AC54" i="4"/>
  <c r="AC139" i="4"/>
  <c r="AC114" i="4"/>
  <c r="AC144" i="4"/>
  <c r="AC111" i="4"/>
  <c r="AC204" i="4"/>
  <c r="AC112" i="4"/>
  <c r="AC232" i="4"/>
  <c r="AC156" i="4"/>
  <c r="AC152" i="4"/>
  <c r="AC61" i="4"/>
  <c r="AC71" i="4"/>
  <c r="AC118" i="4"/>
  <c r="AC197" i="4"/>
  <c r="AC142" i="4"/>
  <c r="AC119" i="4"/>
  <c r="AC135" i="4"/>
  <c r="AC56" i="4"/>
  <c r="AC203" i="4"/>
  <c r="AC83" i="4"/>
  <c r="AC143" i="4"/>
  <c r="AC25" i="4"/>
  <c r="Q45" i="1" s="1" a="1"/>
  <c r="Q45" i="1" s="1"/>
  <c r="AC163" i="4"/>
  <c r="AC189" i="4"/>
  <c r="AC41" i="4"/>
  <c r="Q77" i="1" s="1" a="1"/>
  <c r="Q77" i="1" s="1"/>
  <c r="AC16" i="4"/>
  <c r="Q80" i="1" s="1" a="1"/>
  <c r="Q80" i="1" s="1"/>
  <c r="AC245" i="4"/>
  <c r="AC69" i="4"/>
  <c r="AC73" i="4"/>
  <c r="AC157" i="4"/>
  <c r="AC76" i="4"/>
  <c r="AC122" i="4"/>
  <c r="AC38" i="4"/>
  <c r="Q12" i="1" s="1" a="1"/>
  <c r="Q12" i="1" s="1"/>
  <c r="AC214" i="4"/>
  <c r="AC155" i="4"/>
  <c r="AC194" i="4"/>
  <c r="AC210" i="4"/>
  <c r="AC74" i="4"/>
  <c r="AC123" i="4"/>
  <c r="AC127" i="4"/>
  <c r="AC101" i="4"/>
  <c r="AC159" i="4"/>
  <c r="AC175" i="4"/>
  <c r="AC49" i="4"/>
  <c r="AC77" i="4"/>
  <c r="AC150" i="4"/>
  <c r="AC248" i="4"/>
  <c r="AC17" i="4"/>
  <c r="Q73" i="1" s="1" a="1"/>
  <c r="Q73" i="1" s="1"/>
  <c r="AC22" i="4"/>
  <c r="Q61" i="1" s="1" a="1"/>
  <c r="Q61" i="1" s="1"/>
  <c r="AC72" i="4"/>
  <c r="AC227" i="4"/>
  <c r="AC223" i="4"/>
  <c r="AC133" i="4"/>
  <c r="AC178" i="4"/>
  <c r="AC53" i="4"/>
  <c r="AC160" i="4"/>
  <c r="AC82" i="4"/>
  <c r="AC14" i="4"/>
  <c r="Q66" i="1" s="1" a="1"/>
  <c r="Q66" i="1" s="1"/>
  <c r="AC36" i="4"/>
  <c r="Q52" i="1" s="1" a="1"/>
  <c r="Q52" i="1" s="1"/>
  <c r="AC24" i="4"/>
  <c r="Q44" i="1" s="1" a="1"/>
  <c r="Q44" i="1" s="1"/>
  <c r="AC28" i="4"/>
  <c r="Q58" i="1" s="1" a="1"/>
  <c r="Q58" i="1" s="1"/>
  <c r="AC12" i="4"/>
  <c r="Q75" i="1" s="1" a="1"/>
  <c r="Q75" i="1" s="1"/>
  <c r="AC10" i="4"/>
  <c r="Q76" i="1" s="1" a="1"/>
  <c r="Q76" i="1" s="1"/>
  <c r="AC33" i="4"/>
  <c r="Q48" i="1" s="1" a="1"/>
  <c r="Q48" i="1" s="1"/>
  <c r="AC30" i="4"/>
  <c r="Q63" i="1" s="1" a="1"/>
  <c r="Q63" i="1" s="1"/>
  <c r="AC23" i="4"/>
  <c r="Q56" i="1" s="1" a="1"/>
  <c r="Q56" i="1" s="1"/>
  <c r="AC29" i="4"/>
  <c r="Q42" i="1" s="1" a="1"/>
  <c r="Q42" i="1" s="1"/>
  <c r="AC4" i="4"/>
  <c r="Q38" i="1" s="1" a="1"/>
  <c r="Q38" i="1" s="1"/>
  <c r="V18" i="6" l="1"/>
  <c r="Q16" i="1" a="1"/>
  <c r="Q16" i="1" s="1"/>
  <c r="Q40" i="1" a="1"/>
  <c r="Q40" i="1" s="1"/>
  <c r="Q8" i="1" a="1"/>
  <c r="Q8" i="1" s="1"/>
  <c r="Q21" i="1" a="1"/>
  <c r="Q21" i="1" s="1"/>
  <c r="Q72" i="1" a="1"/>
  <c r="Q72" i="1" s="1"/>
  <c r="Q34" i="1" a="1"/>
  <c r="Q34" i="1" s="1"/>
  <c r="Q78" i="1" a="1"/>
  <c r="Q78" i="1" s="1"/>
  <c r="Q29" i="1" a="1"/>
  <c r="Q29" i="1" s="1"/>
  <c r="Q62" i="1" a="1"/>
  <c r="Q62" i="1" s="1"/>
  <c r="Q36" i="1" a="1"/>
  <c r="Q36" i="1" s="1"/>
  <c r="Q60" i="1" a="1"/>
  <c r="Q60" i="1" s="1"/>
  <c r="Q35" i="1" a="1"/>
  <c r="Q35" i="1" s="1"/>
  <c r="Q70" i="1" a="1"/>
  <c r="Q70" i="1" s="1"/>
  <c r="Q32" i="1" a="1"/>
  <c r="Q32" i="1" s="1"/>
  <c r="Q43" i="1" a="1"/>
  <c r="Q43" i="1" s="1"/>
  <c r="Q30" i="1" a="1"/>
  <c r="Q3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<sst xmlns="http://schemas.openxmlformats.org/spreadsheetml/2006/main" count="942" uniqueCount="537">
  <si>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</si>
  <si>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</si>
  <si>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</si>
  <si>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</si>
  <si>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</si>
  <si>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</si>
  <si>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</si>
  <si>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</si>
  <si>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</si>
  <si>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</si>
  <si>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</si>
  <si>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</si>
  <si>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</si>
  <si>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</si>
  <si>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</si>
  <si>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</si>
  <si>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</si>
  <si>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</si>
  <si>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</si>
  <si>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</si>
  <si>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</si>
  <si>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</si>
  <si>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</si>
  <si>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</si>
  <si>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</si>
  <si>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</si>
  <si>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</si>
  <si>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</si>
  <si>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</si>
  <si>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</si>
  <si>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</si>
  <si>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</si>
  <si>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</si>
  <si>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Battery test</t>
  </si>
  <si>
    <t>Display test comment</t>
  </si>
  <si>
    <t>Keyboard test comment</t>
  </si>
  <si>
    <t>USB port hardware test comment</t>
  </si>
  <si>
    <t>Webcam test comment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</si>
  <si>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</si>
  <si>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</si>
  <si>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</si>
  <si>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</si>
  <si>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</si>
  <si>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</si>
  <si>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</si>
  <si>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</si>
  <si>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capacity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</si>
  <si>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</si>
  <si>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</si>
  <si>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</si>
  <si>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</si>
  <si>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</si>
  <si>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</si>
  <si>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</si>
  <si>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</si>
  <si>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</si>
  <si>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</si>
  <si>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</si>
  <si>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</si>
  <si>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</si>
  <si>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</si>
  <si>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</si>
  <si>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</si>
  <si>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</si>
  <si>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</si>
  <si>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</si>
  <si>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</si>
  <si>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</si>
  <si>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</si>
  <si>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</si>
  <si>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</si>
  <si>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</si>
  <si>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</si>
  <si>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</si>
  <si>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</si>
  <si>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</si>
  <si>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</si>
  <si>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</si>
  <si>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</si>
  <si>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</si>
  <si>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</si>
  <si>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A2141</t>
  </si>
  <si>
    <t>MacBookPro16,3</t>
  </si>
  <si>
    <t>A2289</t>
  </si>
  <si>
    <t>A2251</t>
  </si>
  <si>
    <t>MacBookPro16,1</t>
  </si>
  <si>
    <t>MacBookPro15,4</t>
  </si>
  <si>
    <t>A2159</t>
  </si>
  <si>
    <t>MacBookPro15,3</t>
  </si>
  <si>
    <t>A1990</t>
  </si>
  <si>
    <t>MacBookPro15,2</t>
  </si>
  <si>
    <t>A1989</t>
  </si>
  <si>
    <t>MacBookPro15,1</t>
  </si>
  <si>
    <t>MacBookPro14,3</t>
  </si>
  <si>
    <t>A1707</t>
  </si>
  <si>
    <t>MacBookPro14,2</t>
  </si>
  <si>
    <t>A1706</t>
  </si>
  <si>
    <t>MacBookPro14,1</t>
  </si>
  <si>
    <t>A1708</t>
  </si>
  <si>
    <t>MacBookPro13,3</t>
  </si>
  <si>
    <t>MacBookPro13,2</t>
  </si>
  <si>
    <t>MacBookPro13,1</t>
  </si>
  <si>
    <t>MacBookPro12,1</t>
  </si>
  <si>
    <t>A1502</t>
  </si>
  <si>
    <t>MacBookPro11,5</t>
  </si>
  <si>
    <t>A1398</t>
  </si>
  <si>
    <t>MacBookPro11,4</t>
  </si>
  <si>
    <t>MacBookPro11,3</t>
  </si>
  <si>
    <t>MacBookPro11,2</t>
  </si>
  <si>
    <t>MacBookPro17,1</t>
  </si>
  <si>
    <t>A2338</t>
  </si>
  <si>
    <t>MacBookPro18,2</t>
  </si>
  <si>
    <t>A2485</t>
  </si>
  <si>
    <t>MacBookPro18,3</t>
  </si>
  <si>
    <t>A2442</t>
  </si>
  <si>
    <t>MacBookPro18,4</t>
  </si>
  <si>
    <t>MacBookPro18,1</t>
  </si>
  <si>
    <t>Mac14,7</t>
  </si>
  <si>
    <t>Mac14,9</t>
  </si>
  <si>
    <t>A2779</t>
  </si>
  <si>
    <t>Mac14,5</t>
  </si>
  <si>
    <t>Mac14,10</t>
  </si>
  <si>
    <t>A2780</t>
  </si>
  <si>
    <t>Mac14,6</t>
  </si>
  <si>
    <t>Mac15,3</t>
  </si>
  <si>
    <t>A2918</t>
  </si>
  <si>
    <t>Mac15,6</t>
  </si>
  <si>
    <t>A2992</t>
  </si>
  <si>
    <t>Mac15,10</t>
  </si>
  <si>
    <t>Mac15,8</t>
  </si>
  <si>
    <t>Mac15,7</t>
  </si>
  <si>
    <t>A2991</t>
  </si>
  <si>
    <t>Mac15,11</t>
  </si>
  <si>
    <t>Mac15,9</t>
  </si>
  <si>
    <t>MacBookAir7,1</t>
  </si>
  <si>
    <t>A1465</t>
  </si>
  <si>
    <t>MacBookAir7,2</t>
  </si>
  <si>
    <t>A1466</t>
  </si>
  <si>
    <t>MacBookAir8,1</t>
  </si>
  <si>
    <t>A1932</t>
  </si>
  <si>
    <t>MacBookAir8,2</t>
  </si>
  <si>
    <t>MacBookAir9,1</t>
  </si>
  <si>
    <t>A2179</t>
  </si>
  <si>
    <t>MacBookAir10,1</t>
  </si>
  <si>
    <t>A2337</t>
  </si>
  <si>
    <t>Mac14,2</t>
  </si>
  <si>
    <t>A2681</t>
  </si>
  <si>
    <t>Mac14,15</t>
  </si>
  <si>
    <t>A2941</t>
  </si>
  <si>
    <t>Mac15,12</t>
  </si>
  <si>
    <t>A3113</t>
  </si>
  <si>
    <t>Mac15,13</t>
  </si>
  <si>
    <t>A3114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</si>
  <si>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</si>
  <si>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</si>
  <si>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</si>
  <si>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</si>
  <si>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</si>
  <si>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</si>
  <si>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</si>
  <si>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</si>
  <si>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</si>
  <si>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</si>
  <si>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</si>
  <si>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</si>
  <si>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</si>
  <si>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</si>
  <si>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</si>
  <si>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</si>
  <si>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</si>
  <si>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</si>
  <si>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</si>
  <si>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</si>
  <si>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</si>
  <si>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</si>
  <si>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</si>
  <si>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</si>
  <si>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</si>
  <si>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</si>
  <si>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</si>
  <si>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</si>
  <si>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</si>
  <si>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</si>
  <si>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</si>
  <si>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</si>
  <si>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</si>
  <si>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</si>
  <si>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</si>
  <si>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</si>
  <si>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</si>
  <si>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</si>
  <si>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</si>
  <si>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</si>
  <si>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</si>
  <si>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</si>
  <si>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</si>
  <si>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</si>
  <si>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</si>
  <si>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</si>
  <si>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</si>
  <si>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</si>
  <si>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</si>
  <si>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</si>
  <si>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</si>
  <si>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</si>
  <si>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</si>
  <si>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</si>
  <si>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</si>
  <si>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</si>
  <si>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</si>
  <si>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</si>
  <si>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</si>
  <si>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</si>
  <si>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</si>
  <si>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</si>
  <si>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</si>
  <si>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</si>
  <si>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</si>
  <si>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</si>
  <si>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</si>
  <si>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</si>
  <si>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</si>
  <si>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</si>
  <si>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</si>
  <si>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</si>
  <si>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</si>
  <si>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</si>
  <si>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</si>
  <si>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</si>
  <si>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</si>
  <si>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</si>
  <si>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</si>
  <si>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</si>
  <si>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</si>
  <si>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</si>
  <si>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</si>
  <si>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</si>
  <si>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</si>
  <si>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</si>
  <si>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</si>
  <si>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</si>
  <si>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</si>
  <si>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</si>
  <si>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</si>
  <si>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</si>
  <si>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</si>
  <si>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</si>
  <si>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</si>
  <si>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</si>
  <si>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</si>
  <si>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</si>
  <si>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</si>
  <si>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</si>
  <si>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</si>
  <si>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</si>
  <si>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</si>
  <si>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</si>
  <si>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</si>
  <si>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</si>
  <si>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</si>
  <si>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</si>
  <si>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</si>
  <si>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</si>
  <si>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</si>
  <si>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</si>
  <si>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</si>
  <si>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</si>
  <si>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</si>
  <si>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</si>
  <si>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</si>
  <si>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</si>
  <si>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</si>
  <si>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</si>
  <si>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</si>
  <si>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</si>
  <si>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</si>
  <si>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</si>
  <si>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</si>
  <si>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</si>
  <si>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</si>
  <si>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</si>
  <si>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</si>
  <si>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</si>
  <si>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</si>
  <si>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</si>
  <si>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</si>
  <si>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</si>
  <si>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</si>
  <si>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</si>
  <si>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</si>
  <si>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</si>
  <si>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</si>
  <si>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</si>
  <si>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</si>
  <si>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</si>
  <si>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</si>
  <si>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</si>
  <si>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</si>
  <si>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</si>
  <si>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</si>
  <si>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</si>
  <si>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</si>
  <si>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</si>
  <si>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</si>
  <si>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</si>
  <si>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</si>
  <si>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</si>
  <si>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</si>
  <si>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</si>
  <si>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</si>
  <si>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</si>
  <si>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</si>
  <si>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</si>
  <si>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</si>
  <si>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</si>
  <si>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</si>
  <si>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CorePart</t>
  </si>
  <si>
    <t>RyzenPart</t>
  </si>
  <si>
    <t>UltraPart</t>
  </si>
  <si>
    <t>CoreCode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</si>
  <si>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</si>
  <si>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</si>
  <si>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</si>
  <si>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</si>
  <si>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</si>
  <si>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</si>
  <si>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</si>
  <si>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</si>
  <si>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</si>
  <si>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</si>
  <si>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</si>
  <si>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</si>
  <si>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</si>
  <si>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</si>
  <si>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</si>
  <si>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</si>
  <si>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</si>
  <si>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</si>
  <si>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</si>
  <si>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</si>
  <si>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</si>
  <si>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</si>
  <si>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</si>
  <si>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</si>
  <si>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</si>
  <si>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</si>
  <si>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</si>
  <si>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</si>
  <si>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</si>
  <si>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</si>
  <si>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</si>
  <si>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</si>
  <si>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</si>
  <si>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</si>
  <si>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</si>
  <si>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</si>
  <si>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</si>
  <si>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</si>
  <si>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</si>
  <si>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</si>
  <si>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</si>
  <si>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</si>
  <si>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</si>
  <si>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</si>
  <si>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</si>
  <si>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</si>
  <si>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</si>
  <si>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</si>
  <si>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</si>
  <si>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</si>
  <si>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</si>
  <si>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</si>
  <si>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</si>
  <si>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</si>
  <si>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</si>
  <si>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</si>
  <si>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</si>
  <si>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</si>
  <si>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</si>
  <si>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</si>
  <si>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</si>
  <si>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</si>
  <si>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</si>
  <si>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</si>
  <si>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</si>
  <si>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</si>
  <si>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</si>
  <si>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</si>
  <si>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</si>
  <si>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</si>
  <si>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</si>
  <si>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</si>
  <si>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</si>
  <si>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</si>
  <si>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</si>
  <si>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</si>
  <si>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</si>
  <si>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</si>
  <si>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</si>
  <si>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</si>
  <si>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</si>
  <si>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</si>
  <si>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</si>
  <si>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</si>
  <si>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</si>
  <si>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</si>
  <si>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</si>
  <si>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</si>
  <si>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</si>
  <si>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</si>
  <si>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</si>
  <si>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</si>
  <si>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</si>
  <si>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</si>
  <si>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</si>
  <si>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</si>
  <si>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</si>
  <si>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</si>
  <si>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</si>
  <si>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</si>
  <si>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</si>
  <si>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</si>
  <si>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</si>
  <si>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</si>
  <si>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</si>
  <si>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</si>
  <si>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</si>
  <si>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</si>
  <si>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</si>
  <si>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</si>
  <si>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</si>
  <si>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</si>
  <si>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</si>
  <si>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</si>
  <si>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</si>
  <si>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</si>
  <si>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</si>
  <si>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</si>
  <si>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</si>
  <si>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</si>
  <si>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</si>
  <si>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</si>
  <si>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</si>
  <si>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</si>
  <si>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</si>
  <si>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</si>
  <si>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</si>
  <si>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</si>
  <si>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</si>
  <si>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</si>
  <si>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</si>
  <si>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</si>
  <si>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</si>
  <si>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</si>
  <si>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</si>
  <si>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</si>
  <si>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</si>
  <si>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</si>
  <si>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</si>
  <si>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</si>
  <si>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</si>
  <si>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</si>
  <si>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</si>
  <si>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</si>
  <si>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</si>
  <si>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</si>
  <si>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</si>
  <si>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</si>
  <si>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</si>
  <si>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</si>
  <si>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</si>
  <si>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</si>
  <si>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</si>
  <si>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</si>
  <si>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</si>
  <si>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</si>
  <si>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</si>
  <si>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</si>
  <si>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</si>
  <si>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</si>
  <si>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</si>
  <si>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</si>
  <si>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</si>
  <si>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</si>
  <si>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</si>
  <si>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</si>
  <si>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</si>
  <si>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</si>
  <si>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</si>
  <si>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</si>
  <si>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</si>
  <si>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</si>
  <si>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</si>
  <si>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</si>
  <si>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</si>
  <si>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</si>
  <si>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</si>
  <si>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</si>
  <si>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</si>
  <si>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</si>
  <si>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</si>
  <si>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</si>
  <si>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</si>
  <si>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</si>
  <si>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</si>
  <si>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</si>
  <si>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</si>
  <si>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</si>
  <si>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</si>
  <si>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</si>
  <si>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</si>
  <si>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</si>
  <si>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</si>
  <si>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</si>
  <si>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</si>
  <si>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</si>
  <si>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</si>
  <si>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</si>
  <si>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</si>
  <si>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</si>
  <si>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</si>
  <si>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</si>
  <si>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Speakers test</t>
  </si>
  <si>
    <t>Asset Tag</t>
  </si>
  <si>
    <t>Disk Capacity</t>
  </si>
  <si>
    <t>Wiping Yes/No</t>
  </si>
  <si>
    <t>Wiping result</t>
  </si>
  <si>
    <t>X</t>
  </si>
  <si>
    <t>Pointer Test Comment</t>
  </si>
  <si>
    <t>Issue type</t>
  </si>
  <si>
    <t>Wiped</t>
  </si>
  <si>
    <t>Locked and Faulty</t>
  </si>
  <si>
    <t>Locked or Faulty</t>
  </si>
  <si>
    <t>Item Lookup</t>
  </si>
  <si>
    <t>ITEM</t>
  </si>
  <si>
    <t>SHR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</si>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</sst>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1" fillId="8" borderId="1" xfId="1" applyFill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1" fillId="7" borderId="8" xfId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91.48436076389" createdVersion="8" refreshedVersion="8" minRefreshableVersion="3" recordCount="1000" xr:uid="{0209DDFC-7F05-42B2-AADC-EC1000B93D93}">
  <cacheSource type="worksheet">
    <worksheetSource ref="A1:AC1048576" sheet="Disk_Pivot_Data"/>
  </cacheSource>
  <cacheFields count="29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Battery test" numFmtId="0">
      <sharedItems containsString="0" containsBlank="1" containsNumber="1" containsInteger="1" minValue="0" maxValue="0"/>
    </cacheField>
    <cacheField name="Display test comment" numFmtId="0">
      <sharedItems containsString="0" containsBlank="1" containsNumber="1" containsInteger="1" minValue="0" maxValue="0"/>
    </cacheField>
    <cacheField name="Keyboard test comment" numFmtId="0">
      <sharedItems containsString="0" containsBlank="1" containsNumber="1" containsInteger="1" minValue="0" maxValue="0"/>
    </cacheField>
    <cacheField name="Pointer Test Comment" numFmtId="0">
      <sharedItems containsString="0" containsBlank="1" containsNumber="1" containsInteger="1" minValue="0" maxValue="0"/>
    </cacheField>
    <cacheField name="Speakers test" numFmtId="0">
      <sharedItems containsString="0" containsBlank="1" containsNumber="1" containsInteger="1" minValue="0" maxValue="0"/>
    </cacheField>
    <cacheField name="USB port hardware test comment" numFmtId="0">
      <sharedItems containsString="0" containsBlank="1" containsNumber="1" containsInteger="1" minValue="0" maxValue="0"/>
    </cacheField>
    <cacheField name="Webcam test comment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Memory capacit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capacity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Erasure technician" numFmtId="0">
      <sharedItems containsString="0" containsBlank="1" containsNumber="1" containsInteger="1" minValue="0" maxValue="0"/>
    </cacheField>
    <cacheField name="UUID" numFmtId="0">
      <sharedItems containsString="0" containsBlank="1" containsNumber="1" containsInteger="1" minValue="0" maxValue="0"/>
    </cacheField>
    <cacheField name="Successful / Failed" numFmtId="0">
      <sharedItems containsBlank="1" count="3">
        <s v=""/>
        <m/>
        <s v="Successfu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m/>
    <m/>
    <m/>
    <m/>
    <m/>
    <m/>
    <x v="1"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07BD0-EDE5-4434-BC30-306AB96DD5B9}" name="PivotTable2" cacheId="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3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h="1" x="0"/>
        <item m="1" x="2"/>
        <item h="1" x="1"/>
        <item t="default"/>
      </items>
    </pivotField>
  </pivotFields>
  <rowFields count="1">
    <field x="6"/>
  </rowFields>
  <rowItems count="1">
    <i t="grand">
      <x/>
    </i>
  </rowItems>
  <colFields count="1">
    <field x="28"/>
  </colFields>
  <colItems count="1">
    <i t="grand">
      <x/>
    </i>
  </colItems>
  <dataFields count="1">
    <dataField name="Count of Successful / Failed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F1048576" totalsRowShown="0" tableBorderDxfId="5">
  <autoFilter ref="D1:AF1048576" xr:uid="{29308B2E-F192-42B4-8523-53AD44BB76CD}"/>
  <tableColumns count="29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Battery test"/>
    <tableColumn id="11" xr3:uid="{64E7313F-9764-4039-ACF2-C26A42FA7871}" name="Display test comment"/>
    <tableColumn id="12" xr3:uid="{F4945B93-6847-4A4C-891D-0CCA487E3C05}" name="Keyboard test comment"/>
    <tableColumn id="14" xr3:uid="{E1D7D404-EDA4-4347-901D-F1BE69507E44}" name="Pointer Test Comment"/>
    <tableColumn id="15" xr3:uid="{277DC48B-A6F1-448E-AD2E-244326B1EE05}" name="Speakers test"/>
    <tableColumn id="16" xr3:uid="{64567BD6-EB70-472D-8F5D-F45DE6897DA3}" name="USB port hardware test comment"/>
    <tableColumn id="17" xr3:uid="{DE0C002B-64F3-4C56-A6CC-E2F99B41DD0F}" name="Webcam test comment"/>
    <tableColumn id="19" xr3:uid="{1887D030-FA0F-451B-B129-80FEE6CFAA53}" name="CPU model"/>
    <tableColumn id="20" xr3:uid="{B946C031-7248-4A4E-B14A-6120F0C64983}" name="Memory capacity"/>
    <tableColumn id="21" xr3:uid="{520A2281-2436-4088-944B-DACE8F490E6F}" name="Memory type"/>
    <tableColumn id="22" xr3:uid="{DB98B945-3709-420E-924A-FFA918C4CDFC}" name="Disk capacity"/>
    <tableColumn id="23" xr3:uid="{D44E1F9F-981A-4F98-BD6C-E86E2C91E7D5}" name="Disk interface type"/>
    <tableColumn id="24" xr3:uid="{00F92944-EE85-489C-9796-712BF730220F}" name="Disk serial" dataDxfId="4"/>
    <tableColumn id="25" xr3:uid="{142BB3A2-A27E-40E2-B3D1-7BF1AA333550}" name="Disk model"/>
    <tableColumn id="26" xr3:uid="{3C512A73-D70A-427B-BD05-153BCFB5F7F3}" name="Erasure start time"/>
    <tableColumn id="27" xr3:uid="{1C7C5782-8831-4ECC-8367-7A6FCD2462BA}" name="Battery capacity"/>
    <tableColumn id="28" xr3:uid="{2AEE377B-86E4-4F06-95D9-38854F86FA1E}" name="Battery test comment"/>
    <tableColumn id="29" xr3:uid="{F7E5595E-CE00-474F-8219-E0FA8B5B5CB9}" name="Erasure technician"/>
    <tableColumn id="30" xr3:uid="{80EED2BA-96AB-419E-80D9-28E14D0A4A90}" name="UUID"/>
    <tableColumn id="13" xr3:uid="{FAB02EC3-A65A-4628-B2E9-430841EB4933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70"/>
  <sheetViews>
    <sheetView workbookViewId="0">
      <selection activeCell="I24" sqref="I24"/>
    </sheetView>
  </sheetViews>
  <sheetFormatPr defaultRowHeight="15"/>
  <cols>
    <col min="1" max="1" width="14" style="2" bestFit="1" customWidth="1"/>
    <col min="2" max="2" width="18.140625" style="2" bestFit="1" customWidth="1"/>
    <col min="3" max="3" width="10.28515625" style="2" bestFit="1" customWidth="1"/>
    <col min="4" max="4" width="7" style="2" bestFit="1" customWidth="1"/>
    <col min="5" max="5" width="6.85546875" style="2" bestFit="1" customWidth="1"/>
    <col min="6" max="6" width="8.28515625" style="2" bestFit="1" customWidth="1"/>
    <col min="7" max="7" width="8.140625" style="2" bestFit="1" customWidth="1"/>
    <col min="8" max="8" width="20" style="2" bestFit="1" customWidth="1"/>
    <col min="9" max="9" width="8.42578125" style="2" bestFit="1" customWidth="1"/>
    <col min="10" max="10" width="5.85546875" style="2" bestFit="1" customWidth="1"/>
    <col min="11" max="11" width="9.5703125" style="2" bestFit="1" customWidth="1"/>
    <col min="12" max="12" width="26.5703125" style="2" bestFit="1" customWidth="1"/>
    <col min="13" max="13" width="6.85546875" style="2" bestFit="1" customWidth="1"/>
    <col min="14" max="14" width="15.140625" style="2" bestFit="1" customWidth="1"/>
    <col min="15" max="15" width="53.7109375" style="2" bestFit="1" customWidth="1"/>
    <col min="16" max="16" width="17.28515625" style="2" bestFit="1" customWidth="1"/>
    <col min="17" max="17" width="15.8554687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8" bestFit="1" customWidth="1"/>
  </cols>
  <sheetData>
    <row r="1" spans="1:24" ht="17.25">
      <c r="A1" s="44" t="s">
        <v>533</v>
      </c>
      <c r="B1" s="45" t="s">
        <v>534</v>
      </c>
      <c r="C1" s="45" t="s">
        <v>65</v>
      </c>
      <c r="D1" s="45" t="s">
        <v>2</v>
      </c>
      <c r="E1" s="45" t="s">
        <v>3</v>
      </c>
      <c r="F1" s="45" t="s">
        <v>4</v>
      </c>
      <c r="G1" s="45" t="s">
        <v>5</v>
      </c>
      <c r="H1" s="45" t="s">
        <v>6</v>
      </c>
      <c r="I1" s="45" t="s">
        <v>7</v>
      </c>
      <c r="J1" s="45" t="s">
        <v>8</v>
      </c>
      <c r="K1" s="45" t="s">
        <v>9</v>
      </c>
      <c r="L1" s="45" t="s">
        <v>10</v>
      </c>
      <c r="M1" s="45" t="s">
        <v>11</v>
      </c>
      <c r="N1" s="45" t="s">
        <v>12</v>
      </c>
      <c r="O1" s="45" t="s">
        <v>13</v>
      </c>
      <c r="P1" s="45" t="s">
        <v>14</v>
      </c>
      <c r="Q1" s="45" t="s">
        <v>15</v>
      </c>
      <c r="R1" s="45" t="s">
        <v>16</v>
      </c>
      <c r="S1" s="45" t="s">
        <v>17</v>
      </c>
      <c r="T1" s="45" t="s">
        <v>18</v>
      </c>
      <c r="U1" s="45" t="s">
        <v>19</v>
      </c>
      <c r="V1" s="45" t="s">
        <v>20</v>
      </c>
      <c r="W1" s="45" t="s">
        <v>21</v>
      </c>
      <c r="X1" s="45" t="s">
        <v>532</v>
      </c>
    </row>
    <row r="2" spans="1:24">
      <c r="A2" s="46" t="str">
        <f>_xlfn.TEXTJOIN("",TRUE,Input!$B$2,"0",ROW(My_Audit!A1))</f>
        <v>X01</v>
      </c>
      <c r="B2" s="46" t="str">
        <f>_xlfn.TEXTJOIN("-",TRUE,"ITD",Input!$A$2,A2)</f>
        <v>ITD-SHR-X01</v>
      </c>
      <c r="C2" s="46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46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46">
        <f>_xlfn.XLOOKUP(A2,My_Audit!A:A,My_Audit!D:D,"")</f>
        <v>0</v>
      </c>
      <c r="F2" s="46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46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46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46" t="str">
        <f>_xlfn.XLOOKUP(A2,Output_Mac!A:A,Output_Mac!I:I,"")</f>
        <v/>
      </c>
      <c r="J2" s="46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46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46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46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N2" s="46"/>
      <c r="O2" s="46" t="str">
        <f>_xlfn.LET(
    _xlpm.CSVVal, _xlfn.XLOOKUP($A2, CSV!$A:$A, CSV!AA:AA,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46" t="str" cm="1">
        <f t="array" ref="P2">IFERROR(_xlfn.LET(
_xlpm.CSVVal,_xlfn.XLOOKUP($A2,CSV!$A:$A,CSV!AB:AB,""),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46" t="str" cm="1">
        <f t="array" ref="Q2">IFERROR(_xlfn.LET(
_xlpm.CSVVal,_xlfn.XLOOKUP($A2,CSV!$A:$A,CSV!AC:AC,""),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R2" s="46"/>
      <c r="S2" s="46"/>
      <c r="T2" s="46"/>
      <c r="U2" s="46"/>
      <c r="V2" s="46"/>
      <c r="W2" s="46"/>
      <c r="X2" s="47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46" t="str">
        <f>_xlfn.TEXTJOIN("",TRUE,Input!$B$2,"0",ROW(My_Audit!A2))</f>
        <v>X02</v>
      </c>
      <c r="B3" s="46" t="str">
        <f>_xlfn.TEXTJOIN("-",TRUE,"ITD",Input!$A$2,A3)</f>
        <v>ITD-SHR-X02</v>
      </c>
      <c r="C3" s="46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46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46">
        <f>_xlfn.XLOOKUP(A3,My_Audit!A:A,My_Audit!D:D,"")</f>
        <v>0</v>
      </c>
      <c r="F3" s="46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46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46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46" t="str">
        <f>_xlfn.XLOOKUP(A3,Output_Mac!A:A,Output_Mac!I:I,"")</f>
        <v/>
      </c>
      <c r="J3" s="46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46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46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46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N3" s="46"/>
      <c r="O3" s="46" t="str">
        <f>_xlfn.LET(
    _xlpm.CSVVal, _xlfn.XLOOKUP($A3, CSV!$A:$A, CSV!AA:AA,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46" t="str" cm="1">
        <f t="array" ref="P3">IFERROR(_xlfn.LET(
_xlpm.CSVVal,_xlfn.XLOOKUP($A3,CSV!$A:$A,CSV!AB:AB,""),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46" t="str" cm="1">
        <f t="array" ref="Q3">IFERROR(_xlfn.LET(
_xlpm.CSVVal,_xlfn.XLOOKUP($A3,CSV!$A:$A,CSV!AC:AC,""),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R3" s="46"/>
      <c r="S3" s="46"/>
      <c r="T3" s="46"/>
      <c r="U3" s="46"/>
      <c r="V3" s="46"/>
      <c r="W3" s="46"/>
      <c r="X3" s="47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46" t="str">
        <f>_xlfn.TEXTJOIN("",TRUE,Input!$B$2,"0",ROW(My_Audit!A3))</f>
        <v>X03</v>
      </c>
      <c r="B4" s="46" t="str">
        <f>_xlfn.TEXTJOIN("-",TRUE,"ITD",Input!$A$2,A4)</f>
        <v>ITD-SHR-X03</v>
      </c>
      <c r="C4" s="46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46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46">
        <f>_xlfn.XLOOKUP(A4,My_Audit!A:A,My_Audit!D:D,"")</f>
        <v>0</v>
      </c>
      <c r="F4" s="46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46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46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46" t="str">
        <f>_xlfn.XLOOKUP(A4,Output_Mac!A:A,Output_Mac!I:I,"")</f>
        <v/>
      </c>
      <c r="J4" s="46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46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46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46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N4" s="46"/>
      <c r="O4" s="46" t="str">
        <f>_xlfn.LET(
    _xlpm.CSVVal, _xlfn.XLOOKUP($A4, CSV!$A:$A, CSV!AA:AA,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46" t="str" cm="1">
        <f t="array" ref="P4">IFERROR(_xlfn.LET(
_xlpm.CSVVal,_xlfn.XLOOKUP($A4,CSV!$A:$A,CSV!AB:AB,""),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46" t="str" cm="1">
        <f t="array" ref="Q4">IFERROR(_xlfn.LET(
_xlpm.CSVVal,_xlfn.XLOOKUP($A4,CSV!$A:$A,CSV!AC:AC,""),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R4" s="46"/>
      <c r="S4" s="46"/>
      <c r="T4" s="46"/>
      <c r="U4" s="46"/>
      <c r="V4" s="46"/>
      <c r="W4" s="46"/>
      <c r="X4" s="47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46" t="str">
        <f>_xlfn.TEXTJOIN("",TRUE,Input!$B$2,"0",ROW(My_Audit!A4))</f>
        <v>X04</v>
      </c>
      <c r="B5" s="46" t="str">
        <f>_xlfn.TEXTJOIN("-",TRUE,"ITD",Input!$A$2,A5)</f>
        <v>ITD-SHR-X04</v>
      </c>
      <c r="C5" s="46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46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46">
        <f>_xlfn.XLOOKUP(A5,My_Audit!A:A,My_Audit!D:D,"")</f>
        <v>0</v>
      </c>
      <c r="F5" s="46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46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46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46" t="str">
        <f>_xlfn.XLOOKUP(A5,Output_Mac!A:A,Output_Mac!I:I,"")</f>
        <v/>
      </c>
      <c r="J5" s="46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46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46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46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N5" s="46"/>
      <c r="O5" s="46" t="str">
        <f>_xlfn.LET(
    _xlpm.CSVVal, _xlfn.XLOOKUP($A5, CSV!$A:$A, CSV!AA:AA,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46" t="str" cm="1">
        <f t="array" ref="P5">IFERROR(_xlfn.LET(
_xlpm.CSVVal,_xlfn.XLOOKUP($A5,CSV!$A:$A,CSV!AB:AB,""),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46" t="str" cm="1">
        <f t="array" ref="Q5">IFERROR(_xlfn.LET(
_xlpm.CSVVal,_xlfn.XLOOKUP($A5,CSV!$A:$A,CSV!AC:AC,""),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R5" s="46"/>
      <c r="S5" s="46"/>
      <c r="T5" s="46"/>
      <c r="U5" s="46"/>
      <c r="V5" s="46"/>
      <c r="W5" s="46"/>
      <c r="X5" s="47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46" t="str">
        <f>_xlfn.TEXTJOIN("",TRUE,Input!$B$2,"0",ROW(My_Audit!A5))</f>
        <v>X05</v>
      </c>
      <c r="B6" s="46" t="str">
        <f>_xlfn.TEXTJOIN("-",TRUE,"ITD",Input!$A$2,A6)</f>
        <v>ITD-SHR-X05</v>
      </c>
      <c r="C6" s="46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46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46">
        <f>_xlfn.XLOOKUP(A6,My_Audit!A:A,My_Audit!D:D,"")</f>
        <v>0</v>
      </c>
      <c r="F6" s="46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46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46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46" t="str">
        <f>_xlfn.XLOOKUP(A6,Output_Mac!A:A,Output_Mac!I:I,"")</f>
        <v/>
      </c>
      <c r="J6" s="46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46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46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46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N6" s="46"/>
      <c r="O6" s="46" t="str">
        <f>_xlfn.LET(
    _xlpm.CSVVal, _xlfn.XLOOKUP($A6, CSV!$A:$A, CSV!AA:AA,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46" t="str" cm="1">
        <f t="array" ref="P6">IFERROR(_xlfn.LET(
_xlpm.CSVVal,_xlfn.XLOOKUP($A6,CSV!$A:$A,CSV!AB:AB,""),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46" t="str" cm="1">
        <f t="array" ref="Q6">IFERROR(_xlfn.LET(
_xlpm.CSVVal,_xlfn.XLOOKUP($A6,CSV!$A:$A,CSV!AC:AC,""),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R6" s="46"/>
      <c r="S6" s="46"/>
      <c r="T6" s="46"/>
      <c r="U6" s="46"/>
      <c r="V6" s="46"/>
      <c r="W6" s="46"/>
      <c r="X6" s="47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46" t="str">
        <f>_xlfn.TEXTJOIN("",TRUE,Input!$B$2,"0",ROW(My_Audit!A6))</f>
        <v>X06</v>
      </c>
      <c r="B7" s="46" t="str">
        <f>_xlfn.TEXTJOIN("-",TRUE,"ITD",Input!$A$2,A7)</f>
        <v>ITD-SHR-X06</v>
      </c>
      <c r="C7" s="46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46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46">
        <f>_xlfn.XLOOKUP(A7,My_Audit!A:A,My_Audit!D:D,"")</f>
        <v>0</v>
      </c>
      <c r="F7" s="46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46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46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46" t="str">
        <f>_xlfn.XLOOKUP(A7,Output_Mac!A:A,Output_Mac!I:I,"")</f>
        <v/>
      </c>
      <c r="J7" s="46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46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46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46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N7" s="46"/>
      <c r="O7" s="46" t="str">
        <f>_xlfn.LET(
    _xlpm.CSVVal, _xlfn.XLOOKUP($A7, CSV!$A:$A, CSV!AA:AA,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46" t="str" cm="1">
        <f t="array" ref="P7">IFERROR(_xlfn.LET(
_xlpm.CSVVal,_xlfn.XLOOKUP($A7,CSV!$A:$A,CSV!AB:AB,""),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46" t="str" cm="1">
        <f t="array" ref="Q7">IFERROR(_xlfn.LET(
_xlpm.CSVVal,_xlfn.XLOOKUP($A7,CSV!$A:$A,CSV!AC:AC,""),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R7" s="46"/>
      <c r="S7" s="46"/>
      <c r="T7" s="46"/>
      <c r="U7" s="46"/>
      <c r="V7" s="46"/>
      <c r="W7" s="46"/>
      <c r="X7" s="4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46" t="str">
        <f>_xlfn.TEXTJOIN("",TRUE,Input!$B$2,"0",ROW(My_Audit!A7))</f>
        <v>X07</v>
      </c>
      <c r="B8" s="46" t="str">
        <f>_xlfn.TEXTJOIN("-",TRUE,"ITD",Input!$A$2,A8)</f>
        <v>ITD-SHR-X07</v>
      </c>
      <c r="C8" s="46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46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46">
        <f>_xlfn.XLOOKUP(A8,My_Audit!A:A,My_Audit!D:D,"")</f>
        <v>0</v>
      </c>
      <c r="F8" s="46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46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46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46" t="str">
        <f>_xlfn.XLOOKUP(A8,Output_Mac!A:A,Output_Mac!I:I,"")</f>
        <v/>
      </c>
      <c r="J8" s="46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46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46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46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N8" s="46"/>
      <c r="O8" s="46" t="str">
        <f>_xlfn.LET(
    _xlpm.CSVVal, _xlfn.XLOOKUP($A8, CSV!$A:$A, CSV!AA:AA,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46" t="str" cm="1">
        <f t="array" ref="P8">IFERROR(_xlfn.LET(
_xlpm.CSVVal,_xlfn.XLOOKUP($A8,CSV!$A:$A,CSV!AB:AB,""),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46" t="str" cm="1">
        <f t="array" ref="Q8">IFERROR(_xlfn.LET(
_xlpm.CSVVal,_xlfn.XLOOKUP($A8,CSV!$A:$A,CSV!AC:AC,""),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R8" s="46"/>
      <c r="S8" s="46"/>
      <c r="T8" s="46"/>
      <c r="U8" s="46"/>
      <c r="V8" s="46"/>
      <c r="W8" s="46"/>
      <c r="X8" s="47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46" t="str">
        <f>_xlfn.TEXTJOIN("",TRUE,Input!$B$2,"0",ROW(My_Audit!A8))</f>
        <v>X08</v>
      </c>
      <c r="B9" s="46" t="str">
        <f>_xlfn.TEXTJOIN("-",TRUE,"ITD",Input!$A$2,A9)</f>
        <v>ITD-SHR-X08</v>
      </c>
      <c r="C9" s="46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46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46">
        <f>_xlfn.XLOOKUP(A9,My_Audit!A:A,My_Audit!D:D,"")</f>
        <v>0</v>
      </c>
      <c r="F9" s="46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46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46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46" t="str">
        <f>_xlfn.XLOOKUP(A9,Output_Mac!A:A,Output_Mac!I:I,"")</f>
        <v/>
      </c>
      <c r="J9" s="46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46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46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46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N9" s="46"/>
      <c r="O9" s="46" t="str">
        <f>_xlfn.LET(
    _xlpm.CSVVal, _xlfn.XLOOKUP($A9, CSV!$A:$A, CSV!AA:AA,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46" t="str" cm="1">
        <f t="array" ref="P9">IFERROR(_xlfn.LET(
_xlpm.CSVVal,_xlfn.XLOOKUP($A9,CSV!$A:$A,CSV!AB:AB,""),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46" t="str" cm="1">
        <f t="array" ref="Q9">IFERROR(_xlfn.LET(
_xlpm.CSVVal,_xlfn.XLOOKUP($A9,CSV!$A:$A,CSV!AC:AC,""),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R9" s="46"/>
      <c r="S9" s="46"/>
      <c r="T9" s="46"/>
      <c r="U9" s="46"/>
      <c r="V9" s="46"/>
      <c r="W9" s="46"/>
      <c r="X9" s="47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46" t="str">
        <f>_xlfn.TEXTJOIN("",TRUE,Input!$B$2,"0",ROW(My_Audit!A9))</f>
        <v>X09</v>
      </c>
      <c r="B10" s="46" t="str">
        <f>_xlfn.TEXTJOIN("-",TRUE,"ITD",Input!$A$2,A10)</f>
        <v>ITD-SHR-X09</v>
      </c>
      <c r="C10" s="46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46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46">
        <f>_xlfn.XLOOKUP(A10,My_Audit!A:A,My_Audit!D:D,"")</f>
        <v>0</v>
      </c>
      <c r="F10" s="46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46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46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46" t="str">
        <f>_xlfn.XLOOKUP(A10,Output_Mac!A:A,Output_Mac!I:I,"")</f>
        <v/>
      </c>
      <c r="J10" s="46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46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46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46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N10" s="46"/>
      <c r="O10" s="46" t="str">
        <f>_xlfn.LET(
    _xlpm.CSVVal, _xlfn.XLOOKUP($A10, CSV!$A:$A, CSV!AA:AA,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46" t="str" cm="1">
        <f t="array" ref="P10">IFERROR(_xlfn.LET(
_xlpm.CSVVal,_xlfn.XLOOKUP($A10,CSV!$A:$A,CSV!AB:AB,""),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46" t="str" cm="1">
        <f t="array" ref="Q10">IFERROR(_xlfn.LET(
_xlpm.CSVVal,_xlfn.XLOOKUP($A10,CSV!$A:$A,CSV!AC:AC,""),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R10" s="46"/>
      <c r="S10" s="46"/>
      <c r="T10" s="46"/>
      <c r="U10" s="46"/>
      <c r="V10" s="46"/>
      <c r="W10" s="46"/>
      <c r="X10" s="47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46" t="str">
        <f>_xlfn.TEXTJOIN("",TRUE,Input!$B$2,ROW(My_Audit!A10))</f>
        <v>X10</v>
      </c>
      <c r="B11" s="46" t="str">
        <f>_xlfn.TEXTJOIN("-",TRUE,"ITD",Input!$A$2,A11)</f>
        <v>ITD-SHR-X10</v>
      </c>
      <c r="C11" s="46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46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46">
        <f>_xlfn.XLOOKUP(A11,My_Audit!A:A,My_Audit!D:D,"")</f>
        <v>0</v>
      </c>
      <c r="F11" s="46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46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46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46" t="str">
        <f>_xlfn.XLOOKUP(A11,Output_Mac!A:A,Output_Mac!I:I,"")</f>
        <v/>
      </c>
      <c r="J11" s="46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46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46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46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N11" s="46"/>
      <c r="O11" s="46" t="str">
        <f>_xlfn.LET(
    _xlpm.CSVVal, _xlfn.XLOOKUP($A11, CSV!$A:$A, CSV!AA:AA,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46" t="str" cm="1">
        <f t="array" ref="P11">IFERROR(_xlfn.LET(
_xlpm.CSVVal,_xlfn.XLOOKUP($A11,CSV!$A:$A,CSV!AB:AB,""),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46" t="str" cm="1">
        <f t="array" ref="Q11">IFERROR(_xlfn.LET(
_xlpm.CSVVal,_xlfn.XLOOKUP($A11,CSV!$A:$A,CSV!AC:AC,""),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R11" s="46"/>
      <c r="S11" s="46"/>
      <c r="T11" s="46"/>
      <c r="U11" s="46"/>
      <c r="V11" s="46"/>
      <c r="W11" s="46"/>
      <c r="X11" s="47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46" t="str">
        <f>_xlfn.TEXTJOIN("",TRUE,Input!$B$2,ROW(My_Audit!A11))</f>
        <v>X11</v>
      </c>
      <c r="B12" s="46" t="str">
        <f>_xlfn.TEXTJOIN("-",TRUE,"ITD",Input!$A$2,A12)</f>
        <v>ITD-SHR-X11</v>
      </c>
      <c r="C12" s="46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46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46">
        <f>_xlfn.XLOOKUP(A12,My_Audit!A:A,My_Audit!D:D,"")</f>
        <v>0</v>
      </c>
      <c r="F12" s="46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46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46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46" t="str">
        <f>_xlfn.XLOOKUP(A12,Output_Mac!A:A,Output_Mac!I:I,"")</f>
        <v/>
      </c>
      <c r="J12" s="46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46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46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46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N12" s="46"/>
      <c r="O12" s="46" t="str">
        <f>_xlfn.LET(
    _xlpm.CSVVal, _xlfn.XLOOKUP($A12, CSV!$A:$A, CSV!AA:AA,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46" t="str" cm="1">
        <f t="array" ref="P12">IFERROR(_xlfn.LET(
_xlpm.CSVVal,_xlfn.XLOOKUP($A12,CSV!$A:$A,CSV!AB:AB,""),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46" t="str" cm="1">
        <f t="array" ref="Q12">IFERROR(_xlfn.LET(
_xlpm.CSVVal,_xlfn.XLOOKUP($A12,CSV!$A:$A,CSV!AC:AC,""),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R12" s="46"/>
      <c r="S12" s="46"/>
      <c r="T12" s="46"/>
      <c r="U12" s="46"/>
      <c r="V12" s="46"/>
      <c r="W12" s="46"/>
      <c r="X12" s="47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46" t="str">
        <f>_xlfn.TEXTJOIN("",TRUE,Input!$B$2,ROW(My_Audit!A12))</f>
        <v>X12</v>
      </c>
      <c r="B13" s="46" t="str">
        <f>_xlfn.TEXTJOIN("-",TRUE,"ITD",Input!$A$2,A13)</f>
        <v>ITD-SHR-X12</v>
      </c>
      <c r="C13" s="46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46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46">
        <f>_xlfn.XLOOKUP(A13,My_Audit!A:A,My_Audit!D:D,"")</f>
        <v>0</v>
      </c>
      <c r="F13" s="46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46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46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46" t="str">
        <f>_xlfn.XLOOKUP(A13,Output_Mac!A:A,Output_Mac!I:I,"")</f>
        <v/>
      </c>
      <c r="J13" s="46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46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46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46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N13" s="46"/>
      <c r="O13" s="46" t="str">
        <f>_xlfn.LET(
    _xlpm.CSVVal, _xlfn.XLOOKUP($A13, CSV!$A:$A, CSV!AA:AA,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46" t="str" cm="1">
        <f t="array" ref="P13">IFERROR(_xlfn.LET(
_xlpm.CSVVal,_xlfn.XLOOKUP($A13,CSV!$A:$A,CSV!AB:AB,""),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46" t="str" cm="1">
        <f t="array" ref="Q13">IFERROR(_xlfn.LET(
_xlpm.CSVVal,_xlfn.XLOOKUP($A13,CSV!$A:$A,CSV!AC:AC,""),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R13" s="46"/>
      <c r="S13" s="46"/>
      <c r="T13" s="46"/>
      <c r="U13" s="46"/>
      <c r="V13" s="46"/>
      <c r="W13" s="46"/>
      <c r="X13" s="47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46" t="str">
        <f>_xlfn.TEXTJOIN("",TRUE,Input!$B$2,ROW(My_Audit!A13))</f>
        <v>X13</v>
      </c>
      <c r="B14" s="46" t="str">
        <f>_xlfn.TEXTJOIN("-",TRUE,"ITD",Input!$A$2,A14)</f>
        <v>ITD-SHR-X13</v>
      </c>
      <c r="C14" s="46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46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46">
        <f>_xlfn.XLOOKUP(A14,My_Audit!A:A,My_Audit!D:D,"")</f>
        <v>0</v>
      </c>
      <c r="F14" s="46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46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46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46" t="str">
        <f>_xlfn.XLOOKUP(A14,Output_Mac!A:A,Output_Mac!I:I,"")</f>
        <v/>
      </c>
      <c r="J14" s="46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46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46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46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N14" s="46"/>
      <c r="O14" s="46" t="str">
        <f>_xlfn.LET(
    _xlpm.CSVVal, _xlfn.XLOOKUP($A14, CSV!$A:$A, CSV!AA:AA,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46" t="str" cm="1">
        <f t="array" ref="P14">IFERROR(_xlfn.LET(
_xlpm.CSVVal,_xlfn.XLOOKUP($A14,CSV!$A:$A,CSV!AB:AB,""),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46" t="str" cm="1">
        <f t="array" ref="Q14">IFERROR(_xlfn.LET(
_xlpm.CSVVal,_xlfn.XLOOKUP($A14,CSV!$A:$A,CSV!AC:AC,""),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R14" s="46"/>
      <c r="S14" s="46"/>
      <c r="T14" s="46"/>
      <c r="U14" s="46"/>
      <c r="V14" s="46"/>
      <c r="W14" s="46"/>
      <c r="X14" s="47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46" t="str">
        <f>_xlfn.TEXTJOIN("",TRUE,Input!$B$2,ROW(My_Audit!A14))</f>
        <v>X14</v>
      </c>
      <c r="B15" s="46" t="str">
        <f>_xlfn.TEXTJOIN("-",TRUE,"ITD",Input!$A$2,A15)</f>
        <v>ITD-SHR-X14</v>
      </c>
      <c r="C15" s="46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46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46">
        <f>_xlfn.XLOOKUP(A15,My_Audit!A:A,My_Audit!D:D,"")</f>
        <v>0</v>
      </c>
      <c r="F15" s="46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46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46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46" t="str">
        <f>_xlfn.XLOOKUP(A15,Output_Mac!A:A,Output_Mac!I:I,"")</f>
        <v/>
      </c>
      <c r="J15" s="46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46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46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46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N15" s="46"/>
      <c r="O15" s="46" t="str">
        <f>_xlfn.LET(
    _xlpm.CSVVal, _xlfn.XLOOKUP($A15, CSV!$A:$A, CSV!AA:AA,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46" t="str" cm="1">
        <f t="array" ref="P15">IFERROR(_xlfn.LET(
_xlpm.CSVVal,_xlfn.XLOOKUP($A15,CSV!$A:$A,CSV!AB:AB,""),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46" t="str" cm="1">
        <f t="array" ref="Q15">IFERROR(_xlfn.LET(
_xlpm.CSVVal,_xlfn.XLOOKUP($A15,CSV!$A:$A,CSV!AC:AC,""),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R15" s="46"/>
      <c r="S15" s="46"/>
      <c r="T15" s="46"/>
      <c r="U15" s="46"/>
      <c r="V15" s="46"/>
      <c r="W15" s="46"/>
      <c r="X15" s="47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46" t="str">
        <f>_xlfn.TEXTJOIN("",TRUE,Input!$B$2,ROW(My_Audit!A15))</f>
        <v>X15</v>
      </c>
      <c r="B16" s="46" t="str">
        <f>_xlfn.TEXTJOIN("-",TRUE,"ITD",Input!$A$2,A16)</f>
        <v>ITD-SHR-X15</v>
      </c>
      <c r="C16" s="46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46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46">
        <f>_xlfn.XLOOKUP(A16,My_Audit!A:A,My_Audit!D:D,"")</f>
        <v>0</v>
      </c>
      <c r="F16" s="46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46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46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46" t="str">
        <f>_xlfn.XLOOKUP(A16,Output_Mac!A:A,Output_Mac!I:I,"")</f>
        <v/>
      </c>
      <c r="J16" s="46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46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46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46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N16" s="46"/>
      <c r="O16" s="46" t="str">
        <f>_xlfn.LET(
    _xlpm.CSVVal, _xlfn.XLOOKUP($A16, CSV!$A:$A, CSV!AA:AA,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46" t="str" cm="1">
        <f t="array" ref="P16">IFERROR(_xlfn.LET(
_xlpm.CSVVal,_xlfn.XLOOKUP($A16,CSV!$A:$A,CSV!AB:AB,""),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46" t="str" cm="1">
        <f t="array" ref="Q16">IFERROR(_xlfn.LET(
_xlpm.CSVVal,_xlfn.XLOOKUP($A16,CSV!$A:$A,CSV!AC:AC,""),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R16" s="46"/>
      <c r="S16" s="46"/>
      <c r="T16" s="46"/>
      <c r="U16" s="46"/>
      <c r="V16" s="46"/>
      <c r="W16" s="46"/>
      <c r="X16" s="47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46" t="str">
        <f>_xlfn.TEXTJOIN("",TRUE,Input!$B$2,ROW(My_Audit!A16))</f>
        <v>X16</v>
      </c>
      <c r="B17" s="46" t="str">
        <f>_xlfn.TEXTJOIN("-",TRUE,"ITD",Input!$A$2,A17)</f>
        <v>ITD-SHR-X16</v>
      </c>
      <c r="C17" s="46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46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46">
        <f>_xlfn.XLOOKUP(A17,My_Audit!A:A,My_Audit!D:D,"")</f>
        <v>0</v>
      </c>
      <c r="F17" s="46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46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46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46" t="str">
        <f>_xlfn.XLOOKUP(A17,Output_Mac!A:A,Output_Mac!I:I,"")</f>
        <v/>
      </c>
      <c r="J17" s="46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46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46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46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N17" s="46"/>
      <c r="O17" s="46" t="str">
        <f>_xlfn.LET(
    _xlpm.CSVVal, _xlfn.XLOOKUP($A17, CSV!$A:$A, CSV!AA:AA,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46" t="str" cm="1">
        <f t="array" ref="P17">IFERROR(_xlfn.LET(
_xlpm.CSVVal,_xlfn.XLOOKUP($A17,CSV!$A:$A,CSV!AB:AB,""),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46" t="str" cm="1">
        <f t="array" ref="Q17">IFERROR(_xlfn.LET(
_xlpm.CSVVal,_xlfn.XLOOKUP($A17,CSV!$A:$A,CSV!AC:AC,""),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R17" s="46"/>
      <c r="S17" s="46"/>
      <c r="T17" s="46"/>
      <c r="U17" s="46"/>
      <c r="V17" s="46"/>
      <c r="W17" s="46"/>
      <c r="X17" s="4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46" t="str">
        <f>_xlfn.TEXTJOIN("",TRUE,Input!$B$2,ROW(My_Audit!A17))</f>
        <v>X17</v>
      </c>
      <c r="B18" s="46" t="str">
        <f>_xlfn.TEXTJOIN("-",TRUE,"ITD",Input!$A$2,A18)</f>
        <v>ITD-SHR-X17</v>
      </c>
      <c r="C18" s="46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46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46">
        <f>_xlfn.XLOOKUP(A18,My_Audit!A:A,My_Audit!D:D,"")</f>
        <v>0</v>
      </c>
      <c r="F18" s="46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46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46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46" t="str">
        <f>_xlfn.XLOOKUP(A18,Output_Mac!A:A,Output_Mac!I:I,"")</f>
        <v/>
      </c>
      <c r="J18" s="46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46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46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46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N18" s="46"/>
      <c r="O18" s="46" t="str">
        <f>_xlfn.LET(
    _xlpm.CSVVal, _xlfn.XLOOKUP($A18, CSV!$A:$A, CSV!AA:AA,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46" t="str" cm="1">
        <f t="array" ref="P18">IFERROR(_xlfn.LET(
_xlpm.CSVVal,_xlfn.XLOOKUP($A18,CSV!$A:$A,CSV!AB:AB,""),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46" t="str" cm="1">
        <f t="array" ref="Q18">IFERROR(_xlfn.LET(
_xlpm.CSVVal,_xlfn.XLOOKUP($A18,CSV!$A:$A,CSV!AC:AC,""),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R18" s="46"/>
      <c r="S18" s="46"/>
      <c r="T18" s="46"/>
      <c r="U18" s="46"/>
      <c r="V18" s="46"/>
      <c r="W18" s="46"/>
      <c r="X18" s="47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46" t="str">
        <f>_xlfn.TEXTJOIN("",TRUE,Input!$B$2,ROW(My_Audit!A18))</f>
        <v>X18</v>
      </c>
      <c r="B19" s="46" t="str">
        <f>_xlfn.TEXTJOIN("-",TRUE,"ITD",Input!$A$2,A19)</f>
        <v>ITD-SHR-X18</v>
      </c>
      <c r="C19" s="46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46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46">
        <f>_xlfn.XLOOKUP(A19,My_Audit!A:A,My_Audit!D:D,"")</f>
        <v>0</v>
      </c>
      <c r="F19" s="46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46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46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46" t="str">
        <f>_xlfn.XLOOKUP(A19,Output_Mac!A:A,Output_Mac!I:I,"")</f>
        <v/>
      </c>
      <c r="J19" s="46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46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46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46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N19" s="46"/>
      <c r="O19" s="46" t="str">
        <f>_xlfn.LET(
    _xlpm.CSVVal, _xlfn.XLOOKUP($A19, CSV!$A:$A, CSV!AA:AA,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46" t="str" cm="1">
        <f t="array" ref="P19">IFERROR(_xlfn.LET(
_xlpm.CSVVal,_xlfn.XLOOKUP($A19,CSV!$A:$A,CSV!AB:AB,""),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46" t="str" cm="1">
        <f t="array" ref="Q19">IFERROR(_xlfn.LET(
_xlpm.CSVVal,_xlfn.XLOOKUP($A19,CSV!$A:$A,CSV!AC:AC,""),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R19" s="46"/>
      <c r="S19" s="46"/>
      <c r="T19" s="46"/>
      <c r="U19" s="46"/>
      <c r="V19" s="46"/>
      <c r="W19" s="46"/>
      <c r="X19" s="47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46" t="str">
        <f>_xlfn.TEXTJOIN("",TRUE,Input!$B$2,ROW(My_Audit!A19))</f>
        <v>X19</v>
      </c>
      <c r="B20" s="46" t="str">
        <f>_xlfn.TEXTJOIN("-",TRUE,"ITD",Input!$A$2,A20)</f>
        <v>ITD-SHR-X19</v>
      </c>
      <c r="C20" s="46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46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46">
        <f>_xlfn.XLOOKUP(A20,My_Audit!A:A,My_Audit!D:D,"")</f>
        <v>0</v>
      </c>
      <c r="F20" s="46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46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46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46" t="str">
        <f>_xlfn.XLOOKUP(A20,Output_Mac!A:A,Output_Mac!I:I,"")</f>
        <v/>
      </c>
      <c r="J20" s="46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46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46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46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N20" s="46"/>
      <c r="O20" s="46" t="str">
        <f>_xlfn.LET(
    _xlpm.CSVVal, _xlfn.XLOOKUP($A20, CSV!$A:$A, CSV!AA:AA,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46" t="str" cm="1">
        <f t="array" ref="P20">IFERROR(_xlfn.LET(
_xlpm.CSVVal,_xlfn.XLOOKUP($A20,CSV!$A:$A,CSV!AB:AB,""),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46" t="str" cm="1">
        <f t="array" ref="Q20">IFERROR(_xlfn.LET(
_xlpm.CSVVal,_xlfn.XLOOKUP($A20,CSV!$A:$A,CSV!AC:AC,""),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R20" s="46"/>
      <c r="S20" s="46"/>
      <c r="T20" s="46"/>
      <c r="U20" s="46"/>
      <c r="V20" s="46"/>
      <c r="W20" s="46"/>
      <c r="X20" s="47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46" t="str">
        <f>_xlfn.TEXTJOIN("",TRUE,Input!$B$2,ROW(My_Audit!A20))</f>
        <v>X20</v>
      </c>
      <c r="B21" s="46" t="str">
        <f>_xlfn.TEXTJOIN("-",TRUE,"ITD",Input!$A$2,A21)</f>
        <v>ITD-SHR-X20</v>
      </c>
      <c r="C21" s="46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46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46">
        <f>_xlfn.XLOOKUP(A21,My_Audit!A:A,My_Audit!D:D,"")</f>
        <v>0</v>
      </c>
      <c r="F21" s="46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46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46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46" t="str">
        <f>_xlfn.XLOOKUP(A21,Output_Mac!A:A,Output_Mac!I:I,"")</f>
        <v/>
      </c>
      <c r="J21" s="46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46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46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46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N21" s="46"/>
      <c r="O21" s="46" t="str">
        <f>_xlfn.LET(
    _xlpm.CSVVal, _xlfn.XLOOKUP($A21, CSV!$A:$A, CSV!AA:AA,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46" t="str" cm="1">
        <f t="array" ref="P21">IFERROR(_xlfn.LET(
_xlpm.CSVVal,_xlfn.XLOOKUP($A21,CSV!$A:$A,CSV!AB:AB,""),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46" t="str" cm="1">
        <f t="array" ref="Q21">IFERROR(_xlfn.LET(
_xlpm.CSVVal,_xlfn.XLOOKUP($A21,CSV!$A:$A,CSV!AC:AC,""),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R21" s="46"/>
      <c r="S21" s="46"/>
      <c r="T21" s="46"/>
      <c r="U21" s="46"/>
      <c r="V21" s="46"/>
      <c r="W21" s="46"/>
      <c r="X21" s="47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46" t="str">
        <f>_xlfn.TEXTJOIN("",TRUE,Input!$B$2,ROW(My_Audit!A21))</f>
        <v>X21</v>
      </c>
      <c r="B22" s="46" t="str">
        <f>_xlfn.TEXTJOIN("-",TRUE,"ITD",Input!$A$2,A22)</f>
        <v>ITD-SHR-X21</v>
      </c>
      <c r="C22" s="46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46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46">
        <f>_xlfn.XLOOKUP(A22,My_Audit!A:A,My_Audit!D:D,"")</f>
        <v>0</v>
      </c>
      <c r="F22" s="46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46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46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46" t="str">
        <f>_xlfn.XLOOKUP(A22,Output_Mac!A:A,Output_Mac!I:I,"")</f>
        <v/>
      </c>
      <c r="J22" s="46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46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46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46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N22" s="46"/>
      <c r="O22" s="46" t="str">
        <f>_xlfn.LET(
    _xlpm.CSVVal, _xlfn.XLOOKUP($A22, CSV!$A:$A, CSV!AA:AA,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46" t="str" cm="1">
        <f t="array" ref="P22">IFERROR(_xlfn.LET(
_xlpm.CSVVal,_xlfn.XLOOKUP($A22,CSV!$A:$A,CSV!AB:AB,""),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46" t="str" cm="1">
        <f t="array" ref="Q22">IFERROR(_xlfn.LET(
_xlpm.CSVVal,_xlfn.XLOOKUP($A22,CSV!$A:$A,CSV!AC:AC,""),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R22" s="46"/>
      <c r="S22" s="46"/>
      <c r="T22" s="46"/>
      <c r="U22" s="46"/>
      <c r="V22" s="46"/>
      <c r="W22" s="46"/>
      <c r="X22" s="47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46" t="str">
        <f>_xlfn.TEXTJOIN("",TRUE,Input!$B$2,ROW(My_Audit!A22))</f>
        <v>X22</v>
      </c>
      <c r="B23" s="46" t="str">
        <f>_xlfn.TEXTJOIN("-",TRUE,"ITD",Input!$A$2,A23)</f>
        <v>ITD-SHR-X22</v>
      </c>
      <c r="C23" s="46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46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46">
        <f>_xlfn.XLOOKUP(A23,My_Audit!A:A,My_Audit!D:D,"")</f>
        <v>0</v>
      </c>
      <c r="F23" s="46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46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46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46" t="str">
        <f>_xlfn.XLOOKUP(A23,Output_Mac!A:A,Output_Mac!I:I,"")</f>
        <v/>
      </c>
      <c r="J23" s="46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46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46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46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N23" s="46"/>
      <c r="O23" s="46" t="str">
        <f>_xlfn.LET(
    _xlpm.CSVVal, _xlfn.XLOOKUP($A23, CSV!$A:$A, CSV!AA:AA,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46" t="str" cm="1">
        <f t="array" ref="P23">IFERROR(_xlfn.LET(
_xlpm.CSVVal,_xlfn.XLOOKUP($A23,CSV!$A:$A,CSV!AB:AB,""),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46" t="str" cm="1">
        <f t="array" ref="Q23">IFERROR(_xlfn.LET(
_xlpm.CSVVal,_xlfn.XLOOKUP($A23,CSV!$A:$A,CSV!AC:AC,""),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R23" s="46"/>
      <c r="S23" s="46"/>
      <c r="T23" s="46"/>
      <c r="U23" s="46"/>
      <c r="V23" s="46"/>
      <c r="W23" s="46"/>
      <c r="X23" s="47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46" t="str">
        <f>_xlfn.TEXTJOIN("",TRUE,Input!$B$2,ROW(My_Audit!A23))</f>
        <v>X23</v>
      </c>
      <c r="B24" s="46" t="str">
        <f>_xlfn.TEXTJOIN("-",TRUE,"ITD",Input!$A$2,A24)</f>
        <v>ITD-SHR-X23</v>
      </c>
      <c r="C24" s="46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46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46">
        <f>_xlfn.XLOOKUP(A24,My_Audit!A:A,My_Audit!D:D,"")</f>
        <v>0</v>
      </c>
      <c r="F24" s="46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46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46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46" t="str">
        <f>_xlfn.XLOOKUP(A24,Output_Mac!A:A,Output_Mac!I:I,"")</f>
        <v/>
      </c>
      <c r="J24" s="46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46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46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46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N24" s="46"/>
      <c r="O24" s="46" t="str">
        <f>_xlfn.LET(
    _xlpm.CSVVal, _xlfn.XLOOKUP($A24, CSV!$A:$A, CSV!AA:AA,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46" t="str" cm="1">
        <f t="array" ref="P24">IFERROR(_xlfn.LET(
_xlpm.CSVVal,_xlfn.XLOOKUP($A24,CSV!$A:$A,CSV!AB:AB,""),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46" t="str" cm="1">
        <f t="array" ref="Q24">IFERROR(_xlfn.LET(
_xlpm.CSVVal,_xlfn.XLOOKUP($A24,CSV!$A:$A,CSV!AC:AC,""),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R24" s="46"/>
      <c r="S24" s="46"/>
      <c r="T24" s="46"/>
      <c r="U24" s="46"/>
      <c r="V24" s="46"/>
      <c r="W24" s="46"/>
      <c r="X24" s="47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46" t="str">
        <f>_xlfn.TEXTJOIN("",TRUE,Input!$B$2,ROW(My_Audit!A24))</f>
        <v>X24</v>
      </c>
      <c r="B25" s="46" t="str">
        <f>_xlfn.TEXTJOIN("-",TRUE,"ITD",Input!$A$2,A25)</f>
        <v>ITD-SHR-X24</v>
      </c>
      <c r="C25" s="46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46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46">
        <f>_xlfn.XLOOKUP(A25,My_Audit!A:A,My_Audit!D:D,"")</f>
        <v>0</v>
      </c>
      <c r="F25" s="46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46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46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46" t="str">
        <f>_xlfn.XLOOKUP(A25,Output_Mac!A:A,Output_Mac!I:I,"")</f>
        <v/>
      </c>
      <c r="J25" s="46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46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46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46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N25" s="46"/>
      <c r="O25" s="46" t="str">
        <f>_xlfn.LET(
    _xlpm.CSVVal, _xlfn.XLOOKUP($A25, CSV!$A:$A, CSV!AA:AA,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46" t="str" cm="1">
        <f t="array" ref="P25">IFERROR(_xlfn.LET(
_xlpm.CSVVal,_xlfn.XLOOKUP($A25,CSV!$A:$A,CSV!AB:AB,""),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46" t="str" cm="1">
        <f t="array" ref="Q25">IFERROR(_xlfn.LET(
_xlpm.CSVVal,_xlfn.XLOOKUP($A25,CSV!$A:$A,CSV!AC:AC,""),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R25" s="46"/>
      <c r="S25" s="46"/>
      <c r="T25" s="46"/>
      <c r="U25" s="46"/>
      <c r="V25" s="46"/>
      <c r="W25" s="46"/>
      <c r="X25" s="47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46" t="str">
        <f>_xlfn.TEXTJOIN("",TRUE,Input!$B$2,ROW(My_Audit!A25))</f>
        <v>X25</v>
      </c>
      <c r="B26" s="46" t="str">
        <f>_xlfn.TEXTJOIN("-",TRUE,"ITD",Input!$A$2,A26)</f>
        <v>ITD-SHR-X25</v>
      </c>
      <c r="C26" s="46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46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46">
        <f>_xlfn.XLOOKUP(A26,My_Audit!A:A,My_Audit!D:D,"")</f>
        <v>0</v>
      </c>
      <c r="F26" s="46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46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46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46" t="str">
        <f>_xlfn.XLOOKUP(A26,Output_Mac!A:A,Output_Mac!I:I,"")</f>
        <v/>
      </c>
      <c r="J26" s="46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46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46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46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N26" s="46"/>
      <c r="O26" s="46" t="str">
        <f>_xlfn.LET(
    _xlpm.CSVVal, _xlfn.XLOOKUP($A26, CSV!$A:$A, CSV!AA:AA,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46" t="str" cm="1">
        <f t="array" ref="P26">IFERROR(_xlfn.LET(
_xlpm.CSVVal,_xlfn.XLOOKUP($A26,CSV!$A:$A,CSV!AB:AB,""),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46" t="str" cm="1">
        <f t="array" ref="Q26">IFERROR(_xlfn.LET(
_xlpm.CSVVal,_xlfn.XLOOKUP($A26,CSV!$A:$A,CSV!AC:AC,""),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R26" s="46"/>
      <c r="S26" s="46"/>
      <c r="T26" s="46"/>
      <c r="U26" s="46"/>
      <c r="V26" s="46"/>
      <c r="W26" s="46"/>
      <c r="X26" s="47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46" t="str">
        <f>_xlfn.TEXTJOIN("",TRUE,Input!$B$2,ROW(My_Audit!A26))</f>
        <v>X26</v>
      </c>
      <c r="B27" s="46" t="str">
        <f>_xlfn.TEXTJOIN("-",TRUE,"ITD",Input!$A$2,A27)</f>
        <v>ITD-SHR-X26</v>
      </c>
      <c r="C27" s="46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46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46">
        <f>_xlfn.XLOOKUP(A27,My_Audit!A:A,My_Audit!D:D,"")</f>
        <v>0</v>
      </c>
      <c r="F27" s="46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46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46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46" t="str">
        <f>_xlfn.XLOOKUP(A27,Output_Mac!A:A,Output_Mac!I:I,"")</f>
        <v/>
      </c>
      <c r="J27" s="46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46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46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46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N27" s="46"/>
      <c r="O27" s="46" t="str">
        <f>_xlfn.LET(
    _xlpm.CSVVal, _xlfn.XLOOKUP($A27, CSV!$A:$A, CSV!AA:AA,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46" t="str" cm="1">
        <f t="array" ref="P27">IFERROR(_xlfn.LET(
_xlpm.CSVVal,_xlfn.XLOOKUP($A27,CSV!$A:$A,CSV!AB:AB,""),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46" t="str" cm="1">
        <f t="array" ref="Q27">IFERROR(_xlfn.LET(
_xlpm.CSVVal,_xlfn.XLOOKUP($A27,CSV!$A:$A,CSV!AC:AC,""),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R27" s="46"/>
      <c r="S27" s="46"/>
      <c r="T27" s="46"/>
      <c r="U27" s="46"/>
      <c r="V27" s="46"/>
      <c r="W27" s="46"/>
      <c r="X27" s="4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46" t="str">
        <f>_xlfn.TEXTJOIN("",TRUE,Input!$B$2,ROW(My_Audit!A27))</f>
        <v>X27</v>
      </c>
      <c r="B28" s="46" t="str">
        <f>_xlfn.TEXTJOIN("-",TRUE,"ITD",Input!$A$2,A28)</f>
        <v>ITD-SHR-X27</v>
      </c>
      <c r="C28" s="46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46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46">
        <f>_xlfn.XLOOKUP(A28,My_Audit!A:A,My_Audit!D:D,"")</f>
        <v>0</v>
      </c>
      <c r="F28" s="46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46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46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46" t="str">
        <f>_xlfn.XLOOKUP(A28,Output_Mac!A:A,Output_Mac!I:I,"")</f>
        <v/>
      </c>
      <c r="J28" s="46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46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46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46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N28" s="46"/>
      <c r="O28" s="46" t="str">
        <f>_xlfn.LET(
    _xlpm.CSVVal, _xlfn.XLOOKUP($A28, CSV!$A:$A, CSV!AA:AA,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46" t="str" cm="1">
        <f t="array" ref="P28">IFERROR(_xlfn.LET(
_xlpm.CSVVal,_xlfn.XLOOKUP($A28,CSV!$A:$A,CSV!AB:AB,""),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46" t="str" cm="1">
        <f t="array" ref="Q28">IFERROR(_xlfn.LET(
_xlpm.CSVVal,_xlfn.XLOOKUP($A28,CSV!$A:$A,CSV!AC:AC,""),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R28" s="46"/>
      <c r="S28" s="46"/>
      <c r="T28" s="46"/>
      <c r="U28" s="46"/>
      <c r="V28" s="46"/>
      <c r="W28" s="46"/>
      <c r="X28" s="47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46" t="str">
        <f>_xlfn.TEXTJOIN("",TRUE,Input!$B$2,ROW(My_Audit!A28))</f>
        <v>X28</v>
      </c>
      <c r="B29" s="46" t="str">
        <f>_xlfn.TEXTJOIN("-",TRUE,"ITD",Input!$A$2,A29)</f>
        <v>ITD-SHR-X28</v>
      </c>
      <c r="C29" s="46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46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46">
        <f>_xlfn.XLOOKUP(A29,My_Audit!A:A,My_Audit!D:D,"")</f>
        <v>0</v>
      </c>
      <c r="F29" s="46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46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46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46" t="str">
        <f>_xlfn.XLOOKUP(A29,Output_Mac!A:A,Output_Mac!I:I,"")</f>
        <v/>
      </c>
      <c r="J29" s="46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46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46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46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N29" s="46"/>
      <c r="O29" s="46" t="str">
        <f>_xlfn.LET(
    _xlpm.CSVVal, _xlfn.XLOOKUP($A29, CSV!$A:$A, CSV!AA:AA,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46" t="str" cm="1">
        <f t="array" ref="P29">IFERROR(_xlfn.LET(
_xlpm.CSVVal,_xlfn.XLOOKUP($A29,CSV!$A:$A,CSV!AB:AB,""),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46" t="str" cm="1">
        <f t="array" ref="Q29">IFERROR(_xlfn.LET(
_xlpm.CSVVal,_xlfn.XLOOKUP($A29,CSV!$A:$A,CSV!AC:AC,""),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R29" s="46"/>
      <c r="S29" s="46"/>
      <c r="T29" s="46"/>
      <c r="U29" s="46"/>
      <c r="V29" s="46"/>
      <c r="W29" s="46"/>
      <c r="X29" s="47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46" t="str">
        <f>_xlfn.TEXTJOIN("",TRUE,Input!$B$2,ROW(My_Audit!A29))</f>
        <v>X29</v>
      </c>
      <c r="B30" s="46" t="str">
        <f>_xlfn.TEXTJOIN("-",TRUE,"ITD",Input!$A$2,A30)</f>
        <v>ITD-SHR-X29</v>
      </c>
      <c r="C30" s="46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46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46">
        <f>_xlfn.XLOOKUP(A30,My_Audit!A:A,My_Audit!D:D,"")</f>
        <v>0</v>
      </c>
      <c r="F30" s="46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46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46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46" t="str">
        <f>_xlfn.XLOOKUP(A30,Output_Mac!A:A,Output_Mac!I:I,"")</f>
        <v/>
      </c>
      <c r="J30" s="46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46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46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46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N30" s="46"/>
      <c r="O30" s="46" t="str">
        <f>_xlfn.LET(
    _xlpm.CSVVal, _xlfn.XLOOKUP($A30, CSV!$A:$A, CSV!AA:AA,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46" t="str" cm="1">
        <f t="array" ref="P30">IFERROR(_xlfn.LET(
_xlpm.CSVVal,_xlfn.XLOOKUP($A30,CSV!$A:$A,CSV!AB:AB,""),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46" t="str" cm="1">
        <f t="array" ref="Q30">IFERROR(_xlfn.LET(
_xlpm.CSVVal,_xlfn.XLOOKUP($A30,CSV!$A:$A,CSV!AC:AC,""),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R30" s="46"/>
      <c r="S30" s="46"/>
      <c r="T30" s="46"/>
      <c r="U30" s="46"/>
      <c r="V30" s="46"/>
      <c r="W30" s="46"/>
      <c r="X30" s="47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46" t="str">
        <f>_xlfn.TEXTJOIN("",TRUE,Input!$B$2,ROW(My_Audit!A30))</f>
        <v>X30</v>
      </c>
      <c r="B31" s="46" t="str">
        <f>_xlfn.TEXTJOIN("-",TRUE,"ITD",Input!$A$2,A31)</f>
        <v>ITD-SHR-X30</v>
      </c>
      <c r="C31" s="46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46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46">
        <f>_xlfn.XLOOKUP(A31,My_Audit!A:A,My_Audit!D:D,"")</f>
        <v>0</v>
      </c>
      <c r="F31" s="46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46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46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46" t="str">
        <f>_xlfn.XLOOKUP(A31,Output_Mac!A:A,Output_Mac!I:I,"")</f>
        <v/>
      </c>
      <c r="J31" s="46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46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46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46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N31" s="46"/>
      <c r="O31" s="46" t="str">
        <f>_xlfn.LET(
    _xlpm.CSVVal, _xlfn.XLOOKUP($A31, CSV!$A:$A, CSV!AA:AA,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46" t="str" cm="1">
        <f t="array" ref="P31">IFERROR(_xlfn.LET(
_xlpm.CSVVal,_xlfn.XLOOKUP($A31,CSV!$A:$A,CSV!AB:AB,""),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46" t="str" cm="1">
        <f t="array" ref="Q31">IFERROR(_xlfn.LET(
_xlpm.CSVVal,_xlfn.XLOOKUP($A31,CSV!$A:$A,CSV!AC:AC,""),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R31" s="46"/>
      <c r="S31" s="46"/>
      <c r="T31" s="46"/>
      <c r="U31" s="46"/>
      <c r="V31" s="46"/>
      <c r="W31" s="46"/>
      <c r="X31" s="47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46" t="str">
        <f>_xlfn.TEXTJOIN("",TRUE,Input!$B$2,ROW(My_Audit!A31))</f>
        <v>X31</v>
      </c>
      <c r="B32" s="46" t="str">
        <f>_xlfn.TEXTJOIN("-",TRUE,"ITD",Input!$A$2,A32)</f>
        <v>ITD-SHR-X31</v>
      </c>
      <c r="C32" s="46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46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46">
        <f>_xlfn.XLOOKUP(A32,My_Audit!A:A,My_Audit!D:D,"")</f>
        <v>0</v>
      </c>
      <c r="F32" s="46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46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46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46" t="str">
        <f>_xlfn.XLOOKUP(A32,Output_Mac!A:A,Output_Mac!I:I,"")</f>
        <v/>
      </c>
      <c r="J32" s="46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46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46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46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N32" s="46"/>
      <c r="O32" s="46" t="str">
        <f>_xlfn.LET(
    _xlpm.CSVVal, _xlfn.XLOOKUP($A32, CSV!$A:$A, CSV!AA:AA,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46" t="str" cm="1">
        <f t="array" ref="P32">IFERROR(_xlfn.LET(
_xlpm.CSVVal,_xlfn.XLOOKUP($A32,CSV!$A:$A,CSV!AB:AB,""),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46" t="str" cm="1">
        <f t="array" ref="Q32">IFERROR(_xlfn.LET(
_xlpm.CSVVal,_xlfn.XLOOKUP($A32,CSV!$A:$A,CSV!AC:AC,""),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R32" s="46"/>
      <c r="S32" s="46"/>
      <c r="T32" s="46"/>
      <c r="U32" s="46"/>
      <c r="V32" s="46"/>
      <c r="W32" s="46"/>
      <c r="X32" s="47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46" t="str">
        <f>_xlfn.TEXTJOIN("",TRUE,Input!$B$2,ROW(My_Audit!A32))</f>
        <v>X32</v>
      </c>
      <c r="B33" s="46" t="str">
        <f>_xlfn.TEXTJOIN("-",TRUE,"ITD",Input!$A$2,A33)</f>
        <v>ITD-SHR-X32</v>
      </c>
      <c r="C33" s="46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46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46">
        <f>_xlfn.XLOOKUP(A33,My_Audit!A:A,My_Audit!D:D,"")</f>
        <v>0</v>
      </c>
      <c r="F33" s="46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46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46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46" t="str">
        <f>_xlfn.XLOOKUP(A33,Output_Mac!A:A,Output_Mac!I:I,"")</f>
        <v/>
      </c>
      <c r="J33" s="46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46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46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46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N33" s="46"/>
      <c r="O33" s="46" t="str">
        <f>_xlfn.LET(
    _xlpm.CSVVal, _xlfn.XLOOKUP($A33, CSV!$A:$A, CSV!AA:AA,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46" t="str" cm="1">
        <f t="array" ref="P33">IFERROR(_xlfn.LET(
_xlpm.CSVVal,_xlfn.XLOOKUP($A33,CSV!$A:$A,CSV!AB:AB,""),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46" t="str" cm="1">
        <f t="array" ref="Q33">IFERROR(_xlfn.LET(
_xlpm.CSVVal,_xlfn.XLOOKUP($A33,CSV!$A:$A,CSV!AC:AC,""),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R33" s="46"/>
      <c r="S33" s="46"/>
      <c r="T33" s="46"/>
      <c r="U33" s="46"/>
      <c r="V33" s="46"/>
      <c r="W33" s="46"/>
      <c r="X33" s="47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46" t="str">
        <f>_xlfn.TEXTJOIN("",TRUE,Input!$B$2,ROW(My_Audit!A33))</f>
        <v>X33</v>
      </c>
      <c r="B34" s="46" t="str">
        <f>_xlfn.TEXTJOIN("-",TRUE,"ITD",Input!$A$2,A34)</f>
        <v>ITD-SHR-X33</v>
      </c>
      <c r="C34" s="46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46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46">
        <f>_xlfn.XLOOKUP(A34,My_Audit!A:A,My_Audit!D:D,"")</f>
        <v>0</v>
      </c>
      <c r="F34" s="46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46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46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46" t="str">
        <f>_xlfn.XLOOKUP(A34,Output_Mac!A:A,Output_Mac!I:I,"")</f>
        <v/>
      </c>
      <c r="J34" s="46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46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46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46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N34" s="46"/>
      <c r="O34" s="46" t="str">
        <f>_xlfn.LET(
    _xlpm.CSVVal, _xlfn.XLOOKUP($A34, CSV!$A:$A, CSV!AA:AA,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46" t="str" cm="1">
        <f t="array" ref="P34">IFERROR(_xlfn.LET(
_xlpm.CSVVal,_xlfn.XLOOKUP($A34,CSV!$A:$A,CSV!AB:AB,""),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46" t="str" cm="1">
        <f t="array" ref="Q34">IFERROR(_xlfn.LET(
_xlpm.CSVVal,_xlfn.XLOOKUP($A34,CSV!$A:$A,CSV!AC:AC,""),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R34" s="46"/>
      <c r="S34" s="46"/>
      <c r="T34" s="46"/>
      <c r="U34" s="46"/>
      <c r="V34" s="46"/>
      <c r="W34" s="46"/>
      <c r="X34" s="47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46" t="str">
        <f>_xlfn.TEXTJOIN("",TRUE,Input!$B$2,ROW(My_Audit!A34))</f>
        <v>X34</v>
      </c>
      <c r="B35" s="46" t="str">
        <f>_xlfn.TEXTJOIN("-",TRUE,"ITD",Input!$A$2,A35)</f>
        <v>ITD-SHR-X34</v>
      </c>
      <c r="C35" s="46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46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46">
        <f>_xlfn.XLOOKUP(A35,My_Audit!A:A,My_Audit!D:D,"")</f>
        <v>0</v>
      </c>
      <c r="F35" s="46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46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46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46" t="str">
        <f>_xlfn.XLOOKUP(A35,Output_Mac!A:A,Output_Mac!I:I,"")</f>
        <v/>
      </c>
      <c r="J35" s="46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46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46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46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N35" s="46"/>
      <c r="O35" s="46" t="str">
        <f>_xlfn.LET(
    _xlpm.CSVVal, _xlfn.XLOOKUP($A35, CSV!$A:$A, CSV!AA:AA,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46" t="str" cm="1">
        <f t="array" ref="P35">IFERROR(_xlfn.LET(
_xlpm.CSVVal,_xlfn.XLOOKUP($A35,CSV!$A:$A,CSV!AB:AB,""),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46" t="str" cm="1">
        <f t="array" ref="Q35">IFERROR(_xlfn.LET(
_xlpm.CSVVal,_xlfn.XLOOKUP($A35,CSV!$A:$A,CSV!AC:AC,""),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R35" s="46"/>
      <c r="S35" s="46"/>
      <c r="T35" s="46"/>
      <c r="U35" s="46"/>
      <c r="V35" s="46"/>
      <c r="W35" s="46"/>
      <c r="X35" s="47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46" t="str">
        <f>_xlfn.TEXTJOIN("",TRUE,Input!$B$2,ROW(My_Audit!A35))</f>
        <v>X35</v>
      </c>
      <c r="B36" s="46" t="str">
        <f>_xlfn.TEXTJOIN("-",TRUE,"ITD",Input!$A$2,A36)</f>
        <v>ITD-SHR-X35</v>
      </c>
      <c r="C36" s="46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46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46">
        <f>_xlfn.XLOOKUP(A36,My_Audit!A:A,My_Audit!D:D,"")</f>
        <v>0</v>
      </c>
      <c r="F36" s="46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46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46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46" t="str">
        <f>_xlfn.XLOOKUP(A36,Output_Mac!A:A,Output_Mac!I:I,"")</f>
        <v/>
      </c>
      <c r="J36" s="46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46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46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46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N36" s="46"/>
      <c r="O36" s="46" t="str">
        <f>_xlfn.LET(
    _xlpm.CSVVal, _xlfn.XLOOKUP($A36, CSV!$A:$A, CSV!AA:AA,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46" t="str" cm="1">
        <f t="array" ref="P36">IFERROR(_xlfn.LET(
_xlpm.CSVVal,_xlfn.XLOOKUP($A36,CSV!$A:$A,CSV!AB:AB,""),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46" t="str" cm="1">
        <f t="array" ref="Q36">IFERROR(_xlfn.LET(
_xlpm.CSVVal,_xlfn.XLOOKUP($A36,CSV!$A:$A,CSV!AC:AC,""),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R36" s="46"/>
      <c r="S36" s="46"/>
      <c r="T36" s="46"/>
      <c r="U36" s="46"/>
      <c r="V36" s="46"/>
      <c r="W36" s="46"/>
      <c r="X36" s="47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46" t="str">
        <f>_xlfn.TEXTJOIN("",TRUE,Input!$B$2,ROW(My_Audit!A36))</f>
        <v>X36</v>
      </c>
      <c r="B37" s="46" t="str">
        <f>_xlfn.TEXTJOIN("-",TRUE,"ITD",Input!$A$2,A37)</f>
        <v>ITD-SHR-X36</v>
      </c>
      <c r="C37" s="46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46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46">
        <f>_xlfn.XLOOKUP(A37,My_Audit!A:A,My_Audit!D:D,"")</f>
        <v>0</v>
      </c>
      <c r="F37" s="46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46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46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46" t="str">
        <f>_xlfn.XLOOKUP(A37,Output_Mac!A:A,Output_Mac!I:I,"")</f>
        <v/>
      </c>
      <c r="J37" s="46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46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46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46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N37" s="46"/>
      <c r="O37" s="46" t="str">
        <f>_xlfn.LET(
    _xlpm.CSVVal, _xlfn.XLOOKUP($A37, CSV!$A:$A, CSV!AA:AA,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46" t="str" cm="1">
        <f t="array" ref="P37">IFERROR(_xlfn.LET(
_xlpm.CSVVal,_xlfn.XLOOKUP($A37,CSV!$A:$A,CSV!AB:AB,""),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46" t="str" cm="1">
        <f t="array" ref="Q37">IFERROR(_xlfn.LET(
_xlpm.CSVVal,_xlfn.XLOOKUP($A37,CSV!$A:$A,CSV!AC:AC,""),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R37" s="46"/>
      <c r="S37" s="46"/>
      <c r="T37" s="46"/>
      <c r="U37" s="46"/>
      <c r="V37" s="46"/>
      <c r="W37" s="46"/>
      <c r="X37" s="4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46" t="str">
        <f>_xlfn.TEXTJOIN("",TRUE,Input!$B$2,ROW(My_Audit!A37))</f>
        <v>X37</v>
      </c>
      <c r="B38" s="46" t="str">
        <f>_xlfn.TEXTJOIN("-",TRUE,"ITD",Input!$A$2,A38)</f>
        <v>ITD-SHR-X37</v>
      </c>
      <c r="C38" s="46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46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46">
        <f>_xlfn.XLOOKUP(A38,My_Audit!A:A,My_Audit!D:D,"")</f>
        <v>0</v>
      </c>
      <c r="F38" s="46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46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46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46" t="str">
        <f>_xlfn.XLOOKUP(A38,Output_Mac!A:A,Output_Mac!I:I,"")</f>
        <v/>
      </c>
      <c r="J38" s="46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46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46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46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N38" s="46"/>
      <c r="O38" s="46" t="str">
        <f>_xlfn.LET(
    _xlpm.CSVVal, _xlfn.XLOOKUP($A38, CSV!$A:$A, CSV!AA:AA,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46" t="str" cm="1">
        <f t="array" ref="P38">IFERROR(_xlfn.LET(
_xlpm.CSVVal,_xlfn.XLOOKUP($A38,CSV!$A:$A,CSV!AB:AB,""),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46" t="str" cm="1">
        <f t="array" ref="Q38">IFERROR(_xlfn.LET(
_xlpm.CSVVal,_xlfn.XLOOKUP($A38,CSV!$A:$A,CSV!AC:AC,""),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R38" s="46"/>
      <c r="S38" s="46"/>
      <c r="T38" s="46"/>
      <c r="U38" s="46"/>
      <c r="V38" s="46"/>
      <c r="W38" s="46"/>
      <c r="X38" s="47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46" t="str">
        <f>_xlfn.TEXTJOIN("",TRUE,Input!$B$2,ROW(My_Audit!A38))</f>
        <v>X38</v>
      </c>
      <c r="B39" s="46" t="str">
        <f>_xlfn.TEXTJOIN("-",TRUE,"ITD",Input!$A$2,A39)</f>
        <v>ITD-SHR-X38</v>
      </c>
      <c r="C39" s="46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46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46">
        <f>_xlfn.XLOOKUP(A39,My_Audit!A:A,My_Audit!D:D,"")</f>
        <v>0</v>
      </c>
      <c r="F39" s="46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46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46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46" t="str">
        <f>_xlfn.XLOOKUP(A39,Output_Mac!A:A,Output_Mac!I:I,"")</f>
        <v/>
      </c>
      <c r="J39" s="46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46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46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46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N39" s="46"/>
      <c r="O39" s="46" t="str">
        <f>_xlfn.LET(
    _xlpm.CSVVal, _xlfn.XLOOKUP($A39, CSV!$A:$A, CSV!AA:AA,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46" t="str" cm="1">
        <f t="array" ref="P39">IFERROR(_xlfn.LET(
_xlpm.CSVVal,_xlfn.XLOOKUP($A39,CSV!$A:$A,CSV!AB:AB,""),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46" t="str" cm="1">
        <f t="array" ref="Q39">IFERROR(_xlfn.LET(
_xlpm.CSVVal,_xlfn.XLOOKUP($A39,CSV!$A:$A,CSV!AC:AC,""),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R39" s="46"/>
      <c r="S39" s="46"/>
      <c r="T39" s="46"/>
      <c r="U39" s="46"/>
      <c r="V39" s="46"/>
      <c r="W39" s="46"/>
      <c r="X39" s="47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46" t="str">
        <f>_xlfn.TEXTJOIN("",TRUE,Input!$B$2,ROW(My_Audit!A39))</f>
        <v>X39</v>
      </c>
      <c r="B40" s="46" t="str">
        <f>_xlfn.TEXTJOIN("-",TRUE,"ITD",Input!$A$2,A40)</f>
        <v>ITD-SHR-X39</v>
      </c>
      <c r="C40" s="46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46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46">
        <f>_xlfn.XLOOKUP(A40,My_Audit!A:A,My_Audit!D:D,"")</f>
        <v>0</v>
      </c>
      <c r="F40" s="46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46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46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46" t="str">
        <f>_xlfn.XLOOKUP(A40,Output_Mac!A:A,Output_Mac!I:I,"")</f>
        <v/>
      </c>
      <c r="J40" s="46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46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46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46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N40" s="46"/>
      <c r="O40" s="46" t="str">
        <f>_xlfn.LET(
    _xlpm.CSVVal, _xlfn.XLOOKUP($A40, CSV!$A:$A, CSV!AA:AA,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46" t="str" cm="1">
        <f t="array" ref="P40">IFERROR(_xlfn.LET(
_xlpm.CSVVal,_xlfn.XLOOKUP($A40,CSV!$A:$A,CSV!AB:AB,""),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46" t="str" cm="1">
        <f t="array" ref="Q40">IFERROR(_xlfn.LET(
_xlpm.CSVVal,_xlfn.XLOOKUP($A40,CSV!$A:$A,CSV!AC:AC,""),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R40" s="46"/>
      <c r="S40" s="46"/>
      <c r="T40" s="46"/>
      <c r="U40" s="46"/>
      <c r="V40" s="46"/>
      <c r="W40" s="46"/>
      <c r="X40" s="47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46" t="str">
        <f>_xlfn.TEXTJOIN("",TRUE,Input!$B$2,ROW(My_Audit!A40))</f>
        <v>X40</v>
      </c>
      <c r="B41" s="46" t="str">
        <f>_xlfn.TEXTJOIN("-",TRUE,"ITD",Input!$A$2,A41)</f>
        <v>ITD-SHR-X40</v>
      </c>
      <c r="C41" s="46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46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46">
        <f>_xlfn.XLOOKUP(A41,My_Audit!A:A,My_Audit!D:D,"")</f>
        <v>0</v>
      </c>
      <c r="F41" s="46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46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46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46" t="str">
        <f>_xlfn.XLOOKUP(A41,Output_Mac!A:A,Output_Mac!I:I,"")</f>
        <v/>
      </c>
      <c r="J41" s="46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46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46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46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N41" s="46"/>
      <c r="O41" s="46" t="str">
        <f>_xlfn.LET(
    _xlpm.CSVVal, _xlfn.XLOOKUP($A41, CSV!$A:$A, CSV!AA:AA,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46" t="str" cm="1">
        <f t="array" ref="P41">IFERROR(_xlfn.LET(
_xlpm.CSVVal,_xlfn.XLOOKUP($A41,CSV!$A:$A,CSV!AB:AB,""),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46" t="str" cm="1">
        <f t="array" ref="Q41">IFERROR(_xlfn.LET(
_xlpm.CSVVal,_xlfn.XLOOKUP($A41,CSV!$A:$A,CSV!AC:AC,""),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R41" s="46"/>
      <c r="S41" s="46"/>
      <c r="T41" s="46"/>
      <c r="U41" s="46"/>
      <c r="V41" s="46"/>
      <c r="W41" s="46"/>
      <c r="X41" s="47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46" t="str">
        <f>_xlfn.TEXTJOIN("",TRUE,Input!$B$2,ROW(My_Audit!A41))</f>
        <v>X41</v>
      </c>
      <c r="B42" s="46" t="str">
        <f>_xlfn.TEXTJOIN("-",TRUE,"ITD",Input!$A$2,A42)</f>
        <v>ITD-SHR-X41</v>
      </c>
      <c r="C42" s="46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46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46">
        <f>_xlfn.XLOOKUP(A42,My_Audit!A:A,My_Audit!D:D,"")</f>
        <v>0</v>
      </c>
      <c r="F42" s="46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46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46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46" t="str">
        <f>_xlfn.XLOOKUP(A42,Output_Mac!A:A,Output_Mac!I:I,"")</f>
        <v/>
      </c>
      <c r="J42" s="46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46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46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46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N42" s="46"/>
      <c r="O42" s="46" t="str">
        <f>_xlfn.LET(
    _xlpm.CSVVal, _xlfn.XLOOKUP($A42, CSV!$A:$A, CSV!AA:AA,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46" t="str" cm="1">
        <f t="array" ref="P42">IFERROR(_xlfn.LET(
_xlpm.CSVVal,_xlfn.XLOOKUP($A42,CSV!$A:$A,CSV!AB:AB,""),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46" t="str" cm="1">
        <f t="array" ref="Q42">IFERROR(_xlfn.LET(
_xlpm.CSVVal,_xlfn.XLOOKUP($A42,CSV!$A:$A,CSV!AC:AC,""),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R42" s="46"/>
      <c r="S42" s="46"/>
      <c r="T42" s="46"/>
      <c r="U42" s="46"/>
      <c r="V42" s="46"/>
      <c r="W42" s="46"/>
      <c r="X42" s="47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46" t="str">
        <f>_xlfn.TEXTJOIN("",TRUE,Input!$B$2,ROW(My_Audit!A42))</f>
        <v>X42</v>
      </c>
      <c r="B43" s="46" t="str">
        <f>_xlfn.TEXTJOIN("-",TRUE,"ITD",Input!$A$2,A43)</f>
        <v>ITD-SHR-X42</v>
      </c>
      <c r="C43" s="46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46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46">
        <f>_xlfn.XLOOKUP(A43,My_Audit!A:A,My_Audit!D:D,"")</f>
        <v>0</v>
      </c>
      <c r="F43" s="46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46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46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46" t="str">
        <f>_xlfn.XLOOKUP(A43,Output_Mac!A:A,Output_Mac!I:I,"")</f>
        <v/>
      </c>
      <c r="J43" s="46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46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46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46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N43" s="46"/>
      <c r="O43" s="46" t="str">
        <f>_xlfn.LET(
    _xlpm.CSVVal, _xlfn.XLOOKUP($A43, CSV!$A:$A, CSV!AA:AA,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46" t="str" cm="1">
        <f t="array" ref="P43">IFERROR(_xlfn.LET(
_xlpm.CSVVal,_xlfn.XLOOKUP($A43,CSV!$A:$A,CSV!AB:AB,""),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46" t="str" cm="1">
        <f t="array" ref="Q43">IFERROR(_xlfn.LET(
_xlpm.CSVVal,_xlfn.XLOOKUP($A43,CSV!$A:$A,CSV!AC:AC,""),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R43" s="46"/>
      <c r="S43" s="46"/>
      <c r="T43" s="46"/>
      <c r="U43" s="46"/>
      <c r="V43" s="46"/>
      <c r="W43" s="46"/>
      <c r="X43" s="47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46" t="str">
        <f>_xlfn.TEXTJOIN("",TRUE,Input!$B$2,ROW(My_Audit!A43))</f>
        <v>X43</v>
      </c>
      <c r="B44" s="46" t="str">
        <f>_xlfn.TEXTJOIN("-",TRUE,"ITD",Input!$A$2,A44)</f>
        <v>ITD-SHR-X43</v>
      </c>
      <c r="C44" s="46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46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46">
        <f>_xlfn.XLOOKUP(A44,My_Audit!A:A,My_Audit!D:D,"")</f>
        <v>0</v>
      </c>
      <c r="F44" s="46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46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46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46" t="str">
        <f>_xlfn.XLOOKUP(A44,Output_Mac!A:A,Output_Mac!I:I,"")</f>
        <v/>
      </c>
      <c r="J44" s="46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46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46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46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N44" s="46"/>
      <c r="O44" s="46" t="str">
        <f>_xlfn.LET(
    _xlpm.CSVVal, _xlfn.XLOOKUP($A44, CSV!$A:$A, CSV!AA:AA,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46" t="str" cm="1">
        <f t="array" ref="P44">IFERROR(_xlfn.LET(
_xlpm.CSVVal,_xlfn.XLOOKUP($A44,CSV!$A:$A,CSV!AB:AB,""),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46" t="str" cm="1">
        <f t="array" ref="Q44">IFERROR(_xlfn.LET(
_xlpm.CSVVal,_xlfn.XLOOKUP($A44,CSV!$A:$A,CSV!AC:AC,""),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R44" s="46"/>
      <c r="S44" s="46"/>
      <c r="T44" s="46"/>
      <c r="U44" s="46"/>
      <c r="V44" s="46"/>
      <c r="W44" s="46"/>
      <c r="X44" s="47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46" t="str">
        <f>_xlfn.TEXTJOIN("",TRUE,Input!$B$2,ROW(My_Audit!A44))</f>
        <v>X44</v>
      </c>
      <c r="B45" s="46" t="str">
        <f>_xlfn.TEXTJOIN("-",TRUE,"ITD",Input!$A$2,A45)</f>
        <v>ITD-SHR-X44</v>
      </c>
      <c r="C45" s="46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46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46">
        <f>_xlfn.XLOOKUP(A45,My_Audit!A:A,My_Audit!D:D,"")</f>
        <v>0</v>
      </c>
      <c r="F45" s="46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46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46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46" t="str">
        <f>_xlfn.XLOOKUP(A45,Output_Mac!A:A,Output_Mac!I:I,"")</f>
        <v/>
      </c>
      <c r="J45" s="46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46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46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46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N45" s="46"/>
      <c r="O45" s="46" t="str">
        <f>_xlfn.LET(
    _xlpm.CSVVal, _xlfn.XLOOKUP($A45, CSV!$A:$A, CSV!AA:AA,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46" t="str" cm="1">
        <f t="array" ref="P45">IFERROR(_xlfn.LET(
_xlpm.CSVVal,_xlfn.XLOOKUP($A45,CSV!$A:$A,CSV!AB:AB,""),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46" t="str" cm="1">
        <f t="array" ref="Q45">IFERROR(_xlfn.LET(
_xlpm.CSVVal,_xlfn.XLOOKUP($A45,CSV!$A:$A,CSV!AC:AC,""),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R45" s="46"/>
      <c r="S45" s="46"/>
      <c r="T45" s="46"/>
      <c r="U45" s="46"/>
      <c r="V45" s="46"/>
      <c r="W45" s="46"/>
      <c r="X45" s="47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46" t="str">
        <f>_xlfn.TEXTJOIN("",TRUE,Input!$B$2,ROW(My_Audit!A45))</f>
        <v>X45</v>
      </c>
      <c r="B46" s="46" t="str">
        <f>_xlfn.TEXTJOIN("-",TRUE,"ITD",Input!$A$2,A46)</f>
        <v>ITD-SHR-X45</v>
      </c>
      <c r="C46" s="46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46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46">
        <f>_xlfn.XLOOKUP(A46,My_Audit!A:A,My_Audit!D:D,"")</f>
        <v>0</v>
      </c>
      <c r="F46" s="46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46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46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46" t="str">
        <f>_xlfn.XLOOKUP(A46,Output_Mac!A:A,Output_Mac!I:I,"")</f>
        <v/>
      </c>
      <c r="J46" s="46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46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46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46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N46" s="46"/>
      <c r="O46" s="46" t="str">
        <f>_xlfn.LET(
    _xlpm.CSVVal, _xlfn.XLOOKUP($A46, CSV!$A:$A, CSV!AA:AA,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46" t="str" cm="1">
        <f t="array" ref="P46">IFERROR(_xlfn.LET(
_xlpm.CSVVal,_xlfn.XLOOKUP($A46,CSV!$A:$A,CSV!AB:AB,""),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46" t="str" cm="1">
        <f t="array" ref="Q46">IFERROR(_xlfn.LET(
_xlpm.CSVVal,_xlfn.XLOOKUP($A46,CSV!$A:$A,CSV!AC:AC,""),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R46" s="46"/>
      <c r="S46" s="46"/>
      <c r="T46" s="46"/>
      <c r="U46" s="46"/>
      <c r="V46" s="46"/>
      <c r="W46" s="46"/>
      <c r="X46" s="47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46" t="str">
        <f>_xlfn.TEXTJOIN("",TRUE,Input!$B$2,ROW(My_Audit!A46))</f>
        <v>X46</v>
      </c>
      <c r="B47" s="46" t="str">
        <f>_xlfn.TEXTJOIN("-",TRUE,"ITD",Input!$A$2,A47)</f>
        <v>ITD-SHR-X46</v>
      </c>
      <c r="C47" s="46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46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46">
        <f>_xlfn.XLOOKUP(A47,My_Audit!A:A,My_Audit!D:D,"")</f>
        <v>0</v>
      </c>
      <c r="F47" s="46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46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46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46" t="str">
        <f>_xlfn.XLOOKUP(A47,Output_Mac!A:A,Output_Mac!I:I,"")</f>
        <v/>
      </c>
      <c r="J47" s="46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46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46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46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N47" s="46"/>
      <c r="O47" s="46" t="str">
        <f>_xlfn.LET(
    _xlpm.CSVVal, _xlfn.XLOOKUP($A47, CSV!$A:$A, CSV!AA:AA,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46" t="str" cm="1">
        <f t="array" ref="P47">IFERROR(_xlfn.LET(
_xlpm.CSVVal,_xlfn.XLOOKUP($A47,CSV!$A:$A,CSV!AB:AB,""),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46" t="str" cm="1">
        <f t="array" ref="Q47">IFERROR(_xlfn.LET(
_xlpm.CSVVal,_xlfn.XLOOKUP($A47,CSV!$A:$A,CSV!AC:AC,""),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R47" s="46"/>
      <c r="S47" s="46"/>
      <c r="T47" s="46"/>
      <c r="U47" s="46"/>
      <c r="V47" s="46"/>
      <c r="W47" s="46"/>
      <c r="X47" s="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46" t="str">
        <f>_xlfn.TEXTJOIN("",TRUE,Input!$B$2,ROW(My_Audit!A47))</f>
        <v>X47</v>
      </c>
      <c r="B48" s="46" t="str">
        <f>_xlfn.TEXTJOIN("-",TRUE,"ITD",Input!$A$2,A48)</f>
        <v>ITD-SHR-X47</v>
      </c>
      <c r="C48" s="46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46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46">
        <f>_xlfn.XLOOKUP(A48,My_Audit!A:A,My_Audit!D:D,"")</f>
        <v>0</v>
      </c>
      <c r="F48" s="46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46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46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46" t="str">
        <f>_xlfn.XLOOKUP(A48,Output_Mac!A:A,Output_Mac!I:I,"")</f>
        <v/>
      </c>
      <c r="J48" s="46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46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46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46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N48" s="46"/>
      <c r="O48" s="46" t="str">
        <f>_xlfn.LET(
    _xlpm.CSVVal, _xlfn.XLOOKUP($A48, CSV!$A:$A, CSV!AA:AA,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46" t="str" cm="1">
        <f t="array" ref="P48">IFERROR(_xlfn.LET(
_xlpm.CSVVal,_xlfn.XLOOKUP($A48,CSV!$A:$A,CSV!AB:AB,""),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46" t="str" cm="1">
        <f t="array" ref="Q48">IFERROR(_xlfn.LET(
_xlpm.CSVVal,_xlfn.XLOOKUP($A48,CSV!$A:$A,CSV!AC:AC,""),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R48" s="46"/>
      <c r="S48" s="46"/>
      <c r="T48" s="46"/>
      <c r="U48" s="46"/>
      <c r="V48" s="46"/>
      <c r="W48" s="46"/>
      <c r="X48" s="47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46" t="str">
        <f>_xlfn.TEXTJOIN("",TRUE,Input!$B$2,ROW(My_Audit!A48))</f>
        <v>X48</v>
      </c>
      <c r="B49" s="46" t="str">
        <f>_xlfn.TEXTJOIN("-",TRUE,"ITD",Input!$A$2,A49)</f>
        <v>ITD-SHR-X48</v>
      </c>
      <c r="C49" s="46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46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46">
        <f>_xlfn.XLOOKUP(A49,My_Audit!A:A,My_Audit!D:D,"")</f>
        <v>0</v>
      </c>
      <c r="F49" s="46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46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46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46" t="str">
        <f>_xlfn.XLOOKUP(A49,Output_Mac!A:A,Output_Mac!I:I,"")</f>
        <v/>
      </c>
      <c r="J49" s="46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46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46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46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N49" s="46"/>
      <c r="O49" s="46" t="str">
        <f>_xlfn.LET(
    _xlpm.CSVVal, _xlfn.XLOOKUP($A49, CSV!$A:$A, CSV!AA:AA,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46" t="str" cm="1">
        <f t="array" ref="P49">IFERROR(_xlfn.LET(
_xlpm.CSVVal,_xlfn.XLOOKUP($A49,CSV!$A:$A,CSV!AB:AB,""),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46" t="str" cm="1">
        <f t="array" ref="Q49">IFERROR(_xlfn.LET(
_xlpm.CSVVal,_xlfn.XLOOKUP($A49,CSV!$A:$A,CSV!AC:AC,""),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R49" s="46"/>
      <c r="S49" s="46"/>
      <c r="T49" s="46"/>
      <c r="U49" s="46"/>
      <c r="V49" s="46"/>
      <c r="W49" s="46"/>
      <c r="X49" s="47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46" t="str">
        <f>_xlfn.TEXTJOIN("",TRUE,Input!$B$2,ROW(My_Audit!A49))</f>
        <v>X49</v>
      </c>
      <c r="B50" s="46" t="str">
        <f>_xlfn.TEXTJOIN("-",TRUE,"ITD",Input!$A$2,A50)</f>
        <v>ITD-SHR-X49</v>
      </c>
      <c r="C50" s="46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46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46">
        <f>_xlfn.XLOOKUP(A50,My_Audit!A:A,My_Audit!D:D,"")</f>
        <v>0</v>
      </c>
      <c r="F50" s="46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46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46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46" t="str">
        <f>_xlfn.XLOOKUP(A50,Output_Mac!A:A,Output_Mac!I:I,"")</f>
        <v/>
      </c>
      <c r="J50" s="46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46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46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46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N50" s="46"/>
      <c r="O50" s="46" t="str">
        <f>_xlfn.LET(
    _xlpm.CSVVal, _xlfn.XLOOKUP($A50, CSV!$A:$A, CSV!AA:AA,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46" t="str" cm="1">
        <f t="array" ref="P50">IFERROR(_xlfn.LET(
_xlpm.CSVVal,_xlfn.XLOOKUP($A50,CSV!$A:$A,CSV!AB:AB,""),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46" t="str" cm="1">
        <f t="array" ref="Q50">IFERROR(_xlfn.LET(
_xlpm.CSVVal,_xlfn.XLOOKUP($A50,CSV!$A:$A,CSV!AC:AC,""),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R50" s="46"/>
      <c r="S50" s="46"/>
      <c r="T50" s="46"/>
      <c r="U50" s="46"/>
      <c r="V50" s="46"/>
      <c r="W50" s="46"/>
      <c r="X50" s="47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46" t="str">
        <f>_xlfn.TEXTJOIN("",TRUE,Input!$B$2,ROW(My_Audit!A50))</f>
        <v>X50</v>
      </c>
      <c r="B51" s="46" t="str">
        <f>_xlfn.TEXTJOIN("-",TRUE,"ITD",Input!$A$2,A51)</f>
        <v>ITD-SHR-X50</v>
      </c>
      <c r="C51" s="46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46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46">
        <f>_xlfn.XLOOKUP(A51,My_Audit!A:A,My_Audit!D:D,"")</f>
        <v>0</v>
      </c>
      <c r="F51" s="46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46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46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46" t="str">
        <f>_xlfn.XLOOKUP(A51,Output_Mac!A:A,Output_Mac!I:I,"")</f>
        <v/>
      </c>
      <c r="J51" s="46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46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46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46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N51" s="46"/>
      <c r="O51" s="46" t="str">
        <f>_xlfn.LET(
    _xlpm.CSVVal, _xlfn.XLOOKUP($A51, CSV!$A:$A, CSV!AA:AA,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46" t="str" cm="1">
        <f t="array" ref="P51">IFERROR(_xlfn.LET(
_xlpm.CSVVal,_xlfn.XLOOKUP($A51,CSV!$A:$A,CSV!AB:AB,""),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46" t="str" cm="1">
        <f t="array" ref="Q51">IFERROR(_xlfn.LET(
_xlpm.CSVVal,_xlfn.XLOOKUP($A51,CSV!$A:$A,CSV!AC:AC,""),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R51" s="46"/>
      <c r="S51" s="46"/>
      <c r="T51" s="46"/>
      <c r="U51" s="46"/>
      <c r="V51" s="46"/>
      <c r="W51" s="46"/>
      <c r="X51" s="47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46" t="str">
        <f>_xlfn.TEXTJOIN("",TRUE,Input!$B$2,ROW(My_Audit!A51))</f>
        <v>X51</v>
      </c>
      <c r="B52" s="46" t="str">
        <f>_xlfn.TEXTJOIN("-",TRUE,"ITD",Input!$A$2,A52)</f>
        <v>ITD-SHR-X51</v>
      </c>
      <c r="C52" s="46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46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46">
        <f>_xlfn.XLOOKUP(A52,My_Audit!A:A,My_Audit!D:D,"")</f>
        <v>0</v>
      </c>
      <c r="F52" s="46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46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46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46" t="str">
        <f>_xlfn.XLOOKUP(A52,Output_Mac!A:A,Output_Mac!I:I,"")</f>
        <v/>
      </c>
      <c r="J52" s="46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46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46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46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N52" s="46"/>
      <c r="O52" s="46" t="str">
        <f>_xlfn.LET(
    _xlpm.CSVVal, _xlfn.XLOOKUP($A52, CSV!$A:$A, CSV!AA:AA,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46" t="str" cm="1">
        <f t="array" ref="P52">IFERROR(_xlfn.LET(
_xlpm.CSVVal,_xlfn.XLOOKUP($A52,CSV!$A:$A,CSV!AB:AB,""),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46" t="str" cm="1">
        <f t="array" ref="Q52">IFERROR(_xlfn.LET(
_xlpm.CSVVal,_xlfn.XLOOKUP($A52,CSV!$A:$A,CSV!AC:AC,""),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R52" s="46"/>
      <c r="S52" s="46"/>
      <c r="T52" s="46"/>
      <c r="U52" s="46"/>
      <c r="V52" s="46"/>
      <c r="W52" s="46"/>
      <c r="X52" s="47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46" t="str">
        <f>_xlfn.TEXTJOIN("",TRUE,Input!$B$2,ROW(My_Audit!A52))</f>
        <v>X52</v>
      </c>
      <c r="B53" s="46" t="str">
        <f>_xlfn.TEXTJOIN("-",TRUE,"ITD",Input!$A$2,A53)</f>
        <v>ITD-SHR-X52</v>
      </c>
      <c r="C53" s="46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46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46">
        <f>_xlfn.XLOOKUP(A53,My_Audit!A:A,My_Audit!D:D,"")</f>
        <v>0</v>
      </c>
      <c r="F53" s="46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46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46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46" t="str">
        <f>_xlfn.XLOOKUP(A53,Output_Mac!A:A,Output_Mac!I:I,"")</f>
        <v/>
      </c>
      <c r="J53" s="46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46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46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46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N53" s="46"/>
      <c r="O53" s="46" t="str">
        <f>_xlfn.LET(
    _xlpm.CSVVal, _xlfn.XLOOKUP($A53, CSV!$A:$A, CSV!AA:AA,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46" t="str" cm="1">
        <f t="array" ref="P53">IFERROR(_xlfn.LET(
_xlpm.CSVVal,_xlfn.XLOOKUP($A53,CSV!$A:$A,CSV!AB:AB,""),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46" t="str" cm="1">
        <f t="array" ref="Q53">IFERROR(_xlfn.LET(
_xlpm.CSVVal,_xlfn.XLOOKUP($A53,CSV!$A:$A,CSV!AC:AC,""),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R53" s="46"/>
      <c r="S53" s="46"/>
      <c r="T53" s="46"/>
      <c r="U53" s="46"/>
      <c r="V53" s="46"/>
      <c r="W53" s="46"/>
      <c r="X53" s="47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46" t="str">
        <f>_xlfn.TEXTJOIN("",TRUE,Input!$B$2,ROW(My_Audit!A53))</f>
        <v>X53</v>
      </c>
      <c r="B54" s="46" t="str">
        <f>_xlfn.TEXTJOIN("-",TRUE,"ITD",Input!$A$2,A54)</f>
        <v>ITD-SHR-X53</v>
      </c>
      <c r="C54" s="46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46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46">
        <f>_xlfn.XLOOKUP(A54,My_Audit!A:A,My_Audit!D:D,"")</f>
        <v>0</v>
      </c>
      <c r="F54" s="46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46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46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46" t="str">
        <f>_xlfn.XLOOKUP(A54,Output_Mac!A:A,Output_Mac!I:I,"")</f>
        <v/>
      </c>
      <c r="J54" s="46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46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46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46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N54" s="46"/>
      <c r="O54" s="46" t="str">
        <f>_xlfn.LET(
    _xlpm.CSVVal, _xlfn.XLOOKUP($A54, CSV!$A:$A, CSV!AA:AA,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46" t="str" cm="1">
        <f t="array" ref="P54">IFERROR(_xlfn.LET(
_xlpm.CSVVal,_xlfn.XLOOKUP($A54,CSV!$A:$A,CSV!AB:AB,""),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46" t="str" cm="1">
        <f t="array" ref="Q54">IFERROR(_xlfn.LET(
_xlpm.CSVVal,_xlfn.XLOOKUP($A54,CSV!$A:$A,CSV!AC:AC,""),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R54" s="46"/>
      <c r="S54" s="46"/>
      <c r="T54" s="46"/>
      <c r="U54" s="46"/>
      <c r="V54" s="46"/>
      <c r="W54" s="46"/>
      <c r="X54" s="47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46" t="str">
        <f>_xlfn.TEXTJOIN("",TRUE,Input!$B$2,ROW(My_Audit!A54))</f>
        <v>X54</v>
      </c>
      <c r="B55" s="46" t="str">
        <f>_xlfn.TEXTJOIN("-",TRUE,"ITD",Input!$A$2,A55)</f>
        <v>ITD-SHR-X54</v>
      </c>
      <c r="C55" s="46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46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46">
        <f>_xlfn.XLOOKUP(A55,My_Audit!A:A,My_Audit!D:D,"")</f>
        <v>0</v>
      </c>
      <c r="F55" s="46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46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46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46" t="str">
        <f>_xlfn.XLOOKUP(A55,Output_Mac!A:A,Output_Mac!I:I,"")</f>
        <v/>
      </c>
      <c r="J55" s="46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46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46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46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N55" s="46"/>
      <c r="O55" s="46" t="str">
        <f>_xlfn.LET(
    _xlpm.CSVVal, _xlfn.XLOOKUP($A55, CSV!$A:$A, CSV!AA:AA,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46" t="str" cm="1">
        <f t="array" ref="P55">IFERROR(_xlfn.LET(
_xlpm.CSVVal,_xlfn.XLOOKUP($A55,CSV!$A:$A,CSV!AB:AB,""),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46" t="str" cm="1">
        <f t="array" ref="Q55">IFERROR(_xlfn.LET(
_xlpm.CSVVal,_xlfn.XLOOKUP($A55,CSV!$A:$A,CSV!AC:AC,""),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R55" s="46"/>
      <c r="S55" s="46"/>
      <c r="T55" s="46"/>
      <c r="U55" s="46"/>
      <c r="V55" s="46"/>
      <c r="W55" s="46"/>
      <c r="X55" s="47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46" t="str">
        <f>_xlfn.TEXTJOIN("",TRUE,Input!$B$2,ROW(My_Audit!A55))</f>
        <v>X55</v>
      </c>
      <c r="B56" s="46" t="str">
        <f>_xlfn.TEXTJOIN("-",TRUE,"ITD",Input!$A$2,A56)</f>
        <v>ITD-SHR-X55</v>
      </c>
      <c r="C56" s="46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46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46">
        <f>_xlfn.XLOOKUP(A56,My_Audit!A:A,My_Audit!D:D,"")</f>
        <v>0</v>
      </c>
      <c r="F56" s="46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46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46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46" t="str">
        <f>_xlfn.XLOOKUP(A56,Output_Mac!A:A,Output_Mac!I:I,"")</f>
        <v/>
      </c>
      <c r="J56" s="46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46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46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46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N56" s="46"/>
      <c r="O56" s="46" t="str">
        <f>_xlfn.LET(
    _xlpm.CSVVal, _xlfn.XLOOKUP($A56, CSV!$A:$A, CSV!AA:AA,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46" t="str" cm="1">
        <f t="array" ref="P56">IFERROR(_xlfn.LET(
_xlpm.CSVVal,_xlfn.XLOOKUP($A56,CSV!$A:$A,CSV!AB:AB,""),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46" t="str" cm="1">
        <f t="array" ref="Q56">IFERROR(_xlfn.LET(
_xlpm.CSVVal,_xlfn.XLOOKUP($A56,CSV!$A:$A,CSV!AC:AC,""),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R56" s="46"/>
      <c r="S56" s="46"/>
      <c r="T56" s="46"/>
      <c r="U56" s="46"/>
      <c r="V56" s="46"/>
      <c r="W56" s="46"/>
      <c r="X56" s="47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46" t="str">
        <f>_xlfn.TEXTJOIN("",TRUE,Input!$B$2,ROW(My_Audit!A56))</f>
        <v>X56</v>
      </c>
      <c r="B57" s="46" t="str">
        <f>_xlfn.TEXTJOIN("-",TRUE,"ITD",Input!$A$2,A57)</f>
        <v>ITD-SHR-X56</v>
      </c>
      <c r="C57" s="46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46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46">
        <f>_xlfn.XLOOKUP(A57,My_Audit!A:A,My_Audit!D:D,"")</f>
        <v>0</v>
      </c>
      <c r="F57" s="46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46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46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46" t="str">
        <f>_xlfn.XLOOKUP(A57,Output_Mac!A:A,Output_Mac!I:I,"")</f>
        <v/>
      </c>
      <c r="J57" s="46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46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46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46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N57" s="46"/>
      <c r="O57" s="46" t="str">
        <f>_xlfn.LET(
    _xlpm.CSVVal, _xlfn.XLOOKUP($A57, CSV!$A:$A, CSV!AA:AA,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46" t="str" cm="1">
        <f t="array" ref="P57">IFERROR(_xlfn.LET(
_xlpm.CSVVal,_xlfn.XLOOKUP($A57,CSV!$A:$A,CSV!AB:AB,""),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46" t="str" cm="1">
        <f t="array" ref="Q57">IFERROR(_xlfn.LET(
_xlpm.CSVVal,_xlfn.XLOOKUP($A57,CSV!$A:$A,CSV!AC:AC,""),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R57" s="46"/>
      <c r="S57" s="46"/>
      <c r="T57" s="46"/>
      <c r="U57" s="46"/>
      <c r="V57" s="46"/>
      <c r="W57" s="46"/>
      <c r="X57" s="4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46" t="str">
        <f>_xlfn.TEXTJOIN("",TRUE,Input!$B$2,ROW(My_Audit!A57))</f>
        <v>X57</v>
      </c>
      <c r="B58" s="46" t="str">
        <f>_xlfn.TEXTJOIN("-",TRUE,"ITD",Input!$A$2,A58)</f>
        <v>ITD-SHR-X57</v>
      </c>
      <c r="C58" s="46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46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46">
        <f>_xlfn.XLOOKUP(A58,My_Audit!A:A,My_Audit!D:D,"")</f>
        <v>0</v>
      </c>
      <c r="F58" s="46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46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46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46" t="str">
        <f>_xlfn.XLOOKUP(A58,Output_Mac!A:A,Output_Mac!I:I,"")</f>
        <v/>
      </c>
      <c r="J58" s="46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46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46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46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N58" s="46"/>
      <c r="O58" s="46" t="str">
        <f>_xlfn.LET(
    _xlpm.CSVVal, _xlfn.XLOOKUP($A58, CSV!$A:$A, CSV!AA:AA,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46" t="str" cm="1">
        <f t="array" ref="P58">IFERROR(_xlfn.LET(
_xlpm.CSVVal,_xlfn.XLOOKUP($A58,CSV!$A:$A,CSV!AB:AB,""),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46" t="str" cm="1">
        <f t="array" ref="Q58">IFERROR(_xlfn.LET(
_xlpm.CSVVal,_xlfn.XLOOKUP($A58,CSV!$A:$A,CSV!AC:AC,""),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R58" s="46"/>
      <c r="S58" s="46"/>
      <c r="T58" s="46"/>
      <c r="U58" s="46"/>
      <c r="V58" s="46"/>
      <c r="W58" s="46"/>
      <c r="X58" s="47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46" t="str">
        <f>_xlfn.TEXTJOIN("",TRUE,Input!$B$2,ROW(My_Audit!A58))</f>
        <v>X58</v>
      </c>
      <c r="B59" s="46" t="str">
        <f>_xlfn.TEXTJOIN("-",TRUE,"ITD",Input!$A$2,A59)</f>
        <v>ITD-SHR-X58</v>
      </c>
      <c r="C59" s="46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46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46">
        <f>_xlfn.XLOOKUP(A59,My_Audit!A:A,My_Audit!D:D,"")</f>
        <v>0</v>
      </c>
      <c r="F59" s="46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46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46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46" t="str">
        <f>_xlfn.XLOOKUP(A59,Output_Mac!A:A,Output_Mac!I:I,"")</f>
        <v/>
      </c>
      <c r="J59" s="46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46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46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46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N59" s="46"/>
      <c r="O59" s="46" t="str">
        <f>_xlfn.LET(
    _xlpm.CSVVal, _xlfn.XLOOKUP($A59, CSV!$A:$A, CSV!AA:AA,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46" t="str" cm="1">
        <f t="array" ref="P59">IFERROR(_xlfn.LET(
_xlpm.CSVVal,_xlfn.XLOOKUP($A59,CSV!$A:$A,CSV!AB:AB,""),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46" t="str" cm="1">
        <f t="array" ref="Q59">IFERROR(_xlfn.LET(
_xlpm.CSVVal,_xlfn.XLOOKUP($A59,CSV!$A:$A,CSV!AC:AC,""),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R59" s="46"/>
      <c r="S59" s="46"/>
      <c r="T59" s="46"/>
      <c r="U59" s="46"/>
      <c r="V59" s="46"/>
      <c r="W59" s="46"/>
      <c r="X59" s="47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46" t="str">
        <f>_xlfn.TEXTJOIN("",TRUE,Input!$B$2,ROW(My_Audit!A59))</f>
        <v>X59</v>
      </c>
      <c r="B60" s="46" t="str">
        <f>_xlfn.TEXTJOIN("-",TRUE,"ITD",Input!$A$2,A60)</f>
        <v>ITD-SHR-X59</v>
      </c>
      <c r="C60" s="46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46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46">
        <f>_xlfn.XLOOKUP(A60,My_Audit!A:A,My_Audit!D:D,"")</f>
        <v>0</v>
      </c>
      <c r="F60" s="46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46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46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46" t="str">
        <f>_xlfn.XLOOKUP(A60,Output_Mac!A:A,Output_Mac!I:I,"")</f>
        <v/>
      </c>
      <c r="J60" s="46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46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46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46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N60" s="46"/>
      <c r="O60" s="46" t="str">
        <f>_xlfn.LET(
    _xlpm.CSVVal, _xlfn.XLOOKUP($A60, CSV!$A:$A, CSV!AA:AA,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46" t="str" cm="1">
        <f t="array" ref="P60">IFERROR(_xlfn.LET(
_xlpm.CSVVal,_xlfn.XLOOKUP($A60,CSV!$A:$A,CSV!AB:AB,""),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46" t="str" cm="1">
        <f t="array" ref="Q60">IFERROR(_xlfn.LET(
_xlpm.CSVVal,_xlfn.XLOOKUP($A60,CSV!$A:$A,CSV!AC:AC,""),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R60" s="46"/>
      <c r="S60" s="46"/>
      <c r="T60" s="46"/>
      <c r="U60" s="46"/>
      <c r="V60" s="46"/>
      <c r="W60" s="46"/>
      <c r="X60" s="47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46" t="str">
        <f>_xlfn.TEXTJOIN("",TRUE,Input!$B$2,ROW(My_Audit!A60))</f>
        <v>X60</v>
      </c>
      <c r="B61" s="46" t="str">
        <f>_xlfn.TEXTJOIN("-",TRUE,"ITD",Input!$A$2,A61)</f>
        <v>ITD-SHR-X60</v>
      </c>
      <c r="C61" s="46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46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46">
        <f>_xlfn.XLOOKUP(A61,My_Audit!A:A,My_Audit!D:D,"")</f>
        <v>0</v>
      </c>
      <c r="F61" s="46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46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46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46" t="str">
        <f>_xlfn.XLOOKUP(A61,Output_Mac!A:A,Output_Mac!I:I,"")</f>
        <v/>
      </c>
      <c r="J61" s="46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46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46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46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N61" s="46"/>
      <c r="O61" s="46" t="str">
        <f>_xlfn.LET(
    _xlpm.CSVVal, _xlfn.XLOOKUP($A61, CSV!$A:$A, CSV!AA:AA,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46" t="str" cm="1">
        <f t="array" ref="P61">IFERROR(_xlfn.LET(
_xlpm.CSVVal,_xlfn.XLOOKUP($A61,CSV!$A:$A,CSV!AB:AB,""),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46" t="str" cm="1">
        <f t="array" ref="Q61">IFERROR(_xlfn.LET(
_xlpm.CSVVal,_xlfn.XLOOKUP($A61,CSV!$A:$A,CSV!AC:AC,""),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R61" s="46"/>
      <c r="S61" s="46"/>
      <c r="T61" s="46"/>
      <c r="U61" s="46"/>
      <c r="V61" s="46"/>
      <c r="W61" s="46"/>
      <c r="X61" s="47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46" t="str">
        <f>_xlfn.TEXTJOIN("",TRUE,Input!$B$2,ROW(My_Audit!A61))</f>
        <v>X61</v>
      </c>
      <c r="B62" s="46" t="str">
        <f>_xlfn.TEXTJOIN("-",TRUE,"ITD",Input!$A$2,A62)</f>
        <v>ITD-SHR-X61</v>
      </c>
      <c r="C62" s="46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46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46">
        <f>_xlfn.XLOOKUP(A62,My_Audit!A:A,My_Audit!D:D,"")</f>
        <v>0</v>
      </c>
      <c r="F62" s="46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46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46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46" t="str">
        <f>_xlfn.XLOOKUP(A62,Output_Mac!A:A,Output_Mac!I:I,"")</f>
        <v/>
      </c>
      <c r="J62" s="46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46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46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46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N62" s="46"/>
      <c r="O62" s="46" t="str">
        <f>_xlfn.LET(
    _xlpm.CSVVal, _xlfn.XLOOKUP($A62, CSV!$A:$A, CSV!AA:AA,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46" t="str" cm="1">
        <f t="array" ref="P62">IFERROR(_xlfn.LET(
_xlpm.CSVVal,_xlfn.XLOOKUP($A62,CSV!$A:$A,CSV!AB:AB,""),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46" t="str" cm="1">
        <f t="array" ref="Q62">IFERROR(_xlfn.LET(
_xlpm.CSVVal,_xlfn.XLOOKUP($A62,CSV!$A:$A,CSV!AC:AC,""),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R62" s="46"/>
      <c r="S62" s="46"/>
      <c r="T62" s="46"/>
      <c r="U62" s="46"/>
      <c r="V62" s="46"/>
      <c r="W62" s="46"/>
      <c r="X62" s="47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46" t="str">
        <f>_xlfn.TEXTJOIN("",TRUE,Input!$B$2,ROW(My_Audit!A62))</f>
        <v>X62</v>
      </c>
      <c r="B63" s="46" t="str">
        <f>_xlfn.TEXTJOIN("-",TRUE,"ITD",Input!$A$2,A63)</f>
        <v>ITD-SHR-X62</v>
      </c>
      <c r="C63" s="46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46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46">
        <f>_xlfn.XLOOKUP(A63,My_Audit!A:A,My_Audit!D:D,"")</f>
        <v>0</v>
      </c>
      <c r="F63" s="46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46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46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46" t="str">
        <f>_xlfn.XLOOKUP(A63,Output_Mac!A:A,Output_Mac!I:I,"")</f>
        <v/>
      </c>
      <c r="J63" s="46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46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46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46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N63" s="46"/>
      <c r="O63" s="46" t="str">
        <f>_xlfn.LET(
    _xlpm.CSVVal, _xlfn.XLOOKUP($A63, CSV!$A:$A, CSV!AA:AA,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46" t="str" cm="1">
        <f t="array" ref="P63">IFERROR(_xlfn.LET(
_xlpm.CSVVal,_xlfn.XLOOKUP($A63,CSV!$A:$A,CSV!AB:AB,""),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46" t="str" cm="1">
        <f t="array" ref="Q63">IFERROR(_xlfn.LET(
_xlpm.CSVVal,_xlfn.XLOOKUP($A63,CSV!$A:$A,CSV!AC:AC,""),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R63" s="46"/>
      <c r="S63" s="46"/>
      <c r="T63" s="46"/>
      <c r="U63" s="46"/>
      <c r="V63" s="46"/>
      <c r="W63" s="46"/>
      <c r="X63" s="47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46" t="str">
        <f>_xlfn.TEXTJOIN("",TRUE,Input!$B$2,ROW(My_Audit!A63))</f>
        <v>X63</v>
      </c>
      <c r="B64" s="46" t="str">
        <f>_xlfn.TEXTJOIN("-",TRUE,"ITD",Input!$A$2,A64)</f>
        <v>ITD-SHR-X63</v>
      </c>
      <c r="C64" s="46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46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46">
        <f>_xlfn.XLOOKUP(A64,My_Audit!A:A,My_Audit!D:D,"")</f>
        <v>0</v>
      </c>
      <c r="F64" s="46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46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46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46" t="str">
        <f>_xlfn.XLOOKUP(A64,Output_Mac!A:A,Output_Mac!I:I,"")</f>
        <v/>
      </c>
      <c r="J64" s="46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46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46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46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N64" s="46"/>
      <c r="O64" s="46" t="str">
        <f>_xlfn.LET(
    _xlpm.CSVVal, _xlfn.XLOOKUP($A64, CSV!$A:$A, CSV!AA:AA,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46" t="str" cm="1">
        <f t="array" ref="P64">IFERROR(_xlfn.LET(
_xlpm.CSVVal,_xlfn.XLOOKUP($A64,CSV!$A:$A,CSV!AB:AB,""),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46" t="str" cm="1">
        <f t="array" ref="Q64">IFERROR(_xlfn.LET(
_xlpm.CSVVal,_xlfn.XLOOKUP($A64,CSV!$A:$A,CSV!AC:AC,""),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R64" s="46"/>
      <c r="S64" s="46"/>
      <c r="T64" s="46"/>
      <c r="U64" s="46"/>
      <c r="V64" s="46"/>
      <c r="W64" s="46"/>
      <c r="X64" s="47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46" t="str">
        <f>_xlfn.TEXTJOIN("",TRUE,Input!$B$2,ROW(My_Audit!A64))</f>
        <v>X64</v>
      </c>
      <c r="B65" s="46" t="str">
        <f>_xlfn.TEXTJOIN("-",TRUE,"ITD",Input!$A$2,A65)</f>
        <v>ITD-SHR-X64</v>
      </c>
      <c r="C65" s="46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46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46">
        <f>_xlfn.XLOOKUP(A65,My_Audit!A:A,My_Audit!D:D,"")</f>
        <v>0</v>
      </c>
      <c r="F65" s="46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46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46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46" t="str">
        <f>_xlfn.XLOOKUP(A65,Output_Mac!A:A,Output_Mac!I:I,"")</f>
        <v/>
      </c>
      <c r="J65" s="46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46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46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46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N65" s="46"/>
      <c r="O65" s="46" t="str">
        <f>_xlfn.LET(
    _xlpm.CSVVal, _xlfn.XLOOKUP($A65, CSV!$A:$A, CSV!AA:AA,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46" t="str" cm="1">
        <f t="array" ref="P65">IFERROR(_xlfn.LET(
_xlpm.CSVVal,_xlfn.XLOOKUP($A65,CSV!$A:$A,CSV!AB:AB,""),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46" t="str" cm="1">
        <f t="array" ref="Q65">IFERROR(_xlfn.LET(
_xlpm.CSVVal,_xlfn.XLOOKUP($A65,CSV!$A:$A,CSV!AC:AC,""),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R65" s="46"/>
      <c r="S65" s="46"/>
      <c r="T65" s="46"/>
      <c r="U65" s="46"/>
      <c r="V65" s="46"/>
      <c r="W65" s="46"/>
      <c r="X65" s="47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46" t="str">
        <f>_xlfn.TEXTJOIN("",TRUE,Input!$B$2,ROW(My_Audit!A65))</f>
        <v>X65</v>
      </c>
      <c r="B66" s="46" t="str">
        <f>_xlfn.TEXTJOIN("-",TRUE,"ITD",Input!$A$2,A66)</f>
        <v>ITD-SHR-X65</v>
      </c>
      <c r="C66" s="46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46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46">
        <f>_xlfn.XLOOKUP(A66,My_Audit!A:A,My_Audit!D:D,"")</f>
        <v>0</v>
      </c>
      <c r="F66" s="46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46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46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46" t="str">
        <f>_xlfn.XLOOKUP(A66,Output_Mac!A:A,Output_Mac!I:I,"")</f>
        <v/>
      </c>
      <c r="J66" s="46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46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46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46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N66" s="46"/>
      <c r="O66" s="46" t="str">
        <f>_xlfn.LET(
    _xlpm.CSVVal, _xlfn.XLOOKUP($A66, CSV!$A:$A, CSV!AA:AA,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46" t="str" cm="1">
        <f t="array" ref="P66">IFERROR(_xlfn.LET(
_xlpm.CSVVal,_xlfn.XLOOKUP($A66,CSV!$A:$A,CSV!AB:AB,""),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46" t="str" cm="1">
        <f t="array" ref="Q66">IFERROR(_xlfn.LET(
_xlpm.CSVVal,_xlfn.XLOOKUP($A66,CSV!$A:$A,CSV!AC:AC,""),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R66" s="46"/>
      <c r="S66" s="46"/>
      <c r="T66" s="46"/>
      <c r="U66" s="46"/>
      <c r="V66" s="46"/>
      <c r="W66" s="46"/>
      <c r="X66" s="47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46" t="str">
        <f>_xlfn.TEXTJOIN("",TRUE,Input!$B$2,ROW(My_Audit!A66))</f>
        <v>X66</v>
      </c>
      <c r="B67" s="46" t="str">
        <f>_xlfn.TEXTJOIN("-",TRUE,"ITD",Input!$A$2,A67)</f>
        <v>ITD-SHR-X66</v>
      </c>
      <c r="C67" s="46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46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46" t="str">
        <f>_xlfn.XLOOKUP(A67,My_Audit!A:A,My_Audit!D:D,"")</f>
        <v/>
      </c>
      <c r="F67" s="46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46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46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46" t="str">
        <f>_xlfn.XLOOKUP(A67,Output_Mac!A:A,Output_Mac!I:I,"")</f>
        <v/>
      </c>
      <c r="J67" s="46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46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46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46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N67" s="46"/>
      <c r="O67" s="46" t="str">
        <f>_xlfn.LET(
    _xlpm.CSVVal, _xlfn.XLOOKUP($A67, CSV!$A:$A, CSV!AA:AA,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46" t="str" cm="1">
        <f t="array" ref="P67">IFERROR(_xlfn.LET(
_xlpm.CSVVal,_xlfn.XLOOKUP($A67,CSV!$A:$A,CSV!AB:AB,""),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46" t="str" cm="1">
        <f t="array" ref="Q67">IFERROR(_xlfn.LET(
_xlpm.CSVVal,_xlfn.XLOOKUP($A67,CSV!$A:$A,CSV!AC:AC,""),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R67" s="46"/>
      <c r="S67" s="46"/>
      <c r="T67" s="46"/>
      <c r="U67" s="46"/>
      <c r="V67" s="46"/>
      <c r="W67" s="46"/>
      <c r="X67" s="4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46" t="str">
        <f>_xlfn.TEXTJOIN("",TRUE,Input!$B$2,ROW(My_Audit!A67))</f>
        <v>X67</v>
      </c>
      <c r="B68" s="46" t="str">
        <f>_xlfn.TEXTJOIN("-",TRUE,"ITD",Input!$A$2,A68)</f>
        <v>ITD-SHR-X67</v>
      </c>
      <c r="C68" s="46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46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46" t="str">
        <f>_xlfn.XLOOKUP(A68,My_Audit!A:A,My_Audit!D:D,"")</f>
        <v/>
      </c>
      <c r="F68" s="46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46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46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46" t="str">
        <f>_xlfn.XLOOKUP(A68,Output_Mac!A:A,Output_Mac!I:I,"")</f>
        <v/>
      </c>
      <c r="J68" s="46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46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46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46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N68" s="46"/>
      <c r="O68" s="46" t="str">
        <f>_xlfn.LET(
    _xlpm.CSVVal, _xlfn.XLOOKUP($A68, CSV!$A:$A, CSV!AA:AA,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46" t="str" cm="1">
        <f t="array" ref="P68">IFERROR(_xlfn.LET(
_xlpm.CSVVal,_xlfn.XLOOKUP($A68,CSV!$A:$A,CSV!AB:AB,""),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46" t="str" cm="1">
        <f t="array" ref="Q68">IFERROR(_xlfn.LET(
_xlpm.CSVVal,_xlfn.XLOOKUP($A68,CSV!$A:$A,CSV!AC:AC,""),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R68" s="46"/>
      <c r="S68" s="46"/>
      <c r="T68" s="46"/>
      <c r="U68" s="46"/>
      <c r="V68" s="46"/>
      <c r="W68" s="46"/>
      <c r="X68" s="47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46" t="str">
        <f>_xlfn.TEXTJOIN("",TRUE,Input!$B$2,ROW(My_Audit!A68))</f>
        <v>X68</v>
      </c>
      <c r="B69" s="46" t="str">
        <f>_xlfn.TEXTJOIN("-",TRUE,"ITD",Input!$A$2,A69)</f>
        <v>ITD-SHR-X68</v>
      </c>
      <c r="C69" s="46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46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46" t="str">
        <f>_xlfn.XLOOKUP(A69,My_Audit!A:A,My_Audit!D:D,"")</f>
        <v/>
      </c>
      <c r="F69" s="46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46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46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46" t="str">
        <f>_xlfn.XLOOKUP(A69,Output_Mac!A:A,Output_Mac!I:I,"")</f>
        <v/>
      </c>
      <c r="J69" s="46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46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46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46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N69" s="46"/>
      <c r="O69" s="46" t="str">
        <f>_xlfn.LET(
    _xlpm.CSVVal, _xlfn.XLOOKUP($A69, CSV!$A:$A, CSV!AA:AA,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46" t="str" cm="1">
        <f t="array" ref="P69">IFERROR(_xlfn.LET(
_xlpm.CSVVal,_xlfn.XLOOKUP($A69,CSV!$A:$A,CSV!AB:AB,""),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46" t="str" cm="1">
        <f t="array" ref="Q69">IFERROR(_xlfn.LET(
_xlpm.CSVVal,_xlfn.XLOOKUP($A69,CSV!$A:$A,CSV!AC:AC,""),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R69" s="46"/>
      <c r="S69" s="46"/>
      <c r="T69" s="46"/>
      <c r="U69" s="46"/>
      <c r="V69" s="46"/>
      <c r="W69" s="46"/>
      <c r="X69" s="47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46" t="str">
        <f>_xlfn.TEXTJOIN("",TRUE,Input!$B$2,ROW(My_Audit!A69))</f>
        <v>X69</v>
      </c>
      <c r="B70" s="46" t="str">
        <f>_xlfn.TEXTJOIN("-",TRUE,"ITD",Input!$A$2,A70)</f>
        <v>ITD-SHR-X69</v>
      </c>
      <c r="C70" s="46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46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46" t="str">
        <f>_xlfn.XLOOKUP(A70,My_Audit!A:A,My_Audit!D:D,"")</f>
        <v/>
      </c>
      <c r="F70" s="46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46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46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46" t="str">
        <f>_xlfn.XLOOKUP(A70,Output_Mac!A:A,Output_Mac!I:I,"")</f>
        <v/>
      </c>
      <c r="J70" s="46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46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46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46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N70" s="46"/>
      <c r="O70" s="46" t="str">
        <f>_xlfn.LET(
    _xlpm.CSVVal, _xlfn.XLOOKUP($A70, CSV!$A:$A, CSV!AA:AA,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46" t="str" cm="1">
        <f t="array" ref="P70">IFERROR(_xlfn.LET(
_xlpm.CSVVal,_xlfn.XLOOKUP($A70,CSV!$A:$A,CSV!AB:AB,""),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46" t="str" cm="1">
        <f t="array" ref="Q70">IFERROR(_xlfn.LET(
_xlpm.CSVVal,_xlfn.XLOOKUP($A70,CSV!$A:$A,CSV!AC:AC,""),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R70" s="46"/>
      <c r="S70" s="46"/>
      <c r="T70" s="46"/>
      <c r="U70" s="46"/>
      <c r="V70" s="46"/>
      <c r="W70" s="46"/>
      <c r="X70" s="47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46" t="str">
        <f>_xlfn.TEXTJOIN("",TRUE,Input!$B$2,ROW(My_Audit!A70))</f>
        <v>X70</v>
      </c>
      <c r="B71" s="46" t="str">
        <f>_xlfn.TEXTJOIN("-",TRUE,"ITD",Input!$A$2,A71)</f>
        <v>ITD-SHR-X70</v>
      </c>
      <c r="C71" s="46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46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46" t="str">
        <f>_xlfn.XLOOKUP(A71,My_Audit!A:A,My_Audit!D:D,"")</f>
        <v/>
      </c>
      <c r="F71" s="46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46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46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46" t="str">
        <f>_xlfn.XLOOKUP(A71,Output_Mac!A:A,Output_Mac!I:I,"")</f>
        <v/>
      </c>
      <c r="J71" s="46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46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46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46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N71" s="46"/>
      <c r="O71" s="46" t="str">
        <f>_xlfn.LET(
    _xlpm.CSVVal, _xlfn.XLOOKUP($A71, CSV!$A:$A, CSV!AA:AA,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46" t="str" cm="1">
        <f t="array" ref="P71">IFERROR(_xlfn.LET(
_xlpm.CSVVal,_xlfn.XLOOKUP($A71,CSV!$A:$A,CSV!AB:AB,""),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46" t="str" cm="1">
        <f t="array" ref="Q71">IFERROR(_xlfn.LET(
_xlpm.CSVVal,_xlfn.XLOOKUP($A71,CSV!$A:$A,CSV!AC:AC,""),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R71" s="46"/>
      <c r="S71" s="46"/>
      <c r="T71" s="46"/>
      <c r="U71" s="46"/>
      <c r="V71" s="46"/>
      <c r="W71" s="46"/>
      <c r="X71" s="47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46" t="str">
        <f>_xlfn.TEXTJOIN("",TRUE,Input!$B$2,ROW(My_Audit!A71))</f>
        <v>X71</v>
      </c>
      <c r="B72" s="46" t="str">
        <f>_xlfn.TEXTJOIN("-",TRUE,"ITD",Input!$A$2,A72)</f>
        <v>ITD-SHR-X71</v>
      </c>
      <c r="C72" s="46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46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46" t="str">
        <f>_xlfn.XLOOKUP(A72,My_Audit!A:A,My_Audit!D:D,"")</f>
        <v/>
      </c>
      <c r="F72" s="46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46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46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46" t="str">
        <f>_xlfn.XLOOKUP(A72,Output_Mac!A:A,Output_Mac!I:I,"")</f>
        <v/>
      </c>
      <c r="J72" s="46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46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46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46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N72" s="46"/>
      <c r="O72" s="46" t="str">
        <f>_xlfn.LET(
    _xlpm.CSVVal, _xlfn.XLOOKUP($A72, CSV!$A:$A, CSV!AA:AA,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46" t="str" cm="1">
        <f t="array" ref="P72">IFERROR(_xlfn.LET(
_xlpm.CSVVal,_xlfn.XLOOKUP($A72,CSV!$A:$A,CSV!AB:AB,""),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46" t="str" cm="1">
        <f t="array" ref="Q72">IFERROR(_xlfn.LET(
_xlpm.CSVVal,_xlfn.XLOOKUP($A72,CSV!$A:$A,CSV!AC:AC,""),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R72" s="46"/>
      <c r="S72" s="46"/>
      <c r="T72" s="46"/>
      <c r="U72" s="46"/>
      <c r="V72" s="46"/>
      <c r="W72" s="46"/>
      <c r="X72" s="47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46" t="str">
        <f>_xlfn.TEXTJOIN("",TRUE,Input!$B$2,ROW(My_Audit!A72))</f>
        <v>X72</v>
      </c>
      <c r="B73" s="46" t="str">
        <f>_xlfn.TEXTJOIN("-",TRUE,"ITD",Input!$A$2,A73)</f>
        <v>ITD-SHR-X72</v>
      </c>
      <c r="C73" s="46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46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46" t="str">
        <f>_xlfn.XLOOKUP(A73,My_Audit!A:A,My_Audit!D:D,"")</f>
        <v/>
      </c>
      <c r="F73" s="46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46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46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46" t="str">
        <f>_xlfn.XLOOKUP(A73,Output_Mac!A:A,Output_Mac!I:I,"")</f>
        <v/>
      </c>
      <c r="J73" s="46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46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46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46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N73" s="46"/>
      <c r="O73" s="46" t="str">
        <f>_xlfn.LET(
    _xlpm.CSVVal, _xlfn.XLOOKUP($A73, CSV!$A:$A, CSV!AA:AA,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46" t="str" cm="1">
        <f t="array" ref="P73">IFERROR(_xlfn.LET(
_xlpm.CSVVal,_xlfn.XLOOKUP($A73,CSV!$A:$A,CSV!AB:AB,""),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46" t="str" cm="1">
        <f t="array" ref="Q73">IFERROR(_xlfn.LET(
_xlpm.CSVVal,_xlfn.XLOOKUP($A73,CSV!$A:$A,CSV!AC:AC,""),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R73" s="46"/>
      <c r="S73" s="46"/>
      <c r="T73" s="46"/>
      <c r="U73" s="46"/>
      <c r="V73" s="46"/>
      <c r="W73" s="46"/>
      <c r="X73" s="47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46" t="str">
        <f>_xlfn.TEXTJOIN("",TRUE,Input!$B$2,ROW(My_Audit!A73))</f>
        <v>X73</v>
      </c>
      <c r="B74" s="46" t="str">
        <f>_xlfn.TEXTJOIN("-",TRUE,"ITD",Input!$A$2,A74)</f>
        <v>ITD-SHR-X73</v>
      </c>
      <c r="C74" s="46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46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46" t="str">
        <f>_xlfn.XLOOKUP(A74,My_Audit!A:A,My_Audit!D:D,"")</f>
        <v/>
      </c>
      <c r="F74" s="46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46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46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46" t="str">
        <f>_xlfn.XLOOKUP(A74,Output_Mac!A:A,Output_Mac!I:I,"")</f>
        <v/>
      </c>
      <c r="J74" s="46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46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46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46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N74" s="46"/>
      <c r="O74" s="46" t="str">
        <f>_xlfn.LET(
    _xlpm.CSVVal, _xlfn.XLOOKUP($A74, CSV!$A:$A, CSV!AA:AA,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46" t="str" cm="1">
        <f t="array" ref="P74">IFERROR(_xlfn.LET(
_xlpm.CSVVal,_xlfn.XLOOKUP($A74,CSV!$A:$A,CSV!AB:AB,""),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46" t="str" cm="1">
        <f t="array" ref="Q74">IFERROR(_xlfn.LET(
_xlpm.CSVVal,_xlfn.XLOOKUP($A74,CSV!$A:$A,CSV!AC:AC,""),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R74" s="46"/>
      <c r="S74" s="46"/>
      <c r="T74" s="46"/>
      <c r="U74" s="46"/>
      <c r="V74" s="46"/>
      <c r="W74" s="46"/>
      <c r="X74" s="47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46" t="str">
        <f>_xlfn.TEXTJOIN("",TRUE,Input!$B$2,ROW(My_Audit!A74))</f>
        <v>X74</v>
      </c>
      <c r="B75" s="46" t="str">
        <f>_xlfn.TEXTJOIN("-",TRUE,"ITD",Input!$A$2,A75)</f>
        <v>ITD-SHR-X74</v>
      </c>
      <c r="C75" s="46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46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46" t="str">
        <f>_xlfn.XLOOKUP(A75,My_Audit!A:A,My_Audit!D:D,"")</f>
        <v/>
      </c>
      <c r="F75" s="46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46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46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46" t="str">
        <f>_xlfn.XLOOKUP(A75,Output_Mac!A:A,Output_Mac!I:I,"")</f>
        <v/>
      </c>
      <c r="J75" s="46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46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46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46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N75" s="46"/>
      <c r="O75" s="46" t="str">
        <f>_xlfn.LET(
    _xlpm.CSVVal, _xlfn.XLOOKUP($A75, CSV!$A:$A, CSV!AA:AA,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46" t="str" cm="1">
        <f t="array" ref="P75">IFERROR(_xlfn.LET(
_xlpm.CSVVal,_xlfn.XLOOKUP($A75,CSV!$A:$A,CSV!AB:AB,""),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46" t="str" cm="1">
        <f t="array" ref="Q75">IFERROR(_xlfn.LET(
_xlpm.CSVVal,_xlfn.XLOOKUP($A75,CSV!$A:$A,CSV!AC:AC,""),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R75" s="46"/>
      <c r="S75" s="46"/>
      <c r="T75" s="46"/>
      <c r="U75" s="46"/>
      <c r="V75" s="46"/>
      <c r="W75" s="46"/>
      <c r="X75" s="47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46" t="str">
        <f>_xlfn.TEXTJOIN("",TRUE,Input!$B$2,ROW(My_Audit!A75))</f>
        <v>X75</v>
      </c>
      <c r="B76" s="46" t="str">
        <f>_xlfn.TEXTJOIN("-",TRUE,"ITD",Input!$A$2,A76)</f>
        <v>ITD-SHR-X75</v>
      </c>
      <c r="C76" s="46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46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46" t="str">
        <f>_xlfn.XLOOKUP(A76,My_Audit!A:A,My_Audit!D:D,"")</f>
        <v/>
      </c>
      <c r="F76" s="46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46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46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46" t="str">
        <f>_xlfn.XLOOKUP(A76,Output_Mac!A:A,Output_Mac!I:I,"")</f>
        <v/>
      </c>
      <c r="J76" s="46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46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46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46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N76" s="46"/>
      <c r="O76" s="46" t="str">
        <f>_xlfn.LET(
    _xlpm.CSVVal, _xlfn.XLOOKUP($A76, CSV!$A:$A, CSV!AA:AA,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46" t="str" cm="1">
        <f t="array" ref="P76">IFERROR(_xlfn.LET(
_xlpm.CSVVal,_xlfn.XLOOKUP($A76,CSV!$A:$A,CSV!AB:AB,""),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46" t="str" cm="1">
        <f t="array" ref="Q76">IFERROR(_xlfn.LET(
_xlpm.CSVVal,_xlfn.XLOOKUP($A76,CSV!$A:$A,CSV!AC:AC,""),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R76" s="46"/>
      <c r="S76" s="46"/>
      <c r="T76" s="46"/>
      <c r="U76" s="46"/>
      <c r="V76" s="46"/>
      <c r="W76" s="46"/>
      <c r="X76" s="47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46" t="str">
        <f>_xlfn.TEXTJOIN("",TRUE,Input!$B$2,ROW(My_Audit!A76))</f>
        <v>X76</v>
      </c>
      <c r="B77" s="46" t="str">
        <f>_xlfn.TEXTJOIN("-",TRUE,"ITD",Input!$A$2,A77)</f>
        <v>ITD-SHR-X76</v>
      </c>
      <c r="C77" s="46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46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46" t="str">
        <f>_xlfn.XLOOKUP(A77,My_Audit!A:A,My_Audit!D:D,"")</f>
        <v/>
      </c>
      <c r="F77" s="46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46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46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46" t="str">
        <f>_xlfn.XLOOKUP(A77,Output_Mac!A:A,Output_Mac!I:I,"")</f>
        <v/>
      </c>
      <c r="J77" s="46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46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46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46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N77" s="46"/>
      <c r="O77" s="46" t="str">
        <f>_xlfn.LET(
    _xlpm.CSVVal, _xlfn.XLOOKUP($A77, CSV!$A:$A, CSV!AA:AA,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46" t="str" cm="1">
        <f t="array" ref="P77">IFERROR(_xlfn.LET(
_xlpm.CSVVal,_xlfn.XLOOKUP($A77,CSV!$A:$A,CSV!AB:AB,""),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46" t="str" cm="1">
        <f t="array" ref="Q77">IFERROR(_xlfn.LET(
_xlpm.CSVVal,_xlfn.XLOOKUP($A77,CSV!$A:$A,CSV!AC:AC,""),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R77" s="46"/>
      <c r="S77" s="46"/>
      <c r="T77" s="46"/>
      <c r="U77" s="46"/>
      <c r="V77" s="46"/>
      <c r="W77" s="46"/>
      <c r="X77" s="4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46" t="str">
        <f>_xlfn.TEXTJOIN("",TRUE,Input!$B$2,ROW(My_Audit!A77))</f>
        <v>X77</v>
      </c>
      <c r="B78" s="46" t="str">
        <f>_xlfn.TEXTJOIN("-",TRUE,"ITD",Input!$A$2,A78)</f>
        <v>ITD-SHR-X77</v>
      </c>
      <c r="C78" s="46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46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46" t="str">
        <f>_xlfn.XLOOKUP(A78,My_Audit!A:A,My_Audit!D:D,"")</f>
        <v/>
      </c>
      <c r="F78" s="46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46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46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46" t="str">
        <f>_xlfn.XLOOKUP(A78,Output_Mac!A:A,Output_Mac!I:I,"")</f>
        <v/>
      </c>
      <c r="J78" s="46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46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46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46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N78" s="46"/>
      <c r="O78" s="46" t="str">
        <f>_xlfn.LET(
    _xlpm.CSVVal, _xlfn.XLOOKUP($A78, CSV!$A:$A, CSV!AA:AA,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46" t="str" cm="1">
        <f t="array" ref="P78">IFERROR(_xlfn.LET(
_xlpm.CSVVal,_xlfn.XLOOKUP($A78,CSV!$A:$A,CSV!AB:AB,""),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46" t="str" cm="1">
        <f t="array" ref="Q78">IFERROR(_xlfn.LET(
_xlpm.CSVVal,_xlfn.XLOOKUP($A78,CSV!$A:$A,CSV!AC:AC,""),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R78" s="46"/>
      <c r="S78" s="46"/>
      <c r="T78" s="46"/>
      <c r="U78" s="46"/>
      <c r="V78" s="46"/>
      <c r="W78" s="46"/>
      <c r="X78" s="47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46" t="str">
        <f>_xlfn.TEXTJOIN("",TRUE,Input!$B$2,ROW(My_Audit!A78))</f>
        <v>X78</v>
      </c>
      <c r="B79" s="46" t="str">
        <f>_xlfn.TEXTJOIN("-",TRUE,"ITD",Input!$A$2,A79)</f>
        <v>ITD-SHR-X78</v>
      </c>
      <c r="C79" s="46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46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46" t="str">
        <f>_xlfn.XLOOKUP(A79,My_Audit!A:A,My_Audit!D:D,"")</f>
        <v/>
      </c>
      <c r="F79" s="46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46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46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46" t="str">
        <f>_xlfn.XLOOKUP(A79,Output_Mac!A:A,Output_Mac!I:I,"")</f>
        <v/>
      </c>
      <c r="J79" s="46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46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46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46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N79" s="46"/>
      <c r="O79" s="46" t="str">
        <f>_xlfn.LET(
    _xlpm.CSVVal, _xlfn.XLOOKUP($A79, CSV!$A:$A, CSV!AA:AA,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46" t="str" cm="1">
        <f t="array" ref="P79">IFERROR(_xlfn.LET(
_xlpm.CSVVal,_xlfn.XLOOKUP($A79,CSV!$A:$A,CSV!AB:AB,""),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46" t="str" cm="1">
        <f t="array" ref="Q79">IFERROR(_xlfn.LET(
_xlpm.CSVVal,_xlfn.XLOOKUP($A79,CSV!$A:$A,CSV!AC:AC,""),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R79" s="46"/>
      <c r="S79" s="46"/>
      <c r="T79" s="46"/>
      <c r="U79" s="46"/>
      <c r="V79" s="46"/>
      <c r="W79" s="46"/>
      <c r="X79" s="47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46" t="str">
        <f>_xlfn.TEXTJOIN("",TRUE,Input!$B$2,ROW(My_Audit!A79))</f>
        <v>X79</v>
      </c>
      <c r="B80" s="46" t="str">
        <f>_xlfn.TEXTJOIN("-",TRUE,"ITD",Input!$A$2,A80)</f>
        <v>ITD-SHR-X79</v>
      </c>
      <c r="C80" s="46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46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46" t="str">
        <f>_xlfn.XLOOKUP(A80,My_Audit!A:A,My_Audit!D:D,"")</f>
        <v/>
      </c>
      <c r="F80" s="46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46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46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46" t="str">
        <f>_xlfn.XLOOKUP(A80,Output_Mac!A:A,Output_Mac!I:I,"")</f>
        <v/>
      </c>
      <c r="J80" s="46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46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46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46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N80" s="46"/>
      <c r="O80" s="46" t="str">
        <f>_xlfn.LET(
    _xlpm.CSVVal, _xlfn.XLOOKUP($A80, CSV!$A:$A, CSV!AA:AA,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46" t="str" cm="1">
        <f t="array" ref="P80">IFERROR(_xlfn.LET(
_xlpm.CSVVal,_xlfn.XLOOKUP($A80,CSV!$A:$A,CSV!AB:AB,""),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46" t="str" cm="1">
        <f t="array" ref="Q80">IFERROR(_xlfn.LET(
_xlpm.CSVVal,_xlfn.XLOOKUP($A80,CSV!$A:$A,CSV!AC:AC,""),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R80" s="46"/>
      <c r="S80" s="46"/>
      <c r="T80" s="46"/>
      <c r="U80" s="46"/>
      <c r="V80" s="46"/>
      <c r="W80" s="46"/>
      <c r="X80" s="47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46" t="str">
        <f>_xlfn.TEXTJOIN("",TRUE,Input!$B$2,ROW(My_Audit!A80))</f>
        <v>X80</v>
      </c>
      <c r="B81" s="46" t="str">
        <f>_xlfn.TEXTJOIN("-",TRUE,"ITD",Input!$A$2,A81)</f>
        <v>ITD-SHR-X80</v>
      </c>
      <c r="C81" s="46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46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46" t="str">
        <f>_xlfn.XLOOKUP(A81,My_Audit!A:A,My_Audit!D:D,"")</f>
        <v/>
      </c>
      <c r="F81" s="46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46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46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46" t="str">
        <f>_xlfn.XLOOKUP(A81,Output_Mac!A:A,Output_Mac!I:I,"")</f>
        <v/>
      </c>
      <c r="J81" s="46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46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46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46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N81" s="46"/>
      <c r="O81" s="46" t="str">
        <f>_xlfn.LET(
    _xlpm.CSVVal, _xlfn.XLOOKUP($A81, CSV!$A:$A, CSV!AA:AA,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46" t="str" cm="1">
        <f t="array" ref="P81">IFERROR(_xlfn.LET(
_xlpm.CSVVal,_xlfn.XLOOKUP($A81,CSV!$A:$A,CSV!AB:AB,""),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46" t="str" cm="1">
        <f t="array" ref="Q81">IFERROR(_xlfn.LET(
_xlpm.CSVVal,_xlfn.XLOOKUP($A81,CSV!$A:$A,CSV!AC:AC,""),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R81" s="46"/>
      <c r="S81" s="46"/>
      <c r="T81" s="46"/>
      <c r="U81" s="46"/>
      <c r="V81" s="46"/>
      <c r="W81" s="46"/>
      <c r="X81" s="47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46" t="str">
        <f>_xlfn.TEXTJOIN("",TRUE,Input!$B$2,ROW(My_Audit!A81))</f>
        <v>X81</v>
      </c>
      <c r="B82" s="46" t="str">
        <f>_xlfn.TEXTJOIN("-",TRUE,"ITD",Input!$A$2,A82)</f>
        <v>ITD-SHR-X81</v>
      </c>
      <c r="C82" s="46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46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46" t="str">
        <f>_xlfn.XLOOKUP(A82,My_Audit!A:A,My_Audit!D:D,"")</f>
        <v/>
      </c>
      <c r="F82" s="46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46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46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46" t="str">
        <f>_xlfn.XLOOKUP(A82,Output_Mac!A:A,Output_Mac!I:I,"")</f>
        <v/>
      </c>
      <c r="J82" s="46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46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46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46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N82" s="46"/>
      <c r="O82" s="46" t="str">
        <f>_xlfn.LET(
    _xlpm.CSVVal, _xlfn.XLOOKUP($A82, CSV!$A:$A, CSV!AA:AA,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46" t="str" cm="1">
        <f t="array" ref="P82">IFERROR(_xlfn.LET(
_xlpm.CSVVal,_xlfn.XLOOKUP($A82,CSV!$A:$A,CSV!AB:AB,""),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46" t="str" cm="1">
        <f t="array" ref="Q82">IFERROR(_xlfn.LET(
_xlpm.CSVVal,_xlfn.XLOOKUP($A82,CSV!$A:$A,CSV!AC:AC,""),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R82" s="46"/>
      <c r="S82" s="46"/>
      <c r="T82" s="46"/>
      <c r="U82" s="46"/>
      <c r="V82" s="46"/>
      <c r="W82" s="46"/>
      <c r="X82" s="47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46" t="str">
        <f>_xlfn.TEXTJOIN("",TRUE,Input!$B$2,ROW(My_Audit!A82))</f>
        <v>X82</v>
      </c>
      <c r="B83" s="46" t="str">
        <f>_xlfn.TEXTJOIN("-",TRUE,"ITD",Input!$A$2,A83)</f>
        <v>ITD-SHR-X82</v>
      </c>
      <c r="C83" s="46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46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46" t="str">
        <f>_xlfn.XLOOKUP(A83,My_Audit!A:A,My_Audit!D:D,"")</f>
        <v/>
      </c>
      <c r="F83" s="46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46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46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46" t="str">
        <f>_xlfn.XLOOKUP(A83,Output_Mac!A:A,Output_Mac!I:I,"")</f>
        <v/>
      </c>
      <c r="J83" s="46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46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46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46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N83" s="46"/>
      <c r="O83" s="46" t="str">
        <f>_xlfn.LET(
    _xlpm.CSVVal, _xlfn.XLOOKUP($A83, CSV!$A:$A, CSV!AA:AA,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46" t="str" cm="1">
        <f t="array" ref="P83">IFERROR(_xlfn.LET(
_xlpm.CSVVal,_xlfn.XLOOKUP($A83,CSV!$A:$A,CSV!AB:AB,""),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46" t="str" cm="1">
        <f t="array" ref="Q83">IFERROR(_xlfn.LET(
_xlpm.CSVVal,_xlfn.XLOOKUP($A83,CSV!$A:$A,CSV!AC:AC,""),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R83" s="46"/>
      <c r="S83" s="46"/>
      <c r="T83" s="46"/>
      <c r="U83" s="46"/>
      <c r="V83" s="46"/>
      <c r="W83" s="46"/>
      <c r="X83" s="47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46" t="str">
        <f>_xlfn.TEXTJOIN("",TRUE,Input!$B$2,ROW(My_Audit!A83))</f>
        <v>X83</v>
      </c>
      <c r="B84" s="46" t="str">
        <f>_xlfn.TEXTJOIN("-",TRUE,"ITD",Input!$A$2,A84)</f>
        <v>ITD-SHR-X83</v>
      </c>
      <c r="C84" s="46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46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46" t="str">
        <f>_xlfn.XLOOKUP(A84,My_Audit!A:A,My_Audit!D:D,"")</f>
        <v/>
      </c>
      <c r="F84" s="46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46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46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46" t="str">
        <f>_xlfn.XLOOKUP(A84,Output_Mac!A:A,Output_Mac!I:I,"")</f>
        <v/>
      </c>
      <c r="J84" s="46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46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46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46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N84" s="46"/>
      <c r="O84" s="46" t="str">
        <f>_xlfn.LET(
    _xlpm.CSVVal, _xlfn.XLOOKUP($A84, CSV!$A:$A, CSV!AA:AA,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46" t="str" cm="1">
        <f t="array" ref="P84">IFERROR(_xlfn.LET(
_xlpm.CSVVal,_xlfn.XLOOKUP($A84,CSV!$A:$A,CSV!AB:AB,""),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46" t="str" cm="1">
        <f t="array" ref="Q84">IFERROR(_xlfn.LET(
_xlpm.CSVVal,_xlfn.XLOOKUP($A84,CSV!$A:$A,CSV!AC:AC,""),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R84" s="46"/>
      <c r="S84" s="46"/>
      <c r="T84" s="46"/>
      <c r="U84" s="46"/>
      <c r="V84" s="46"/>
      <c r="W84" s="46"/>
      <c r="X84" s="47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46" t="str">
        <f>_xlfn.TEXTJOIN("",TRUE,Input!$B$2,ROW(My_Audit!A84))</f>
        <v>X84</v>
      </c>
      <c r="B85" s="46" t="str">
        <f>_xlfn.TEXTJOIN("-",TRUE,"ITD",Input!$A$2,A85)</f>
        <v>ITD-SHR-X84</v>
      </c>
      <c r="C85" s="46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46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46" t="str">
        <f>_xlfn.XLOOKUP(A85,My_Audit!A:A,My_Audit!D:D,"")</f>
        <v/>
      </c>
      <c r="F85" s="46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46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46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46" t="str">
        <f>_xlfn.XLOOKUP(A85,Output_Mac!A:A,Output_Mac!I:I,"")</f>
        <v/>
      </c>
      <c r="J85" s="46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46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46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46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N85" s="46"/>
      <c r="O85" s="46" t="str">
        <f>_xlfn.LET(
    _xlpm.CSVVal, _xlfn.XLOOKUP($A85, CSV!$A:$A, CSV!AA:AA,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46" t="str" cm="1">
        <f t="array" ref="P85">IFERROR(_xlfn.LET(
_xlpm.CSVVal,_xlfn.XLOOKUP($A85,CSV!$A:$A,CSV!AB:AB,""),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46" t="str" cm="1">
        <f t="array" ref="Q85">IFERROR(_xlfn.LET(
_xlpm.CSVVal,_xlfn.XLOOKUP($A85,CSV!$A:$A,CSV!AC:AC,""),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R85" s="46"/>
      <c r="S85" s="46"/>
      <c r="T85" s="46"/>
      <c r="U85" s="46"/>
      <c r="V85" s="46"/>
      <c r="W85" s="46"/>
      <c r="X85" s="47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46" t="str">
        <f>_xlfn.TEXTJOIN("",TRUE,Input!$B$2,ROW(My_Audit!A85))</f>
        <v>X85</v>
      </c>
      <c r="B86" s="46" t="str">
        <f>_xlfn.TEXTJOIN("-",TRUE,"ITD",Input!$A$2,A86)</f>
        <v>ITD-SHR-X85</v>
      </c>
      <c r="C86" s="46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46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46" t="str">
        <f>_xlfn.XLOOKUP(A86,My_Audit!A:A,My_Audit!D:D,"")</f>
        <v/>
      </c>
      <c r="F86" s="46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46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46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46" t="str">
        <f>_xlfn.XLOOKUP(A86,Output_Mac!A:A,Output_Mac!I:I,"")</f>
        <v/>
      </c>
      <c r="J86" s="46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46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46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46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N86" s="46"/>
      <c r="O86" s="46" t="str">
        <f>_xlfn.LET(
    _xlpm.CSVVal, _xlfn.XLOOKUP($A86, CSV!$A:$A, CSV!AA:AA,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46" t="str" cm="1">
        <f t="array" ref="P86">IFERROR(_xlfn.LET(
_xlpm.CSVVal,_xlfn.XLOOKUP($A86,CSV!$A:$A,CSV!AB:AB,""),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46" t="str" cm="1">
        <f t="array" ref="Q86">IFERROR(_xlfn.LET(
_xlpm.CSVVal,_xlfn.XLOOKUP($A86,CSV!$A:$A,CSV!AC:AC,""),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R86" s="46"/>
      <c r="S86" s="46"/>
      <c r="T86" s="46"/>
      <c r="U86" s="46"/>
      <c r="V86" s="46"/>
      <c r="W86" s="46"/>
      <c r="X86" s="47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46" t="str">
        <f>_xlfn.TEXTJOIN("",TRUE,Input!$B$2,ROW(My_Audit!A86))</f>
        <v>X86</v>
      </c>
      <c r="B87" s="46" t="str">
        <f>_xlfn.TEXTJOIN("-",TRUE,"ITD",Input!$A$2,A87)</f>
        <v>ITD-SHR-X86</v>
      </c>
      <c r="C87" s="46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46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46" t="str">
        <f>_xlfn.XLOOKUP(A87,My_Audit!A:A,My_Audit!D:D,"")</f>
        <v/>
      </c>
      <c r="F87" s="46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46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46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46" t="str">
        <f>_xlfn.XLOOKUP(A87,Output_Mac!A:A,Output_Mac!I:I,"")</f>
        <v/>
      </c>
      <c r="J87" s="46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46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46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46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N87" s="46"/>
      <c r="O87" s="46" t="str">
        <f>_xlfn.LET(
    _xlpm.CSVVal, _xlfn.XLOOKUP($A87, CSV!$A:$A, CSV!AA:AA,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46" t="str" cm="1">
        <f t="array" ref="P87">IFERROR(_xlfn.LET(
_xlpm.CSVVal,_xlfn.XLOOKUP($A87,CSV!$A:$A,CSV!AB:AB,""),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46" t="str" cm="1">
        <f t="array" ref="Q87">IFERROR(_xlfn.LET(
_xlpm.CSVVal,_xlfn.XLOOKUP($A87,CSV!$A:$A,CSV!AC:AC,""),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R87" s="46"/>
      <c r="S87" s="46"/>
      <c r="T87" s="46"/>
      <c r="U87" s="46"/>
      <c r="V87" s="46"/>
      <c r="W87" s="46"/>
      <c r="X87" s="4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46" t="str">
        <f>_xlfn.TEXTJOIN("",TRUE,Input!$B$2,ROW(My_Audit!A87))</f>
        <v>X87</v>
      </c>
      <c r="B88" s="46" t="str">
        <f>_xlfn.TEXTJOIN("-",TRUE,"ITD",Input!$A$2,A88)</f>
        <v>ITD-SHR-X87</v>
      </c>
      <c r="C88" s="46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46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46" t="str">
        <f>_xlfn.XLOOKUP(A88,My_Audit!A:A,My_Audit!D:D,"")</f>
        <v/>
      </c>
      <c r="F88" s="46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46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46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46" t="str">
        <f>_xlfn.XLOOKUP(A88,Output_Mac!A:A,Output_Mac!I:I,"")</f>
        <v/>
      </c>
      <c r="J88" s="46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46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46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46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N88" s="46"/>
      <c r="O88" s="46" t="str">
        <f>_xlfn.LET(
    _xlpm.CSVVal, _xlfn.XLOOKUP($A88, CSV!$A:$A, CSV!AA:AA,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46" t="str" cm="1">
        <f t="array" ref="P88">IFERROR(_xlfn.LET(
_xlpm.CSVVal,_xlfn.XLOOKUP($A88,CSV!$A:$A,CSV!AB:AB,""),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46" t="str" cm="1">
        <f t="array" ref="Q88">IFERROR(_xlfn.LET(
_xlpm.CSVVal,_xlfn.XLOOKUP($A88,CSV!$A:$A,CSV!AC:AC,""),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R88" s="46"/>
      <c r="S88" s="46"/>
      <c r="T88" s="46"/>
      <c r="U88" s="46"/>
      <c r="V88" s="46"/>
      <c r="W88" s="46"/>
      <c r="X88" s="47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46" t="str">
        <f>_xlfn.TEXTJOIN("",TRUE,Input!$B$2,ROW(My_Audit!A88))</f>
        <v>X88</v>
      </c>
      <c r="B89" s="46" t="str">
        <f>_xlfn.TEXTJOIN("-",TRUE,"ITD",Input!$A$2,A89)</f>
        <v>ITD-SHR-X88</v>
      </c>
      <c r="C89" s="46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46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46" t="str">
        <f>_xlfn.XLOOKUP(A89,My_Audit!A:A,My_Audit!D:D,"")</f>
        <v/>
      </c>
      <c r="F89" s="46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46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46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46" t="str">
        <f>_xlfn.XLOOKUP(A89,Output_Mac!A:A,Output_Mac!I:I,"")</f>
        <v/>
      </c>
      <c r="J89" s="46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46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46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46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N89" s="46"/>
      <c r="O89" s="46" t="str">
        <f>_xlfn.LET(
    _xlpm.CSVVal, _xlfn.XLOOKUP($A89, CSV!$A:$A, CSV!AA:AA,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46" t="str" cm="1">
        <f t="array" ref="P89">IFERROR(_xlfn.LET(
_xlpm.CSVVal,_xlfn.XLOOKUP($A89,CSV!$A:$A,CSV!AB:AB,""),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46" t="str" cm="1">
        <f t="array" ref="Q89">IFERROR(_xlfn.LET(
_xlpm.CSVVal,_xlfn.XLOOKUP($A89,CSV!$A:$A,CSV!AC:AC,""),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R89" s="46"/>
      <c r="S89" s="46"/>
      <c r="T89" s="46"/>
      <c r="U89" s="46"/>
      <c r="V89" s="46"/>
      <c r="W89" s="46"/>
      <c r="X89" s="47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46" t="str">
        <f>_xlfn.TEXTJOIN("",TRUE,Input!$B$2,ROW(My_Audit!A89))</f>
        <v>X89</v>
      </c>
      <c r="B90" s="46" t="str">
        <f>_xlfn.TEXTJOIN("-",TRUE,"ITD",Input!$A$2,A90)</f>
        <v>ITD-SHR-X89</v>
      </c>
      <c r="C90" s="46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46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46" t="str">
        <f>_xlfn.XLOOKUP(A90,My_Audit!A:A,My_Audit!D:D,"")</f>
        <v/>
      </c>
      <c r="F90" s="46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46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46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46" t="str">
        <f>_xlfn.XLOOKUP(A90,Output_Mac!A:A,Output_Mac!I:I,"")</f>
        <v/>
      </c>
      <c r="J90" s="46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46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46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46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N90" s="46"/>
      <c r="O90" s="46" t="str">
        <f>_xlfn.LET(
    _xlpm.CSVVal, _xlfn.XLOOKUP($A90, CSV!$A:$A, CSV!AA:AA,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46" t="str" cm="1">
        <f t="array" ref="P90">IFERROR(_xlfn.LET(
_xlpm.CSVVal,_xlfn.XLOOKUP($A90,CSV!$A:$A,CSV!AB:AB,""),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46" t="str" cm="1">
        <f t="array" ref="Q90">IFERROR(_xlfn.LET(
_xlpm.CSVVal,_xlfn.XLOOKUP($A90,CSV!$A:$A,CSV!AC:AC,""),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R90" s="46"/>
      <c r="S90" s="46"/>
      <c r="T90" s="46"/>
      <c r="U90" s="46"/>
      <c r="V90" s="46"/>
      <c r="W90" s="46"/>
      <c r="X90" s="47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46" t="str">
        <f>_xlfn.TEXTJOIN("",TRUE,Input!$B$2,ROW(My_Audit!A90))</f>
        <v>X90</v>
      </c>
      <c r="B91" s="46" t="str">
        <f>_xlfn.TEXTJOIN("-",TRUE,"ITD",Input!$A$2,A91)</f>
        <v>ITD-SHR-X90</v>
      </c>
      <c r="C91" s="46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46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46" t="str">
        <f>_xlfn.XLOOKUP(A91,My_Audit!A:A,My_Audit!D:D,"")</f>
        <v/>
      </c>
      <c r="F91" s="46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46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46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46" t="str">
        <f>_xlfn.XLOOKUP(A91,Output_Mac!A:A,Output_Mac!I:I,"")</f>
        <v/>
      </c>
      <c r="J91" s="46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46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46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46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N91" s="46"/>
      <c r="O91" s="46" t="str">
        <f>_xlfn.LET(
    _xlpm.CSVVal, _xlfn.XLOOKUP($A91, CSV!$A:$A, CSV!AA:AA,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46" t="str" cm="1">
        <f t="array" ref="P91">IFERROR(_xlfn.LET(
_xlpm.CSVVal,_xlfn.XLOOKUP($A91,CSV!$A:$A,CSV!AB:AB,""),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46" t="str" cm="1">
        <f t="array" ref="Q91">IFERROR(_xlfn.LET(
_xlpm.CSVVal,_xlfn.XLOOKUP($A91,CSV!$A:$A,CSV!AC:AC,""),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R91" s="46"/>
      <c r="S91" s="46"/>
      <c r="T91" s="46"/>
      <c r="U91" s="46"/>
      <c r="V91" s="46"/>
      <c r="W91" s="46"/>
      <c r="X91" s="47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46" t="str">
        <f>_xlfn.TEXTJOIN("",TRUE,Input!$B$2,ROW(My_Audit!A91))</f>
        <v>X91</v>
      </c>
      <c r="B92" s="46" t="str">
        <f>_xlfn.TEXTJOIN("-",TRUE,"ITD",Input!$A$2,A92)</f>
        <v>ITD-SHR-X91</v>
      </c>
      <c r="C92" s="46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46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46" t="str">
        <f>_xlfn.XLOOKUP(A92,My_Audit!A:A,My_Audit!D:D,"")</f>
        <v/>
      </c>
      <c r="F92" s="46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46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46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46" t="str">
        <f>_xlfn.XLOOKUP(A92,Output_Mac!A:A,Output_Mac!I:I,"")</f>
        <v/>
      </c>
      <c r="J92" s="46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46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46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46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N92" s="46"/>
      <c r="O92" s="46" t="str">
        <f>_xlfn.LET(
    _xlpm.CSVVal, _xlfn.XLOOKUP($A92, CSV!$A:$A, CSV!AA:AA,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46" t="str" cm="1">
        <f t="array" ref="P92">IFERROR(_xlfn.LET(
_xlpm.CSVVal,_xlfn.XLOOKUP($A92,CSV!$A:$A,CSV!AB:AB,""),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46" t="str" cm="1">
        <f t="array" ref="Q92">IFERROR(_xlfn.LET(
_xlpm.CSVVal,_xlfn.XLOOKUP($A92,CSV!$A:$A,CSV!AC:AC,""),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R92" s="46"/>
      <c r="S92" s="46"/>
      <c r="T92" s="46"/>
      <c r="U92" s="46"/>
      <c r="V92" s="46"/>
      <c r="W92" s="46"/>
      <c r="X92" s="47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46" t="str">
        <f>_xlfn.TEXTJOIN("",TRUE,Input!$B$2,ROW(My_Audit!A92))</f>
        <v>X92</v>
      </c>
      <c r="B93" s="46" t="str">
        <f>_xlfn.TEXTJOIN("-",TRUE,"ITD",Input!$A$2,A93)</f>
        <v>ITD-SHR-X92</v>
      </c>
      <c r="C93" s="46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46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46" t="str">
        <f>_xlfn.XLOOKUP(A93,My_Audit!A:A,My_Audit!D:D,"")</f>
        <v/>
      </c>
      <c r="F93" s="46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46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46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46" t="str">
        <f>_xlfn.XLOOKUP(A93,Output_Mac!A:A,Output_Mac!I:I,"")</f>
        <v/>
      </c>
      <c r="J93" s="46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46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46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46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N93" s="46"/>
      <c r="O93" s="46" t="str">
        <f>_xlfn.LET(
    _xlpm.CSVVal, _xlfn.XLOOKUP($A93, CSV!$A:$A, CSV!AA:AA,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46" t="str" cm="1">
        <f t="array" ref="P93">IFERROR(_xlfn.LET(
_xlpm.CSVVal,_xlfn.XLOOKUP($A93,CSV!$A:$A,CSV!AB:AB,""),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46" t="str" cm="1">
        <f t="array" ref="Q93">IFERROR(_xlfn.LET(
_xlpm.CSVVal,_xlfn.XLOOKUP($A93,CSV!$A:$A,CSV!AC:AC,""),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R93" s="46"/>
      <c r="S93" s="46"/>
      <c r="T93" s="46"/>
      <c r="U93" s="46"/>
      <c r="V93" s="46"/>
      <c r="W93" s="46"/>
      <c r="X93" s="47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46" t="str">
        <f>_xlfn.TEXTJOIN("",TRUE,Input!$B$2,ROW(My_Audit!A93))</f>
        <v>X93</v>
      </c>
      <c r="B94" s="46" t="str">
        <f>_xlfn.TEXTJOIN("-",TRUE,"ITD",Input!$A$2,A94)</f>
        <v>ITD-SHR-X93</v>
      </c>
      <c r="C94" s="46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46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46" t="str">
        <f>_xlfn.XLOOKUP(A94,My_Audit!A:A,My_Audit!D:D,"")</f>
        <v/>
      </c>
      <c r="F94" s="46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46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46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46" t="str">
        <f>_xlfn.XLOOKUP(A94,Output_Mac!A:A,Output_Mac!I:I,"")</f>
        <v/>
      </c>
      <c r="J94" s="46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46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46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46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N94" s="46"/>
      <c r="O94" s="46" t="str">
        <f>_xlfn.LET(
    _xlpm.CSVVal, _xlfn.XLOOKUP($A94, CSV!$A:$A, CSV!AA:AA,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46" t="str" cm="1">
        <f t="array" ref="P94">IFERROR(_xlfn.LET(
_xlpm.CSVVal,_xlfn.XLOOKUP($A94,CSV!$A:$A,CSV!AB:AB,""),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46" t="str" cm="1">
        <f t="array" ref="Q94">IFERROR(_xlfn.LET(
_xlpm.CSVVal,_xlfn.XLOOKUP($A94,CSV!$A:$A,CSV!AC:AC,""),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R94" s="46"/>
      <c r="S94" s="46"/>
      <c r="T94" s="46"/>
      <c r="U94" s="46"/>
      <c r="V94" s="46"/>
      <c r="W94" s="46"/>
      <c r="X94" s="47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46" t="str">
        <f>_xlfn.TEXTJOIN("",TRUE,Input!$B$2,ROW(My_Audit!A94))</f>
        <v>X94</v>
      </c>
      <c r="B95" s="46" t="str">
        <f>_xlfn.TEXTJOIN("-",TRUE,"ITD",Input!$A$2,A95)</f>
        <v>ITD-SHR-X94</v>
      </c>
      <c r="C95" s="46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46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46" t="str">
        <f>_xlfn.XLOOKUP(A95,My_Audit!A:A,My_Audit!D:D,"")</f>
        <v/>
      </c>
      <c r="F95" s="46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46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46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46" t="str">
        <f>_xlfn.XLOOKUP(A95,Output_Mac!A:A,Output_Mac!I:I,"")</f>
        <v/>
      </c>
      <c r="J95" s="46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46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46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46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N95" s="46"/>
      <c r="O95" s="46" t="str">
        <f>_xlfn.LET(
    _xlpm.CSVVal, _xlfn.XLOOKUP($A95, CSV!$A:$A, CSV!AA:AA,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46" t="str" cm="1">
        <f t="array" ref="P95">IFERROR(_xlfn.LET(
_xlpm.CSVVal,_xlfn.XLOOKUP($A95,CSV!$A:$A,CSV!AB:AB,""),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46" t="str" cm="1">
        <f t="array" ref="Q95">IFERROR(_xlfn.LET(
_xlpm.CSVVal,_xlfn.XLOOKUP($A95,CSV!$A:$A,CSV!AC:AC,""),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R95" s="46"/>
      <c r="S95" s="46"/>
      <c r="T95" s="46"/>
      <c r="U95" s="46"/>
      <c r="V95" s="46"/>
      <c r="W95" s="46"/>
      <c r="X95" s="47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46" t="str">
        <f>_xlfn.TEXTJOIN("",TRUE,Input!$B$2,ROW(My_Audit!A95))</f>
        <v>X95</v>
      </c>
      <c r="B96" s="46" t="str">
        <f>_xlfn.TEXTJOIN("-",TRUE,"ITD",Input!$A$2,A96)</f>
        <v>ITD-SHR-X95</v>
      </c>
      <c r="C96" s="46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46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46" t="str">
        <f>_xlfn.XLOOKUP(A96,My_Audit!A:A,My_Audit!D:D,"")</f>
        <v/>
      </c>
      <c r="F96" s="46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46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46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46" t="str">
        <f>_xlfn.XLOOKUP(A96,Output_Mac!A:A,Output_Mac!I:I,"")</f>
        <v/>
      </c>
      <c r="J96" s="46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46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46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46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N96" s="46"/>
      <c r="O96" s="46" t="str">
        <f>_xlfn.LET(
    _xlpm.CSVVal, _xlfn.XLOOKUP($A96, CSV!$A:$A, CSV!AA:AA,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46" t="str" cm="1">
        <f t="array" ref="P96">IFERROR(_xlfn.LET(
_xlpm.CSVVal,_xlfn.XLOOKUP($A96,CSV!$A:$A,CSV!AB:AB,""),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46" t="str" cm="1">
        <f t="array" ref="Q96">IFERROR(_xlfn.LET(
_xlpm.CSVVal,_xlfn.XLOOKUP($A96,CSV!$A:$A,CSV!AC:AC,""),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R96" s="46"/>
      <c r="S96" s="46"/>
      <c r="T96" s="46"/>
      <c r="U96" s="46"/>
      <c r="V96" s="46"/>
      <c r="W96" s="46"/>
      <c r="X96" s="47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46" t="str">
        <f>_xlfn.TEXTJOIN("",TRUE,Input!$B$2,ROW(My_Audit!A96))</f>
        <v>X96</v>
      </c>
      <c r="B97" s="46" t="str">
        <f>_xlfn.TEXTJOIN("-",TRUE,"ITD",Input!$A$2,A97)</f>
        <v>ITD-SHR-X96</v>
      </c>
      <c r="C97" s="46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46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46" t="str">
        <f>_xlfn.XLOOKUP(A97,My_Audit!A:A,My_Audit!D:D,"")</f>
        <v/>
      </c>
      <c r="F97" s="46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46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46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46" t="str">
        <f>_xlfn.XLOOKUP(A97,Output_Mac!A:A,Output_Mac!I:I,"")</f>
        <v/>
      </c>
      <c r="J97" s="46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46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46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46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N97" s="46"/>
      <c r="O97" s="46" t="str">
        <f>_xlfn.LET(
    _xlpm.CSVVal, _xlfn.XLOOKUP($A97, CSV!$A:$A, CSV!AA:AA,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46" t="str" cm="1">
        <f t="array" ref="P97">IFERROR(_xlfn.LET(
_xlpm.CSVVal,_xlfn.XLOOKUP($A97,CSV!$A:$A,CSV!AB:AB,""),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46" t="str" cm="1">
        <f t="array" ref="Q97">IFERROR(_xlfn.LET(
_xlpm.CSVVal,_xlfn.XLOOKUP($A97,CSV!$A:$A,CSV!AC:AC,""),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R97" s="46"/>
      <c r="S97" s="46"/>
      <c r="T97" s="46"/>
      <c r="U97" s="46"/>
      <c r="V97" s="46"/>
      <c r="W97" s="46"/>
      <c r="X97" s="4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46" t="str">
        <f>_xlfn.TEXTJOIN("",TRUE,Input!$B$2,ROW(My_Audit!A97))</f>
        <v>X97</v>
      </c>
      <c r="B98" s="46" t="str">
        <f>_xlfn.TEXTJOIN("-",TRUE,"ITD",Input!$A$2,A98)</f>
        <v>ITD-SHR-X97</v>
      </c>
      <c r="C98" s="46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46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46" t="str">
        <f>_xlfn.XLOOKUP(A98,My_Audit!A:A,My_Audit!D:D,"")</f>
        <v/>
      </c>
      <c r="F98" s="46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46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46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46" t="str">
        <f>_xlfn.XLOOKUP(A98,Output_Mac!A:A,Output_Mac!I:I,"")</f>
        <v/>
      </c>
      <c r="J98" s="46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46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46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46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N98" s="46"/>
      <c r="O98" s="46" t="str">
        <f>_xlfn.LET(
    _xlpm.CSVVal, _xlfn.XLOOKUP($A98, CSV!$A:$A, CSV!AA:AA,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46" t="str" cm="1">
        <f t="array" ref="P98">IFERROR(_xlfn.LET(
_xlpm.CSVVal,_xlfn.XLOOKUP($A98,CSV!$A:$A,CSV!AB:AB,""),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46" t="str" cm="1">
        <f t="array" ref="Q98">IFERROR(_xlfn.LET(
_xlpm.CSVVal,_xlfn.XLOOKUP($A98,CSV!$A:$A,CSV!AC:AC,""),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R98" s="46"/>
      <c r="S98" s="46"/>
      <c r="T98" s="46"/>
      <c r="U98" s="46"/>
      <c r="V98" s="46"/>
      <c r="W98" s="46"/>
      <c r="X98" s="47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46" t="str">
        <f>_xlfn.TEXTJOIN("",TRUE,Input!$B$2,ROW(My_Audit!A98))</f>
        <v>X98</v>
      </c>
      <c r="B99" s="46" t="str">
        <f>_xlfn.TEXTJOIN("-",TRUE,"ITD",Input!$A$2,A99)</f>
        <v>ITD-SHR-X98</v>
      </c>
      <c r="C99" s="46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46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46" t="str">
        <f>_xlfn.XLOOKUP(A99,My_Audit!A:A,My_Audit!D:D,"")</f>
        <v/>
      </c>
      <c r="F99" s="46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46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46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46" t="str">
        <f>_xlfn.XLOOKUP(A99,Output_Mac!A:A,Output_Mac!I:I,"")</f>
        <v/>
      </c>
      <c r="J99" s="46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46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46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46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N99" s="46"/>
      <c r="O99" s="46" t="str">
        <f>_xlfn.LET(
    _xlpm.CSVVal, _xlfn.XLOOKUP($A99, CSV!$A:$A, CSV!AA:AA,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46" t="str" cm="1">
        <f t="array" ref="P99">IFERROR(_xlfn.LET(
_xlpm.CSVVal,_xlfn.XLOOKUP($A99,CSV!$A:$A,CSV!AB:AB,""),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46" t="str" cm="1">
        <f t="array" ref="Q99">IFERROR(_xlfn.LET(
_xlpm.CSVVal,_xlfn.XLOOKUP($A99,CSV!$A:$A,CSV!AC:AC,""),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R99" s="46"/>
      <c r="S99" s="46"/>
      <c r="T99" s="46"/>
      <c r="U99" s="46"/>
      <c r="V99" s="46"/>
      <c r="W99" s="46"/>
      <c r="X99" s="47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46" t="str">
        <f>_xlfn.TEXTJOIN("",TRUE,Input!$B$2,ROW(My_Audit!A99))</f>
        <v>X99</v>
      </c>
      <c r="B100" s="46" t="str">
        <f>_xlfn.TEXTJOIN("-",TRUE,"ITD",Input!$A$2,A100)</f>
        <v>ITD-SHR-X99</v>
      </c>
      <c r="C100" s="46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46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46" t="str">
        <f>_xlfn.XLOOKUP(A100,My_Audit!A:A,My_Audit!D:D,"")</f>
        <v/>
      </c>
      <c r="F100" s="46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46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46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46" t="str">
        <f>_xlfn.XLOOKUP(A100,Output_Mac!A:A,Output_Mac!I:I,"")</f>
        <v/>
      </c>
      <c r="J100" s="46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46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46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46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N100" s="46"/>
      <c r="O100" s="46" t="str">
        <f>_xlfn.LET(
    _xlpm.CSVVal, _xlfn.XLOOKUP($A100, CSV!$A:$A, CSV!AA:AA,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46" t="str" cm="1">
        <f t="array" ref="P100">IFERROR(_xlfn.LET(
_xlpm.CSVVal,_xlfn.XLOOKUP($A100,CSV!$A:$A,CSV!AB:AB,""),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46" t="str" cm="1">
        <f t="array" ref="Q100">IFERROR(_xlfn.LET(
_xlpm.CSVVal,_xlfn.XLOOKUP($A100,CSV!$A:$A,CSV!AC:AC,""),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R100" s="46"/>
      <c r="S100" s="46"/>
      <c r="T100" s="46"/>
      <c r="U100" s="46"/>
      <c r="V100" s="46"/>
      <c r="W100" s="46"/>
      <c r="X100" s="47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46" t="str">
        <f>_xlfn.TEXTJOIN("",TRUE,Input!$B$2,ROW(My_Audit!A100))</f>
        <v>X100</v>
      </c>
      <c r="B101" s="46" t="str">
        <f>_xlfn.TEXTJOIN("-",TRUE,"ITD",Input!$A$2,A101)</f>
        <v>ITD-SHR-X100</v>
      </c>
      <c r="C101" s="46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46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46" t="str">
        <f>_xlfn.XLOOKUP(A101,My_Audit!A:A,My_Audit!D:D,"")</f>
        <v/>
      </c>
      <c r="F101" s="46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46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46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46" t="str">
        <f>_xlfn.XLOOKUP(A101,Output_Mac!A:A,Output_Mac!I:I,"")</f>
        <v/>
      </c>
      <c r="J101" s="46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46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46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46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N101" s="46"/>
      <c r="O101" s="46" t="str">
        <f>_xlfn.LET(
    _xlpm.CSVVal, _xlfn.XLOOKUP($A101, CSV!$A:$A, CSV!AA:AA,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46" t="str" cm="1">
        <f t="array" ref="P101">IFERROR(_xlfn.LET(
_xlpm.CSVVal,_xlfn.XLOOKUP($A101,CSV!$A:$A,CSV!AB:AB,""),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46" t="str" cm="1">
        <f t="array" ref="Q101">IFERROR(_xlfn.LET(
_xlpm.CSVVal,_xlfn.XLOOKUP($A101,CSV!$A:$A,CSV!AC:AC,""),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R101" s="46"/>
      <c r="S101" s="46"/>
      <c r="T101" s="46"/>
      <c r="U101" s="46"/>
      <c r="V101" s="46"/>
      <c r="W101" s="46"/>
      <c r="X101" s="47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46" t="str">
        <f>_xlfn.TEXTJOIN("",TRUE,Input!$B$2,ROW(My_Audit!A101))</f>
        <v>X101</v>
      </c>
      <c r="B102" s="46" t="str">
        <f>_xlfn.TEXTJOIN("-",TRUE,"ITD",Input!$A$2,A102)</f>
        <v>ITD-SHR-X101</v>
      </c>
      <c r="C102" s="46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46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46" t="str">
        <f>_xlfn.XLOOKUP(A102,My_Audit!A:A,My_Audit!D:D,"")</f>
        <v/>
      </c>
      <c r="F102" s="46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46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46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46" t="str">
        <f>_xlfn.XLOOKUP(A102,Output_Mac!A:A,Output_Mac!I:I,"")</f>
        <v/>
      </c>
      <c r="J102" s="46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46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46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46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N102" s="46"/>
      <c r="O102" s="46" t="str">
        <f>_xlfn.LET(
    _xlpm.CSVVal, _xlfn.XLOOKUP($A102, CSV!$A:$A, CSV!AA:AA,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46" t="str" cm="1">
        <f t="array" ref="P102">IFERROR(_xlfn.LET(
_xlpm.CSVVal,_xlfn.XLOOKUP($A102,CSV!$A:$A,CSV!AB:AB,""),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46" t="str" cm="1">
        <f t="array" ref="Q102">IFERROR(_xlfn.LET(
_xlpm.CSVVal,_xlfn.XLOOKUP($A102,CSV!$A:$A,CSV!AC:AC,""),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R102" s="46"/>
      <c r="S102" s="46"/>
      <c r="T102" s="46"/>
      <c r="U102" s="46"/>
      <c r="V102" s="46"/>
      <c r="W102" s="46"/>
      <c r="X102" s="47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46" t="str">
        <f>_xlfn.TEXTJOIN("",TRUE,Input!$B$2,ROW(My_Audit!A102))</f>
        <v>X102</v>
      </c>
      <c r="B103" s="46" t="str">
        <f>_xlfn.TEXTJOIN("-",TRUE,"ITD",Input!$A$2,A103)</f>
        <v>ITD-SHR-X102</v>
      </c>
      <c r="C103" s="46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46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46" t="str">
        <f>_xlfn.XLOOKUP(A103,My_Audit!A:A,My_Audit!D:D,"")</f>
        <v/>
      </c>
      <c r="F103" s="46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46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46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46" t="str">
        <f>_xlfn.XLOOKUP(A103,Output_Mac!A:A,Output_Mac!I:I,"")</f>
        <v/>
      </c>
      <c r="J103" s="46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46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46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46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N103" s="46"/>
      <c r="O103" s="46" t="str">
        <f>_xlfn.LET(
    _xlpm.CSVVal, _xlfn.XLOOKUP($A103, CSV!$A:$A, CSV!AA:AA,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46" t="str" cm="1">
        <f t="array" ref="P103">IFERROR(_xlfn.LET(
_xlpm.CSVVal,_xlfn.XLOOKUP($A103,CSV!$A:$A,CSV!AB:AB,""),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46" t="str" cm="1">
        <f t="array" ref="Q103">IFERROR(_xlfn.LET(
_xlpm.CSVVal,_xlfn.XLOOKUP($A103,CSV!$A:$A,CSV!AC:AC,""),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R103" s="46"/>
      <c r="S103" s="46"/>
      <c r="T103" s="46"/>
      <c r="U103" s="46"/>
      <c r="V103" s="46"/>
      <c r="W103" s="46"/>
      <c r="X103" s="47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46" t="str">
        <f>_xlfn.TEXTJOIN("",TRUE,Input!$B$2,ROW(My_Audit!A103))</f>
        <v>X103</v>
      </c>
      <c r="B104" s="46" t="str">
        <f>_xlfn.TEXTJOIN("-",TRUE,"ITD",Input!$A$2,A104)</f>
        <v>ITD-SHR-X103</v>
      </c>
      <c r="C104" s="46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46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46" t="str">
        <f>_xlfn.XLOOKUP(A104,My_Audit!A:A,My_Audit!D:D,"")</f>
        <v/>
      </c>
      <c r="F104" s="46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46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46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46" t="str">
        <f>_xlfn.XLOOKUP(A104,Output_Mac!A:A,Output_Mac!I:I,"")</f>
        <v/>
      </c>
      <c r="J104" s="46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46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46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46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N104" s="46"/>
      <c r="O104" s="46" t="str">
        <f>_xlfn.LET(
    _xlpm.CSVVal, _xlfn.XLOOKUP($A104, CSV!$A:$A, CSV!AA:AA,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46" t="str" cm="1">
        <f t="array" ref="P104">IFERROR(_xlfn.LET(
_xlpm.CSVVal,_xlfn.XLOOKUP($A104,CSV!$A:$A,CSV!AB:AB,""),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46" t="str" cm="1">
        <f t="array" ref="Q104">IFERROR(_xlfn.LET(
_xlpm.CSVVal,_xlfn.XLOOKUP($A104,CSV!$A:$A,CSV!AC:AC,""),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R104" s="46"/>
      <c r="S104" s="46"/>
      <c r="T104" s="46"/>
      <c r="U104" s="46"/>
      <c r="V104" s="46"/>
      <c r="W104" s="46"/>
      <c r="X104" s="47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46" t="str">
        <f>_xlfn.TEXTJOIN("",TRUE,Input!$B$2,ROW(My_Audit!A104))</f>
        <v>X104</v>
      </c>
      <c r="B105" s="46" t="str">
        <f>_xlfn.TEXTJOIN("-",TRUE,"ITD",Input!$A$2,A105)</f>
        <v>ITD-SHR-X104</v>
      </c>
      <c r="C105" s="46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46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46" t="str">
        <f>_xlfn.XLOOKUP(A105,My_Audit!A:A,My_Audit!D:D,"")</f>
        <v/>
      </c>
      <c r="F105" s="46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46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46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46" t="str">
        <f>_xlfn.XLOOKUP(A105,Output_Mac!A:A,Output_Mac!I:I,"")</f>
        <v/>
      </c>
      <c r="J105" s="46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46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46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46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N105" s="46"/>
      <c r="O105" s="46" t="str">
        <f>_xlfn.LET(
    _xlpm.CSVVal, _xlfn.XLOOKUP($A105, CSV!$A:$A, CSV!AA:AA,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46" t="str" cm="1">
        <f t="array" ref="P105">IFERROR(_xlfn.LET(
_xlpm.CSVVal,_xlfn.XLOOKUP($A105,CSV!$A:$A,CSV!AB:AB,""),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46" t="str" cm="1">
        <f t="array" ref="Q105">IFERROR(_xlfn.LET(
_xlpm.CSVVal,_xlfn.XLOOKUP($A105,CSV!$A:$A,CSV!AC:AC,""),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R105" s="46"/>
      <c r="S105" s="46"/>
      <c r="T105" s="46"/>
      <c r="U105" s="46"/>
      <c r="V105" s="46"/>
      <c r="W105" s="46"/>
      <c r="X105" s="47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46" t="str">
        <f>_xlfn.TEXTJOIN("",TRUE,Input!$B$2,ROW(My_Audit!A105))</f>
        <v>X105</v>
      </c>
      <c r="B106" s="46" t="str">
        <f>_xlfn.TEXTJOIN("-",TRUE,"ITD",Input!$A$2,A106)</f>
        <v>ITD-SHR-X105</v>
      </c>
      <c r="C106" s="46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46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46" t="str">
        <f>_xlfn.XLOOKUP(A106,My_Audit!A:A,My_Audit!D:D,"")</f>
        <v/>
      </c>
      <c r="F106" s="46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46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46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46" t="str">
        <f>_xlfn.XLOOKUP(A106,Output_Mac!A:A,Output_Mac!I:I,"")</f>
        <v/>
      </c>
      <c r="J106" s="46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46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46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46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N106" s="46"/>
      <c r="O106" s="46" t="str">
        <f>_xlfn.LET(
    _xlpm.CSVVal, _xlfn.XLOOKUP($A106, CSV!$A:$A, CSV!AA:AA,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46" t="str" cm="1">
        <f t="array" ref="P106">IFERROR(_xlfn.LET(
_xlpm.CSVVal,_xlfn.XLOOKUP($A106,CSV!$A:$A,CSV!AB:AB,""),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46" t="str" cm="1">
        <f t="array" ref="Q106">IFERROR(_xlfn.LET(
_xlpm.CSVVal,_xlfn.XLOOKUP($A106,CSV!$A:$A,CSV!AC:AC,""),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R106" s="46"/>
      <c r="S106" s="46"/>
      <c r="T106" s="46"/>
      <c r="U106" s="46"/>
      <c r="V106" s="46"/>
      <c r="W106" s="46"/>
      <c r="X106" s="47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46" t="str">
        <f>_xlfn.TEXTJOIN("",TRUE,Input!$B$2,ROW(My_Audit!A106))</f>
        <v>X106</v>
      </c>
      <c r="B107" s="46" t="str">
        <f>_xlfn.TEXTJOIN("-",TRUE,"ITD",Input!$A$2,A107)</f>
        <v>ITD-SHR-X106</v>
      </c>
      <c r="C107" s="46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46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46" t="str">
        <f>_xlfn.XLOOKUP(A107,My_Audit!A:A,My_Audit!D:D,"")</f>
        <v/>
      </c>
      <c r="F107" s="46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46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46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46" t="str">
        <f>_xlfn.XLOOKUP(A107,Output_Mac!A:A,Output_Mac!I:I,"")</f>
        <v/>
      </c>
      <c r="J107" s="46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46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46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46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N107" s="46"/>
      <c r="O107" s="46" t="str">
        <f>_xlfn.LET(
    _xlpm.CSVVal, _xlfn.XLOOKUP($A107, CSV!$A:$A, CSV!AA:AA,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46" t="str" cm="1">
        <f t="array" ref="P107">IFERROR(_xlfn.LET(
_xlpm.CSVVal,_xlfn.XLOOKUP($A107,CSV!$A:$A,CSV!AB:AB,""),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46" t="str" cm="1">
        <f t="array" ref="Q107">IFERROR(_xlfn.LET(
_xlpm.CSVVal,_xlfn.XLOOKUP($A107,CSV!$A:$A,CSV!AC:AC,""),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R107" s="46"/>
      <c r="S107" s="46"/>
      <c r="T107" s="46"/>
      <c r="U107" s="46"/>
      <c r="V107" s="46"/>
      <c r="W107" s="46"/>
      <c r="X107" s="4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46" t="str">
        <f>_xlfn.TEXTJOIN("",TRUE,Input!$B$2,ROW(My_Audit!A107))</f>
        <v>X107</v>
      </c>
      <c r="B108" s="46" t="str">
        <f>_xlfn.TEXTJOIN("-",TRUE,"ITD",Input!$A$2,A108)</f>
        <v>ITD-SHR-X107</v>
      </c>
      <c r="C108" s="46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46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46" t="str">
        <f>_xlfn.XLOOKUP(A108,My_Audit!A:A,My_Audit!D:D,"")</f>
        <v/>
      </c>
      <c r="F108" s="46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46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46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46" t="str">
        <f>_xlfn.XLOOKUP(A108,Output_Mac!A:A,Output_Mac!I:I,"")</f>
        <v/>
      </c>
      <c r="J108" s="46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46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46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46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N108" s="46"/>
      <c r="O108" s="46" t="str">
        <f>_xlfn.LET(
    _xlpm.CSVVal, _xlfn.XLOOKUP($A108, CSV!$A:$A, CSV!AA:AA,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46" t="str" cm="1">
        <f t="array" ref="P108">IFERROR(_xlfn.LET(
_xlpm.CSVVal,_xlfn.XLOOKUP($A108,CSV!$A:$A,CSV!AB:AB,""),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46" t="str" cm="1">
        <f t="array" ref="Q108">IFERROR(_xlfn.LET(
_xlpm.CSVVal,_xlfn.XLOOKUP($A108,CSV!$A:$A,CSV!AC:AC,""),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R108" s="46"/>
      <c r="S108" s="46"/>
      <c r="T108" s="46"/>
      <c r="U108" s="46"/>
      <c r="V108" s="46"/>
      <c r="W108" s="46"/>
      <c r="X108" s="47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46" t="str">
        <f>_xlfn.TEXTJOIN("",TRUE,Input!$B$2,ROW(My_Audit!A108))</f>
        <v>X108</v>
      </c>
      <c r="B109" s="46" t="str">
        <f>_xlfn.TEXTJOIN("-",TRUE,"ITD",Input!$A$2,A109)</f>
        <v>ITD-SHR-X108</v>
      </c>
      <c r="C109" s="46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46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46" t="str">
        <f>_xlfn.XLOOKUP(A109,My_Audit!A:A,My_Audit!D:D,"")</f>
        <v/>
      </c>
      <c r="F109" s="46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46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46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46" t="str">
        <f>_xlfn.XLOOKUP(A109,Output_Mac!A:A,Output_Mac!I:I,"")</f>
        <v/>
      </c>
      <c r="J109" s="46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46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46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46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N109" s="46"/>
      <c r="O109" s="46" t="str">
        <f>_xlfn.LET(
    _xlpm.CSVVal, _xlfn.XLOOKUP($A109, CSV!$A:$A, CSV!AA:AA,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46" t="str" cm="1">
        <f t="array" ref="P109">IFERROR(_xlfn.LET(
_xlpm.CSVVal,_xlfn.XLOOKUP($A109,CSV!$A:$A,CSV!AB:AB,""),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46" t="str" cm="1">
        <f t="array" ref="Q109">IFERROR(_xlfn.LET(
_xlpm.CSVVal,_xlfn.XLOOKUP($A109,CSV!$A:$A,CSV!AC:AC,""),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R109" s="46"/>
      <c r="S109" s="46"/>
      <c r="T109" s="46"/>
      <c r="U109" s="46"/>
      <c r="V109" s="46"/>
      <c r="W109" s="46"/>
      <c r="X109" s="47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46" t="str">
        <f>_xlfn.TEXTJOIN("",TRUE,Input!$B$2,ROW(My_Audit!A109))</f>
        <v>X109</v>
      </c>
      <c r="B110" s="46" t="str">
        <f>_xlfn.TEXTJOIN("-",TRUE,"ITD",Input!$A$2,A110)</f>
        <v>ITD-SHR-X109</v>
      </c>
      <c r="C110" s="46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46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46" t="str">
        <f>_xlfn.XLOOKUP(A110,My_Audit!A:A,My_Audit!D:D,"")</f>
        <v/>
      </c>
      <c r="F110" s="46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46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46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46" t="str">
        <f>_xlfn.XLOOKUP(A110,Output_Mac!A:A,Output_Mac!I:I,"")</f>
        <v/>
      </c>
      <c r="J110" s="46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46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46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46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N110" s="46"/>
      <c r="O110" s="46" t="str">
        <f>_xlfn.LET(
    _xlpm.CSVVal, _xlfn.XLOOKUP($A110, CSV!$A:$A, CSV!AA:AA,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46" t="str" cm="1">
        <f t="array" ref="P110">IFERROR(_xlfn.LET(
_xlpm.CSVVal,_xlfn.XLOOKUP($A110,CSV!$A:$A,CSV!AB:AB,""),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46" t="str" cm="1">
        <f t="array" ref="Q110">IFERROR(_xlfn.LET(
_xlpm.CSVVal,_xlfn.XLOOKUP($A110,CSV!$A:$A,CSV!AC:AC,""),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R110" s="46"/>
      <c r="S110" s="46"/>
      <c r="T110" s="46"/>
      <c r="U110" s="46"/>
      <c r="V110" s="46"/>
      <c r="W110" s="46"/>
      <c r="X110" s="47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46" t="str">
        <f>_xlfn.TEXTJOIN("",TRUE,Input!$B$2,ROW(My_Audit!A110))</f>
        <v>X110</v>
      </c>
      <c r="B111" s="46" t="str">
        <f>_xlfn.TEXTJOIN("-",TRUE,"ITD",Input!$A$2,A111)</f>
        <v>ITD-SHR-X110</v>
      </c>
      <c r="C111" s="46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46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46" t="str">
        <f>_xlfn.XLOOKUP(A111,My_Audit!A:A,My_Audit!D:D,"")</f>
        <v/>
      </c>
      <c r="F111" s="46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46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46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46" t="str">
        <f>_xlfn.XLOOKUP(A111,Output_Mac!A:A,Output_Mac!I:I,"")</f>
        <v/>
      </c>
      <c r="J111" s="46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46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46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46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N111" s="46"/>
      <c r="O111" s="46" t="str">
        <f>_xlfn.LET(
    _xlpm.CSVVal, _xlfn.XLOOKUP($A111, CSV!$A:$A, CSV!AA:AA,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46" t="str" cm="1">
        <f t="array" ref="P111">IFERROR(_xlfn.LET(
_xlpm.CSVVal,_xlfn.XLOOKUP($A111,CSV!$A:$A,CSV!AB:AB,""),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46" t="str" cm="1">
        <f t="array" ref="Q111">IFERROR(_xlfn.LET(
_xlpm.CSVVal,_xlfn.XLOOKUP($A111,CSV!$A:$A,CSV!AC:AC,""),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R111" s="46"/>
      <c r="S111" s="46"/>
      <c r="T111" s="46"/>
      <c r="U111" s="46"/>
      <c r="V111" s="46"/>
      <c r="W111" s="46"/>
      <c r="X111" s="47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46" t="str">
        <f>_xlfn.TEXTJOIN("",TRUE,Input!$B$2,ROW(My_Audit!A111))</f>
        <v>X111</v>
      </c>
      <c r="B112" s="46" t="str">
        <f>_xlfn.TEXTJOIN("-",TRUE,"ITD",Input!$A$2,A112)</f>
        <v>ITD-SHR-X111</v>
      </c>
      <c r="C112" s="46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46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46" t="str">
        <f>_xlfn.XLOOKUP(A112,My_Audit!A:A,My_Audit!D:D,"")</f>
        <v/>
      </c>
      <c r="F112" s="46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46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46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46" t="str">
        <f>_xlfn.XLOOKUP(A112,Output_Mac!A:A,Output_Mac!I:I,"")</f>
        <v/>
      </c>
      <c r="J112" s="46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46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46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46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N112" s="46"/>
      <c r="O112" s="46" t="str">
        <f>_xlfn.LET(
    _xlpm.CSVVal, _xlfn.XLOOKUP($A112, CSV!$A:$A, CSV!AA:AA,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46" t="str" cm="1">
        <f t="array" ref="P112">IFERROR(_xlfn.LET(
_xlpm.CSVVal,_xlfn.XLOOKUP($A112,CSV!$A:$A,CSV!AB:AB,""),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46" t="str" cm="1">
        <f t="array" ref="Q112">IFERROR(_xlfn.LET(
_xlpm.CSVVal,_xlfn.XLOOKUP($A112,CSV!$A:$A,CSV!AC:AC,""),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R112" s="46"/>
      <c r="S112" s="46"/>
      <c r="T112" s="46"/>
      <c r="U112" s="46"/>
      <c r="V112" s="46"/>
      <c r="W112" s="46"/>
      <c r="X112" s="47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46" t="str">
        <f>_xlfn.TEXTJOIN("",TRUE,Input!$B$2,ROW(My_Audit!A112))</f>
        <v>X112</v>
      </c>
      <c r="B113" s="46" t="str">
        <f>_xlfn.TEXTJOIN("-",TRUE,"ITD",Input!$A$2,A113)</f>
        <v>ITD-SHR-X112</v>
      </c>
      <c r="C113" s="46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46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46" t="str">
        <f>_xlfn.XLOOKUP(A113,My_Audit!A:A,My_Audit!D:D,"")</f>
        <v/>
      </c>
      <c r="F113" s="46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46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46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46" t="str">
        <f>_xlfn.XLOOKUP(A113,Output_Mac!A:A,Output_Mac!I:I,"")</f>
        <v/>
      </c>
      <c r="J113" s="46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46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46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46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N113" s="46"/>
      <c r="O113" s="46" t="str">
        <f>_xlfn.LET(
    _xlpm.CSVVal, _xlfn.XLOOKUP($A113, CSV!$A:$A, CSV!AA:AA,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46" t="str" cm="1">
        <f t="array" ref="P113">IFERROR(_xlfn.LET(
_xlpm.CSVVal,_xlfn.XLOOKUP($A113,CSV!$A:$A,CSV!AB:AB,""),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46" t="str" cm="1">
        <f t="array" ref="Q113">IFERROR(_xlfn.LET(
_xlpm.CSVVal,_xlfn.XLOOKUP($A113,CSV!$A:$A,CSV!AC:AC,""),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R113" s="46"/>
      <c r="S113" s="46"/>
      <c r="T113" s="46"/>
      <c r="U113" s="46"/>
      <c r="V113" s="46"/>
      <c r="W113" s="46"/>
      <c r="X113" s="47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46" t="str">
        <f>_xlfn.TEXTJOIN("",TRUE,Input!$B$2,ROW(My_Audit!A113))</f>
        <v>X113</v>
      </c>
      <c r="B114" s="46" t="str">
        <f>_xlfn.TEXTJOIN("-",TRUE,"ITD",Input!$A$2,A114)</f>
        <v>ITD-SHR-X113</v>
      </c>
      <c r="C114" s="46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46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46" t="str">
        <f>_xlfn.XLOOKUP(A114,My_Audit!A:A,My_Audit!D:D,"")</f>
        <v/>
      </c>
      <c r="F114" s="46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46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46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46" t="str">
        <f>_xlfn.XLOOKUP(A114,Output_Mac!A:A,Output_Mac!I:I,"")</f>
        <v/>
      </c>
      <c r="J114" s="46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46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46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46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N114" s="46"/>
      <c r="O114" s="46" t="str">
        <f>_xlfn.LET(
    _xlpm.CSVVal, _xlfn.XLOOKUP($A114, CSV!$A:$A, CSV!AA:AA,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46" t="str" cm="1">
        <f t="array" ref="P114">IFERROR(_xlfn.LET(
_xlpm.CSVVal,_xlfn.XLOOKUP($A114,CSV!$A:$A,CSV!AB:AB,""),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46" t="str" cm="1">
        <f t="array" ref="Q114">IFERROR(_xlfn.LET(
_xlpm.CSVVal,_xlfn.XLOOKUP($A114,CSV!$A:$A,CSV!AC:AC,""),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R114" s="46"/>
      <c r="S114" s="46"/>
      <c r="T114" s="46"/>
      <c r="U114" s="46"/>
      <c r="V114" s="46"/>
      <c r="W114" s="46"/>
      <c r="X114" s="47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46" t="str">
        <f>_xlfn.TEXTJOIN("",TRUE,Input!$B$2,ROW(My_Audit!A114))</f>
        <v>X114</v>
      </c>
      <c r="B115" s="46" t="str">
        <f>_xlfn.TEXTJOIN("-",TRUE,"ITD",Input!$A$2,A115)</f>
        <v>ITD-SHR-X114</v>
      </c>
      <c r="C115" s="46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46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46" t="str">
        <f>_xlfn.XLOOKUP(A115,My_Audit!A:A,My_Audit!D:D,"")</f>
        <v/>
      </c>
      <c r="F115" s="46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46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46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46" t="str">
        <f>_xlfn.XLOOKUP(A115,Output_Mac!A:A,Output_Mac!I:I,"")</f>
        <v/>
      </c>
      <c r="J115" s="46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46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46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46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N115" s="46"/>
      <c r="O115" s="46" t="str">
        <f>_xlfn.LET(
    _xlpm.CSVVal, _xlfn.XLOOKUP($A115, CSV!$A:$A, CSV!AA:AA,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46" t="str" cm="1">
        <f t="array" ref="P115">IFERROR(_xlfn.LET(
_xlpm.CSVVal,_xlfn.XLOOKUP($A115,CSV!$A:$A,CSV!AB:AB,""),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46" t="str" cm="1">
        <f t="array" ref="Q115">IFERROR(_xlfn.LET(
_xlpm.CSVVal,_xlfn.XLOOKUP($A115,CSV!$A:$A,CSV!AC:AC,""),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R115" s="46"/>
      <c r="S115" s="46"/>
      <c r="T115" s="46"/>
      <c r="U115" s="46"/>
      <c r="V115" s="46"/>
      <c r="W115" s="46"/>
      <c r="X115" s="47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46" t="str">
        <f>_xlfn.TEXTJOIN("",TRUE,Input!$B$2,ROW(My_Audit!A115))</f>
        <v>X115</v>
      </c>
      <c r="B116" s="46" t="str">
        <f>_xlfn.TEXTJOIN("-",TRUE,"ITD",Input!$A$2,A116)</f>
        <v>ITD-SHR-X115</v>
      </c>
      <c r="C116" s="46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46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46" t="str">
        <f>_xlfn.XLOOKUP(A116,My_Audit!A:A,My_Audit!D:D,"")</f>
        <v/>
      </c>
      <c r="F116" s="46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46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46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46" t="str">
        <f>_xlfn.XLOOKUP(A116,Output_Mac!A:A,Output_Mac!I:I,"")</f>
        <v/>
      </c>
      <c r="J116" s="46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46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46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46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N116" s="46"/>
      <c r="O116" s="46" t="str">
        <f>_xlfn.LET(
    _xlpm.CSVVal, _xlfn.XLOOKUP($A116, CSV!$A:$A, CSV!AA:AA,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46" t="str" cm="1">
        <f t="array" ref="P116">IFERROR(_xlfn.LET(
_xlpm.CSVVal,_xlfn.XLOOKUP($A116,CSV!$A:$A,CSV!AB:AB,""),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46" t="str" cm="1">
        <f t="array" ref="Q116">IFERROR(_xlfn.LET(
_xlpm.CSVVal,_xlfn.XLOOKUP($A116,CSV!$A:$A,CSV!AC:AC,""),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R116" s="46"/>
      <c r="S116" s="46"/>
      <c r="T116" s="46"/>
      <c r="U116" s="46"/>
      <c r="V116" s="46"/>
      <c r="W116" s="46"/>
      <c r="X116" s="47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46" t="str">
        <f>_xlfn.TEXTJOIN("",TRUE,Input!$B$2,ROW(My_Audit!A116))</f>
        <v>X116</v>
      </c>
      <c r="B117" s="46" t="str">
        <f>_xlfn.TEXTJOIN("-",TRUE,"ITD",Input!$A$2,A117)</f>
        <v>ITD-SHR-X116</v>
      </c>
      <c r="C117" s="46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46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46" t="str">
        <f>_xlfn.XLOOKUP(A117,My_Audit!A:A,My_Audit!D:D,"")</f>
        <v/>
      </c>
      <c r="F117" s="46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46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46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46" t="str">
        <f>_xlfn.XLOOKUP(A117,Output_Mac!A:A,Output_Mac!I:I,"")</f>
        <v/>
      </c>
      <c r="J117" s="46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46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46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46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N117" s="46"/>
      <c r="O117" s="46" t="str">
        <f>_xlfn.LET(
    _xlpm.CSVVal, _xlfn.XLOOKUP($A117, CSV!$A:$A, CSV!AA:AA,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46" t="str" cm="1">
        <f t="array" ref="P117">IFERROR(_xlfn.LET(
_xlpm.CSVVal,_xlfn.XLOOKUP($A117,CSV!$A:$A,CSV!AB:AB,""),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46" t="str" cm="1">
        <f t="array" ref="Q117">IFERROR(_xlfn.LET(
_xlpm.CSVVal,_xlfn.XLOOKUP($A117,CSV!$A:$A,CSV!AC:AC,""),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R117" s="46"/>
      <c r="S117" s="46"/>
      <c r="T117" s="46"/>
      <c r="U117" s="46"/>
      <c r="V117" s="46"/>
      <c r="W117" s="46"/>
      <c r="X117" s="4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46" t="str">
        <f>_xlfn.TEXTJOIN("",TRUE,Input!$B$2,ROW(My_Audit!A117))</f>
        <v>X117</v>
      </c>
      <c r="B118" s="46" t="str">
        <f>_xlfn.TEXTJOIN("-",TRUE,"ITD",Input!$A$2,A118)</f>
        <v>ITD-SHR-X117</v>
      </c>
      <c r="C118" s="46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46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46" t="str">
        <f>_xlfn.XLOOKUP(A118,My_Audit!A:A,My_Audit!D:D,"")</f>
        <v/>
      </c>
      <c r="F118" s="46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46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46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46" t="str">
        <f>_xlfn.XLOOKUP(A118,Output_Mac!A:A,Output_Mac!I:I,"")</f>
        <v/>
      </c>
      <c r="J118" s="46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46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46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46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N118" s="46"/>
      <c r="O118" s="46" t="str">
        <f>_xlfn.LET(
    _xlpm.CSVVal, _xlfn.XLOOKUP($A118, CSV!$A:$A, CSV!AA:AA,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46" t="str" cm="1">
        <f t="array" ref="P118">IFERROR(_xlfn.LET(
_xlpm.CSVVal,_xlfn.XLOOKUP($A118,CSV!$A:$A,CSV!AB:AB,""),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46" t="str" cm="1">
        <f t="array" ref="Q118">IFERROR(_xlfn.LET(
_xlpm.CSVVal,_xlfn.XLOOKUP($A118,CSV!$A:$A,CSV!AC:AC,""),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R118" s="46"/>
      <c r="S118" s="46"/>
      <c r="T118" s="46"/>
      <c r="U118" s="46"/>
      <c r="V118" s="46"/>
      <c r="W118" s="46"/>
      <c r="X118" s="47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46" t="str">
        <f>_xlfn.TEXTJOIN("",TRUE,Input!$B$2,ROW(My_Audit!A118))</f>
        <v>X118</v>
      </c>
      <c r="B119" s="46" t="str">
        <f>_xlfn.TEXTJOIN("-",TRUE,"ITD",Input!$A$2,A119)</f>
        <v>ITD-SHR-X118</v>
      </c>
      <c r="C119" s="46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46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46" t="str">
        <f>_xlfn.XLOOKUP(A119,My_Audit!A:A,My_Audit!D:D,"")</f>
        <v/>
      </c>
      <c r="F119" s="46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46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46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46" t="str">
        <f>_xlfn.XLOOKUP(A119,Output_Mac!A:A,Output_Mac!I:I,"")</f>
        <v/>
      </c>
      <c r="J119" s="46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46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46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46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N119" s="46"/>
      <c r="O119" s="46" t="str">
        <f>_xlfn.LET(
    _xlpm.CSVVal, _xlfn.XLOOKUP($A119, CSV!$A:$A, CSV!AA:AA,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46" t="str" cm="1">
        <f t="array" ref="P119">IFERROR(_xlfn.LET(
_xlpm.CSVVal,_xlfn.XLOOKUP($A119,CSV!$A:$A,CSV!AB:AB,""),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46" t="str" cm="1">
        <f t="array" ref="Q119">IFERROR(_xlfn.LET(
_xlpm.CSVVal,_xlfn.XLOOKUP($A119,CSV!$A:$A,CSV!AC:AC,""),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R119" s="46"/>
      <c r="S119" s="46"/>
      <c r="T119" s="46"/>
      <c r="U119" s="46"/>
      <c r="V119" s="46"/>
      <c r="W119" s="46"/>
      <c r="X119" s="47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46" t="str">
        <f>_xlfn.TEXTJOIN("",TRUE,Input!$B$2,ROW(My_Audit!A119))</f>
        <v>X119</v>
      </c>
      <c r="B120" s="46" t="str">
        <f>_xlfn.TEXTJOIN("-",TRUE,"ITD",Input!$A$2,A120)</f>
        <v>ITD-SHR-X119</v>
      </c>
      <c r="C120" s="46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46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46" t="str">
        <f>_xlfn.XLOOKUP(A120,My_Audit!A:A,My_Audit!D:D,"")</f>
        <v/>
      </c>
      <c r="F120" s="46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46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46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46" t="str">
        <f>_xlfn.XLOOKUP(A120,Output_Mac!A:A,Output_Mac!I:I,"")</f>
        <v/>
      </c>
      <c r="J120" s="46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46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46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46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N120" s="46"/>
      <c r="O120" s="46" t="str">
        <f>_xlfn.LET(
    _xlpm.CSVVal, _xlfn.XLOOKUP($A120, CSV!$A:$A, CSV!AA:AA,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46" t="str" cm="1">
        <f t="array" ref="P120">IFERROR(_xlfn.LET(
_xlpm.CSVVal,_xlfn.XLOOKUP($A120,CSV!$A:$A,CSV!AB:AB,""),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46" t="str" cm="1">
        <f t="array" ref="Q120">IFERROR(_xlfn.LET(
_xlpm.CSVVal,_xlfn.XLOOKUP($A120,CSV!$A:$A,CSV!AC:AC,""),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R120" s="46"/>
      <c r="S120" s="46"/>
      <c r="T120" s="46"/>
      <c r="U120" s="46"/>
      <c r="V120" s="46"/>
      <c r="W120" s="46"/>
      <c r="X120" s="47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46" t="str">
        <f>_xlfn.TEXTJOIN("",TRUE,Input!$B$2,ROW(My_Audit!A120))</f>
        <v>X120</v>
      </c>
      <c r="B121" s="46" t="str">
        <f>_xlfn.TEXTJOIN("-",TRUE,"ITD",Input!$A$2,A121)</f>
        <v>ITD-SHR-X120</v>
      </c>
      <c r="C121" s="46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46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46" t="str">
        <f>_xlfn.XLOOKUP(A121,My_Audit!A:A,My_Audit!D:D,"")</f>
        <v/>
      </c>
      <c r="F121" s="46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46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46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46" t="str">
        <f>_xlfn.XLOOKUP(A121,Output_Mac!A:A,Output_Mac!I:I,"")</f>
        <v/>
      </c>
      <c r="J121" s="46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46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46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46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N121" s="46"/>
      <c r="O121" s="46" t="str">
        <f>_xlfn.LET(
    _xlpm.CSVVal, _xlfn.XLOOKUP($A121, CSV!$A:$A, CSV!AA:AA,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46" t="str" cm="1">
        <f t="array" ref="P121">IFERROR(_xlfn.LET(
_xlpm.CSVVal,_xlfn.XLOOKUP($A121,CSV!$A:$A,CSV!AB:AB,""),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46" t="str" cm="1">
        <f t="array" ref="Q121">IFERROR(_xlfn.LET(
_xlpm.CSVVal,_xlfn.XLOOKUP($A121,CSV!$A:$A,CSV!AC:AC,""),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R121" s="46"/>
      <c r="S121" s="46"/>
      <c r="T121" s="46"/>
      <c r="U121" s="46"/>
      <c r="V121" s="46"/>
      <c r="W121" s="46"/>
      <c r="X121" s="47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46" t="str">
        <f>_xlfn.TEXTJOIN("",TRUE,Input!$B$2,ROW(My_Audit!A121))</f>
        <v>X121</v>
      </c>
      <c r="B122" s="46" t="str">
        <f>_xlfn.TEXTJOIN("-",TRUE,"ITD",Input!$A$2,A122)</f>
        <v>ITD-SHR-X121</v>
      </c>
      <c r="C122" s="46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46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46" t="str">
        <f>_xlfn.XLOOKUP(A122,My_Audit!A:A,My_Audit!D:D,"")</f>
        <v/>
      </c>
      <c r="F122" s="46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46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46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46" t="str">
        <f>_xlfn.XLOOKUP(A122,Output_Mac!A:A,Output_Mac!I:I,"")</f>
        <v/>
      </c>
      <c r="J122" s="46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46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46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46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N122" s="46"/>
      <c r="O122" s="46" t="str">
        <f>_xlfn.LET(
    _xlpm.CSVVal, _xlfn.XLOOKUP($A122, CSV!$A:$A, CSV!AA:AA,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46" t="str" cm="1">
        <f t="array" ref="P122">IFERROR(_xlfn.LET(
_xlpm.CSVVal,_xlfn.XLOOKUP($A122,CSV!$A:$A,CSV!AB:AB,""),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46" t="str" cm="1">
        <f t="array" ref="Q122">IFERROR(_xlfn.LET(
_xlpm.CSVVal,_xlfn.XLOOKUP($A122,CSV!$A:$A,CSV!AC:AC,""),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R122" s="46"/>
      <c r="S122" s="46"/>
      <c r="T122" s="46"/>
      <c r="U122" s="46"/>
      <c r="V122" s="46"/>
      <c r="W122" s="46"/>
      <c r="X122" s="47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46" t="str">
        <f>_xlfn.TEXTJOIN("",TRUE,Input!$B$2,ROW(My_Audit!A122))</f>
        <v>X122</v>
      </c>
      <c r="B123" s="46" t="str">
        <f>_xlfn.TEXTJOIN("-",TRUE,"ITD",Input!$A$2,A123)</f>
        <v>ITD-SHR-X122</v>
      </c>
      <c r="C123" s="46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46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46" t="str">
        <f>_xlfn.XLOOKUP(A123,My_Audit!A:A,My_Audit!D:D,"")</f>
        <v/>
      </c>
      <c r="F123" s="46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46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46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46" t="str">
        <f>_xlfn.XLOOKUP(A123,Output_Mac!A:A,Output_Mac!I:I,"")</f>
        <v/>
      </c>
      <c r="J123" s="46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46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46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46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N123" s="46"/>
      <c r="O123" s="46" t="str">
        <f>_xlfn.LET(
    _xlpm.CSVVal, _xlfn.XLOOKUP($A123, CSV!$A:$A, CSV!AA:AA,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46" t="str" cm="1">
        <f t="array" ref="P123">IFERROR(_xlfn.LET(
_xlpm.CSVVal,_xlfn.XLOOKUP($A123,CSV!$A:$A,CSV!AB:AB,""),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46" t="str" cm="1">
        <f t="array" ref="Q123">IFERROR(_xlfn.LET(
_xlpm.CSVVal,_xlfn.XLOOKUP($A123,CSV!$A:$A,CSV!AC:AC,""),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R123" s="46"/>
      <c r="S123" s="46"/>
      <c r="T123" s="46"/>
      <c r="U123" s="46"/>
      <c r="V123" s="46"/>
      <c r="W123" s="46"/>
      <c r="X123" s="47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46" t="str">
        <f>_xlfn.TEXTJOIN("",TRUE,Input!$B$2,ROW(My_Audit!A123))</f>
        <v>X123</v>
      </c>
      <c r="B124" s="46" t="str">
        <f>_xlfn.TEXTJOIN("-",TRUE,"ITD",Input!$A$2,A124)</f>
        <v>ITD-SHR-X123</v>
      </c>
      <c r="C124" s="46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46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46" t="str">
        <f>_xlfn.XLOOKUP(A124,My_Audit!A:A,My_Audit!D:D,"")</f>
        <v/>
      </c>
      <c r="F124" s="46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46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46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46" t="str">
        <f>_xlfn.XLOOKUP(A124,Output_Mac!A:A,Output_Mac!I:I,"")</f>
        <v/>
      </c>
      <c r="J124" s="46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46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46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46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N124" s="46"/>
      <c r="O124" s="46" t="str">
        <f>_xlfn.LET(
    _xlpm.CSVVal, _xlfn.XLOOKUP($A124, CSV!$A:$A, CSV!AA:AA,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46" t="str" cm="1">
        <f t="array" ref="P124">IFERROR(_xlfn.LET(
_xlpm.CSVVal,_xlfn.XLOOKUP($A124,CSV!$A:$A,CSV!AB:AB,""),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46" t="str" cm="1">
        <f t="array" ref="Q124">IFERROR(_xlfn.LET(
_xlpm.CSVVal,_xlfn.XLOOKUP($A124,CSV!$A:$A,CSV!AC:AC,""),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R124" s="46"/>
      <c r="S124" s="46"/>
      <c r="T124" s="46"/>
      <c r="U124" s="46"/>
      <c r="V124" s="46"/>
      <c r="W124" s="46"/>
      <c r="X124" s="47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46" t="str">
        <f>_xlfn.TEXTJOIN("",TRUE,Input!$B$2,ROW(My_Audit!A124))</f>
        <v>X124</v>
      </c>
      <c r="B125" s="46" t="str">
        <f>_xlfn.TEXTJOIN("-",TRUE,"ITD",Input!$A$2,A125)</f>
        <v>ITD-SHR-X124</v>
      </c>
      <c r="C125" s="46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46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46" t="str">
        <f>_xlfn.XLOOKUP(A125,My_Audit!A:A,My_Audit!D:D,"")</f>
        <v/>
      </c>
      <c r="F125" s="46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46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46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46" t="str">
        <f>_xlfn.XLOOKUP(A125,Output_Mac!A:A,Output_Mac!I:I,"")</f>
        <v/>
      </c>
      <c r="J125" s="46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46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46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46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N125" s="46"/>
      <c r="O125" s="46" t="str">
        <f>_xlfn.LET(
    _xlpm.CSVVal, _xlfn.XLOOKUP($A125, CSV!$A:$A, CSV!AA:AA,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46" t="str" cm="1">
        <f t="array" ref="P125">IFERROR(_xlfn.LET(
_xlpm.CSVVal,_xlfn.XLOOKUP($A125,CSV!$A:$A,CSV!AB:AB,""),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46" t="str" cm="1">
        <f t="array" ref="Q125">IFERROR(_xlfn.LET(
_xlpm.CSVVal,_xlfn.XLOOKUP($A125,CSV!$A:$A,CSV!AC:AC,""),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R125" s="46"/>
      <c r="S125" s="46"/>
      <c r="T125" s="46"/>
      <c r="U125" s="46"/>
      <c r="V125" s="46"/>
      <c r="W125" s="46"/>
      <c r="X125" s="47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46" t="str">
        <f>_xlfn.TEXTJOIN("",TRUE,Input!$B$2,ROW(My_Audit!A125))</f>
        <v>X125</v>
      </c>
      <c r="B126" s="46" t="str">
        <f>_xlfn.TEXTJOIN("-",TRUE,"ITD",Input!$A$2,A126)</f>
        <v>ITD-SHR-X125</v>
      </c>
      <c r="C126" s="46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46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46" t="str">
        <f>_xlfn.XLOOKUP(A126,My_Audit!A:A,My_Audit!D:D,"")</f>
        <v/>
      </c>
      <c r="F126" s="46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46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46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46" t="str">
        <f>_xlfn.XLOOKUP(A126,Output_Mac!A:A,Output_Mac!I:I,"")</f>
        <v/>
      </c>
      <c r="J126" s="46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46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46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46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N126" s="46"/>
      <c r="O126" s="46" t="str">
        <f>_xlfn.LET(
    _xlpm.CSVVal, _xlfn.XLOOKUP($A126, CSV!$A:$A, CSV!AA:AA,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46" t="str" cm="1">
        <f t="array" ref="P126">IFERROR(_xlfn.LET(
_xlpm.CSVVal,_xlfn.XLOOKUP($A126,CSV!$A:$A,CSV!AB:AB,""),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46" t="str" cm="1">
        <f t="array" ref="Q126">IFERROR(_xlfn.LET(
_xlpm.CSVVal,_xlfn.XLOOKUP($A126,CSV!$A:$A,CSV!AC:AC,""),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R126" s="46"/>
      <c r="S126" s="46"/>
      <c r="T126" s="46"/>
      <c r="U126" s="46"/>
      <c r="V126" s="46"/>
      <c r="W126" s="46"/>
      <c r="X126" s="47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46" t="str">
        <f>_xlfn.TEXTJOIN("",TRUE,Input!$B$2,ROW(My_Audit!A126))</f>
        <v>X126</v>
      </c>
      <c r="B127" s="46" t="str">
        <f>_xlfn.TEXTJOIN("-",TRUE,"ITD",Input!$A$2,A127)</f>
        <v>ITD-SHR-X126</v>
      </c>
      <c r="C127" s="46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46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46" t="str">
        <f>_xlfn.XLOOKUP(A127,My_Audit!A:A,My_Audit!D:D,"")</f>
        <v/>
      </c>
      <c r="F127" s="46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46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46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46" t="str">
        <f>_xlfn.XLOOKUP(A127,Output_Mac!A:A,Output_Mac!I:I,"")</f>
        <v/>
      </c>
      <c r="J127" s="46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46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46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46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N127" s="46"/>
      <c r="O127" s="46" t="str">
        <f>_xlfn.LET(
    _xlpm.CSVVal, _xlfn.XLOOKUP($A127, CSV!$A:$A, CSV!AA:AA,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46" t="str" cm="1">
        <f t="array" ref="P127">IFERROR(_xlfn.LET(
_xlpm.CSVVal,_xlfn.XLOOKUP($A127,CSV!$A:$A,CSV!AB:AB,""),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46" t="str" cm="1">
        <f t="array" ref="Q127">IFERROR(_xlfn.LET(
_xlpm.CSVVal,_xlfn.XLOOKUP($A127,CSV!$A:$A,CSV!AC:AC,""),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R127" s="46"/>
      <c r="S127" s="46"/>
      <c r="T127" s="46"/>
      <c r="U127" s="46"/>
      <c r="V127" s="46"/>
      <c r="W127" s="46"/>
      <c r="X127" s="4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46" t="str">
        <f>_xlfn.TEXTJOIN("",TRUE,Input!$B$2,ROW(My_Audit!A127))</f>
        <v>X127</v>
      </c>
      <c r="B128" s="46" t="str">
        <f>_xlfn.TEXTJOIN("-",TRUE,"ITD",Input!$A$2,A128)</f>
        <v>ITD-SHR-X127</v>
      </c>
      <c r="C128" s="46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46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46" t="str">
        <f>_xlfn.XLOOKUP(A128,My_Audit!A:A,My_Audit!D:D,"")</f>
        <v/>
      </c>
      <c r="F128" s="46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46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46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46" t="str">
        <f>_xlfn.XLOOKUP(A128,Output_Mac!A:A,Output_Mac!I:I,"")</f>
        <v/>
      </c>
      <c r="J128" s="46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46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46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46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N128" s="46"/>
      <c r="O128" s="46" t="str">
        <f>_xlfn.LET(
    _xlpm.CSVVal, _xlfn.XLOOKUP($A128, CSV!$A:$A, CSV!AA:AA,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46" t="str" cm="1">
        <f t="array" ref="P128">IFERROR(_xlfn.LET(
_xlpm.CSVVal,_xlfn.XLOOKUP($A128,CSV!$A:$A,CSV!AB:AB,""),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46" t="str" cm="1">
        <f t="array" ref="Q128">IFERROR(_xlfn.LET(
_xlpm.CSVVal,_xlfn.XLOOKUP($A128,CSV!$A:$A,CSV!AC:AC,""),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R128" s="46"/>
      <c r="S128" s="46"/>
      <c r="T128" s="46"/>
      <c r="U128" s="46"/>
      <c r="V128" s="46"/>
      <c r="W128" s="46"/>
      <c r="X128" s="47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46" t="str">
        <f>_xlfn.TEXTJOIN("",TRUE,Input!$B$2,ROW(My_Audit!A128))</f>
        <v>X128</v>
      </c>
      <c r="B129" s="46" t="str">
        <f>_xlfn.TEXTJOIN("-",TRUE,"ITD",Input!$A$2,A129)</f>
        <v>ITD-SHR-X128</v>
      </c>
      <c r="C129" s="46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46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46" t="str">
        <f>_xlfn.XLOOKUP(A129,My_Audit!A:A,My_Audit!D:D,"")</f>
        <v/>
      </c>
      <c r="F129" s="46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46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46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46" t="str">
        <f>_xlfn.XLOOKUP(A129,Output_Mac!A:A,Output_Mac!I:I,"")</f>
        <v/>
      </c>
      <c r="J129" s="46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46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46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46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N129" s="46"/>
      <c r="O129" s="46" t="str">
        <f>_xlfn.LET(
    _xlpm.CSVVal, _xlfn.XLOOKUP($A129, CSV!$A:$A, CSV!AA:AA,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46" t="str" cm="1">
        <f t="array" ref="P129">IFERROR(_xlfn.LET(
_xlpm.CSVVal,_xlfn.XLOOKUP($A129,CSV!$A:$A,CSV!AB:AB,""),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46" t="str" cm="1">
        <f t="array" ref="Q129">IFERROR(_xlfn.LET(
_xlpm.CSVVal,_xlfn.XLOOKUP($A129,CSV!$A:$A,CSV!AC:AC,""),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R129" s="46"/>
      <c r="S129" s="46"/>
      <c r="T129" s="46"/>
      <c r="U129" s="46"/>
      <c r="V129" s="46"/>
      <c r="W129" s="46"/>
      <c r="X129" s="47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46" t="str">
        <f>_xlfn.TEXTJOIN("",TRUE,Input!$B$2,ROW(My_Audit!A129))</f>
        <v>X129</v>
      </c>
      <c r="B130" s="46" t="str">
        <f>_xlfn.TEXTJOIN("-",TRUE,"ITD",Input!$A$2,A130)</f>
        <v>ITD-SHR-X129</v>
      </c>
      <c r="C130" s="46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46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46" t="str">
        <f>_xlfn.XLOOKUP(A130,My_Audit!A:A,My_Audit!D:D,"")</f>
        <v/>
      </c>
      <c r="F130" s="46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46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46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46" t="str">
        <f>_xlfn.XLOOKUP(A130,Output_Mac!A:A,Output_Mac!I:I,"")</f>
        <v/>
      </c>
      <c r="J130" s="46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46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46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46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N130" s="46"/>
      <c r="O130" s="46" t="str">
        <f>_xlfn.LET(
    _xlpm.CSVVal, _xlfn.XLOOKUP($A130, CSV!$A:$A, CSV!AA:AA,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46" t="str" cm="1">
        <f t="array" ref="P130">IFERROR(_xlfn.LET(
_xlpm.CSVVal,_xlfn.XLOOKUP($A130,CSV!$A:$A,CSV!AB:AB,""),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46" t="str" cm="1">
        <f t="array" ref="Q130">IFERROR(_xlfn.LET(
_xlpm.CSVVal,_xlfn.XLOOKUP($A130,CSV!$A:$A,CSV!AC:AC,""),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R130" s="46"/>
      <c r="S130" s="46"/>
      <c r="T130" s="46"/>
      <c r="U130" s="46"/>
      <c r="V130" s="46"/>
      <c r="W130" s="46"/>
      <c r="X130" s="47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46" t="str">
        <f>_xlfn.TEXTJOIN("",TRUE,Input!$B$2,ROW(My_Audit!A130))</f>
        <v>X130</v>
      </c>
      <c r="B131" s="46" t="str">
        <f>_xlfn.TEXTJOIN("-",TRUE,"ITD",Input!$A$2,A131)</f>
        <v>ITD-SHR-X130</v>
      </c>
      <c r="C131" s="46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46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46" t="str">
        <f>_xlfn.XLOOKUP(A131,My_Audit!A:A,My_Audit!D:D,"")</f>
        <v/>
      </c>
      <c r="F131" s="46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46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46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46" t="str">
        <f>_xlfn.XLOOKUP(A131,Output_Mac!A:A,Output_Mac!I:I,"")</f>
        <v/>
      </c>
      <c r="J131" s="46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46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46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46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N131" s="46"/>
      <c r="O131" s="46" t="str">
        <f>_xlfn.LET(
    _xlpm.CSVVal, _xlfn.XLOOKUP($A131, CSV!$A:$A, CSV!AA:AA,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46" t="str" cm="1">
        <f t="array" ref="P131">IFERROR(_xlfn.LET(
_xlpm.CSVVal,_xlfn.XLOOKUP($A131,CSV!$A:$A,CSV!AB:AB,""),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46" t="str" cm="1">
        <f t="array" ref="Q131">IFERROR(_xlfn.LET(
_xlpm.CSVVal,_xlfn.XLOOKUP($A131,CSV!$A:$A,CSV!AC:AC,""),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R131" s="46"/>
      <c r="S131" s="46"/>
      <c r="T131" s="46"/>
      <c r="U131" s="46"/>
      <c r="V131" s="46"/>
      <c r="W131" s="46"/>
      <c r="X131" s="47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46" t="str">
        <f>_xlfn.TEXTJOIN("",TRUE,Input!$B$2,ROW(My_Audit!A131))</f>
        <v>X131</v>
      </c>
      <c r="B132" s="46" t="str">
        <f>_xlfn.TEXTJOIN("-",TRUE,"ITD",Input!$A$2,A132)</f>
        <v>ITD-SHR-X131</v>
      </c>
      <c r="C132" s="46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46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46" t="str">
        <f>_xlfn.XLOOKUP(A132,My_Audit!A:A,My_Audit!D:D,"")</f>
        <v/>
      </c>
      <c r="F132" s="46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46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46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46" t="str">
        <f>_xlfn.XLOOKUP(A132,Output_Mac!A:A,Output_Mac!I:I,"")</f>
        <v/>
      </c>
      <c r="J132" s="46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46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46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46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N132" s="46"/>
      <c r="O132" s="46" t="str">
        <f>_xlfn.LET(
    _xlpm.CSVVal, _xlfn.XLOOKUP($A132, CSV!$A:$A, CSV!AA:AA,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46" t="str" cm="1">
        <f t="array" ref="P132">IFERROR(_xlfn.LET(
_xlpm.CSVVal,_xlfn.XLOOKUP($A132,CSV!$A:$A,CSV!AB:AB,""),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46" t="str" cm="1">
        <f t="array" ref="Q132">IFERROR(_xlfn.LET(
_xlpm.CSVVal,_xlfn.XLOOKUP($A132,CSV!$A:$A,CSV!AC:AC,""),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R132" s="46"/>
      <c r="S132" s="46"/>
      <c r="T132" s="46"/>
      <c r="U132" s="46"/>
      <c r="V132" s="46"/>
      <c r="W132" s="46"/>
      <c r="X132" s="47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46" t="str">
        <f>_xlfn.TEXTJOIN("",TRUE,Input!$B$2,ROW(My_Audit!A132))</f>
        <v>X132</v>
      </c>
      <c r="B133" s="46" t="str">
        <f>_xlfn.TEXTJOIN("-",TRUE,"ITD",Input!$A$2,A133)</f>
        <v>ITD-SHR-X132</v>
      </c>
      <c r="C133" s="46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46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46" t="str">
        <f>_xlfn.XLOOKUP(A133,My_Audit!A:A,My_Audit!D:D,"")</f>
        <v/>
      </c>
      <c r="F133" s="46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46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46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46" t="str">
        <f>_xlfn.XLOOKUP(A133,Output_Mac!A:A,Output_Mac!I:I,"")</f>
        <v/>
      </c>
      <c r="J133" s="46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46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46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46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N133" s="46"/>
      <c r="O133" s="46" t="str">
        <f>_xlfn.LET(
    _xlpm.CSVVal, _xlfn.XLOOKUP($A133, CSV!$A:$A, CSV!AA:AA,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46" t="str" cm="1">
        <f t="array" ref="P133">IFERROR(_xlfn.LET(
_xlpm.CSVVal,_xlfn.XLOOKUP($A133,CSV!$A:$A,CSV!AB:AB,""),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46" t="str" cm="1">
        <f t="array" ref="Q133">IFERROR(_xlfn.LET(
_xlpm.CSVVal,_xlfn.XLOOKUP($A133,CSV!$A:$A,CSV!AC:AC,""),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R133" s="46"/>
      <c r="S133" s="46"/>
      <c r="T133" s="46"/>
      <c r="U133" s="46"/>
      <c r="V133" s="46"/>
      <c r="W133" s="46"/>
      <c r="X133" s="47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46" t="str">
        <f>_xlfn.TEXTJOIN("",TRUE,Input!$B$2,ROW(My_Audit!A133))</f>
        <v>X133</v>
      </c>
      <c r="B134" s="46" t="str">
        <f>_xlfn.TEXTJOIN("-",TRUE,"ITD",Input!$A$2,A134)</f>
        <v>ITD-SHR-X133</v>
      </c>
      <c r="C134" s="46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46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46" t="str">
        <f>_xlfn.XLOOKUP(A134,My_Audit!A:A,My_Audit!D:D,"")</f>
        <v/>
      </c>
      <c r="F134" s="46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46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46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46" t="str">
        <f>_xlfn.XLOOKUP(A134,Output_Mac!A:A,Output_Mac!I:I,"")</f>
        <v/>
      </c>
      <c r="J134" s="46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46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46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46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N134" s="46"/>
      <c r="O134" s="46" t="str">
        <f>_xlfn.LET(
    _xlpm.CSVVal, _xlfn.XLOOKUP($A134, CSV!$A:$A, CSV!AA:AA,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46" t="str" cm="1">
        <f t="array" ref="P134">IFERROR(_xlfn.LET(
_xlpm.CSVVal,_xlfn.XLOOKUP($A134,CSV!$A:$A,CSV!AB:AB,""),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46" t="str" cm="1">
        <f t="array" ref="Q134">IFERROR(_xlfn.LET(
_xlpm.CSVVal,_xlfn.XLOOKUP($A134,CSV!$A:$A,CSV!AC:AC,""),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R134" s="46"/>
      <c r="S134" s="46"/>
      <c r="T134" s="46"/>
      <c r="U134" s="46"/>
      <c r="V134" s="46"/>
      <c r="W134" s="46"/>
      <c r="X134" s="47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46" t="str">
        <f>_xlfn.TEXTJOIN("",TRUE,Input!$B$2,ROW(My_Audit!A134))</f>
        <v>X134</v>
      </c>
      <c r="B135" s="46" t="str">
        <f>_xlfn.TEXTJOIN("-",TRUE,"ITD",Input!$A$2,A135)</f>
        <v>ITD-SHR-X134</v>
      </c>
      <c r="C135" s="46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46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46" t="str">
        <f>_xlfn.XLOOKUP(A135,My_Audit!A:A,My_Audit!D:D,"")</f>
        <v/>
      </c>
      <c r="F135" s="46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46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46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46" t="str">
        <f>_xlfn.XLOOKUP(A135,Output_Mac!A:A,Output_Mac!I:I,"")</f>
        <v/>
      </c>
      <c r="J135" s="46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46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46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46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N135" s="46"/>
      <c r="O135" s="46" t="str">
        <f>_xlfn.LET(
    _xlpm.CSVVal, _xlfn.XLOOKUP($A135, CSV!$A:$A, CSV!AA:AA,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46" t="str" cm="1">
        <f t="array" ref="P135">IFERROR(_xlfn.LET(
_xlpm.CSVVal,_xlfn.XLOOKUP($A135,CSV!$A:$A,CSV!AB:AB,""),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46" t="str" cm="1">
        <f t="array" ref="Q135">IFERROR(_xlfn.LET(
_xlpm.CSVVal,_xlfn.XLOOKUP($A135,CSV!$A:$A,CSV!AC:AC,""),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R135" s="46"/>
      <c r="S135" s="46"/>
      <c r="T135" s="46"/>
      <c r="U135" s="46"/>
      <c r="V135" s="46"/>
      <c r="W135" s="46"/>
      <c r="X135" s="47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46" t="str">
        <f>_xlfn.TEXTJOIN("",TRUE,Input!$B$2,ROW(My_Audit!A135))</f>
        <v>X135</v>
      </c>
      <c r="B136" s="46" t="str">
        <f>_xlfn.TEXTJOIN("-",TRUE,"ITD",Input!$A$2,A136)</f>
        <v>ITD-SHR-X135</v>
      </c>
      <c r="C136" s="46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46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46" t="str">
        <f>_xlfn.XLOOKUP(A136,My_Audit!A:A,My_Audit!D:D,"")</f>
        <v/>
      </c>
      <c r="F136" s="46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46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46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46" t="str">
        <f>_xlfn.XLOOKUP(A136,Output_Mac!A:A,Output_Mac!I:I,"")</f>
        <v/>
      </c>
      <c r="J136" s="46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46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46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46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N136" s="46"/>
      <c r="O136" s="46" t="str">
        <f>_xlfn.LET(
    _xlpm.CSVVal, _xlfn.XLOOKUP($A136, CSV!$A:$A, CSV!AA:AA,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46" t="str" cm="1">
        <f t="array" ref="P136">IFERROR(_xlfn.LET(
_xlpm.CSVVal,_xlfn.XLOOKUP($A136,CSV!$A:$A,CSV!AB:AB,""),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46" t="str" cm="1">
        <f t="array" ref="Q136">IFERROR(_xlfn.LET(
_xlpm.CSVVal,_xlfn.XLOOKUP($A136,CSV!$A:$A,CSV!AC:AC,""),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R136" s="46"/>
      <c r="S136" s="46"/>
      <c r="T136" s="46"/>
      <c r="U136" s="46"/>
      <c r="V136" s="46"/>
      <c r="W136" s="46"/>
      <c r="X136" s="47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46" t="str">
        <f>_xlfn.TEXTJOIN("",TRUE,Input!$B$2,ROW(My_Audit!A136))</f>
        <v>X136</v>
      </c>
      <c r="B137" s="46" t="str">
        <f>_xlfn.TEXTJOIN("-",TRUE,"ITD",Input!$A$2,A137)</f>
        <v>ITD-SHR-X136</v>
      </c>
      <c r="C137" s="46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46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46" t="str">
        <f>_xlfn.XLOOKUP(A137,My_Audit!A:A,My_Audit!D:D,"")</f>
        <v/>
      </c>
      <c r="F137" s="46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46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46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46" t="str">
        <f>_xlfn.XLOOKUP(A137,Output_Mac!A:A,Output_Mac!I:I,"")</f>
        <v/>
      </c>
      <c r="J137" s="46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46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46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46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N137" s="46"/>
      <c r="O137" s="46" t="str">
        <f>_xlfn.LET(
    _xlpm.CSVVal, _xlfn.XLOOKUP($A137, CSV!$A:$A, CSV!AA:AA,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46" t="str" cm="1">
        <f t="array" ref="P137">IFERROR(_xlfn.LET(
_xlpm.CSVVal,_xlfn.XLOOKUP($A137,CSV!$A:$A,CSV!AB:AB,""),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46" t="str" cm="1">
        <f t="array" ref="Q137">IFERROR(_xlfn.LET(
_xlpm.CSVVal,_xlfn.XLOOKUP($A137,CSV!$A:$A,CSV!AC:AC,""),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R137" s="46"/>
      <c r="S137" s="46"/>
      <c r="T137" s="46"/>
      <c r="U137" s="46"/>
      <c r="V137" s="46"/>
      <c r="W137" s="46"/>
      <c r="X137" s="4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46" t="str">
        <f>_xlfn.TEXTJOIN("",TRUE,Input!$B$2,ROW(My_Audit!A137))</f>
        <v>X137</v>
      </c>
      <c r="B138" s="46" t="str">
        <f>_xlfn.TEXTJOIN("-",TRUE,"ITD",Input!$A$2,A138)</f>
        <v>ITD-SHR-X137</v>
      </c>
      <c r="C138" s="46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46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46" t="str">
        <f>_xlfn.XLOOKUP(A138,My_Audit!A:A,My_Audit!D:D,"")</f>
        <v/>
      </c>
      <c r="F138" s="46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46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46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46" t="str">
        <f>_xlfn.XLOOKUP(A138,Output_Mac!A:A,Output_Mac!I:I,"")</f>
        <v/>
      </c>
      <c r="J138" s="46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46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46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46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N138" s="46"/>
      <c r="O138" s="46" t="str">
        <f>_xlfn.LET(
    _xlpm.CSVVal, _xlfn.XLOOKUP($A138, CSV!$A:$A, CSV!AA:AA,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46" t="str" cm="1">
        <f t="array" ref="P138">IFERROR(_xlfn.LET(
_xlpm.CSVVal,_xlfn.XLOOKUP($A138,CSV!$A:$A,CSV!AB:AB,""),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46" t="str" cm="1">
        <f t="array" ref="Q138">IFERROR(_xlfn.LET(
_xlpm.CSVVal,_xlfn.XLOOKUP($A138,CSV!$A:$A,CSV!AC:AC,""),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R138" s="46"/>
      <c r="S138" s="46"/>
      <c r="T138" s="46"/>
      <c r="U138" s="46"/>
      <c r="V138" s="46"/>
      <c r="W138" s="46"/>
      <c r="X138" s="47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46" t="str">
        <f>_xlfn.TEXTJOIN("",TRUE,Input!$B$2,ROW(My_Audit!A138))</f>
        <v>X138</v>
      </c>
      <c r="B139" s="46" t="str">
        <f>_xlfn.TEXTJOIN("-",TRUE,"ITD",Input!$A$2,A139)</f>
        <v>ITD-SHR-X138</v>
      </c>
      <c r="C139" s="46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46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46" t="str">
        <f>_xlfn.XLOOKUP(A139,My_Audit!A:A,My_Audit!D:D,"")</f>
        <v/>
      </c>
      <c r="F139" s="46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46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46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46" t="str">
        <f>_xlfn.XLOOKUP(A139,Output_Mac!A:A,Output_Mac!I:I,"")</f>
        <v/>
      </c>
      <c r="J139" s="46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46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46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46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N139" s="46"/>
      <c r="O139" s="46" t="str">
        <f>_xlfn.LET(
    _xlpm.CSVVal, _xlfn.XLOOKUP($A139, CSV!$A:$A, CSV!AA:AA,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46" t="str" cm="1">
        <f t="array" ref="P139">IFERROR(_xlfn.LET(
_xlpm.CSVVal,_xlfn.XLOOKUP($A139,CSV!$A:$A,CSV!AB:AB,""),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46" t="str" cm="1">
        <f t="array" ref="Q139">IFERROR(_xlfn.LET(
_xlpm.CSVVal,_xlfn.XLOOKUP($A139,CSV!$A:$A,CSV!AC:AC,""),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R139" s="46"/>
      <c r="S139" s="46"/>
      <c r="T139" s="46"/>
      <c r="U139" s="46"/>
      <c r="V139" s="46"/>
      <c r="W139" s="46"/>
      <c r="X139" s="47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46" t="str">
        <f>_xlfn.TEXTJOIN("",TRUE,Input!$B$2,ROW(My_Audit!A139))</f>
        <v>X139</v>
      </c>
      <c r="B140" s="46" t="str">
        <f>_xlfn.TEXTJOIN("-",TRUE,"ITD",Input!$A$2,A140)</f>
        <v>ITD-SHR-X139</v>
      </c>
      <c r="C140" s="46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46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46" t="str">
        <f>_xlfn.XLOOKUP(A140,My_Audit!A:A,My_Audit!D:D,"")</f>
        <v/>
      </c>
      <c r="F140" s="46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46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46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46" t="str">
        <f>_xlfn.XLOOKUP(A140,Output_Mac!A:A,Output_Mac!I:I,"")</f>
        <v/>
      </c>
      <c r="J140" s="46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46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46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46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N140" s="46"/>
      <c r="O140" s="46" t="str">
        <f>_xlfn.LET(
    _xlpm.CSVVal, _xlfn.XLOOKUP($A140, CSV!$A:$A, CSV!AA:AA,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46" t="str" cm="1">
        <f t="array" ref="P140">IFERROR(_xlfn.LET(
_xlpm.CSVVal,_xlfn.XLOOKUP($A140,CSV!$A:$A,CSV!AB:AB,""),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46" t="str" cm="1">
        <f t="array" ref="Q140">IFERROR(_xlfn.LET(
_xlpm.CSVVal,_xlfn.XLOOKUP($A140,CSV!$A:$A,CSV!AC:AC,""),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R140" s="46"/>
      <c r="S140" s="46"/>
      <c r="T140" s="46"/>
      <c r="U140" s="46"/>
      <c r="V140" s="46"/>
      <c r="W140" s="46"/>
      <c r="X140" s="47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46" t="str">
        <f>_xlfn.TEXTJOIN("",TRUE,Input!$B$2,ROW(My_Audit!A140))</f>
        <v>X140</v>
      </c>
      <c r="B141" s="46" t="str">
        <f>_xlfn.TEXTJOIN("-",TRUE,"ITD",Input!$A$2,A141)</f>
        <v>ITD-SHR-X140</v>
      </c>
      <c r="C141" s="46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46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46" t="str">
        <f>_xlfn.XLOOKUP(A141,My_Audit!A:A,My_Audit!D:D,"")</f>
        <v/>
      </c>
      <c r="F141" s="46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46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46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46" t="str">
        <f>_xlfn.XLOOKUP(A141,Output_Mac!A:A,Output_Mac!I:I,"")</f>
        <v/>
      </c>
      <c r="J141" s="46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46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46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46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N141" s="46"/>
      <c r="O141" s="46" t="str">
        <f>_xlfn.LET(
    _xlpm.CSVVal, _xlfn.XLOOKUP($A141, CSV!$A:$A, CSV!AA:AA,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46" t="str" cm="1">
        <f t="array" ref="P141">IFERROR(_xlfn.LET(
_xlpm.CSVVal,_xlfn.XLOOKUP($A141,CSV!$A:$A,CSV!AB:AB,""),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46" t="str" cm="1">
        <f t="array" ref="Q141">IFERROR(_xlfn.LET(
_xlpm.CSVVal,_xlfn.XLOOKUP($A141,CSV!$A:$A,CSV!AC:AC,""),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R141" s="46"/>
      <c r="S141" s="46"/>
      <c r="T141" s="46"/>
      <c r="U141" s="46"/>
      <c r="V141" s="46"/>
      <c r="W141" s="46"/>
      <c r="X141" s="47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46" t="str">
        <f>_xlfn.TEXTJOIN("",TRUE,Input!$B$2,ROW(My_Audit!A141))</f>
        <v>X141</v>
      </c>
      <c r="B142" s="46" t="str">
        <f>_xlfn.TEXTJOIN("-",TRUE,"ITD",Input!$A$2,A142)</f>
        <v>ITD-SHR-X141</v>
      </c>
      <c r="C142" s="46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46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46" t="str">
        <f>_xlfn.XLOOKUP(A142,My_Audit!A:A,My_Audit!D:D,"")</f>
        <v/>
      </c>
      <c r="F142" s="46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46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46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46" t="str">
        <f>_xlfn.XLOOKUP(A142,Output_Mac!A:A,Output_Mac!I:I,"")</f>
        <v/>
      </c>
      <c r="J142" s="46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46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46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46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N142" s="46"/>
      <c r="O142" s="46" t="str">
        <f>_xlfn.LET(
    _xlpm.CSVVal, _xlfn.XLOOKUP($A142, CSV!$A:$A, CSV!AA:AA,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46" t="str" cm="1">
        <f t="array" ref="P142">IFERROR(_xlfn.LET(
_xlpm.CSVVal,_xlfn.XLOOKUP($A142,CSV!$A:$A,CSV!AB:AB,""),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46" t="str" cm="1">
        <f t="array" ref="Q142">IFERROR(_xlfn.LET(
_xlpm.CSVVal,_xlfn.XLOOKUP($A142,CSV!$A:$A,CSV!AC:AC,""),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R142" s="46"/>
      <c r="S142" s="46"/>
      <c r="T142" s="46"/>
      <c r="U142" s="46"/>
      <c r="V142" s="46"/>
      <c r="W142" s="46"/>
      <c r="X142" s="47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46" t="str">
        <f>_xlfn.TEXTJOIN("",TRUE,Input!$B$2,ROW(My_Audit!A142))</f>
        <v>X142</v>
      </c>
      <c r="B143" s="46" t="str">
        <f>_xlfn.TEXTJOIN("-",TRUE,"ITD",Input!$A$2,A143)</f>
        <v>ITD-SHR-X142</v>
      </c>
      <c r="C143" s="46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46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46" t="str">
        <f>_xlfn.XLOOKUP(A143,My_Audit!A:A,My_Audit!D:D,"")</f>
        <v/>
      </c>
      <c r="F143" s="46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46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46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46" t="str">
        <f>_xlfn.XLOOKUP(A143,Output_Mac!A:A,Output_Mac!I:I,"")</f>
        <v/>
      </c>
      <c r="J143" s="46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46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46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46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N143" s="46"/>
      <c r="O143" s="46" t="str">
        <f>_xlfn.LET(
    _xlpm.CSVVal, _xlfn.XLOOKUP($A143, CSV!$A:$A, CSV!AA:AA,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46" t="str" cm="1">
        <f t="array" ref="P143">IFERROR(_xlfn.LET(
_xlpm.CSVVal,_xlfn.XLOOKUP($A143,CSV!$A:$A,CSV!AB:AB,""),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46" t="str" cm="1">
        <f t="array" ref="Q143">IFERROR(_xlfn.LET(
_xlpm.CSVVal,_xlfn.XLOOKUP($A143,CSV!$A:$A,CSV!AC:AC,""),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R143" s="46"/>
      <c r="S143" s="46"/>
      <c r="T143" s="46"/>
      <c r="U143" s="46"/>
      <c r="V143" s="46"/>
      <c r="W143" s="46"/>
      <c r="X143" s="47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46" t="str">
        <f>_xlfn.TEXTJOIN("",TRUE,Input!$B$2,ROW(My_Audit!A143))</f>
        <v>X143</v>
      </c>
      <c r="B144" s="46" t="str">
        <f>_xlfn.TEXTJOIN("-",TRUE,"ITD",Input!$A$2,A144)</f>
        <v>ITD-SHR-X143</v>
      </c>
      <c r="C144" s="46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46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46" t="str">
        <f>_xlfn.XLOOKUP(A144,My_Audit!A:A,My_Audit!D:D,"")</f>
        <v/>
      </c>
      <c r="F144" s="46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46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46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46" t="str">
        <f>_xlfn.XLOOKUP(A144,Output_Mac!A:A,Output_Mac!I:I,"")</f>
        <v/>
      </c>
      <c r="J144" s="46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46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46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46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N144" s="46"/>
      <c r="O144" s="46" t="str">
        <f>_xlfn.LET(
    _xlpm.CSVVal, _xlfn.XLOOKUP($A144, CSV!$A:$A, CSV!AA:AA,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46" t="str" cm="1">
        <f t="array" ref="P144">IFERROR(_xlfn.LET(
_xlpm.CSVVal,_xlfn.XLOOKUP($A144,CSV!$A:$A,CSV!AB:AB,""),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46" t="str" cm="1">
        <f t="array" ref="Q144">IFERROR(_xlfn.LET(
_xlpm.CSVVal,_xlfn.XLOOKUP($A144,CSV!$A:$A,CSV!AC:AC,""),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R144" s="46"/>
      <c r="S144" s="46"/>
      <c r="T144" s="46"/>
      <c r="U144" s="46"/>
      <c r="V144" s="46"/>
      <c r="W144" s="46"/>
      <c r="X144" s="47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46" t="str">
        <f>_xlfn.TEXTJOIN("",TRUE,Input!$B$2,ROW(My_Audit!A144))</f>
        <v>X144</v>
      </c>
      <c r="B145" s="46" t="str">
        <f>_xlfn.TEXTJOIN("-",TRUE,"ITD",Input!$A$2,A145)</f>
        <v>ITD-SHR-X144</v>
      </c>
      <c r="C145" s="46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46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46" t="str">
        <f>_xlfn.XLOOKUP(A145,My_Audit!A:A,My_Audit!D:D,"")</f>
        <v/>
      </c>
      <c r="F145" s="46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46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46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46" t="str">
        <f>_xlfn.XLOOKUP(A145,Output_Mac!A:A,Output_Mac!I:I,"")</f>
        <v/>
      </c>
      <c r="J145" s="46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46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46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46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N145" s="46"/>
      <c r="O145" s="46" t="str">
        <f>_xlfn.LET(
    _xlpm.CSVVal, _xlfn.XLOOKUP($A145, CSV!$A:$A, CSV!AA:AA,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46" t="str" cm="1">
        <f t="array" ref="P145">IFERROR(_xlfn.LET(
_xlpm.CSVVal,_xlfn.XLOOKUP($A145,CSV!$A:$A,CSV!AB:AB,""),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46" t="str" cm="1">
        <f t="array" ref="Q145">IFERROR(_xlfn.LET(
_xlpm.CSVVal,_xlfn.XLOOKUP($A145,CSV!$A:$A,CSV!AC:AC,""),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R145" s="46"/>
      <c r="S145" s="46"/>
      <c r="T145" s="46"/>
      <c r="U145" s="46"/>
      <c r="V145" s="46"/>
      <c r="W145" s="46"/>
      <c r="X145" s="47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46" t="str">
        <f>_xlfn.TEXTJOIN("",TRUE,Input!$B$2,ROW(My_Audit!A145))</f>
        <v>X145</v>
      </c>
      <c r="B146" s="46" t="str">
        <f>_xlfn.TEXTJOIN("-",TRUE,"ITD",Input!$A$2,A146)</f>
        <v>ITD-SHR-X145</v>
      </c>
      <c r="C146" s="46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46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46" t="str">
        <f>_xlfn.XLOOKUP(A146,My_Audit!A:A,My_Audit!D:D,"")</f>
        <v/>
      </c>
      <c r="F146" s="46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46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46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46" t="str">
        <f>_xlfn.XLOOKUP(A146,Output_Mac!A:A,Output_Mac!I:I,"")</f>
        <v/>
      </c>
      <c r="J146" s="46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46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46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46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N146" s="46"/>
      <c r="O146" s="46" t="str">
        <f>_xlfn.LET(
    _xlpm.CSVVal, _xlfn.XLOOKUP($A146, CSV!$A:$A, CSV!AA:AA,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46" t="str" cm="1">
        <f t="array" ref="P146">IFERROR(_xlfn.LET(
_xlpm.CSVVal,_xlfn.XLOOKUP($A146,CSV!$A:$A,CSV!AB:AB,""),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46" t="str" cm="1">
        <f t="array" ref="Q146">IFERROR(_xlfn.LET(
_xlpm.CSVVal,_xlfn.XLOOKUP($A146,CSV!$A:$A,CSV!AC:AC,""),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R146" s="46"/>
      <c r="S146" s="46"/>
      <c r="T146" s="46"/>
      <c r="U146" s="46"/>
      <c r="V146" s="46"/>
      <c r="W146" s="46"/>
      <c r="X146" s="47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46" t="str">
        <f>_xlfn.TEXTJOIN("",TRUE,Input!$B$2,ROW(My_Audit!A146))</f>
        <v>X146</v>
      </c>
      <c r="B147" s="46" t="str">
        <f>_xlfn.TEXTJOIN("-",TRUE,"ITD",Input!$A$2,A147)</f>
        <v>ITD-SHR-X146</v>
      </c>
      <c r="C147" s="46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46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46" t="str">
        <f>_xlfn.XLOOKUP(A147,My_Audit!A:A,My_Audit!D:D,"")</f>
        <v/>
      </c>
      <c r="F147" s="46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46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46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46" t="str">
        <f>_xlfn.XLOOKUP(A147,Output_Mac!A:A,Output_Mac!I:I,"")</f>
        <v/>
      </c>
      <c r="J147" s="46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46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46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46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N147" s="46"/>
      <c r="O147" s="46" t="str">
        <f>_xlfn.LET(
    _xlpm.CSVVal, _xlfn.XLOOKUP($A147, CSV!$A:$A, CSV!AA:AA,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46" t="str" cm="1">
        <f t="array" ref="P147">IFERROR(_xlfn.LET(
_xlpm.CSVVal,_xlfn.XLOOKUP($A147,CSV!$A:$A,CSV!AB:AB,""),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46" t="str" cm="1">
        <f t="array" ref="Q147">IFERROR(_xlfn.LET(
_xlpm.CSVVal,_xlfn.XLOOKUP($A147,CSV!$A:$A,CSV!AC:AC,""),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R147" s="46"/>
      <c r="S147" s="46"/>
      <c r="T147" s="46"/>
      <c r="U147" s="46"/>
      <c r="V147" s="46"/>
      <c r="W147" s="46"/>
      <c r="X147" s="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46" t="str">
        <f>_xlfn.TEXTJOIN("",TRUE,Input!$B$2,ROW(My_Audit!A147))</f>
        <v>X147</v>
      </c>
      <c r="B148" s="46" t="str">
        <f>_xlfn.TEXTJOIN("-",TRUE,"ITD",Input!$A$2,A148)</f>
        <v>ITD-SHR-X147</v>
      </c>
      <c r="C148" s="46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46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46" t="str">
        <f>_xlfn.XLOOKUP(A148,My_Audit!A:A,My_Audit!D:D,"")</f>
        <v/>
      </c>
      <c r="F148" s="46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46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46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46" t="str">
        <f>_xlfn.XLOOKUP(A148,Output_Mac!A:A,Output_Mac!I:I,"")</f>
        <v/>
      </c>
      <c r="J148" s="46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46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46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46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N148" s="46"/>
      <c r="O148" s="46" t="str">
        <f>_xlfn.LET(
    _xlpm.CSVVal, _xlfn.XLOOKUP($A148, CSV!$A:$A, CSV!AA:AA,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46" t="str" cm="1">
        <f t="array" ref="P148">IFERROR(_xlfn.LET(
_xlpm.CSVVal,_xlfn.XLOOKUP($A148,CSV!$A:$A,CSV!AB:AB,""),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46" t="str" cm="1">
        <f t="array" ref="Q148">IFERROR(_xlfn.LET(
_xlpm.CSVVal,_xlfn.XLOOKUP($A148,CSV!$A:$A,CSV!AC:AC,""),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R148" s="46"/>
      <c r="S148" s="46"/>
      <c r="T148" s="46"/>
      <c r="U148" s="46"/>
      <c r="V148" s="46"/>
      <c r="W148" s="46"/>
      <c r="X148" s="47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46" t="str">
        <f>_xlfn.TEXTJOIN("",TRUE,Input!$B$2,ROW(My_Audit!A148))</f>
        <v>X148</v>
      </c>
      <c r="B149" s="46" t="str">
        <f>_xlfn.TEXTJOIN("-",TRUE,"ITD",Input!$A$2,A149)</f>
        <v>ITD-SHR-X148</v>
      </c>
      <c r="C149" s="46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46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46" t="str">
        <f>_xlfn.XLOOKUP(A149,My_Audit!A:A,My_Audit!D:D,"")</f>
        <v/>
      </c>
      <c r="F149" s="46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46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46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46" t="str">
        <f>_xlfn.XLOOKUP(A149,Output_Mac!A:A,Output_Mac!I:I,"")</f>
        <v/>
      </c>
      <c r="J149" s="46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46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46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46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N149" s="46"/>
      <c r="O149" s="46" t="str">
        <f>_xlfn.LET(
    _xlpm.CSVVal, _xlfn.XLOOKUP($A149, CSV!$A:$A, CSV!AA:AA,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46" t="str" cm="1">
        <f t="array" ref="P149">IFERROR(_xlfn.LET(
_xlpm.CSVVal,_xlfn.XLOOKUP($A149,CSV!$A:$A,CSV!AB:AB,""),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46" t="str" cm="1">
        <f t="array" ref="Q149">IFERROR(_xlfn.LET(
_xlpm.CSVVal,_xlfn.XLOOKUP($A149,CSV!$A:$A,CSV!AC:AC,""),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R149" s="46"/>
      <c r="S149" s="46"/>
      <c r="T149" s="46"/>
      <c r="U149" s="46"/>
      <c r="V149" s="46"/>
      <c r="W149" s="46"/>
      <c r="X149" s="47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46" t="str">
        <f>_xlfn.TEXTJOIN("",TRUE,Input!$B$2,ROW(My_Audit!A149))</f>
        <v>X149</v>
      </c>
      <c r="B150" s="46" t="str">
        <f>_xlfn.TEXTJOIN("-",TRUE,"ITD",Input!$A$2,A150)</f>
        <v>ITD-SHR-X149</v>
      </c>
      <c r="C150" s="46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46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46" t="e">
        <f>IF(_xlfn.XLOOKUP(A150,My_Audit!A:A,My_Audit!D:D),_xlfn.XLOOKUP(A150,My_Audit!A:A,My_Audit!D:D),"")</f>
        <v>#N/A</v>
      </c>
      <c r="F150" s="46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46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46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46" t="str">
        <f>_xlfn.XLOOKUP(A150,Output_Mac!A:A,Output_Mac!I:I,"")</f>
        <v/>
      </c>
      <c r="J150" s="46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46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46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46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N150" s="46"/>
      <c r="O150" s="46" t="str">
        <f>_xlfn.LET(
    _xlpm.CSVVal, _xlfn.XLOOKUP($A150, CSV!$A:$A, CSV!AA:AA,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46" t="str" cm="1">
        <f t="array" ref="P150">IFERROR(_xlfn.LET(
_xlpm.CSVVal,_xlfn.XLOOKUP($A150,CSV!$A:$A,CSV!AB:AB,""),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46" t="str" cm="1">
        <f t="array" ref="Q150">IFERROR(_xlfn.LET(
_xlpm.CSVVal,_xlfn.XLOOKUP($A150,CSV!$A:$A,CSV!AC:AC,""),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R150" s="46"/>
      <c r="S150" s="46"/>
      <c r="T150" s="46"/>
      <c r="U150" s="46"/>
      <c r="V150" s="46"/>
      <c r="W150" s="46"/>
      <c r="X150" s="47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46" t="str">
        <f>_xlfn.TEXTJOIN("",TRUE,Input!$B$2,ROW(My_Audit!A150))</f>
        <v>X150</v>
      </c>
      <c r="B151" s="46" t="str">
        <f>_xlfn.TEXTJOIN("-",TRUE,"ITD",Input!$A$2,A151)</f>
        <v>ITD-SHR-X150</v>
      </c>
      <c r="C151" s="46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46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46" t="e">
        <f>IF(_xlfn.XLOOKUP(A151,My_Audit!A:A,My_Audit!D:D),_xlfn.XLOOKUP(A151,My_Audit!A:A,My_Audit!D:D),"")</f>
        <v>#N/A</v>
      </c>
      <c r="F151" s="46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46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46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46" t="str">
        <f>_xlfn.XLOOKUP(A151,Output_Mac!A:A,Output_Mac!I:I,"")</f>
        <v/>
      </c>
      <c r="J151" s="46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46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46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46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N151" s="46"/>
      <c r="O151" s="46" t="str">
        <f>_xlfn.LET(
    _xlpm.CSVVal, _xlfn.XLOOKUP($A151, CSV!$A:$A, CSV!AA:AA,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46" t="str" cm="1">
        <f t="array" ref="P151">IFERROR(_xlfn.LET(
_xlpm.CSVVal,_xlfn.XLOOKUP($A151,CSV!$A:$A,CSV!AB:AB,""),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46" t="str" cm="1">
        <f t="array" ref="Q151">IFERROR(_xlfn.LET(
_xlpm.CSVVal,_xlfn.XLOOKUP($A151,CSV!$A:$A,CSV!AC:AC,""),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R151" s="46"/>
      <c r="S151" s="46"/>
      <c r="T151" s="46"/>
      <c r="U151" s="46"/>
      <c r="V151" s="46"/>
      <c r="W151" s="46"/>
      <c r="X151" s="47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46" t="str">
        <f>_xlfn.TEXTJOIN("",TRUE,Input!$B$2,ROW(My_Audit!A151))</f>
        <v>X151</v>
      </c>
      <c r="B152" s="46" t="str">
        <f>_xlfn.TEXTJOIN("-",TRUE,"ITD",Input!$A$2,A152)</f>
        <v>ITD-SHR-X151</v>
      </c>
      <c r="C152" s="46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46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46" t="e">
        <f>IF(_xlfn.XLOOKUP(A152,My_Audit!A:A,My_Audit!D:D),_xlfn.XLOOKUP(A152,My_Audit!A:A,My_Audit!D:D),"")</f>
        <v>#N/A</v>
      </c>
      <c r="F152" s="46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46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46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46" t="str">
        <f>_xlfn.XLOOKUP(A152,Output_Mac!A:A,Output_Mac!I:I,"")</f>
        <v/>
      </c>
      <c r="J152" s="46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46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46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46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N152" s="46"/>
      <c r="O152" s="46" t="str">
        <f>_xlfn.LET(
    _xlpm.CSVVal, _xlfn.XLOOKUP($A152, CSV!$A:$A, CSV!AA:AA,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46" t="str" cm="1">
        <f t="array" ref="P152">IFERROR(_xlfn.LET(
_xlpm.CSVVal,_xlfn.XLOOKUP($A152,CSV!$A:$A,CSV!AB:AB,""),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46" t="str" cm="1">
        <f t="array" ref="Q152">IFERROR(_xlfn.LET(
_xlpm.CSVVal,_xlfn.XLOOKUP($A152,CSV!$A:$A,CSV!AC:AC,""),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R152" s="46"/>
      <c r="S152" s="46"/>
      <c r="T152" s="46"/>
      <c r="U152" s="46"/>
      <c r="V152" s="46"/>
      <c r="W152" s="46"/>
      <c r="X152" s="47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46" t="str">
        <f>_xlfn.TEXTJOIN("",TRUE,Input!$B$2,ROW(My_Audit!A152))</f>
        <v>X152</v>
      </c>
      <c r="B153" s="46" t="str">
        <f>_xlfn.TEXTJOIN("-",TRUE,"ITD",Input!$A$2,A153)</f>
        <v>ITD-SHR-X152</v>
      </c>
      <c r="C153" s="46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46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46" t="e">
        <f>IF(_xlfn.XLOOKUP(A153,My_Audit!A:A,My_Audit!D:D),_xlfn.XLOOKUP(A153,My_Audit!A:A,My_Audit!D:D),"")</f>
        <v>#N/A</v>
      </c>
      <c r="F153" s="46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46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46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46" t="str">
        <f>_xlfn.XLOOKUP(A153,Output_Mac!A:A,Output_Mac!I:I,"")</f>
        <v/>
      </c>
      <c r="J153" s="46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46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46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46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N153" s="46"/>
      <c r="O153" s="46" t="str">
        <f>_xlfn.LET(
    _xlpm.CSVVal, _xlfn.XLOOKUP($A153, CSV!$A:$A, CSV!AA:AA,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46" t="str" cm="1">
        <f t="array" ref="P153">IFERROR(_xlfn.LET(
_xlpm.CSVVal,_xlfn.XLOOKUP($A153,CSV!$A:$A,CSV!AB:AB,""),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46" t="str" cm="1">
        <f t="array" ref="Q153">IFERROR(_xlfn.LET(
_xlpm.CSVVal,_xlfn.XLOOKUP($A153,CSV!$A:$A,CSV!AC:AC,""),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R153" s="46"/>
      <c r="S153" s="46"/>
      <c r="T153" s="46"/>
      <c r="U153" s="46"/>
      <c r="V153" s="46"/>
      <c r="W153" s="46"/>
      <c r="X153" s="47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46" t="str">
        <f>_xlfn.TEXTJOIN("",TRUE,Input!$B$2,ROW(My_Audit!A153))</f>
        <v>X153</v>
      </c>
      <c r="B154" s="46" t="str">
        <f>_xlfn.TEXTJOIN("-",TRUE,"ITD",Input!$A$2,A154)</f>
        <v>ITD-SHR-X153</v>
      </c>
      <c r="C154" s="46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46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46" t="e">
        <f>IF(_xlfn.XLOOKUP(A154,My_Audit!A:A,My_Audit!D:D),_xlfn.XLOOKUP(A154,My_Audit!A:A,My_Audit!D:D),"")</f>
        <v>#N/A</v>
      </c>
      <c r="F154" s="46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46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46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46" t="str">
        <f>_xlfn.XLOOKUP(A154,Output_Mac!A:A,Output_Mac!I:I,"")</f>
        <v/>
      </c>
      <c r="J154" s="46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46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46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46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N154" s="46"/>
      <c r="O154" s="46" t="str">
        <f>_xlfn.LET(
    _xlpm.CSVVal, _xlfn.XLOOKUP($A154, CSV!$A:$A, CSV!AA:AA,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46" t="str" cm="1">
        <f t="array" ref="P154">IFERROR(_xlfn.LET(
_xlpm.CSVVal,_xlfn.XLOOKUP($A154,CSV!$A:$A,CSV!AB:AB,""),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46" t="str" cm="1">
        <f t="array" ref="Q154">IFERROR(_xlfn.LET(
_xlpm.CSVVal,_xlfn.XLOOKUP($A154,CSV!$A:$A,CSV!AC:AC,""),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R154" s="46"/>
      <c r="S154" s="46"/>
      <c r="T154" s="46"/>
      <c r="U154" s="46"/>
      <c r="V154" s="46"/>
      <c r="W154" s="46"/>
      <c r="X154" s="47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46" t="str">
        <f>_xlfn.TEXTJOIN("",TRUE,Input!$B$2,ROW(My_Audit!A154))</f>
        <v>X154</v>
      </c>
      <c r="B155" s="46" t="str">
        <f>_xlfn.TEXTJOIN("-",TRUE,"ITD",Input!$A$2,A155)</f>
        <v>ITD-SHR-X154</v>
      </c>
      <c r="C155" s="46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46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46" t="e">
        <f>IF(_xlfn.XLOOKUP(A155,My_Audit!A:A,My_Audit!D:D),_xlfn.XLOOKUP(A155,My_Audit!A:A,My_Audit!D:D),"")</f>
        <v>#N/A</v>
      </c>
      <c r="F155" s="46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46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46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46" t="str">
        <f>_xlfn.XLOOKUP(A155,Output_Mac!A:A,Output_Mac!I:I,"")</f>
        <v/>
      </c>
      <c r="J155" s="46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46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46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46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N155" s="46"/>
      <c r="O155" s="46" t="str">
        <f>_xlfn.LET(
    _xlpm.CSVVal, _xlfn.XLOOKUP($A155, CSV!$A:$A, CSV!AA:AA,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46" t="str" cm="1">
        <f t="array" ref="P155">IFERROR(_xlfn.LET(
_xlpm.CSVVal,_xlfn.XLOOKUP($A155,CSV!$A:$A,CSV!AB:AB,""),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46" t="str" cm="1">
        <f t="array" ref="Q155">IFERROR(_xlfn.LET(
_xlpm.CSVVal,_xlfn.XLOOKUP($A155,CSV!$A:$A,CSV!AC:AC,""),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R155" s="46"/>
      <c r="S155" s="46"/>
      <c r="T155" s="46"/>
      <c r="U155" s="46"/>
      <c r="V155" s="46"/>
      <c r="W155" s="46"/>
      <c r="X155" s="47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46" t="str">
        <f>_xlfn.TEXTJOIN("",TRUE,Input!$B$2,ROW(My_Audit!A155))</f>
        <v>X155</v>
      </c>
      <c r="B156" s="46" t="str">
        <f>_xlfn.TEXTJOIN("-",TRUE,"ITD",Input!$A$2,A156)</f>
        <v>ITD-SHR-X155</v>
      </c>
      <c r="C156" s="46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46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46" t="e">
        <f>IF(_xlfn.XLOOKUP(A156,My_Audit!A:A,My_Audit!D:D),_xlfn.XLOOKUP(A156,My_Audit!A:A,My_Audit!D:D),"")</f>
        <v>#N/A</v>
      </c>
      <c r="F156" s="46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46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46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46" t="str">
        <f>_xlfn.XLOOKUP(A156,Output_Mac!A:A,Output_Mac!I:I,"")</f>
        <v/>
      </c>
      <c r="J156" s="46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46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46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46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N156" s="46"/>
      <c r="O156" s="46" t="str">
        <f>_xlfn.LET(
    _xlpm.CSVVal, _xlfn.XLOOKUP($A156, CSV!$A:$A, CSV!AA:AA,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46" t="str" cm="1">
        <f t="array" ref="P156">IFERROR(_xlfn.LET(
_xlpm.CSVVal,_xlfn.XLOOKUP($A156,CSV!$A:$A,CSV!AB:AB,""),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46" t="str" cm="1">
        <f t="array" ref="Q156">IFERROR(_xlfn.LET(
_xlpm.CSVVal,_xlfn.XLOOKUP($A156,CSV!$A:$A,CSV!AC:AC,""),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R156" s="46"/>
      <c r="S156" s="46"/>
      <c r="T156" s="46"/>
      <c r="U156" s="46"/>
      <c r="V156" s="46"/>
      <c r="W156" s="46"/>
      <c r="X156" s="47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46" t="str">
        <f>_xlfn.TEXTJOIN("",TRUE,Input!$B$2,ROW(My_Audit!A156))</f>
        <v>X156</v>
      </c>
      <c r="B157" s="46" t="str">
        <f>_xlfn.TEXTJOIN("-",TRUE,"ITD",Input!$A$2,A157)</f>
        <v>ITD-SHR-X156</v>
      </c>
      <c r="C157" s="46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46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46" t="e">
        <f>IF(_xlfn.XLOOKUP(A157,My_Audit!A:A,My_Audit!D:D),_xlfn.XLOOKUP(A157,My_Audit!A:A,My_Audit!D:D),"")</f>
        <v>#N/A</v>
      </c>
      <c r="F157" s="46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46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46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46" t="str">
        <f>_xlfn.XLOOKUP(A157,Output_Mac!A:A,Output_Mac!I:I,"")</f>
        <v/>
      </c>
      <c r="J157" s="46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46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46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46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N157" s="46"/>
      <c r="O157" s="46" t="str">
        <f>_xlfn.LET(
    _xlpm.CSVVal, _xlfn.XLOOKUP($A157, CSV!$A:$A, CSV!AA:AA,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46" t="str" cm="1">
        <f t="array" ref="P157">IFERROR(_xlfn.LET(
_xlpm.CSVVal,_xlfn.XLOOKUP($A157,CSV!$A:$A,CSV!AB:AB,""),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46" t="str" cm="1">
        <f t="array" ref="Q157">IFERROR(_xlfn.LET(
_xlpm.CSVVal,_xlfn.XLOOKUP($A157,CSV!$A:$A,CSV!AC:AC,""),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R157" s="46"/>
      <c r="S157" s="46"/>
      <c r="T157" s="46"/>
      <c r="U157" s="46"/>
      <c r="V157" s="46"/>
      <c r="W157" s="46"/>
      <c r="X157" s="4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46" t="str">
        <f>_xlfn.TEXTJOIN("",TRUE,Input!$B$2,ROW(My_Audit!A157))</f>
        <v>X157</v>
      </c>
      <c r="B158" s="46" t="str">
        <f>_xlfn.TEXTJOIN("-",TRUE,"ITD",Input!$A$2,A158)</f>
        <v>ITD-SHR-X157</v>
      </c>
      <c r="C158" s="46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46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46" t="e">
        <f>IF(_xlfn.XLOOKUP(A158,My_Audit!A:A,My_Audit!D:D),_xlfn.XLOOKUP(A158,My_Audit!A:A,My_Audit!D:D),"")</f>
        <v>#N/A</v>
      </c>
      <c r="F158" s="46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46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46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46" t="str">
        <f>_xlfn.XLOOKUP(A158,Output_Mac!A:A,Output_Mac!I:I,"")</f>
        <v/>
      </c>
      <c r="J158" s="46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46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46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46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N158" s="46"/>
      <c r="O158" s="46" t="str">
        <f>_xlfn.LET(
    _xlpm.CSVVal, _xlfn.XLOOKUP($A158, CSV!$A:$A, CSV!AA:AA,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46" t="str" cm="1">
        <f t="array" ref="P158">IFERROR(_xlfn.LET(
_xlpm.CSVVal,_xlfn.XLOOKUP($A158,CSV!$A:$A,CSV!AB:AB,""),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46" t="str" cm="1">
        <f t="array" ref="Q158">IFERROR(_xlfn.LET(
_xlpm.CSVVal,_xlfn.XLOOKUP($A158,CSV!$A:$A,CSV!AC:AC,""),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R158" s="46"/>
      <c r="S158" s="46"/>
      <c r="T158" s="46"/>
      <c r="U158" s="46"/>
      <c r="V158" s="46"/>
      <c r="W158" s="46"/>
      <c r="X158" s="47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46" t="str">
        <f>_xlfn.TEXTJOIN("",TRUE,Input!$B$2,ROW(My_Audit!A158))</f>
        <v>X158</v>
      </c>
      <c r="B159" s="46"/>
      <c r="C159" s="46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46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46" t="e">
        <f>IF(_xlfn.XLOOKUP(A159,My_Audit!A:A,My_Audit!D:D),_xlfn.XLOOKUP(A159,My_Audit!A:A,My_Audit!D:D),"")</f>
        <v>#N/A</v>
      </c>
      <c r="F159" s="46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46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46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46" t="str">
        <f>_xlfn.XLOOKUP(A159,Output_Mac!A:A,Output_Mac!I:I,"")</f>
        <v/>
      </c>
      <c r="J159" s="46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46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46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46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N159" s="46"/>
      <c r="O159" s="46" t="str">
        <f>_xlfn.LET(
    _xlpm.CSVVal, _xlfn.XLOOKUP($A159, CSV!$A:$A, CSV!AA:AA,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46" t="str" cm="1">
        <f t="array" ref="P159">IFERROR(_xlfn.LET(
_xlpm.CSVVal,_xlfn.XLOOKUP($A159,CSV!$A:$A,CSV!AB:AB,""),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46" t="str" cm="1">
        <f t="array" ref="Q159">IFERROR(_xlfn.LET(
_xlpm.CSVVal,_xlfn.XLOOKUP($A159,CSV!$A:$A,CSV!AC:AC,""),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R159" s="46"/>
      <c r="S159" s="46"/>
      <c r="T159" s="46"/>
      <c r="U159" s="46"/>
      <c r="V159" s="46"/>
      <c r="W159" s="46"/>
      <c r="X159" s="47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46" t="str">
        <f>_xlfn.TEXTJOIN("",TRUE,Input!$B$2,ROW(My_Audit!A159))</f>
        <v>X159</v>
      </c>
      <c r="B160" s="46"/>
      <c r="C160" s="46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46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46" t="e">
        <f>IF(_xlfn.XLOOKUP(A160,My_Audit!A:A,My_Audit!D:D),_xlfn.XLOOKUP(A160,My_Audit!A:A,My_Audit!D:D),"")</f>
        <v>#N/A</v>
      </c>
      <c r="F160" s="46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46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46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46" t="str">
        <f>_xlfn.XLOOKUP(A160,Output_Mac!A:A,Output_Mac!I:I,"")</f>
        <v/>
      </c>
      <c r="J160" s="46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46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46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46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N160" s="46"/>
      <c r="O160" s="46" t="str">
        <f>_xlfn.LET(
    _xlpm.CSVVal, _xlfn.XLOOKUP($A160, CSV!$A:$A, CSV!AA:AA,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46" t="str" cm="1">
        <f t="array" ref="P160">IFERROR(_xlfn.LET(
_xlpm.CSVVal,_xlfn.XLOOKUP($A160,CSV!$A:$A,CSV!AB:AB,""),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46" t="str" cm="1">
        <f t="array" ref="Q160">IFERROR(_xlfn.LET(
_xlpm.CSVVal,_xlfn.XLOOKUP($A160,CSV!$A:$A,CSV!AC:AC,""),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R160" s="46"/>
      <c r="S160" s="46"/>
      <c r="T160" s="46"/>
      <c r="U160" s="46"/>
      <c r="V160" s="46"/>
      <c r="W160" s="46"/>
      <c r="X160" s="47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46" t="str">
        <f>_xlfn.TEXTJOIN("",TRUE,Input!$B$2,ROW(My_Audit!A160))</f>
        <v>X160</v>
      </c>
      <c r="B161" s="46"/>
      <c r="C161" s="46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46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46" t="e">
        <f>IF(_xlfn.XLOOKUP(A161,My_Audit!A:A,My_Audit!D:D),_xlfn.XLOOKUP(A161,My_Audit!A:A,My_Audit!D:D),"")</f>
        <v>#N/A</v>
      </c>
      <c r="F161" s="46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46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46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46" t="str">
        <f>_xlfn.XLOOKUP(A161,Output_Mac!A:A,Output_Mac!I:I,"")</f>
        <v/>
      </c>
      <c r="J161" s="46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46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46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46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N161" s="46"/>
      <c r="O161" s="46" t="str">
        <f>_xlfn.LET(
    _xlpm.CSVVal, _xlfn.XLOOKUP($A161, CSV!$A:$A, CSV!AA:AA,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46" t="str" cm="1">
        <f t="array" ref="P161">IFERROR(_xlfn.LET(
_xlpm.CSVVal,_xlfn.XLOOKUP($A161,CSV!$A:$A,CSV!AB:AB,""),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46" t="str" cm="1">
        <f t="array" ref="Q161">IFERROR(_xlfn.LET(
_xlpm.CSVVal,_xlfn.XLOOKUP($A161,CSV!$A:$A,CSV!AC:AC,""),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R161" s="46"/>
      <c r="S161" s="46"/>
      <c r="T161" s="46"/>
      <c r="U161" s="46"/>
      <c r="V161" s="46"/>
      <c r="W161" s="46"/>
      <c r="X161" s="47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46" t="str">
        <f>_xlfn.TEXTJOIN("",TRUE,Input!$B$2,ROW(My_Audit!A161))</f>
        <v>X161</v>
      </c>
      <c r="B162" s="46"/>
      <c r="C162" s="46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46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46" t="e">
        <f>IF(_xlfn.XLOOKUP(A162,My_Audit!A:A,My_Audit!D:D),_xlfn.XLOOKUP(A162,My_Audit!A:A,My_Audit!D:D),"")</f>
        <v>#N/A</v>
      </c>
      <c r="F162" s="46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46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46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46" t="str">
        <f>_xlfn.XLOOKUP(A162,Output_Mac!A:A,Output_Mac!I:I,"")</f>
        <v/>
      </c>
      <c r="J162" s="46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46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46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46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N162" s="46"/>
      <c r="O162" s="46" t="str">
        <f>_xlfn.LET(
    _xlpm.CSVVal, _xlfn.XLOOKUP($A162, CSV!$A:$A, CSV!AA:AA,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46" t="str" cm="1">
        <f t="array" ref="P162">IFERROR(_xlfn.LET(
_xlpm.CSVVal,_xlfn.XLOOKUP($A162,CSV!$A:$A,CSV!AB:AB,""),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46" t="str" cm="1">
        <f t="array" ref="Q162">IFERROR(_xlfn.LET(
_xlpm.CSVVal,_xlfn.XLOOKUP($A162,CSV!$A:$A,CSV!AC:AC,""),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R162" s="46"/>
      <c r="S162" s="46"/>
      <c r="T162" s="46"/>
      <c r="U162" s="46"/>
      <c r="V162" s="46"/>
      <c r="W162" s="46"/>
      <c r="X162" s="47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46" t="str">
        <f>_xlfn.TEXTJOIN("",TRUE,Input!$B$2,ROW(My_Audit!A162))</f>
        <v>X162</v>
      </c>
      <c r="B163" s="46"/>
      <c r="C163" s="46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46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46" t="e">
        <f>IF(_xlfn.XLOOKUP(A163,My_Audit!A:A,My_Audit!D:D),_xlfn.XLOOKUP(A163,My_Audit!A:A,My_Audit!D:D),"")</f>
        <v>#N/A</v>
      </c>
      <c r="F163" s="46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46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46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46" t="str">
        <f>_xlfn.XLOOKUP(A163,Output_Mac!A:A,Output_Mac!I:I,"")</f>
        <v/>
      </c>
      <c r="J163" s="46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46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46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46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N163" s="46"/>
      <c r="O163" s="46" t="str">
        <f>_xlfn.LET(
    _xlpm.CSVVal, _xlfn.XLOOKUP($A163, CSV!$A:$A, CSV!AA:AA,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46" t="str" cm="1">
        <f t="array" ref="P163">IFERROR(_xlfn.LET(
_xlpm.CSVVal,_xlfn.XLOOKUP($A163,CSV!$A:$A,CSV!AB:AB,""),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46" t="str" cm="1">
        <f t="array" ref="Q163">IFERROR(_xlfn.LET(
_xlpm.CSVVal,_xlfn.XLOOKUP($A163,CSV!$A:$A,CSV!AC:AC,""),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R163" s="46"/>
      <c r="S163" s="46"/>
      <c r="T163" s="46"/>
      <c r="U163" s="46"/>
      <c r="V163" s="46"/>
      <c r="W163" s="46"/>
      <c r="X163" s="47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46" t="str">
        <f>_xlfn.TEXTJOIN("",TRUE,Input!$B$2,ROW(My_Audit!A163))</f>
        <v>X163</v>
      </c>
      <c r="B164" s="46"/>
      <c r="C164" s="46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46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46" t="e">
        <f>IF(_xlfn.XLOOKUP(A164,My_Audit!A:A,My_Audit!D:D),_xlfn.XLOOKUP(A164,My_Audit!A:A,My_Audit!D:D),"")</f>
        <v>#N/A</v>
      </c>
      <c r="F164" s="46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46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46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46" t="str">
        <f>_xlfn.XLOOKUP(A164,Output_Mac!A:A,Output_Mac!I:I,"")</f>
        <v/>
      </c>
      <c r="J164" s="46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46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46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46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N164" s="46"/>
      <c r="O164" s="46" t="str">
        <f>_xlfn.LET(
    _xlpm.CSVVal, _xlfn.XLOOKUP($A164, CSV!$A:$A, CSV!AA:AA,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46" t="str" cm="1">
        <f t="array" ref="P164">IFERROR(_xlfn.LET(
_xlpm.CSVVal,_xlfn.XLOOKUP($A164,CSV!$A:$A,CSV!AB:AB,""),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46" t="str" cm="1">
        <f t="array" ref="Q164">IFERROR(_xlfn.LET(
_xlpm.CSVVal,_xlfn.XLOOKUP($A164,CSV!$A:$A,CSV!AC:AC,""),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R164" s="46"/>
      <c r="S164" s="46"/>
      <c r="T164" s="46"/>
      <c r="U164" s="46"/>
      <c r="V164" s="46"/>
      <c r="W164" s="46"/>
      <c r="X164" s="47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46" t="str">
        <f>_xlfn.TEXTJOIN("",TRUE,Input!$B$2,ROW(My_Audit!A164))</f>
        <v>X164</v>
      </c>
      <c r="B165" s="46"/>
      <c r="C165" s="46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46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46" t="e">
        <f>IF(_xlfn.XLOOKUP(A165,My_Audit!A:A,My_Audit!D:D),_xlfn.XLOOKUP(A165,My_Audit!A:A,My_Audit!D:D),"")</f>
        <v>#N/A</v>
      </c>
      <c r="F165" s="46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46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46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46" t="str">
        <f>_xlfn.XLOOKUP(A165,Output_Mac!A:A,Output_Mac!I:I,"")</f>
        <v/>
      </c>
      <c r="J165" s="46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46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46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46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46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46" t="str">
        <f>_xlfn.LET(
    _xlpm.CSVVal, _xlfn.XLOOKUP($A165, CSV!$A:$A, CSV!AA:AA,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46" t="str" cm="1">
        <f t="array" ref="P165">IFERROR(_xlfn.LET(
_xlpm.CSVVal,_xlfn.XLOOKUP($A165,CSV!$A:$A,CSV!AB:AB,""),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46" t="str" cm="1">
        <f t="array" ref="Q165">IFERROR(_xlfn.LET(
_xlpm.CSVVal,_xlfn.XLOOKUP($A165,CSV!$A:$A,CSV!AC:AC,""),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R165" s="46"/>
      <c r="S165" s="46"/>
      <c r="T165" s="46"/>
      <c r="U165" s="46"/>
      <c r="V165" s="46"/>
      <c r="W165" s="46"/>
      <c r="X165" s="47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46" t="str">
        <f>_xlfn.TEXTJOIN("",TRUE,Input!$B$2,ROW(My_Audit!A165))</f>
        <v>X165</v>
      </c>
      <c r="B166" s="46"/>
      <c r="C166" s="46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46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46" t="e">
        <f>IF(_xlfn.XLOOKUP(A166,My_Audit!A:A,My_Audit!D:D),_xlfn.XLOOKUP(A166,My_Audit!A:A,My_Audit!D:D),"")</f>
        <v>#N/A</v>
      </c>
      <c r="F166" s="46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46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46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46" t="str">
        <f>_xlfn.XLOOKUP(A166,Output_Mac!A:A,Output_Mac!I:I,"")</f>
        <v/>
      </c>
      <c r="J166" s="46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46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46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46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46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46" t="str">
        <f>_xlfn.LET(
    _xlpm.CSVVal, _xlfn.XLOOKUP($A166, CSV!$A:$A, CSV!AA:AA,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46" t="str" cm="1">
        <f t="array" ref="P166">IFERROR(_xlfn.LET(
_xlpm.CSVVal,_xlfn.XLOOKUP($A166,CSV!$A:$A,CSV!AB:AB,""),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46" t="str" cm="1">
        <f t="array" ref="Q166">IFERROR(_xlfn.LET(
_xlpm.CSVVal,_xlfn.XLOOKUP($A166,CSV!$A:$A,CSV!AC:AC,""),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R166" s="46"/>
      <c r="S166" s="46"/>
      <c r="T166" s="46"/>
      <c r="U166" s="46"/>
      <c r="V166" s="46"/>
      <c r="W166" s="46"/>
      <c r="X166" s="47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46" t="str">
        <f>_xlfn.TEXTJOIN("",TRUE,Input!$B$2,ROW(My_Audit!A166))</f>
        <v>X166</v>
      </c>
      <c r="B167" s="46"/>
      <c r="C167" s="46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46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46" t="e">
        <f>IF(_xlfn.XLOOKUP(A167,My_Audit!A:A,My_Audit!D:D),_xlfn.XLOOKUP(A167,My_Audit!A:A,My_Audit!D:D),"")</f>
        <v>#N/A</v>
      </c>
      <c r="F167" s="46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46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46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46" t="str">
        <f>_xlfn.XLOOKUP(A167,Output_Mac!A:A,Output_Mac!I:I,"")</f>
        <v/>
      </c>
      <c r="J167" s="46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46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46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46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46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46" t="str">
        <f>_xlfn.LET(
    _xlpm.CSVVal, _xlfn.XLOOKUP($A167, CSV!$A:$A, CSV!AA:AA,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46" t="str" cm="1">
        <f t="array" ref="P167">IFERROR(_xlfn.LET(
_xlpm.CSVVal,_xlfn.XLOOKUP($A167,CSV!$A:$A,CSV!AB:AB,""),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46" t="str" cm="1">
        <f t="array" ref="Q167">IFERROR(_xlfn.LET(
_xlpm.CSVVal,_xlfn.XLOOKUP($A167,CSV!$A:$A,CSV!AC:AC,""),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  <c r="R167" s="46"/>
      <c r="S167" s="46"/>
      <c r="T167" s="46"/>
      <c r="U167" s="46"/>
      <c r="V167" s="46"/>
      <c r="W167" s="46"/>
      <c r="X167" s="47"/>
    </row>
    <row r="168" spans="1:24">
      <c r="A168" s="46" t="str">
        <f>_xlfn.TEXTJOIN("",TRUE,Input!$B$2,ROW(My_Audit!A167))</f>
        <v>X167</v>
      </c>
      <c r="B168" s="46"/>
      <c r="C168" s="46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46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46" t="e">
        <f>IF(_xlfn.XLOOKUP(A168,My_Audit!A:A,My_Audit!D:D),_xlfn.XLOOKUP(A168,My_Audit!A:A,My_Audit!D:D),"")</f>
        <v>#N/A</v>
      </c>
      <c r="F168" s="46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46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46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46" t="str">
        <f>_xlfn.XLOOKUP(A168,Output_Mac!A:A,Output_Mac!I:I,"")</f>
        <v/>
      </c>
      <c r="J168" s="46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46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46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46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46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46" t="str">
        <f>_xlfn.LET(
    _xlpm.CSVVal, _xlfn.XLOOKUP($A168, CSV!$A:$A, CSV!AA:AA,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46" t="str" cm="1">
        <f t="array" ref="P168">IFERROR(_xlfn.LET(
_xlpm.CSVVal,_xlfn.XLOOKUP($A168,CSV!$A:$A,CSV!AB:AB,""),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46" t="str" cm="1">
        <f t="array" ref="Q168">IFERROR(_xlfn.LET(
_xlpm.CSVVal,_xlfn.XLOOKUP($A168,CSV!$A:$A,CSV!AC:AC,""),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  <c r="R168" s="46"/>
      <c r="S168" s="46"/>
      <c r="T168" s="46"/>
      <c r="U168" s="46"/>
      <c r="V168" s="46"/>
      <c r="W168" s="46"/>
      <c r="X168" s="47"/>
    </row>
    <row r="169" spans="1:24">
      <c r="A169" s="46" t="str">
        <f>_xlfn.TEXTJOIN("",TRUE,Input!$B$2,ROW(My_Audit!A168))</f>
        <v>X168</v>
      </c>
      <c r="B169" s="46"/>
      <c r="C169" s="46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46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46" t="e">
        <f>IF(_xlfn.XLOOKUP(A169,My_Audit!A:A,My_Audit!D:D),_xlfn.XLOOKUP(A169,My_Audit!A:A,My_Audit!D:D),"")</f>
        <v>#N/A</v>
      </c>
      <c r="F169" s="46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46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46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46" t="str">
        <f>_xlfn.XLOOKUP(A169,Output_Mac!A:A,Output_Mac!I:I,"")</f>
        <v/>
      </c>
      <c r="J169" s="46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46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46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46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46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46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46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46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  <c r="R169" s="46"/>
      <c r="S169" s="46"/>
      <c r="T169" s="46"/>
      <c r="U169" s="46"/>
      <c r="V169" s="46"/>
      <c r="W169" s="46"/>
      <c r="X169" s="47"/>
    </row>
    <row r="170" spans="1:24">
      <c r="A170" s="46"/>
      <c r="B170" s="46"/>
      <c r="C170" s="46"/>
      <c r="D170" s="46"/>
      <c r="E170" s="46"/>
      <c r="F170" s="46"/>
      <c r="G170" s="46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H170" s="46"/>
      <c r="I170" s="46" t="str">
        <f>_xlfn.XLOOKUP(A170,Output_Mac!A:A,Output_Mac!I:I,"")</f>
        <v/>
      </c>
      <c r="J170" s="46"/>
      <c r="K170" s="46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46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46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N170" s="46"/>
      <c r="O170" s="46" t="str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/>
      </c>
      <c r="P170" s="46"/>
      <c r="Q170" s="46"/>
      <c r="R170" s="46"/>
      <c r="S170" s="46"/>
      <c r="T170" s="46"/>
      <c r="U170" s="46"/>
      <c r="V170" s="46"/>
      <c r="W170" s="46"/>
      <c r="X170" s="47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A2" sqref="A2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7" t="s">
        <v>1</v>
      </c>
      <c r="B1" s="38" t="s">
        <v>2</v>
      </c>
      <c r="C1" s="38" t="s">
        <v>5</v>
      </c>
      <c r="D1" s="38" t="s">
        <v>6</v>
      </c>
      <c r="E1" s="38" t="s">
        <v>529</v>
      </c>
      <c r="F1" s="38" t="s">
        <v>530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tabSelected="1" workbookViewId="0">
      <selection activeCell="A2" sqref="A2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40" t="s">
        <v>0</v>
      </c>
      <c r="B1" s="40" t="s">
        <v>1</v>
      </c>
      <c r="C1" s="40" t="s">
        <v>2</v>
      </c>
      <c r="D1" s="40" t="s">
        <v>523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  <c r="L1" s="40" t="s">
        <v>524</v>
      </c>
      <c r="M1" s="40" t="s">
        <v>12</v>
      </c>
      <c r="N1" s="40" t="s">
        <v>532</v>
      </c>
      <c r="O1" s="40" t="s">
        <v>13</v>
      </c>
      <c r="P1" s="40"/>
      <c r="Q1" s="40" t="s">
        <v>525</v>
      </c>
      <c r="R1" s="40" t="s">
        <v>526</v>
      </c>
      <c r="S1" s="40" t="s">
        <v>16</v>
      </c>
      <c r="T1" s="40" t="s">
        <v>17</v>
      </c>
      <c r="U1" s="40" t="s">
        <v>18</v>
      </c>
      <c r="V1" s="40" t="s">
        <v>19</v>
      </c>
      <c r="W1" s="40" t="s">
        <v>20</v>
      </c>
      <c r="X1" s="40" t="s">
        <v>21</v>
      </c>
    </row>
    <row r="2" spans="1:24" ht="15.75" thickTop="1">
      <c r="A2" t="str">
        <f>_xlfn.TEXTJOIN("",TRUE,Input!$B$2,"0",ROW(My_Audit!A1))</f>
        <v>X01</v>
      </c>
      <c r="D2" s="34"/>
    </row>
    <row r="3" spans="1:24">
      <c r="A3" t="str">
        <f>_xlfn.TEXTJOIN("",TRUE,Input!$B$2,"0",ROW(My_Audit!A2))</f>
        <v>X02</v>
      </c>
    </row>
    <row r="4" spans="1:24">
      <c r="A4" t="str">
        <f>_xlfn.TEXTJOIN("",TRUE,Input!$B$2,"0",ROW(My_Audit!A3))</f>
        <v>X03</v>
      </c>
    </row>
    <row r="5" spans="1:24">
      <c r="A5" t="str">
        <f>_xlfn.TEXTJOIN("",TRUE,Input!$B$2,"0",ROW(My_Audit!A4))</f>
        <v>X04</v>
      </c>
    </row>
    <row r="6" spans="1:24">
      <c r="A6" t="str">
        <f>_xlfn.TEXTJOIN("",TRUE,Input!$B$2,"0",ROW(My_Audit!A5))</f>
        <v>X05</v>
      </c>
    </row>
    <row r="7" spans="1:24">
      <c r="A7" t="str">
        <f>_xlfn.TEXTJOIN("",TRUE,Input!$B$2,"0",ROW(My_Audit!A6))</f>
        <v>X06</v>
      </c>
    </row>
    <row r="8" spans="1:24">
      <c r="A8" t="str">
        <f>_xlfn.TEXTJOIN("",TRUE,Input!$B$2,"0",ROW(My_Audit!A7))</f>
        <v>X07</v>
      </c>
    </row>
    <row r="9" spans="1:24">
      <c r="A9" t="str">
        <f>_xlfn.TEXTJOIN("",TRUE,Input!$B$2,"0",ROW(My_Audit!A8))</f>
        <v>X08</v>
      </c>
    </row>
    <row r="10" spans="1:24">
      <c r="A10" t="str">
        <f>_xlfn.TEXTJOIN("",TRUE,Input!$B$2,"0",ROW(My_Audit!A9))</f>
        <v>X09</v>
      </c>
    </row>
    <row r="11" spans="1:24">
      <c r="A11" t="str">
        <f>_xlfn.TEXTJOIN("",TRUE,Input!$B$2,ROW(My_Audit!A10))</f>
        <v>X10</v>
      </c>
    </row>
    <row r="12" spans="1:24">
      <c r="A12" t="str">
        <f>_xlfn.TEXTJOIN("",TRUE,Input!$B$2,ROW(My_Audit!A11))</f>
        <v>X11</v>
      </c>
    </row>
    <row r="13" spans="1:24">
      <c r="A13" t="str">
        <f>_xlfn.TEXTJOIN("",TRUE,Input!$B$2,ROW(My_Audit!A12))</f>
        <v>X12</v>
      </c>
    </row>
    <row r="14" spans="1:24">
      <c r="A14" t="str">
        <f>_xlfn.TEXTJOIN("",TRUE,Input!$B$2,ROW(My_Audit!A13))</f>
        <v>X13</v>
      </c>
    </row>
    <row r="15" spans="1:24">
      <c r="A15" t="str">
        <f>_xlfn.TEXTJOIN("",TRUE,Input!$B$2,ROW(My_Audit!A14))</f>
        <v>X14</v>
      </c>
    </row>
    <row r="16" spans="1:24">
      <c r="A16" t="str">
        <f>_xlfn.TEXTJOIN("",TRUE,Input!$B$2,ROW(My_Audit!A15))</f>
        <v>X15</v>
      </c>
    </row>
    <row r="17" spans="1:1">
      <c r="A17" t="str">
        <f>_xlfn.TEXTJOIN("",TRUE,Input!$B$2,ROW(My_Audit!A16))</f>
        <v>X16</v>
      </c>
    </row>
    <row r="18" spans="1:1">
      <c r="A18" t="str">
        <f>_xlfn.TEXTJOIN("",TRUE,Input!$B$2,ROW(My_Audit!A17))</f>
        <v>X17</v>
      </c>
    </row>
    <row r="19" spans="1:1">
      <c r="A19" t="str">
        <f>_xlfn.TEXTJOIN("",TRUE,Input!$B$2,ROW(My_Audit!A18))</f>
        <v>X18</v>
      </c>
    </row>
    <row r="20" spans="1:1">
      <c r="A20" t="str">
        <f>_xlfn.TEXTJOIN("",TRUE,Input!$B$2,ROW(My_Audit!A19))</f>
        <v>X19</v>
      </c>
    </row>
    <row r="21" spans="1:1">
      <c r="A21" t="str">
        <f>_xlfn.TEXTJOIN("",TRUE,Input!$B$2,ROW(My_Audit!A20))</f>
        <v>X20</v>
      </c>
    </row>
    <row r="22" spans="1:1">
      <c r="A22" t="str">
        <f>_xlfn.TEXTJOIN("",TRUE,Input!$B$2,ROW(My_Audit!A21))</f>
        <v>X21</v>
      </c>
    </row>
    <row r="23" spans="1:1">
      <c r="A23" t="str">
        <f>_xlfn.TEXTJOIN("",TRUE,Input!$B$2,ROW(My_Audit!A22))</f>
        <v>X22</v>
      </c>
    </row>
    <row r="24" spans="1:1">
      <c r="A24" t="str">
        <f>_xlfn.TEXTJOIN("",TRUE,Input!$B$2,ROW(My_Audit!A23))</f>
        <v>X23</v>
      </c>
    </row>
    <row r="25" spans="1:1">
      <c r="A25" t="str">
        <f>_xlfn.TEXTJOIN("",TRUE,Input!$B$2,ROW(My_Audit!A24))</f>
        <v>X24</v>
      </c>
    </row>
    <row r="26" spans="1:1">
      <c r="A26" t="str">
        <f>_xlfn.TEXTJOIN("",TRUE,Input!$B$2,ROW(My_Audit!A25))</f>
        <v>X25</v>
      </c>
    </row>
    <row r="27" spans="1:1">
      <c r="A27" t="str">
        <f>_xlfn.TEXTJOIN("",TRUE,Input!$B$2,ROW(My_Audit!A26))</f>
        <v>X26</v>
      </c>
    </row>
    <row r="28" spans="1:1">
      <c r="A28" t="str">
        <f>_xlfn.TEXTJOIN("",TRUE,Input!$B$2,ROW(My_Audit!A27))</f>
        <v>X27</v>
      </c>
    </row>
    <row r="29" spans="1:1">
      <c r="A29" t="str">
        <f>_xlfn.TEXTJOIN("",TRUE,Input!$B$2,ROW(My_Audit!A28))</f>
        <v>X28</v>
      </c>
    </row>
    <row r="30" spans="1:1">
      <c r="A30" t="str">
        <f>_xlfn.TEXTJOIN("",TRUE,Input!$B$2,ROW(My_Audit!A29))</f>
        <v>X29</v>
      </c>
    </row>
    <row r="31" spans="1:1">
      <c r="A31" t="str">
        <f>_xlfn.TEXTJOIN("",TRUE,Input!$B$2,ROW(My_Audit!A30))</f>
        <v>X30</v>
      </c>
    </row>
    <row r="32" spans="1:1">
      <c r="A32" t="str">
        <f>_xlfn.TEXTJOIN("",TRUE,Input!$B$2,ROW(My_Audit!A31))</f>
        <v>X31</v>
      </c>
    </row>
    <row r="33" spans="1:16">
      <c r="A33" t="str">
        <f>_xlfn.TEXTJOIN("",TRUE,Input!$B$2,ROW(My_Audit!A32))</f>
        <v>X32</v>
      </c>
    </row>
    <row r="34" spans="1:16">
      <c r="A34" t="str">
        <f>_xlfn.TEXTJOIN("",TRUE,Input!$B$2,ROW(My_Audit!A33))</f>
        <v>X33</v>
      </c>
    </row>
    <row r="35" spans="1:16">
      <c r="A35" t="str">
        <f>_xlfn.TEXTJOIN("",TRUE,Input!$B$2,ROW(My_Audit!A34))</f>
        <v>X34</v>
      </c>
    </row>
    <row r="36" spans="1:16">
      <c r="A36" t="str">
        <f>_xlfn.TEXTJOIN("",TRUE,Input!$B$2,ROW(My_Audit!A35))</f>
        <v>X35</v>
      </c>
    </row>
    <row r="37" spans="1:16">
      <c r="A37" t="str">
        <f>_xlfn.TEXTJOIN("",TRUE,Input!$B$2,ROW(My_Audit!A36))</f>
        <v>X36</v>
      </c>
    </row>
    <row r="38" spans="1:16">
      <c r="A38" t="str">
        <f>_xlfn.TEXTJOIN("",TRUE,Input!$B$2,ROW(My_Audit!A37))</f>
        <v>X37</v>
      </c>
    </row>
    <row r="39" spans="1:16">
      <c r="A39" t="str">
        <f>_xlfn.TEXTJOIN("",TRUE,Input!$B$2,ROW(My_Audit!A38))</f>
        <v>X38</v>
      </c>
    </row>
    <row r="40" spans="1:16">
      <c r="A40" t="str">
        <f>_xlfn.TEXTJOIN("",TRUE,Input!$B$2,ROW(My_Audit!A39))</f>
        <v>X39</v>
      </c>
    </row>
    <row r="41" spans="1:16">
      <c r="A41" t="str">
        <f>_xlfn.TEXTJOIN("",TRUE,Input!$B$2,ROW(My_Audit!A40))</f>
        <v>X40</v>
      </c>
    </row>
    <row r="42" spans="1:16">
      <c r="A42" t="str">
        <f>_xlfn.TEXTJOIN("",TRUE,Input!$B$2,ROW(My_Audit!A41))</f>
        <v>X41</v>
      </c>
    </row>
    <row r="43" spans="1:16">
      <c r="A43" t="str">
        <f>_xlfn.TEXTJOIN("",TRUE,Input!$B$2,ROW(My_Audit!A42))</f>
        <v>X42</v>
      </c>
    </row>
    <row r="44" spans="1:16">
      <c r="A44" t="str">
        <f>_xlfn.TEXTJOIN("",TRUE,Input!$B$2,ROW(My_Audit!A43))</f>
        <v>X43</v>
      </c>
      <c r="P44" t="str">
        <f t="shared" ref="P44:P66" si="0">_xlfn.TEXTJOIN(", ",TRUE,N44,O44)</f>
        <v/>
      </c>
    </row>
    <row r="45" spans="1:16">
      <c r="A45" t="str">
        <f>_xlfn.TEXTJOIN("",TRUE,Input!$B$2,ROW(My_Audit!A44))</f>
        <v>X44</v>
      </c>
      <c r="P45" t="str">
        <f t="shared" si="0"/>
        <v/>
      </c>
    </row>
    <row r="46" spans="1:16" ht="15.75" thickBot="1">
      <c r="A46" t="str">
        <f>_xlfn.TEXTJOIN("",TRUE,Input!$B$2,ROW(My_Audit!A45))</f>
        <v>X45</v>
      </c>
      <c r="P46" t="str">
        <f t="shared" si="0"/>
        <v/>
      </c>
    </row>
    <row r="47" spans="1:16" ht="15.75" thickBot="1">
      <c r="A47" t="str">
        <f>_xlfn.TEXTJOIN("",TRUE,Input!$B$2,ROW(My_Audit!A46))</f>
        <v>X46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_xlfn.TEXTJOIN("",TRUE,Input!$B$2,ROW(My_Audit!A47))</f>
        <v>X47</v>
      </c>
      <c r="P48" t="str">
        <f t="shared" si="0"/>
        <v/>
      </c>
    </row>
    <row r="49" spans="1:16">
      <c r="A49" t="str">
        <f>_xlfn.TEXTJOIN("",TRUE,Input!$B$2,ROW(My_Audit!A48))</f>
        <v>X48</v>
      </c>
      <c r="P49" t="str">
        <f t="shared" si="0"/>
        <v/>
      </c>
    </row>
    <row r="50" spans="1:16">
      <c r="A50" t="str">
        <f>_xlfn.TEXTJOIN("",TRUE,Input!$B$2,ROW(My_Audit!A49))</f>
        <v>X49</v>
      </c>
      <c r="P50" t="str">
        <f t="shared" si="0"/>
        <v/>
      </c>
    </row>
    <row r="51" spans="1:16">
      <c r="A51" t="str">
        <f>_xlfn.TEXTJOIN("",TRUE,Input!$B$2,ROW(My_Audit!A50))</f>
        <v>X50</v>
      </c>
      <c r="P51" t="str">
        <f t="shared" si="0"/>
        <v/>
      </c>
    </row>
    <row r="52" spans="1:16">
      <c r="A52" t="str">
        <f>_xlfn.TEXTJOIN("",TRUE,Input!$B$2,ROW(My_Audit!A51))</f>
        <v>X51</v>
      </c>
      <c r="P52" t="str">
        <f t="shared" si="0"/>
        <v/>
      </c>
    </row>
    <row r="53" spans="1:16">
      <c r="A53" t="str">
        <f>_xlfn.TEXTJOIN("",TRUE,Input!$B$2,ROW(My_Audit!A52))</f>
        <v>X52</v>
      </c>
      <c r="P53" t="str">
        <f t="shared" si="0"/>
        <v/>
      </c>
    </row>
    <row r="54" spans="1:16">
      <c r="A54" t="str">
        <f>_xlfn.TEXTJOIN("",TRUE,Input!$B$2,ROW(My_Audit!A53))</f>
        <v>X53</v>
      </c>
      <c r="P54" t="str">
        <f t="shared" si="0"/>
        <v/>
      </c>
    </row>
    <row r="55" spans="1:16">
      <c r="A55" t="str">
        <f>_xlfn.TEXTJOIN("",TRUE,Input!$B$2,ROW(My_Audit!A54))</f>
        <v>X54</v>
      </c>
      <c r="P55" t="str">
        <f t="shared" si="0"/>
        <v/>
      </c>
    </row>
    <row r="56" spans="1:16">
      <c r="A56" t="str">
        <f>_xlfn.TEXTJOIN("",TRUE,Input!$B$2,ROW(My_Audit!A55))</f>
        <v>X55</v>
      </c>
      <c r="P56" t="str">
        <f t="shared" si="0"/>
        <v/>
      </c>
    </row>
    <row r="57" spans="1:16">
      <c r="A57" t="str">
        <f>_xlfn.TEXTJOIN("",TRUE,Input!$B$2,ROW(My_Audit!A56))</f>
        <v>X56</v>
      </c>
      <c r="P57" t="str">
        <f t="shared" si="0"/>
        <v/>
      </c>
    </row>
    <row r="58" spans="1:16">
      <c r="A58" t="str">
        <f>_xlfn.TEXTJOIN("",TRUE,Input!$B$2,ROW(My_Audit!A57))</f>
        <v>X57</v>
      </c>
      <c r="P58" t="str">
        <f t="shared" si="0"/>
        <v/>
      </c>
    </row>
    <row r="59" spans="1:16">
      <c r="A59" t="str">
        <f>_xlfn.TEXTJOIN("",TRUE,Input!$B$2,ROW(My_Audit!A58))</f>
        <v>X58</v>
      </c>
      <c r="P59" t="str">
        <f t="shared" si="0"/>
        <v/>
      </c>
    </row>
    <row r="60" spans="1:16">
      <c r="A60" t="str">
        <f>_xlfn.TEXTJOIN("",TRUE,Input!$B$2,ROW(My_Audit!A59))</f>
        <v>X59</v>
      </c>
      <c r="P60" t="str">
        <f t="shared" si="0"/>
        <v/>
      </c>
    </row>
    <row r="61" spans="1:16">
      <c r="A61" t="str">
        <f>_xlfn.TEXTJOIN("",TRUE,Input!$B$2,ROW(My_Audit!A60))</f>
        <v>X60</v>
      </c>
      <c r="P61" t="str">
        <f t="shared" si="0"/>
        <v/>
      </c>
    </row>
    <row r="62" spans="1:16">
      <c r="A62" t="str">
        <f>_xlfn.TEXTJOIN("",TRUE,Input!$B$2,ROW(My_Audit!A61))</f>
        <v>X61</v>
      </c>
      <c r="P62" t="str">
        <f t="shared" si="0"/>
        <v/>
      </c>
    </row>
    <row r="63" spans="1:16">
      <c r="A63" t="str">
        <f>_xlfn.TEXTJOIN("",TRUE,Input!$B$2,ROW(My_Audit!A62))</f>
        <v>X62</v>
      </c>
      <c r="P63" t="str">
        <f t="shared" si="0"/>
        <v/>
      </c>
    </row>
    <row r="64" spans="1:16">
      <c r="A64" t="str">
        <f>_xlfn.TEXTJOIN("",TRUE,Input!$B$2,ROW(My_Audit!A63))</f>
        <v>X63</v>
      </c>
      <c r="P64" t="str">
        <f t="shared" si="0"/>
        <v/>
      </c>
    </row>
    <row r="65" spans="1:16">
      <c r="A65" t="str">
        <f>_xlfn.TEXTJOIN("",TRUE,Input!$B$2,ROW(My_Audit!A64))</f>
        <v>X64</v>
      </c>
      <c r="P65" t="str">
        <f t="shared" si="0"/>
        <v/>
      </c>
    </row>
    <row r="66" spans="1:16">
      <c r="A66" t="str">
        <f>_xlfn.TEXTJOIN("",TRUE,Input!$B$2,ROW(My_Audit!A65))</f>
        <v>X65</v>
      </c>
      <c r="P66" t="str">
        <f t="shared" si="0"/>
        <v/>
      </c>
    </row>
    <row r="67" spans="1:16">
      <c r="P67" t="str">
        <f t="shared" ref="P67:P130" si="1">_xlfn.TEXTJOIN(", ",TRUE,N67,O67)</f>
        <v/>
      </c>
    </row>
    <row r="68" spans="1:16">
      <c r="P68" t="str">
        <f t="shared" si="1"/>
        <v/>
      </c>
    </row>
    <row r="69" spans="1:16">
      <c r="P69" t="str">
        <f t="shared" si="1"/>
        <v/>
      </c>
    </row>
    <row r="70" spans="1:16">
      <c r="P70" t="str">
        <f t="shared" si="1"/>
        <v/>
      </c>
    </row>
    <row r="71" spans="1:16">
      <c r="P71" t="str">
        <f t="shared" si="1"/>
        <v/>
      </c>
    </row>
    <row r="72" spans="1:16">
      <c r="P72" t="str">
        <f t="shared" si="1"/>
        <v/>
      </c>
    </row>
    <row r="73" spans="1:16">
      <c r="P73" t="str">
        <f t="shared" si="1"/>
        <v/>
      </c>
    </row>
    <row r="74" spans="1:16">
      <c r="P74" t="str">
        <f t="shared" si="1"/>
        <v/>
      </c>
    </row>
    <row r="75" spans="1:16">
      <c r="P75" t="str">
        <f t="shared" si="1"/>
        <v/>
      </c>
    </row>
    <row r="76" spans="1:16">
      <c r="P76" t="str">
        <f t="shared" si="1"/>
        <v/>
      </c>
    </row>
    <row r="77" spans="1:16">
      <c r="P77" t="str">
        <f t="shared" si="1"/>
        <v/>
      </c>
    </row>
    <row r="78" spans="1:16">
      <c r="P78" t="str">
        <f t="shared" si="1"/>
        <v/>
      </c>
    </row>
    <row r="79" spans="1:16">
      <c r="P79" t="str">
        <f t="shared" si="1"/>
        <v/>
      </c>
    </row>
    <row r="80" spans="1:16">
      <c r="P80" t="str">
        <f t="shared" si="1"/>
        <v/>
      </c>
    </row>
    <row r="81" spans="16:16">
      <c r="P81" t="str">
        <f t="shared" si="1"/>
        <v/>
      </c>
    </row>
    <row r="82" spans="16:16">
      <c r="P82" t="str">
        <f t="shared" si="1"/>
        <v/>
      </c>
    </row>
    <row r="83" spans="16:16">
      <c r="P83" t="str">
        <f t="shared" si="1"/>
        <v/>
      </c>
    </row>
    <row r="84" spans="16:16">
      <c r="P84" t="str">
        <f t="shared" si="1"/>
        <v/>
      </c>
    </row>
    <row r="85" spans="16:16">
      <c r="P85" t="str">
        <f t="shared" si="1"/>
        <v/>
      </c>
    </row>
    <row r="86" spans="16:16">
      <c r="P86" t="str">
        <f t="shared" si="1"/>
        <v/>
      </c>
    </row>
    <row r="87" spans="16:16">
      <c r="P87" t="str">
        <f t="shared" si="1"/>
        <v/>
      </c>
    </row>
    <row r="88" spans="16:16">
      <c r="P88" t="str">
        <f t="shared" si="1"/>
        <v/>
      </c>
    </row>
    <row r="89" spans="16:16">
      <c r="P89" t="str">
        <f t="shared" si="1"/>
        <v/>
      </c>
    </row>
    <row r="90" spans="16:16">
      <c r="P90" t="str">
        <f t="shared" si="1"/>
        <v/>
      </c>
    </row>
    <row r="91" spans="16:16">
      <c r="P91" t="str">
        <f t="shared" si="1"/>
        <v/>
      </c>
    </row>
    <row r="92" spans="16:16">
      <c r="P92" t="str">
        <f t="shared" si="1"/>
        <v/>
      </c>
    </row>
    <row r="93" spans="16:16">
      <c r="P93" t="str">
        <f t="shared" si="1"/>
        <v/>
      </c>
    </row>
    <row r="94" spans="16:16">
      <c r="P94" t="str">
        <f t="shared" si="1"/>
        <v/>
      </c>
    </row>
    <row r="95" spans="16:16">
      <c r="P95" t="str">
        <f t="shared" si="1"/>
        <v/>
      </c>
    </row>
    <row r="96" spans="16:16">
      <c r="P96" t="str">
        <f t="shared" si="1"/>
        <v/>
      </c>
    </row>
    <row r="97" spans="16:16">
      <c r="P97" t="str">
        <f t="shared" si="1"/>
        <v/>
      </c>
    </row>
    <row r="98" spans="16:16">
      <c r="P98" t="str">
        <f t="shared" si="1"/>
        <v/>
      </c>
    </row>
    <row r="99" spans="16:16">
      <c r="P99" t="str">
        <f t="shared" si="1"/>
        <v/>
      </c>
    </row>
    <row r="100" spans="16:16">
      <c r="P100" t="str">
        <f t="shared" si="1"/>
        <v/>
      </c>
    </row>
    <row r="101" spans="16:16">
      <c r="P101" t="str">
        <f t="shared" si="1"/>
        <v/>
      </c>
    </row>
    <row r="102" spans="16:16">
      <c r="P102" t="str">
        <f t="shared" si="1"/>
        <v/>
      </c>
    </row>
    <row r="103" spans="16:16">
      <c r="P103" t="str">
        <f t="shared" si="1"/>
        <v/>
      </c>
    </row>
    <row r="104" spans="16:16">
      <c r="P104" t="str">
        <f t="shared" si="1"/>
        <v/>
      </c>
    </row>
    <row r="105" spans="16:16">
      <c r="P105" t="str">
        <f t="shared" si="1"/>
        <v/>
      </c>
    </row>
    <row r="106" spans="16:16">
      <c r="P106" t="str">
        <f t="shared" si="1"/>
        <v/>
      </c>
    </row>
    <row r="107" spans="16:16">
      <c r="P107" t="str">
        <f t="shared" si="1"/>
        <v/>
      </c>
    </row>
    <row r="108" spans="16:16">
      <c r="P108" t="str">
        <f t="shared" si="1"/>
        <v/>
      </c>
    </row>
    <row r="109" spans="16:16">
      <c r="P109" t="str">
        <f t="shared" si="1"/>
        <v/>
      </c>
    </row>
    <row r="110" spans="16:16">
      <c r="P110" t="str">
        <f t="shared" si="1"/>
        <v/>
      </c>
    </row>
    <row r="111" spans="16:16">
      <c r="P111" t="str">
        <f t="shared" si="1"/>
        <v/>
      </c>
    </row>
    <row r="112" spans="16:16">
      <c r="P112" t="str">
        <f t="shared" si="1"/>
        <v/>
      </c>
    </row>
    <row r="113" spans="16:16">
      <c r="P113" t="str">
        <f t="shared" si="1"/>
        <v/>
      </c>
    </row>
    <row r="114" spans="16:16">
      <c r="P114" t="str">
        <f t="shared" si="1"/>
        <v/>
      </c>
    </row>
    <row r="115" spans="16:16">
      <c r="P115" t="str">
        <f t="shared" si="1"/>
        <v/>
      </c>
    </row>
    <row r="116" spans="16:16">
      <c r="P116" t="str">
        <f t="shared" si="1"/>
        <v/>
      </c>
    </row>
    <row r="117" spans="16:16">
      <c r="P117" t="str">
        <f t="shared" si="1"/>
        <v/>
      </c>
    </row>
    <row r="118" spans="16:16">
      <c r="P118" t="str">
        <f t="shared" si="1"/>
        <v/>
      </c>
    </row>
    <row r="119" spans="16:16">
      <c r="P119" t="str">
        <f t="shared" si="1"/>
        <v/>
      </c>
    </row>
    <row r="120" spans="16:16">
      <c r="P120" t="str">
        <f t="shared" si="1"/>
        <v/>
      </c>
    </row>
    <row r="121" spans="16:16">
      <c r="P121" t="str">
        <f t="shared" si="1"/>
        <v/>
      </c>
    </row>
    <row r="122" spans="16:16">
      <c r="P122" t="str">
        <f t="shared" si="1"/>
        <v/>
      </c>
    </row>
    <row r="123" spans="16:16">
      <c r="P123" t="str">
        <f t="shared" si="1"/>
        <v/>
      </c>
    </row>
    <row r="124" spans="16:16">
      <c r="P124" t="str">
        <f t="shared" si="1"/>
        <v/>
      </c>
    </row>
    <row r="125" spans="16:16">
      <c r="P125" t="str">
        <f t="shared" si="1"/>
        <v/>
      </c>
    </row>
    <row r="126" spans="16:16">
      <c r="P126" t="str">
        <f t="shared" si="1"/>
        <v/>
      </c>
    </row>
    <row r="127" spans="16:16">
      <c r="P127" t="str">
        <f t="shared" si="1"/>
        <v/>
      </c>
    </row>
    <row r="128" spans="16:16">
      <c r="P128" t="str">
        <f t="shared" si="1"/>
        <v/>
      </c>
    </row>
    <row r="129" spans="16:16">
      <c r="P129" t="str">
        <f t="shared" si="1"/>
        <v/>
      </c>
    </row>
    <row r="130" spans="16:16">
      <c r="P130" t="str">
        <f t="shared" si="1"/>
        <v/>
      </c>
    </row>
    <row r="131" spans="16:16">
      <c r="P131" t="str">
        <f t="shared" ref="P131:P194" si="2">_xlfn.TEXTJOIN(", ",TRUE,N131,O131)</f>
        <v/>
      </c>
    </row>
    <row r="132" spans="16:16">
      <c r="P132" t="str">
        <f t="shared" si="2"/>
        <v/>
      </c>
    </row>
    <row r="133" spans="16:16">
      <c r="P133" t="str">
        <f t="shared" si="2"/>
        <v/>
      </c>
    </row>
    <row r="134" spans="16:16">
      <c r="P134" t="str">
        <f t="shared" si="2"/>
        <v/>
      </c>
    </row>
    <row r="135" spans="16:16">
      <c r="P135" t="str">
        <f t="shared" si="2"/>
        <v/>
      </c>
    </row>
    <row r="136" spans="16:16">
      <c r="P136" t="str">
        <f t="shared" si="2"/>
        <v/>
      </c>
    </row>
    <row r="137" spans="16:16">
      <c r="P137" t="str">
        <f t="shared" si="2"/>
        <v/>
      </c>
    </row>
    <row r="138" spans="16:16">
      <c r="P138" t="str">
        <f t="shared" si="2"/>
        <v/>
      </c>
    </row>
    <row r="139" spans="16:16">
      <c r="P139" t="str">
        <f t="shared" si="2"/>
        <v/>
      </c>
    </row>
    <row r="140" spans="16:16">
      <c r="P140" t="str">
        <f t="shared" si="2"/>
        <v/>
      </c>
    </row>
    <row r="141" spans="16:16">
      <c r="P141" t="str">
        <f t="shared" si="2"/>
        <v/>
      </c>
    </row>
    <row r="142" spans="16:16">
      <c r="P142" t="str">
        <f t="shared" si="2"/>
        <v/>
      </c>
    </row>
    <row r="143" spans="16:16">
      <c r="P143" t="str">
        <f t="shared" si="2"/>
        <v/>
      </c>
    </row>
    <row r="144" spans="16:16">
      <c r="P144" t="str">
        <f t="shared" si="2"/>
        <v/>
      </c>
    </row>
    <row r="145" spans="16:16">
      <c r="P145" t="str">
        <f t="shared" si="2"/>
        <v/>
      </c>
    </row>
    <row r="146" spans="16:16">
      <c r="P146" t="str">
        <f t="shared" si="2"/>
        <v/>
      </c>
    </row>
    <row r="147" spans="16:16">
      <c r="P147" t="str">
        <f t="shared" si="2"/>
        <v/>
      </c>
    </row>
    <row r="148" spans="16:16">
      <c r="P148" t="str">
        <f t="shared" si="2"/>
        <v/>
      </c>
    </row>
    <row r="149" spans="16:16">
      <c r="P149" t="str">
        <f t="shared" si="2"/>
        <v/>
      </c>
    </row>
    <row r="150" spans="16:16">
      <c r="P150" t="str">
        <f t="shared" si="2"/>
        <v/>
      </c>
    </row>
    <row r="151" spans="16:16">
      <c r="P151" t="str">
        <f t="shared" si="2"/>
        <v/>
      </c>
    </row>
    <row r="152" spans="16:16">
      <c r="P152" t="str">
        <f t="shared" si="2"/>
        <v/>
      </c>
    </row>
    <row r="153" spans="16:16">
      <c r="P153" t="str">
        <f t="shared" si="2"/>
        <v/>
      </c>
    </row>
    <row r="154" spans="16:16">
      <c r="P154" t="str">
        <f t="shared" si="2"/>
        <v/>
      </c>
    </row>
    <row r="155" spans="16:16">
      <c r="P155" t="str">
        <f t="shared" si="2"/>
        <v/>
      </c>
    </row>
    <row r="156" spans="16:16">
      <c r="P156" t="str">
        <f t="shared" si="2"/>
        <v/>
      </c>
    </row>
    <row r="157" spans="16:16">
      <c r="P157" t="str">
        <f t="shared" si="2"/>
        <v/>
      </c>
    </row>
    <row r="158" spans="16:16">
      <c r="P158" t="str">
        <f t="shared" si="2"/>
        <v/>
      </c>
    </row>
    <row r="159" spans="16:16">
      <c r="P159" t="str">
        <f t="shared" si="2"/>
        <v/>
      </c>
    </row>
    <row r="160" spans="16:16">
      <c r="P160" t="str">
        <f t="shared" si="2"/>
        <v/>
      </c>
    </row>
    <row r="161" spans="16:16">
      <c r="P161" t="str">
        <f t="shared" si="2"/>
        <v/>
      </c>
    </row>
    <row r="162" spans="16:16">
      <c r="P162" t="str">
        <f t="shared" si="2"/>
        <v/>
      </c>
    </row>
    <row r="163" spans="16:16">
      <c r="P163" t="str">
        <f t="shared" si="2"/>
        <v/>
      </c>
    </row>
    <row r="164" spans="16:16">
      <c r="P164" t="str">
        <f t="shared" si="2"/>
        <v/>
      </c>
    </row>
    <row r="165" spans="16:16">
      <c r="P165" t="str">
        <f t="shared" si="2"/>
        <v/>
      </c>
    </row>
    <row r="166" spans="16:16">
      <c r="P166" t="str">
        <f t="shared" si="2"/>
        <v/>
      </c>
    </row>
    <row r="167" spans="16:16">
      <c r="P167" t="str">
        <f t="shared" si="2"/>
        <v/>
      </c>
    </row>
    <row r="168" spans="16:16">
      <c r="P168" t="str">
        <f t="shared" si="2"/>
        <v/>
      </c>
    </row>
    <row r="169" spans="16:16">
      <c r="P169" t="str">
        <f t="shared" si="2"/>
        <v/>
      </c>
    </row>
    <row r="170" spans="16:16">
      <c r="P170" t="str">
        <f t="shared" si="2"/>
        <v/>
      </c>
    </row>
    <row r="171" spans="16:16">
      <c r="P171" t="str">
        <f t="shared" si="2"/>
        <v/>
      </c>
    </row>
    <row r="172" spans="16:16">
      <c r="P172" t="str">
        <f t="shared" si="2"/>
        <v/>
      </c>
    </row>
    <row r="173" spans="16:16">
      <c r="P173" t="str">
        <f t="shared" si="2"/>
        <v/>
      </c>
    </row>
    <row r="174" spans="16:16">
      <c r="P174" t="str">
        <f t="shared" si="2"/>
        <v/>
      </c>
    </row>
    <row r="175" spans="16:16">
      <c r="P175" t="str">
        <f t="shared" si="2"/>
        <v/>
      </c>
    </row>
    <row r="176" spans="16:16">
      <c r="P176" t="str">
        <f t="shared" si="2"/>
        <v/>
      </c>
    </row>
    <row r="177" spans="16:16">
      <c r="P177" t="str">
        <f t="shared" si="2"/>
        <v/>
      </c>
    </row>
    <row r="178" spans="16:16">
      <c r="P178" t="str">
        <f t="shared" si="2"/>
        <v/>
      </c>
    </row>
    <row r="179" spans="16:16">
      <c r="P179" t="str">
        <f t="shared" si="2"/>
        <v/>
      </c>
    </row>
    <row r="180" spans="16:16">
      <c r="P180" t="str">
        <f t="shared" si="2"/>
        <v/>
      </c>
    </row>
    <row r="181" spans="16:16">
      <c r="P181" t="str">
        <f t="shared" si="2"/>
        <v/>
      </c>
    </row>
    <row r="182" spans="16:16">
      <c r="P182" t="str">
        <f t="shared" si="2"/>
        <v/>
      </c>
    </row>
    <row r="183" spans="16:16">
      <c r="P183" t="str">
        <f t="shared" si="2"/>
        <v/>
      </c>
    </row>
    <row r="184" spans="16:16">
      <c r="P184" t="str">
        <f t="shared" si="2"/>
        <v/>
      </c>
    </row>
    <row r="185" spans="16:16">
      <c r="P185" t="str">
        <f t="shared" si="2"/>
        <v/>
      </c>
    </row>
    <row r="186" spans="16:16">
      <c r="P186" t="str">
        <f t="shared" si="2"/>
        <v/>
      </c>
    </row>
    <row r="187" spans="16:16">
      <c r="P187" t="str">
        <f t="shared" si="2"/>
        <v/>
      </c>
    </row>
    <row r="188" spans="16:16">
      <c r="P188" t="str">
        <f t="shared" si="2"/>
        <v/>
      </c>
    </row>
    <row r="189" spans="16:16">
      <c r="P189" t="str">
        <f t="shared" si="2"/>
        <v/>
      </c>
    </row>
    <row r="190" spans="16:16">
      <c r="P190" t="str">
        <f t="shared" si="2"/>
        <v/>
      </c>
    </row>
    <row r="191" spans="16:16">
      <c r="P191" t="str">
        <f t="shared" si="2"/>
        <v/>
      </c>
    </row>
    <row r="192" spans="16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5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si="7"/>
        <v/>
      </c>
    </row>
    <row r="455" spans="16:16">
      <c r="P455" t="str">
        <f t="shared" si="7"/>
        <v/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workbookViewId="0">
      <selection activeCell="A3" sqref="A3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2">
      <c r="A1" s="36" t="s">
        <v>62</v>
      </c>
      <c r="B1" t="s">
        <v>63</v>
      </c>
      <c r="C1" s="36" t="s">
        <v>64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528</v>
      </c>
      <c r="Q1" t="s">
        <v>522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  <c r="Y1" t="s">
        <v>43</v>
      </c>
      <c r="Z1" t="s">
        <v>44</v>
      </c>
      <c r="AA1" t="s">
        <v>45</v>
      </c>
      <c r="AB1" t="s">
        <v>46</v>
      </c>
      <c r="AC1" t="s">
        <v>47</v>
      </c>
      <c r="AD1" t="s">
        <v>48</v>
      </c>
      <c r="AE1" t="s">
        <v>49</v>
      </c>
      <c r="AF1" t="s">
        <v>536</v>
      </c>
    </row>
    <row r="2" spans="1:32">
      <c r="A2" s="36" t="s">
        <v>535</v>
      </c>
      <c r="B2" s="36" t="s">
        <v>527</v>
      </c>
      <c r="C2" s="36"/>
      <c r="Y2"/>
    </row>
    <row r="3" spans="1:32">
      <c r="B3" s="41" t="s">
        <v>22</v>
      </c>
      <c r="C3" s="42" t="s">
        <v>23</v>
      </c>
      <c r="Y3"/>
    </row>
    <row r="4" spans="1:32">
      <c r="B4" s="41"/>
      <c r="C4" s="42"/>
      <c r="Y4"/>
    </row>
    <row r="5" spans="1:32">
      <c r="B5" s="41"/>
      <c r="C5" s="42"/>
      <c r="Y5"/>
    </row>
    <row r="6" spans="1:32">
      <c r="B6" s="41"/>
      <c r="C6" s="42"/>
      <c r="Y6"/>
    </row>
    <row r="7" spans="1:32">
      <c r="B7" s="41"/>
      <c r="C7" s="42"/>
      <c r="Y7"/>
    </row>
    <row r="8" spans="1:32">
      <c r="B8" s="41"/>
      <c r="C8" s="42"/>
      <c r="Y8"/>
    </row>
    <row r="9" spans="1:32">
      <c r="B9" s="41"/>
      <c r="C9" s="42"/>
      <c r="Y9"/>
    </row>
    <row r="10" spans="1:32">
      <c r="B10" s="41"/>
      <c r="C10" s="42"/>
      <c r="Y10"/>
    </row>
    <row r="11" spans="1:32">
      <c r="B11" s="41"/>
      <c r="C11" s="42"/>
      <c r="Y11"/>
    </row>
    <row r="12" spans="1:32">
      <c r="B12" s="41"/>
      <c r="C12" s="42"/>
      <c r="Y12"/>
    </row>
    <row r="13" spans="1:32">
      <c r="B13" s="41"/>
      <c r="C13" s="42"/>
      <c r="Y13"/>
      <c r="AE13" s="4"/>
    </row>
    <row r="14" spans="1:32">
      <c r="B14" s="41"/>
      <c r="C14" s="42"/>
      <c r="Y14"/>
    </row>
    <row r="15" spans="1:32">
      <c r="B15" s="41"/>
      <c r="C15" s="42"/>
      <c r="Y15"/>
    </row>
    <row r="16" spans="1:32">
      <c r="B16" s="41"/>
      <c r="C16" s="42"/>
      <c r="Y16"/>
    </row>
    <row r="17" spans="2:38">
      <c r="B17" s="41"/>
      <c r="C17" s="42"/>
      <c r="Y17"/>
    </row>
    <row r="18" spans="2:38">
      <c r="B18" s="41"/>
      <c r="C18" s="42"/>
      <c r="Y18"/>
    </row>
    <row r="19" spans="2:38">
      <c r="B19" s="41"/>
      <c r="C19" s="42"/>
      <c r="Y19"/>
    </row>
    <row r="20" spans="2:38">
      <c r="B20" s="41"/>
      <c r="C20" s="42"/>
      <c r="Y20"/>
    </row>
    <row r="21" spans="2:38">
      <c r="B21" s="41"/>
      <c r="C21" s="42"/>
      <c r="Y21"/>
    </row>
    <row r="22" spans="2:38">
      <c r="B22" s="41"/>
      <c r="C22" s="42"/>
      <c r="Y22"/>
    </row>
    <row r="23" spans="2:38">
      <c r="B23" s="41"/>
      <c r="C23" s="42"/>
      <c r="Y23"/>
    </row>
    <row r="24" spans="2:38">
      <c r="B24" s="41"/>
      <c r="C24" s="42"/>
      <c r="Y24"/>
    </row>
    <row r="25" spans="2:38">
      <c r="B25" s="41"/>
      <c r="C25" s="42"/>
      <c r="Y25"/>
      <c r="AL25" s="3"/>
    </row>
    <row r="26" spans="2:38">
      <c r="B26" s="41"/>
      <c r="C26" s="42"/>
      <c r="Y26"/>
      <c r="AL26" s="3"/>
    </row>
    <row r="27" spans="2:38">
      <c r="B27" s="41"/>
      <c r="C27" s="42"/>
      <c r="Y27"/>
      <c r="AL27" s="3"/>
    </row>
    <row r="28" spans="2:38">
      <c r="B28" s="41"/>
      <c r="C28" s="42"/>
      <c r="Y28"/>
      <c r="AL28" s="3"/>
    </row>
    <row r="29" spans="2:38">
      <c r="B29" s="41"/>
      <c r="C29" s="42"/>
      <c r="Y29"/>
      <c r="AL29" s="3"/>
    </row>
    <row r="30" spans="2:38">
      <c r="B30" s="41"/>
      <c r="C30" s="42"/>
      <c r="Y30"/>
    </row>
    <row r="31" spans="2:38">
      <c r="B31" s="41"/>
      <c r="C31" s="42"/>
      <c r="Y31"/>
      <c r="AL31" s="3"/>
    </row>
    <row r="32" spans="2:38">
      <c r="B32" s="41"/>
      <c r="C32" s="42"/>
      <c r="Y32"/>
    </row>
    <row r="33" spans="2:42">
      <c r="B33" s="41"/>
      <c r="C33" s="42"/>
      <c r="Y33"/>
      <c r="AL33" s="3"/>
    </row>
    <row r="34" spans="2:42">
      <c r="B34" s="41"/>
      <c r="C34" s="42"/>
      <c r="Y34"/>
      <c r="AL34" s="3"/>
    </row>
    <row r="35" spans="2:42">
      <c r="B35" s="41"/>
      <c r="C35" s="42"/>
      <c r="Y35"/>
      <c r="AL35" s="3"/>
    </row>
    <row r="36" spans="2:42">
      <c r="B36" s="41"/>
      <c r="C36" s="42"/>
      <c r="Y36"/>
      <c r="AL36" s="3"/>
    </row>
    <row r="37" spans="2:42">
      <c r="B37" s="41"/>
      <c r="C37" s="42"/>
      <c r="Y37"/>
    </row>
    <row r="38" spans="2:42">
      <c r="B38" s="41"/>
      <c r="C38" s="42"/>
      <c r="Y38"/>
      <c r="AL38" s="3"/>
    </row>
    <row r="39" spans="2:42">
      <c r="B39" s="41"/>
      <c r="C39" s="42"/>
      <c r="Y39"/>
      <c r="AL39" s="3"/>
    </row>
    <row r="40" spans="2:42">
      <c r="B40" s="41"/>
      <c r="C40" s="42"/>
      <c r="Y40"/>
      <c r="AL40" s="3"/>
    </row>
    <row r="41" spans="2:42">
      <c r="B41" s="41"/>
      <c r="C41" s="42"/>
      <c r="Y41"/>
      <c r="AL41" s="3"/>
    </row>
    <row r="42" spans="2:42">
      <c r="B42" s="41"/>
      <c r="C42" s="42"/>
      <c r="Y42"/>
      <c r="AL42" s="3"/>
    </row>
    <row r="43" spans="2:42">
      <c r="B43" s="41"/>
      <c r="C43" s="42"/>
      <c r="Y43"/>
      <c r="AP43" s="4"/>
    </row>
    <row r="44" spans="2:42">
      <c r="B44" s="41"/>
      <c r="C44" s="42"/>
      <c r="Y44"/>
    </row>
    <row r="45" spans="2:42">
      <c r="B45" s="41"/>
      <c r="C45" s="42"/>
      <c r="Y45"/>
      <c r="AL45" s="3"/>
    </row>
    <row r="46" spans="2:42">
      <c r="B46" s="41"/>
      <c r="C46" s="42"/>
      <c r="Y46"/>
      <c r="AL46" s="3"/>
    </row>
    <row r="47" spans="2:42">
      <c r="B47" s="41"/>
      <c r="C47" s="42"/>
      <c r="Y47"/>
      <c r="AL47" s="3"/>
    </row>
    <row r="48" spans="2:42">
      <c r="B48" s="41"/>
      <c r="C48" s="42"/>
      <c r="Y48"/>
    </row>
    <row r="49" spans="2:38">
      <c r="B49" s="41"/>
      <c r="C49" s="42"/>
      <c r="Y49"/>
      <c r="AL49" s="3"/>
    </row>
    <row r="50" spans="2:38">
      <c r="B50" s="41"/>
      <c r="C50" s="42"/>
      <c r="Y50"/>
      <c r="AL50" s="3"/>
    </row>
    <row r="51" spans="2:38">
      <c r="B51" s="41"/>
      <c r="C51" s="42"/>
      <c r="Y51"/>
      <c r="AL51" s="3"/>
    </row>
    <row r="52" spans="2:38">
      <c r="B52" s="41"/>
      <c r="C52" s="42"/>
      <c r="Y52"/>
      <c r="AL52" s="3"/>
    </row>
    <row r="53" spans="2:38">
      <c r="B53" s="41"/>
      <c r="C53" s="42"/>
      <c r="Y53"/>
    </row>
    <row r="54" spans="2:38">
      <c r="B54" s="41"/>
      <c r="C54" s="42"/>
      <c r="Y54"/>
      <c r="AL54" s="3"/>
    </row>
    <row r="55" spans="2:38">
      <c r="B55" s="41"/>
      <c r="C55" s="42"/>
      <c r="U55" s="30"/>
      <c r="V55" s="30"/>
    </row>
    <row r="56" spans="2:38">
      <c r="B56" s="41"/>
      <c r="C56" s="42"/>
      <c r="U56" s="30"/>
      <c r="V56" s="30"/>
    </row>
    <row r="57" spans="2:38">
      <c r="B57" s="41"/>
      <c r="C57" s="42"/>
      <c r="U57" s="30"/>
      <c r="V57" s="30"/>
    </row>
    <row r="58" spans="2:38">
      <c r="B58" s="41"/>
      <c r="C58" s="42"/>
      <c r="U58" s="30"/>
      <c r="V58" s="30"/>
    </row>
    <row r="59" spans="2:38">
      <c r="B59" s="41"/>
      <c r="C59" s="42"/>
      <c r="U59" s="30"/>
      <c r="V59" s="30"/>
    </row>
    <row r="60" spans="2:38">
      <c r="B60" s="41"/>
      <c r="C60" s="42"/>
      <c r="U60" s="30"/>
      <c r="V60" s="30"/>
    </row>
    <row r="61" spans="2:38">
      <c r="B61" s="41"/>
      <c r="C61" s="42"/>
      <c r="U61" s="30"/>
      <c r="V61" s="30"/>
    </row>
    <row r="62" spans="2:38">
      <c r="B62" s="41"/>
      <c r="C62" s="42"/>
      <c r="U62" s="30"/>
      <c r="V62" s="30"/>
    </row>
    <row r="63" spans="2:38">
      <c r="B63" s="41"/>
      <c r="C63" s="42"/>
      <c r="U63" s="30"/>
      <c r="V63" s="30"/>
    </row>
    <row r="64" spans="2:38">
      <c r="B64" s="41"/>
      <c r="C64" s="42"/>
      <c r="U64" s="30"/>
      <c r="V64" s="30"/>
    </row>
    <row r="65" spans="2:27">
      <c r="B65" s="41"/>
      <c r="C65" s="42"/>
      <c r="U65" s="30"/>
      <c r="V65" s="30"/>
    </row>
    <row r="66" spans="2:27">
      <c r="B66" s="41"/>
      <c r="C66" s="42"/>
      <c r="U66" s="30"/>
      <c r="V66" s="30"/>
    </row>
    <row r="67" spans="2:27">
      <c r="B67" s="41"/>
      <c r="C67" s="42"/>
      <c r="U67" s="30"/>
      <c r="V67" s="30"/>
    </row>
    <row r="68" spans="2:27">
      <c r="B68" s="41"/>
      <c r="C68" s="42"/>
      <c r="U68" s="30"/>
      <c r="V68" s="30"/>
    </row>
    <row r="69" spans="2:27">
      <c r="B69" s="41"/>
      <c r="C69" s="42"/>
      <c r="U69" s="30"/>
      <c r="V69" s="30"/>
    </row>
    <row r="70" spans="2:27">
      <c r="B70" s="41"/>
      <c r="C70" s="42"/>
      <c r="U70" s="30"/>
      <c r="V70" s="30"/>
    </row>
    <row r="71" spans="2:27">
      <c r="B71" s="41"/>
      <c r="C71" s="42"/>
      <c r="U71" s="30"/>
      <c r="V71" s="30"/>
    </row>
    <row r="72" spans="2:27">
      <c r="B72" s="41"/>
      <c r="C72" s="42"/>
      <c r="U72" s="30"/>
      <c r="V72" s="30"/>
      <c r="AA72" s="3"/>
    </row>
    <row r="73" spans="2:27">
      <c r="B73" s="41"/>
      <c r="C73" s="42"/>
      <c r="U73" s="30"/>
      <c r="V73" s="30"/>
    </row>
    <row r="74" spans="2:27">
      <c r="B74" s="41"/>
      <c r="C74" s="42"/>
      <c r="U74" s="30"/>
      <c r="V74" s="30"/>
      <c r="AA74" s="3"/>
    </row>
    <row r="75" spans="2:27">
      <c r="B75" s="41"/>
      <c r="C75" s="42"/>
      <c r="U75" s="30"/>
      <c r="V75" s="30"/>
    </row>
    <row r="76" spans="2:27">
      <c r="B76" s="41"/>
      <c r="C76" s="42"/>
      <c r="U76" s="30"/>
      <c r="V76" s="30"/>
    </row>
    <row r="77" spans="2:27">
      <c r="B77" s="41"/>
      <c r="C77" s="42"/>
      <c r="U77" s="30"/>
      <c r="V77" s="30"/>
      <c r="AA77" s="3"/>
    </row>
    <row r="78" spans="2:27">
      <c r="B78" s="41"/>
      <c r="C78" s="42"/>
      <c r="U78" s="30"/>
      <c r="V78" s="30"/>
    </row>
    <row r="79" spans="2:27">
      <c r="B79" s="41"/>
      <c r="C79" s="42"/>
      <c r="U79" s="30"/>
      <c r="V79" s="30"/>
    </row>
    <row r="80" spans="2:27">
      <c r="B80" s="41"/>
      <c r="C80" s="42"/>
      <c r="U80" s="30"/>
      <c r="V80" s="30"/>
    </row>
    <row r="81" spans="2:27">
      <c r="B81" s="41"/>
      <c r="C81" s="42"/>
      <c r="U81" s="30"/>
      <c r="V81" s="30"/>
    </row>
    <row r="82" spans="2:27">
      <c r="B82" s="41"/>
      <c r="C82" s="42"/>
      <c r="U82" s="30"/>
      <c r="V82" s="30"/>
    </row>
    <row r="83" spans="2:27">
      <c r="B83" s="41"/>
      <c r="C83" s="42"/>
      <c r="U83" s="30"/>
      <c r="V83" s="30"/>
    </row>
    <row r="84" spans="2:27">
      <c r="B84" s="41"/>
      <c r="C84" s="42"/>
      <c r="U84" s="30"/>
      <c r="V84" s="30"/>
    </row>
    <row r="85" spans="2:27">
      <c r="B85" s="41"/>
      <c r="C85" s="42"/>
      <c r="U85" s="30"/>
      <c r="V85" s="30"/>
    </row>
    <row r="86" spans="2:27">
      <c r="B86" s="41"/>
      <c r="C86" s="42"/>
      <c r="U86" s="30"/>
      <c r="V86" s="30"/>
    </row>
    <row r="87" spans="2:27">
      <c r="B87" s="41"/>
      <c r="C87" s="42"/>
      <c r="U87" s="30"/>
      <c r="V87" s="30"/>
    </row>
    <row r="88" spans="2:27">
      <c r="B88" s="41"/>
      <c r="C88" s="42"/>
      <c r="U88" s="30"/>
      <c r="V88" s="30"/>
    </row>
    <row r="89" spans="2:27">
      <c r="B89" s="41"/>
      <c r="C89" s="42"/>
      <c r="U89" s="30"/>
      <c r="V89" s="30"/>
    </row>
    <row r="90" spans="2:27">
      <c r="B90" s="41"/>
      <c r="C90" s="42"/>
      <c r="U90" s="30"/>
      <c r="V90" s="30"/>
    </row>
    <row r="91" spans="2:27">
      <c r="B91" s="41"/>
      <c r="C91" s="42"/>
      <c r="U91" s="30"/>
      <c r="V91" s="30"/>
    </row>
    <row r="92" spans="2:27">
      <c r="B92" s="41"/>
      <c r="C92" s="42"/>
      <c r="U92" s="30"/>
      <c r="V92" s="30"/>
    </row>
    <row r="93" spans="2:27">
      <c r="B93" s="41"/>
      <c r="C93" s="42"/>
      <c r="U93" s="30"/>
      <c r="V93" s="30"/>
      <c r="AA93" s="3"/>
    </row>
    <row r="94" spans="2:27">
      <c r="B94" s="41"/>
      <c r="C94" s="42"/>
      <c r="U94" s="30"/>
      <c r="V94" s="30"/>
    </row>
    <row r="95" spans="2:27">
      <c r="B95" s="41"/>
      <c r="C95" s="42"/>
      <c r="U95" s="30"/>
      <c r="V95" s="30"/>
    </row>
    <row r="96" spans="2:27">
      <c r="B96" s="41"/>
      <c r="C96" s="42"/>
      <c r="U96" s="30"/>
      <c r="V96" s="30"/>
    </row>
    <row r="97" spans="2:22">
      <c r="B97" s="41"/>
      <c r="C97" s="42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/>
  </sheetViews>
  <sheetFormatPr defaultRowHeight="15"/>
  <cols>
    <col min="1" max="1" width="26.7109375" bestFit="1" customWidth="1"/>
    <col min="2" max="2" width="16.85546875" bestFit="1" customWidth="1"/>
    <col min="3" max="3" width="11.28515625" bestFit="1" customWidth="1"/>
    <col min="4" max="4" width="7.28515625" bestFit="1" customWidth="1"/>
    <col min="5" max="5" width="11.2851562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330</v>
      </c>
      <c r="B1" s="31" t="s">
        <v>329</v>
      </c>
      <c r="G1" s="33" t="s">
        <v>65</v>
      </c>
      <c r="H1" s="12" t="s">
        <v>326</v>
      </c>
      <c r="I1" s="1" t="s">
        <v>14</v>
      </c>
      <c r="J1" s="12" t="s">
        <v>331</v>
      </c>
      <c r="K1" s="12" t="s">
        <v>332</v>
      </c>
      <c r="L1" s="12" t="s">
        <v>333</v>
      </c>
      <c r="M1" s="12" t="s">
        <v>334</v>
      </c>
      <c r="N1" s="1" t="s">
        <v>15</v>
      </c>
    </row>
    <row r="2" spans="1:14" ht="15.75" thickTop="1">
      <c r="A2" s="31" t="s">
        <v>327</v>
      </c>
      <c r="B2" t="s">
        <v>328</v>
      </c>
      <c r="G2" cm="1">
        <f t="array" ref="G2">_xlfn.UNIQUE(Input!J2:J101)</f>
        <v>0</v>
      </c>
      <c r="H2" s="13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32" t="s">
        <v>328</v>
      </c>
      <c r="B3" s="48"/>
      <c r="H3" s="13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H4" s="13">
        <f t="shared" si="0"/>
        <v>0</v>
      </c>
      <c r="I4" t="str" cm="1">
        <f t="array" ref="I4">_xlfn.IFS(H4&lt;1,"No",H4=1,"Yes",H4&gt;1,_xlfn.TEXTJOIN("",TRUE,"Yes x",H4))</f>
        <v>No</v>
      </c>
      <c r="J4" s="13">
        <f t="shared" si="1"/>
        <v>0</v>
      </c>
      <c r="K4" s="13">
        <f t="shared" si="2"/>
        <v>0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H5" s="13">
        <f t="shared" si="0"/>
        <v>0</v>
      </c>
      <c r="I5" t="str" cm="1">
        <f t="array" ref="I5">_xlfn.IFS(H5&lt;1,"No",H5=1,"Yes",H5&gt;1,_xlfn.TEXTJOIN("",TRUE,"Yes x",H5))</f>
        <v>No</v>
      </c>
      <c r="J5" s="13">
        <f t="shared" si="1"/>
        <v>0</v>
      </c>
      <c r="K5" s="13">
        <f t="shared" si="2"/>
        <v>0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H6" s="13">
        <f t="shared" si="0"/>
        <v>0</v>
      </c>
      <c r="I6" t="str" cm="1">
        <f t="array" ref="I6">_xlfn.IFS(H6&lt;1,"No",H6=1,"Yes",H6&gt;1,_xlfn.TEXTJOIN("",TRUE,"Yes x",H6))</f>
        <v>No</v>
      </c>
      <c r="J6" s="13">
        <f t="shared" si="1"/>
        <v>0</v>
      </c>
      <c r="K6" s="13">
        <f t="shared" si="2"/>
        <v>0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H7" s="13">
        <f t="shared" si="0"/>
        <v>0</v>
      </c>
      <c r="I7" t="str" cm="1">
        <f t="array" ref="I7">_xlfn.IFS(H7&lt;1,"No",H7=1,"Yes",H7&gt;1,_xlfn.TEXTJOIN("",TRUE,"Yes x",H7))</f>
        <v>No</v>
      </c>
      <c r="J7" s="13">
        <f t="shared" si="1"/>
        <v>0</v>
      </c>
      <c r="K7" s="13">
        <f t="shared" si="2"/>
        <v>0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H8" s="13">
        <f t="shared" si="0"/>
        <v>0</v>
      </c>
      <c r="I8" t="str" cm="1">
        <f t="array" ref="I8">_xlfn.IFS(H8&lt;1,"No",H8=1,"Yes",H8&gt;1,_xlfn.TEXTJOIN("",TRUE,"Yes x",H8))</f>
        <v>No</v>
      </c>
      <c r="J8" s="13">
        <f t="shared" si="1"/>
        <v>0</v>
      </c>
      <c r="K8" s="13">
        <f t="shared" si="2"/>
        <v>0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H9" s="13">
        <f t="shared" si="0"/>
        <v>0</v>
      </c>
      <c r="I9" t="str" cm="1">
        <f t="array" ref="I9">_xlfn.IFS(H9&lt;1,"No",H9=1,"Yes",H9&gt;1,_xlfn.TEXTJOIN("",TRUE,"Yes x",H9))</f>
        <v>No</v>
      </c>
      <c r="J9" s="13">
        <f t="shared" si="1"/>
        <v>0</v>
      </c>
      <c r="K9" s="13">
        <f t="shared" si="2"/>
        <v>0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H10" s="13">
        <f t="shared" si="0"/>
        <v>0</v>
      </c>
      <c r="I10" t="str" cm="1">
        <f t="array" ref="I10">_xlfn.IFS(H10&lt;1,"No",H10=1,"Yes",H10&gt;1,_xlfn.TEXTJOIN("",TRUE,"Yes x",H10))</f>
        <v>No</v>
      </c>
      <c r="J10" s="13">
        <f t="shared" si="1"/>
        <v>0</v>
      </c>
      <c r="K10" s="13">
        <f t="shared" si="2"/>
        <v>0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H11" s="13">
        <f t="shared" si="0"/>
        <v>0</v>
      </c>
      <c r="I11" t="str" cm="1">
        <f t="array" ref="I11">_xlfn.IFS(H11&lt;1,"No",H11=1,"Yes",H11&gt;1,_xlfn.TEXTJOIN("",TRUE,"Yes x",H11))</f>
        <v>No</v>
      </c>
      <c r="J11" s="13">
        <f t="shared" si="1"/>
        <v>0</v>
      </c>
      <c r="K11" s="13">
        <f t="shared" si="2"/>
        <v>0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H12" s="13">
        <f t="shared" si="0"/>
        <v>0</v>
      </c>
      <c r="I12" t="str" cm="1">
        <f t="array" ref="I12">_xlfn.IFS(H12&lt;1,"No",H12=1,"Yes",H12&gt;1,_xlfn.TEXTJOIN("",TRUE,"Yes x",H12))</f>
        <v>No</v>
      </c>
      <c r="J12" s="13">
        <f t="shared" si="1"/>
        <v>0</v>
      </c>
      <c r="K12" s="13">
        <f t="shared" si="2"/>
        <v>0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H13" s="13">
        <f t="shared" si="0"/>
        <v>0</v>
      </c>
      <c r="I13" t="str" cm="1">
        <f t="array" ref="I13">_xlfn.IFS(H13&lt;1,"No",H13=1,"Yes",H13&gt;1,_xlfn.TEXTJOIN("",TRUE,"Yes x",H13))</f>
        <v>No</v>
      </c>
      <c r="J13" s="13">
        <f t="shared" si="1"/>
        <v>0</v>
      </c>
      <c r="K13" s="13">
        <f t="shared" si="2"/>
        <v>0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H14" s="13">
        <f t="shared" si="0"/>
        <v>0</v>
      </c>
      <c r="I14" t="str" cm="1">
        <f t="array" ref="I14">_xlfn.IFS(H14&lt;1,"No",H14=1,"Yes",H14&gt;1,_xlfn.TEXTJOIN("",TRUE,"Yes x",H14))</f>
        <v>No</v>
      </c>
      <c r="J14" s="13">
        <f t="shared" si="1"/>
        <v>0</v>
      </c>
      <c r="K14" s="13">
        <f t="shared" si="2"/>
        <v>0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H15" s="13">
        <f t="shared" si="0"/>
        <v>0</v>
      </c>
      <c r="I15" t="str" cm="1">
        <f t="array" ref="I15">_xlfn.IFS(H15&lt;1,"No",H15=1,"Yes",H15&gt;1,_xlfn.TEXTJOIN("",TRUE,"Yes x",H15))</f>
        <v>No</v>
      </c>
      <c r="J15" s="13">
        <f t="shared" si="1"/>
        <v>0</v>
      </c>
      <c r="K15" s="13">
        <f t="shared" si="2"/>
        <v>0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H16" s="13">
        <f t="shared" si="0"/>
        <v>0</v>
      </c>
      <c r="I16" t="str" cm="1">
        <f t="array" ref="I16">_xlfn.IFS(H16&lt;1,"No",H16=1,"Yes",H16&gt;1,_xlfn.TEXTJOIN("",TRUE,"Yes x",H16))</f>
        <v>No</v>
      </c>
      <c r="J16" s="13">
        <f t="shared" si="1"/>
        <v>0</v>
      </c>
      <c r="K16" s="13">
        <f t="shared" si="2"/>
        <v>0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/>
      </c>
      <c r="N16" t="str">
        <f t="shared" si="3"/>
        <v/>
      </c>
    </row>
    <row r="17" spans="8:14">
      <c r="H17" s="13">
        <f t="shared" si="0"/>
        <v>0</v>
      </c>
      <c r="I17" t="str" cm="1">
        <f t="array" ref="I17">_xlfn.IFS(H17&lt;1,"No",H17=1,"Yes",H17&gt;1,_xlfn.TEXTJOIN("",TRUE,"Yes x",H17))</f>
        <v>No</v>
      </c>
      <c r="J17" s="13">
        <f t="shared" si="1"/>
        <v>0</v>
      </c>
      <c r="K17" s="13">
        <f t="shared" si="2"/>
        <v>0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/>
      </c>
      <c r="N17" t="str">
        <f t="shared" si="3"/>
        <v/>
      </c>
    </row>
    <row r="18" spans="8:14">
      <c r="H18" s="13">
        <f t="shared" si="0"/>
        <v>0</v>
      </c>
      <c r="I18" t="str" cm="1">
        <f t="array" ref="I18">_xlfn.IFS(H18&lt;1,"No",H18=1,"Yes",H18&gt;1,_xlfn.TEXTJOIN("",TRUE,"Yes x",H18))</f>
        <v>No</v>
      </c>
      <c r="J18" s="13">
        <f t="shared" si="1"/>
        <v>0</v>
      </c>
      <c r="K18" s="13">
        <f t="shared" si="2"/>
        <v>0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/>
      </c>
      <c r="N18" t="str">
        <f t="shared" si="3"/>
        <v/>
      </c>
    </row>
    <row r="19" spans="8:14">
      <c r="H19" s="13">
        <f t="shared" si="0"/>
        <v>0</v>
      </c>
      <c r="I19" t="str" cm="1">
        <f t="array" ref="I19">_xlfn.IFS(H19&lt;1,"No",H19=1,"Yes",H19&gt;1,_xlfn.TEXTJOIN("",TRUE,"Yes x",H19))</f>
        <v>No</v>
      </c>
      <c r="J19" s="13">
        <f t="shared" si="1"/>
        <v>0</v>
      </c>
      <c r="K19" s="13">
        <f t="shared" si="2"/>
        <v>0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/>
      </c>
      <c r="N19" t="str">
        <f t="shared" si="3"/>
        <v/>
      </c>
    </row>
    <row r="20" spans="8:14">
      <c r="H20" s="13">
        <f t="shared" si="0"/>
        <v>0</v>
      </c>
      <c r="I20" t="str" cm="1">
        <f t="array" ref="I20">_xlfn.IFS(H20&lt;1,"No",H20=1,"Yes",H20&gt;1,_xlfn.TEXTJOIN("",TRUE,"Yes x",H20))</f>
        <v>No</v>
      </c>
      <c r="J20" s="13">
        <f t="shared" si="1"/>
        <v>0</v>
      </c>
      <c r="K20" s="13">
        <f t="shared" si="2"/>
        <v>0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/>
      </c>
      <c r="N20" t="str">
        <f t="shared" si="3"/>
        <v/>
      </c>
    </row>
    <row r="21" spans="8:14">
      <c r="H21" s="13">
        <f t="shared" si="0"/>
        <v>0</v>
      </c>
      <c r="I21" t="str" cm="1">
        <f t="array" ref="I21">_xlfn.IFS(H21&lt;1,"No",H21=1,"Yes",H21&gt;1,_xlfn.TEXTJOIN("",TRUE,"Yes x",H21))</f>
        <v>No</v>
      </c>
      <c r="J21" s="13">
        <f t="shared" si="1"/>
        <v>0</v>
      </c>
      <c r="K21" s="13">
        <f t="shared" si="2"/>
        <v>0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/>
      </c>
      <c r="N21" t="str">
        <f t="shared" si="3"/>
        <v/>
      </c>
    </row>
    <row r="22" spans="8:14">
      <c r="H22" s="13">
        <f t="shared" si="0"/>
        <v>0</v>
      </c>
      <c r="I22" t="str" cm="1">
        <f t="array" ref="I22">_xlfn.IFS(H22&lt;1,"No",H22=1,"Yes",H22&gt;1,_xlfn.TEXTJOIN("",TRUE,"Yes x",H22))</f>
        <v>No</v>
      </c>
      <c r="J22" s="13">
        <f t="shared" si="1"/>
        <v>0</v>
      </c>
      <c r="K22" s="13">
        <f t="shared" si="2"/>
        <v>0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/>
      </c>
      <c r="N22" t="str">
        <f t="shared" si="3"/>
        <v/>
      </c>
    </row>
    <row r="23" spans="8:14">
      <c r="H23" s="13">
        <f t="shared" si="0"/>
        <v>0</v>
      </c>
      <c r="I23" t="str" cm="1">
        <f t="array" ref="I23">_xlfn.IFS(H23&lt;1,"No",H23=1,"Yes",H23&gt;1,_xlfn.TEXTJOIN("",TRUE,"Yes x",H23))</f>
        <v>No</v>
      </c>
      <c r="J23" s="13">
        <f t="shared" si="1"/>
        <v>0</v>
      </c>
      <c r="K23" s="13">
        <f t="shared" si="2"/>
        <v>0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/>
      </c>
      <c r="N23" t="str">
        <f t="shared" si="3"/>
        <v/>
      </c>
    </row>
    <row r="24" spans="8:14">
      <c r="H24" s="13">
        <f t="shared" si="0"/>
        <v>0</v>
      </c>
      <c r="I24" t="str" cm="1">
        <f t="array" ref="I24">_xlfn.IFS(H24&lt;1,"No",H24=1,"Yes",H24&gt;1,_xlfn.TEXTJOIN("",TRUE,"Yes x",H24))</f>
        <v>No</v>
      </c>
      <c r="J24" s="13">
        <f t="shared" si="1"/>
        <v>0</v>
      </c>
      <c r="K24" s="13">
        <f t="shared" si="2"/>
        <v>0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/>
      </c>
      <c r="N24" t="str">
        <f t="shared" si="3"/>
        <v/>
      </c>
    </row>
    <row r="25" spans="8:14"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8:14"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8:14"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8:14"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8:14"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8:14"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8:14"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8:14"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C1000"/>
  <sheetViews>
    <sheetView workbookViewId="0">
      <selection activeCell="AC15" sqref="AC15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</cols>
  <sheetData>
    <row r="1" spans="1:29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Battery test</v>
      </c>
      <c r="K1" t="str">
        <v>Display test comment</v>
      </c>
      <c r="L1" t="str">
        <v>Keyboard test comment</v>
      </c>
      <c r="M1" t="str">
        <v>Pointer Test Comment</v>
      </c>
      <c r="N1" t="str">
        <v>Speakers test</v>
      </c>
      <c r="O1" t="str">
        <v>USB port hardware test comment</v>
      </c>
      <c r="P1" t="str">
        <v>Webcam test comment</v>
      </c>
      <c r="Q1" t="str">
        <v>CPU model</v>
      </c>
      <c r="R1" t="str">
        <v>Memory capacity</v>
      </c>
      <c r="S1" t="str">
        <v>Memory type</v>
      </c>
      <c r="T1" t="str">
        <v>Disk capacity</v>
      </c>
      <c r="U1" t="str">
        <v>Disk interface type</v>
      </c>
      <c r="V1" t="str">
        <v>Disk serial</v>
      </c>
      <c r="W1" t="str">
        <v>Disk model</v>
      </c>
      <c r="X1" t="str">
        <v>Erasure start time</v>
      </c>
      <c r="Y1" t="str">
        <v>Battery capacity</v>
      </c>
      <c r="Z1" t="str">
        <v>Battery test comment</v>
      </c>
      <c r="AA1" t="str">
        <v>Erasure technician</v>
      </c>
      <c r="AB1" t="str">
        <v>UUID</v>
      </c>
      <c r="AC1" t="s">
        <v>56</v>
      </c>
    </row>
    <row r="2" spans="1:29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 t="str">
        <f>IF(ISNUMBER(SEARCH("Successful",F2)),
   "Successful",
   IF(F2="Failed","Failed",""))</f>
        <v/>
      </c>
    </row>
    <row r="3" spans="1:29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 t="str">
        <f t="shared" ref="AC3:AC66" si="0">IF(ISNUMBER(SEARCH("Successful",F3)),
   "Successful",
   IF(F3="Failed","Failed",""))</f>
        <v/>
      </c>
    </row>
    <row r="4" spans="1:29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 t="str">
        <f t="shared" si="0"/>
        <v/>
      </c>
    </row>
    <row r="5" spans="1:29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t="str">
        <f t="shared" si="0"/>
        <v/>
      </c>
    </row>
    <row r="6" spans="1:29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 t="str">
        <f t="shared" si="0"/>
        <v/>
      </c>
    </row>
    <row r="7" spans="1:29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 t="str">
        <f t="shared" si="0"/>
        <v/>
      </c>
    </row>
    <row r="8" spans="1:29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 t="str">
        <f t="shared" si="0"/>
        <v/>
      </c>
    </row>
    <row r="9" spans="1:29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 t="str">
        <f t="shared" si="0"/>
        <v/>
      </c>
    </row>
    <row r="10" spans="1:29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 t="str">
        <f t="shared" si="0"/>
        <v/>
      </c>
    </row>
    <row r="11" spans="1:29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 t="str">
        <f t="shared" si="0"/>
        <v/>
      </c>
    </row>
    <row r="12" spans="1:29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 t="str">
        <f t="shared" si="0"/>
        <v/>
      </c>
    </row>
    <row r="13" spans="1:29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 t="str">
        <f t="shared" si="0"/>
        <v/>
      </c>
    </row>
    <row r="14" spans="1:29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 t="str">
        <f t="shared" si="0"/>
        <v/>
      </c>
    </row>
    <row r="15" spans="1:29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t="str">
        <f t="shared" si="0"/>
        <v/>
      </c>
    </row>
    <row r="16" spans="1:29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t="str">
        <f t="shared" si="0"/>
        <v/>
      </c>
    </row>
    <row r="17" spans="1:29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 t="str">
        <f t="shared" si="0"/>
        <v/>
      </c>
    </row>
    <row r="18" spans="1:29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 t="str">
        <f t="shared" si="0"/>
        <v/>
      </c>
    </row>
    <row r="19" spans="1:29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 t="str">
        <f t="shared" si="0"/>
        <v/>
      </c>
    </row>
    <row r="20" spans="1:29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 t="str">
        <f t="shared" si="0"/>
        <v/>
      </c>
    </row>
    <row r="21" spans="1:29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 t="str">
        <f t="shared" si="0"/>
        <v/>
      </c>
    </row>
    <row r="22" spans="1:29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 t="str">
        <f t="shared" si="0"/>
        <v/>
      </c>
    </row>
    <row r="23" spans="1:29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 t="str">
        <f t="shared" si="0"/>
        <v/>
      </c>
    </row>
    <row r="24" spans="1:29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 t="str">
        <f t="shared" si="0"/>
        <v/>
      </c>
    </row>
    <row r="25" spans="1:29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 t="str">
        <f t="shared" si="0"/>
        <v/>
      </c>
    </row>
    <row r="26" spans="1:29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 t="str">
        <f t="shared" si="0"/>
        <v/>
      </c>
    </row>
    <row r="27" spans="1:2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 t="str">
        <f t="shared" si="0"/>
        <v/>
      </c>
    </row>
    <row r="28" spans="1:29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 t="str">
        <f t="shared" si="0"/>
        <v/>
      </c>
    </row>
    <row r="29" spans="1:2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 t="str">
        <f t="shared" si="0"/>
        <v/>
      </c>
    </row>
    <row r="30" spans="1:2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tr">
        <f t="shared" si="0"/>
        <v/>
      </c>
    </row>
    <row r="31" spans="1:2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 t="str">
        <f t="shared" si="0"/>
        <v/>
      </c>
    </row>
    <row r="32" spans="1:2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t="str">
        <f t="shared" si="0"/>
        <v/>
      </c>
    </row>
    <row r="33" spans="1:2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 t="str">
        <f t="shared" si="0"/>
        <v/>
      </c>
    </row>
    <row r="34" spans="1:2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 t="str">
        <f t="shared" si="0"/>
        <v/>
      </c>
    </row>
    <row r="35" spans="1:2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 t="str">
        <f t="shared" si="0"/>
        <v/>
      </c>
    </row>
    <row r="36" spans="1:29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 t="str">
        <f t="shared" si="0"/>
        <v/>
      </c>
    </row>
    <row r="37" spans="1:29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 t="str">
        <f t="shared" si="0"/>
        <v/>
      </c>
    </row>
    <row r="38" spans="1:29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 t="str">
        <f t="shared" si="0"/>
        <v/>
      </c>
    </row>
    <row r="39" spans="1:29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 t="str">
        <f t="shared" si="0"/>
        <v/>
      </c>
    </row>
    <row r="40" spans="1:29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 t="str">
        <f t="shared" si="0"/>
        <v/>
      </c>
    </row>
    <row r="41" spans="1:29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 t="str">
        <f t="shared" si="0"/>
        <v/>
      </c>
    </row>
    <row r="42" spans="1:29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 t="str">
        <f t="shared" si="0"/>
        <v/>
      </c>
    </row>
    <row r="43" spans="1:29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 t="str">
        <f t="shared" si="0"/>
        <v/>
      </c>
    </row>
    <row r="44" spans="1:29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tr">
        <f t="shared" si="0"/>
        <v/>
      </c>
    </row>
    <row r="45" spans="1:29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 t="str">
        <f t="shared" si="0"/>
        <v/>
      </c>
    </row>
    <row r="46" spans="1:29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 t="str">
        <f t="shared" si="0"/>
        <v/>
      </c>
    </row>
    <row r="47" spans="1:29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 t="str">
        <f t="shared" si="0"/>
        <v/>
      </c>
    </row>
    <row r="48" spans="1:29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 t="str">
        <f t="shared" si="0"/>
        <v/>
      </c>
    </row>
    <row r="49" spans="1:29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 t="str">
        <f t="shared" si="0"/>
        <v/>
      </c>
    </row>
    <row r="50" spans="1:29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 t="str">
        <f t="shared" si="0"/>
        <v/>
      </c>
    </row>
    <row r="51" spans="1:29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 t="str">
        <f t="shared" si="0"/>
        <v/>
      </c>
    </row>
    <row r="52" spans="1:29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 t="str">
        <f t="shared" si="0"/>
        <v/>
      </c>
    </row>
    <row r="53" spans="1:29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 t="str">
        <f t="shared" si="0"/>
        <v/>
      </c>
    </row>
    <row r="54" spans="1:29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 t="str">
        <f t="shared" si="0"/>
        <v/>
      </c>
    </row>
    <row r="55" spans="1:29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 t="str">
        <f t="shared" si="0"/>
        <v/>
      </c>
    </row>
    <row r="56" spans="1:29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 t="str">
        <f t="shared" si="0"/>
        <v/>
      </c>
    </row>
    <row r="57" spans="1:29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 t="str">
        <f t="shared" si="0"/>
        <v/>
      </c>
    </row>
    <row r="58" spans="1:29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 t="str">
        <f t="shared" si="0"/>
        <v/>
      </c>
    </row>
    <row r="59" spans="1:29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 t="str">
        <f t="shared" si="0"/>
        <v/>
      </c>
    </row>
    <row r="60" spans="1:29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 t="str">
        <f t="shared" si="0"/>
        <v/>
      </c>
    </row>
    <row r="61" spans="1:29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 t="str">
        <f t="shared" si="0"/>
        <v/>
      </c>
    </row>
    <row r="62" spans="1:29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 t="str">
        <f t="shared" si="0"/>
        <v/>
      </c>
    </row>
    <row r="63" spans="1:29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 t="str">
        <f t="shared" si="0"/>
        <v/>
      </c>
    </row>
    <row r="64" spans="1:29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 t="str">
        <f t="shared" si="0"/>
        <v/>
      </c>
    </row>
    <row r="65" spans="1:29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 t="str">
        <f t="shared" si="0"/>
        <v/>
      </c>
    </row>
    <row r="66" spans="1:29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 t="str">
        <f t="shared" si="0"/>
        <v/>
      </c>
    </row>
    <row r="67" spans="1:29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 t="str">
        <f t="shared" ref="AC67:AC99" si="1">IF(ISNUMBER(SEARCH("Successful",F67)),
   "Successful",
   IF(F67="Failed","Failed",""))</f>
        <v/>
      </c>
    </row>
    <row r="68" spans="1:29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 t="str">
        <f t="shared" si="1"/>
        <v/>
      </c>
    </row>
    <row r="69" spans="1:29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 t="str">
        <f t="shared" si="1"/>
        <v/>
      </c>
    </row>
    <row r="70" spans="1:29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 t="str">
        <f t="shared" si="1"/>
        <v/>
      </c>
    </row>
    <row r="71" spans="1:29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 t="str">
        <f t="shared" si="1"/>
        <v/>
      </c>
    </row>
    <row r="72" spans="1:29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 t="str">
        <f t="shared" si="1"/>
        <v/>
      </c>
    </row>
    <row r="73" spans="1:29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 t="str">
        <f t="shared" si="1"/>
        <v/>
      </c>
    </row>
    <row r="74" spans="1:29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 t="str">
        <f t="shared" si="1"/>
        <v/>
      </c>
    </row>
    <row r="75" spans="1:29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 t="str">
        <f t="shared" si="1"/>
        <v/>
      </c>
    </row>
    <row r="76" spans="1:29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 t="str">
        <f t="shared" si="1"/>
        <v/>
      </c>
    </row>
    <row r="77" spans="1:29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 t="str">
        <f t="shared" si="1"/>
        <v/>
      </c>
    </row>
    <row r="78" spans="1:29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 t="str">
        <f t="shared" si="1"/>
        <v/>
      </c>
    </row>
    <row r="79" spans="1:29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 t="str">
        <f t="shared" si="1"/>
        <v/>
      </c>
    </row>
    <row r="80" spans="1:29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 t="str">
        <f t="shared" si="1"/>
        <v/>
      </c>
    </row>
    <row r="81" spans="1:29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 t="str">
        <f t="shared" si="1"/>
        <v/>
      </c>
    </row>
    <row r="82" spans="1:29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tr">
        <f t="shared" si="1"/>
        <v/>
      </c>
    </row>
    <row r="83" spans="1:29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 t="str">
        <f t="shared" si="1"/>
        <v/>
      </c>
    </row>
    <row r="84" spans="1:29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 t="str">
        <f t="shared" si="1"/>
        <v/>
      </c>
    </row>
    <row r="85" spans="1:29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tr">
        <f t="shared" si="1"/>
        <v/>
      </c>
    </row>
    <row r="86" spans="1:29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 t="str">
        <f t="shared" si="1"/>
        <v/>
      </c>
    </row>
    <row r="87" spans="1:29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tr">
        <f t="shared" si="1"/>
        <v/>
      </c>
    </row>
    <row r="88" spans="1:29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 t="str">
        <f t="shared" si="1"/>
        <v/>
      </c>
    </row>
    <row r="89" spans="1:29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 t="str">
        <f t="shared" si="1"/>
        <v/>
      </c>
    </row>
    <row r="90" spans="1:29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tr">
        <f t="shared" si="1"/>
        <v/>
      </c>
    </row>
    <row r="91" spans="1:29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t="str">
        <f t="shared" si="1"/>
        <v/>
      </c>
    </row>
    <row r="92" spans="1:29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 t="str">
        <f t="shared" si="1"/>
        <v/>
      </c>
    </row>
    <row r="93" spans="1:29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tr">
        <f t="shared" si="1"/>
        <v/>
      </c>
    </row>
    <row r="94" spans="1:29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 t="str">
        <f t="shared" si="1"/>
        <v/>
      </c>
    </row>
    <row r="95" spans="1:29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tr">
        <f t="shared" si="1"/>
        <v/>
      </c>
    </row>
    <row r="96" spans="1:29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t="str">
        <f t="shared" si="1"/>
        <v/>
      </c>
    </row>
    <row r="97" spans="1:29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 t="str">
        <f t="shared" si="1"/>
        <v/>
      </c>
    </row>
    <row r="98" spans="1:29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tr">
        <f t="shared" si="1"/>
        <v/>
      </c>
    </row>
    <row r="99" spans="1:29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t="str">
        <f t="shared" si="1"/>
        <v/>
      </c>
    </row>
    <row r="100" spans="1:29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9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29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29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29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29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29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29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29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29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29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9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29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34"/>
  <sheetViews>
    <sheetView workbookViewId="0">
      <selection activeCell="K36" sqref="K36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65</v>
      </c>
      <c r="C1" t="s">
        <v>2</v>
      </c>
      <c r="D1" t="s">
        <v>5</v>
      </c>
      <c r="E1" t="s">
        <v>6</v>
      </c>
      <c r="F1" t="s">
        <v>9</v>
      </c>
      <c r="G1" t="s">
        <v>66</v>
      </c>
      <c r="H1" t="s">
        <v>11</v>
      </c>
      <c r="I1" t="s">
        <v>67</v>
      </c>
      <c r="J1" t="s">
        <v>68</v>
      </c>
      <c r="K1" t="s">
        <v>69</v>
      </c>
      <c r="L1" t="s">
        <v>70</v>
      </c>
      <c r="M1" s="14" t="s">
        <v>71</v>
      </c>
      <c r="N1" t="s">
        <v>72</v>
      </c>
      <c r="O1" t="s">
        <v>73</v>
      </c>
      <c r="P1" t="s">
        <v>13</v>
      </c>
      <c r="Q1" t="s">
        <v>74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I260"/>
  <sheetViews>
    <sheetView topLeftCell="P1" zoomScaleNormal="100" workbookViewId="0">
      <pane ySplit="1" topLeftCell="A2" activePane="bottomLeft" state="frozen"/>
      <selection activeCell="E1" sqref="E1"/>
      <selection pane="bottomLeft" activeCell="Y27" sqref="Y27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6" width="15.140625" style="13" customWidth="1"/>
    <col min="27" max="27" width="46.5703125" customWidth="1"/>
    <col min="28" max="28" width="17.28515625" bestFit="1" customWidth="1"/>
    <col min="29" max="29" width="15.85546875" bestFit="1" customWidth="1"/>
    <col min="30" max="30" width="18" bestFit="1" customWidth="1"/>
    <col min="31" max="31" width="17.140625" bestFit="1" customWidth="1"/>
    <col min="32" max="32" width="26.7109375" bestFit="1" customWidth="1"/>
    <col min="33" max="34" width="12.5703125" bestFit="1" customWidth="1"/>
    <col min="35" max="35" width="11.28515625" bestFit="1" customWidth="1"/>
  </cols>
  <sheetData>
    <row r="1" spans="1:35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323</v>
      </c>
      <c r="N1" s="12" t="s">
        <v>324</v>
      </c>
      <c r="O1" s="12" t="s">
        <v>325</v>
      </c>
      <c r="P1" s="1" t="s">
        <v>10</v>
      </c>
      <c r="Q1" s="1" t="s">
        <v>11</v>
      </c>
      <c r="R1" s="1" t="s">
        <v>12</v>
      </c>
      <c r="S1" s="12" t="s">
        <v>336</v>
      </c>
      <c r="T1" s="12" t="s">
        <v>335</v>
      </c>
      <c r="U1" s="43" t="s">
        <v>19</v>
      </c>
      <c r="V1" s="43"/>
      <c r="W1" s="43"/>
      <c r="X1" s="43"/>
      <c r="Y1" s="43"/>
      <c r="Z1" s="43"/>
      <c r="AA1" s="1" t="s">
        <v>13</v>
      </c>
      <c r="AB1" s="1" t="s">
        <v>14</v>
      </c>
      <c r="AC1" s="1" t="s">
        <v>15</v>
      </c>
      <c r="AD1" s="1" t="s">
        <v>16</v>
      </c>
      <c r="AE1" s="1" t="s">
        <v>17</v>
      </c>
      <c r="AF1" s="1" t="s">
        <v>18</v>
      </c>
      <c r="AG1" s="1" t="s">
        <v>19</v>
      </c>
      <c r="AH1" s="1" t="s">
        <v>20</v>
      </c>
      <c r="AI1" s="1" t="s">
        <v>21</v>
      </c>
    </row>
    <row r="2" spans="1:35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INDEX(Input!$D$2:$AD$500,
       MATCH(B2, Input!$J$2:$J$500, 0),
       MATCH("Memory Capacity", Input!$D$1:$AD$1, 0))</f>
        <v>#N/A</v>
      </c>
      <c r="M2" s="13" t="e">
        <f>INDEX(Input!$D$2:$AD$500,
       MATCH(B2, Input!$J$2:$J$500, 0),
       MATCH("Memory Type", Input!$D$1:$AD$1,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str" cm="1">
        <f t="array" ref="Q2">_xlfn.TEXTJOIN(", ", TRUE, _xlfn._xlws.FILTER(Input!W:W, Input!J:J=B2))</f>
        <v/>
      </c>
      <c r="S2" s="13" t="e">
        <f>_xlfn.LET(_xlpm.Result,_xlfn.XLOOKUP(B2,Input!J:J,Input!AB:AB),IF(_xlpm.Result="","",_xlpm.Result))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IFERROR(IF(_xlfn.XLOOKUP(B2,Input!J:J,Input!N:S)=0,"",
          _xlfn.XLOOKUP(B2,Input!J:J,Input!N:S)),"")</f>
        <v/>
      </c>
      <c r="AA2" t="str">
        <f>_xlfn.TEXTJOIN(", ",TRUE,T2,U2,V2,W2,X2,Y2,Z2)</f>
        <v/>
      </c>
      <c r="AB2" t="str">
        <f>_xlfn.XLOOKUP(B:B,Disk_Pivot!G:G,Disk_Pivot!I:I)</f>
        <v>No</v>
      </c>
      <c r="AC2" t="str">
        <f>_xlfn.XLOOKUP(B2,Disk_Pivot!G:G,Disk_Pivot!N:N)</f>
        <v/>
      </c>
    </row>
    <row r="3" spans="1:35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INDEX(Input!$D$2:$AD$500,
       MATCH(B3, Input!$J$2:$J$500, 0),
       MATCH("Memory Capacity", Input!$D$1:$AD$1, 0))</f>
        <v>#N/A</v>
      </c>
      <c r="M3" s="13" t="e">
        <f>INDEX(Input!$D$2:$AD$500,
       MATCH(B3, Input!$J$2:$J$500, 0),
       MATCH("Memory Type", Input!$D$1:$AD$1,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str" cm="1">
        <f t="array" ref="Q3">_xlfn.TEXTJOIN(", ", TRUE, _xlfn._xlws.FILTER(Input!W:W, Input!J:J=B3))</f>
        <v/>
      </c>
      <c r="S3" s="13" t="str">
        <f>_xlfn.LET(_xlpm.Result,_xlfn.XLOOKUP(B3,Input!J:J,Input!AB:AB),IF(_xlpm.Result="","",_xlpm.Result))</f>
        <v/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Z3">IFERROR(IF(_xlfn.XLOOKUP(B3,Input!J:J,Input!N:S)=0,"",
          _xlfn.XLOOKUP(B3,Input!J:J,Input!N:S)),"")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t="str">
        <f t="shared" ref="AA3:AA66" si="2">_xlfn.TEXTJOIN(", ",TRUE,T3,U3,V3,W3,X3,Y3,Z3)</f>
        <v/>
      </c>
      <c r="AB3" t="str">
        <f>_xlfn.XLOOKUP(B:B,Disk_Pivot!G:G,Disk_Pivot!I:I)</f>
        <v>No</v>
      </c>
      <c r="AC3" t="str">
        <f>_xlfn.XLOOKUP(B3,Disk_Pivot!G:G,Disk_Pivot!N:N)</f>
        <v/>
      </c>
    </row>
    <row r="4" spans="1:35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INDEX(Input!$D$2:$AD$500,
       MATCH(B4, Input!$J$2:$J$500, 0),
       MATCH("Memory Capacity", Input!$D$1:$AD$1, 0))</f>
        <v>#N/A</v>
      </c>
      <c r="M4" s="13" t="e">
        <f>INDEX(Input!$D$2:$AD$500,
       MATCH(B4, Input!$J$2:$J$500, 0),
       MATCH("Memory Type", Input!$D$1:$AD$1,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str" cm="1">
        <f t="array" ref="Q4">_xlfn.TEXTJOIN(", ", TRUE, _xlfn._xlws.FILTER(Input!W:W, Input!J:J=B4))</f>
        <v/>
      </c>
      <c r="S4" s="13" t="str">
        <f>_xlfn.LET(_xlpm.Result,_xlfn.XLOOKUP(B4,Input!J:J,Input!AB:AB),IF(_xlpm.Result="","",_xlpm.Result))</f>
        <v/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Z4">IFERROR(IF(_xlfn.XLOOKUP(B4,Input!J:J,Input!N:S)=0,"",
          _xlfn.XLOOKUP(B4,Input!J:J,Input!N:S)),"")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t="str">
        <f t="shared" si="2"/>
        <v/>
      </c>
      <c r="AB4" t="str">
        <f>_xlfn.XLOOKUP(B:B,Disk_Pivot!G:G,Disk_Pivot!I:I)</f>
        <v>No</v>
      </c>
      <c r="AC4" t="str">
        <f>_xlfn.XLOOKUP(B4,Disk_Pivot!G:G,Disk_Pivot!N:N)</f>
        <v/>
      </c>
    </row>
    <row r="5" spans="1:35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INDEX(Input!$D$2:$AD$500,
       MATCH(B5, Input!$J$2:$J$500, 0),
       MATCH("Memory Capacity", Input!$D$1:$AD$1, 0))</f>
        <v>#N/A</v>
      </c>
      <c r="M5" s="13" t="e">
        <f>INDEX(Input!$D$2:$AD$500,
       MATCH(B5, Input!$J$2:$J$500, 0),
       MATCH("Memory Type", Input!$D$1:$AD$1,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str" cm="1">
        <f t="array" ref="Q5">_xlfn.TEXTJOIN(", ", TRUE, _xlfn._xlws.FILTER(Input!W:W, Input!J:J=B5))</f>
        <v/>
      </c>
      <c r="S5" s="13" t="str">
        <f>_xlfn.LET(_xlpm.Result,_xlfn.XLOOKUP(B5,Input!J:J,Input!AB:AB),IF(_xlpm.Result="","",_xlpm.Result))</f>
        <v/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Z5">IFERROR(IF(_xlfn.XLOOKUP(B5,Input!J:J,Input!N:S)=0,"",
          _xlfn.XLOOKUP(B5,Input!J:J,Input!N:S)),"")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t="str">
        <f t="shared" si="2"/>
        <v/>
      </c>
      <c r="AB5" t="str">
        <f>_xlfn.XLOOKUP(B:B,Disk_Pivot!G:G,Disk_Pivot!I:I)</f>
        <v>No</v>
      </c>
      <c r="AC5" t="str">
        <f>_xlfn.XLOOKUP(B5,Disk_Pivot!G:G,Disk_Pivot!N:N)</f>
        <v/>
      </c>
    </row>
    <row r="6" spans="1:35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INDEX(Input!$D$2:$AD$500,
       MATCH(B6, Input!$J$2:$J$500, 0),
       MATCH("Memory Capacity", Input!$D$1:$AD$1, 0))</f>
        <v>#N/A</v>
      </c>
      <c r="M6" s="13" t="e">
        <f>INDEX(Input!$D$2:$AD$500,
       MATCH(B6, Input!$J$2:$J$500, 0),
       MATCH("Memory Type", Input!$D$1:$AD$1,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str" cm="1">
        <f t="array" ref="Q6">_xlfn.TEXTJOIN(", ", TRUE, _xlfn._xlws.FILTER(Input!W:W, Input!J:J=B6))</f>
        <v/>
      </c>
      <c r="S6" s="13" t="str">
        <f>_xlfn.LET(_xlpm.Result,_xlfn.XLOOKUP(B6,Input!J:J,Input!AB:AB),IF(_xlpm.Result="","",_xlpm.Result))</f>
        <v/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Z6">IFERROR(IF(_xlfn.XLOOKUP(B6,Input!J:J,Input!N:S)=0,"",
          _xlfn.XLOOKUP(B6,Input!J:J,Input!N:S)),"")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t="str">
        <f t="shared" si="2"/>
        <v/>
      </c>
      <c r="AB6" t="str">
        <f>_xlfn.XLOOKUP(B:B,Disk_Pivot!G:G,Disk_Pivot!I:I)</f>
        <v>No</v>
      </c>
      <c r="AC6" t="str">
        <f>_xlfn.XLOOKUP(B6,Disk_Pivot!G:G,Disk_Pivot!N:N)</f>
        <v/>
      </c>
    </row>
    <row r="7" spans="1:35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INDEX(Input!$D$2:$AD$500,
       MATCH(B7, Input!$J$2:$J$500, 0),
       MATCH("Memory Capacity", Input!$D$1:$AD$1, 0))</f>
        <v>#N/A</v>
      </c>
      <c r="M7" s="13" t="e">
        <f>INDEX(Input!$D$2:$AD$500,
       MATCH(B7, Input!$J$2:$J$500, 0),
       MATCH("Memory Type", Input!$D$1:$AD$1,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str" cm="1">
        <f t="array" ref="Q7">_xlfn.TEXTJOIN(", ", TRUE, _xlfn._xlws.FILTER(Input!W:W, Input!J:J=B7))</f>
        <v/>
      </c>
      <c r="S7" s="13" t="str">
        <f>_xlfn.LET(_xlpm.Result,_xlfn.XLOOKUP(B7,Input!J:J,Input!AB:AB),IF(_xlpm.Result="","",_xlpm.Result))</f>
        <v/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Z7">IFERROR(IF(_xlfn.XLOOKUP(B7,Input!J:J,Input!N:S)=0,"",
          _xlfn.XLOOKUP(B7,Input!J:J,Input!N:S)),"")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t="str">
        <f t="shared" si="2"/>
        <v/>
      </c>
      <c r="AB7" t="str">
        <f>_xlfn.XLOOKUP(B:B,Disk_Pivot!G:G,Disk_Pivot!I:I)</f>
        <v>No</v>
      </c>
      <c r="AC7" t="str">
        <f>_xlfn.XLOOKUP(B7,Disk_Pivot!G:G,Disk_Pivot!N:N)</f>
        <v/>
      </c>
    </row>
    <row r="8" spans="1:35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str" cm="1">
        <f t="array" ref="Q8">_xlfn.TEXTJOIN(", ", TRUE, _xlfn._xlws.FILTER(Input!W:W, Input!J:J=B8))</f>
        <v/>
      </c>
      <c r="S8" s="13" t="str">
        <f>_xlfn.LET(_xlpm.Result,_xlfn.XLOOKUP(B8,Input!J:J,Input!AB:AB),IF(_xlpm.Result="","",_xlpm.Result))</f>
        <v/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Z8">IFERROR(IF(_xlfn.XLOOKUP(B8,Input!J:J,Input!N:S)=0,"",
          _xlfn.XLOOKUP(B8,Input!J:J,Input!N:S)),"")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t="str">
        <f t="shared" si="2"/>
        <v/>
      </c>
      <c r="AB8" t="str">
        <f>_xlfn.XLOOKUP(B:B,Disk_Pivot!G:G,Disk_Pivot!I:I)</f>
        <v>No</v>
      </c>
      <c r="AC8" t="str">
        <f>_xlfn.XLOOKUP(B8,Disk_Pivot!G:G,Disk_Pivot!N:N)</f>
        <v/>
      </c>
    </row>
    <row r="9" spans="1:35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str" cm="1">
        <f t="array" ref="Q9">_xlfn.TEXTJOIN(", ", TRUE, _xlfn._xlws.FILTER(Input!W:W, Input!J:J=B9))</f>
        <v/>
      </c>
      <c r="S9" s="13" t="str">
        <f>_xlfn.LET(_xlpm.Result,_xlfn.XLOOKUP(B9,Input!J:J,Input!AB:AB),IF(_xlpm.Result="","",_xlpm.Result))</f>
        <v/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Z9">IFERROR(IF(_xlfn.XLOOKUP(B9,Input!J:J,Input!N:S)=0,"",
          _xlfn.XLOOKUP(B9,Input!J:J,Input!N:S)),"")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t="str">
        <f t="shared" si="2"/>
        <v/>
      </c>
      <c r="AB9" t="str">
        <f>_xlfn.XLOOKUP(B:B,Disk_Pivot!G:G,Disk_Pivot!I:I)</f>
        <v>No</v>
      </c>
      <c r="AC9" t="str">
        <f>_xlfn.XLOOKUP(B9,Disk_Pivot!G:G,Disk_Pivot!N:N)</f>
        <v/>
      </c>
    </row>
    <row r="10" spans="1:35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str" cm="1">
        <f t="array" ref="Q10">_xlfn.TEXTJOIN(", ", TRUE, _xlfn._xlws.FILTER(Input!W:W, Input!J:J=B10))</f>
        <v/>
      </c>
      <c r="S10" s="13" t="str">
        <f>_xlfn.LET(_xlpm.Result,_xlfn.XLOOKUP(B10,Input!J:J,Input!AB:AB),IF(_xlpm.Result="","",_xlpm.Result))</f>
        <v/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Z10">IFERROR(IF(_xlfn.XLOOKUP(B10,Input!J:J,Input!N:S)=0,"",
          _xlfn.XLOOKUP(B10,Input!J:J,Input!N:S)),"")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t="str">
        <f t="shared" si="2"/>
        <v/>
      </c>
      <c r="AB10" t="str">
        <f>_xlfn.XLOOKUP(B:B,Disk_Pivot!G:G,Disk_Pivot!I:I)</f>
        <v>No</v>
      </c>
      <c r="AC10" t="str">
        <f>_xlfn.XLOOKUP(B10,Disk_Pivot!G:G,Disk_Pivot!N:N)</f>
        <v/>
      </c>
    </row>
    <row r="11" spans="1:35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str" cm="1">
        <f t="array" ref="Q11">_xlfn.TEXTJOIN(", ", TRUE, _xlfn._xlws.FILTER(Input!W:W, Input!J:J=B11))</f>
        <v/>
      </c>
      <c r="S11" s="13" t="str">
        <f>_xlfn.LET(_xlpm.Result,_xlfn.XLOOKUP(B11,Input!J:J,Input!AB:AB),IF(_xlpm.Result="","",_xlpm.Result))</f>
        <v/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Z11">IFERROR(IF(_xlfn.XLOOKUP(B11,Input!J:J,Input!N:S)=0,"",
          _xlfn.XLOOKUP(B11,Input!J:J,Input!N:S)),"")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t="str">
        <f t="shared" si="2"/>
        <v/>
      </c>
      <c r="AB11" t="str">
        <f>_xlfn.XLOOKUP(B:B,Disk_Pivot!G:G,Disk_Pivot!I:I)</f>
        <v>No</v>
      </c>
      <c r="AC11" t="str">
        <f>_xlfn.XLOOKUP(B11,Disk_Pivot!G:G,Disk_Pivot!N:N)</f>
        <v/>
      </c>
    </row>
    <row r="12" spans="1:35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str" cm="1">
        <f t="array" ref="Q12">_xlfn.TEXTJOIN(", ", TRUE, _xlfn._xlws.FILTER(Input!W:W, Input!J:J=B12))</f>
        <v/>
      </c>
      <c r="S12" s="13" t="str">
        <f>_xlfn.LET(_xlpm.Result,_xlfn.XLOOKUP(B12,Input!J:J,Input!AB:AB),IF(_xlpm.Result="","",_xlpm.Result))</f>
        <v/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Z12">IFERROR(IF(_xlfn.XLOOKUP(B12,Input!J:J,Input!N:S)=0,"",
          _xlfn.XLOOKUP(B12,Input!J:J,Input!N:S)),"")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t="str">
        <f t="shared" si="2"/>
        <v/>
      </c>
      <c r="AB12" t="str">
        <f>_xlfn.XLOOKUP(B:B,Disk_Pivot!G:G,Disk_Pivot!I:I)</f>
        <v>No</v>
      </c>
      <c r="AC12" t="str">
        <f>_xlfn.XLOOKUP(B12,Disk_Pivot!G:G,Disk_Pivot!N:N)</f>
        <v/>
      </c>
    </row>
    <row r="13" spans="1:35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str" cm="1">
        <f t="array" ref="Q13">_xlfn.TEXTJOIN(", ", TRUE, _xlfn._xlws.FILTER(Input!W:W, Input!J:J=B13))</f>
        <v/>
      </c>
      <c r="S13" s="13" t="str">
        <f>_xlfn.LET(_xlpm.Result,_xlfn.XLOOKUP(B13,Input!J:J,Input!AB:AB),IF(_xlpm.Result="","",_xlpm.Result))</f>
        <v/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Z13">IFERROR(IF(_xlfn.XLOOKUP(B13,Input!J:J,Input!N:S)=0,"",
          _xlfn.XLOOKUP(B13,Input!J:J,Input!N:S)),"")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t="str">
        <f t="shared" si="2"/>
        <v/>
      </c>
      <c r="AB13" t="str">
        <f>_xlfn.XLOOKUP(B:B,Disk_Pivot!G:G,Disk_Pivot!I:I)</f>
        <v>No</v>
      </c>
      <c r="AC13" t="str">
        <f>_xlfn.XLOOKUP(B13,Disk_Pivot!G:G,Disk_Pivot!N:N)</f>
        <v/>
      </c>
    </row>
    <row r="14" spans="1:35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str" cm="1">
        <f t="array" ref="Q14">_xlfn.TEXTJOIN(", ", TRUE, _xlfn._xlws.FILTER(Input!W:W, Input!J:J=B14))</f>
        <v/>
      </c>
      <c r="S14" s="13" t="str">
        <f>_xlfn.LET(_xlpm.Result,_xlfn.XLOOKUP(B14,Input!J:J,Input!AB:AB),IF(_xlpm.Result="","",_xlpm.Result))</f>
        <v/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Z14">IFERROR(IF(_xlfn.XLOOKUP(B14,Input!J:J,Input!N:S)=0,"",
          _xlfn.XLOOKUP(B14,Input!J:J,Input!N:S)),"")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t="str">
        <f t="shared" si="2"/>
        <v/>
      </c>
      <c r="AB14" t="str">
        <f>_xlfn.XLOOKUP(B:B,Disk_Pivot!G:G,Disk_Pivot!I:I)</f>
        <v>No</v>
      </c>
      <c r="AC14" t="str">
        <f>_xlfn.XLOOKUP(B14,Disk_Pivot!G:G,Disk_Pivot!N:N)</f>
        <v/>
      </c>
    </row>
    <row r="15" spans="1:35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str" cm="1">
        <f t="array" ref="Q15">_xlfn.TEXTJOIN(", ", TRUE, _xlfn._xlws.FILTER(Input!W:W, Input!J:J=B15))</f>
        <v/>
      </c>
      <c r="S15" s="13" t="str">
        <f>_xlfn.LET(_xlpm.Result,_xlfn.XLOOKUP(B15,Input!J:J,Input!AB:AB),IF(_xlpm.Result="","",_xlpm.Result))</f>
        <v/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Z15">IFERROR(IF(_xlfn.XLOOKUP(B15,Input!J:J,Input!N:S)=0,"",
          _xlfn.XLOOKUP(B15,Input!J:J,Input!N:S)),"")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t="str">
        <f t="shared" si="2"/>
        <v/>
      </c>
      <c r="AB15" t="str">
        <f>_xlfn.XLOOKUP(B:B,Disk_Pivot!G:G,Disk_Pivot!I:I)</f>
        <v>No</v>
      </c>
      <c r="AC15" t="str">
        <f>_xlfn.XLOOKUP(B15,Disk_Pivot!G:G,Disk_Pivot!N:N)</f>
        <v/>
      </c>
    </row>
    <row r="16" spans="1:35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str" cm="1">
        <f t="array" ref="Q16">_xlfn.TEXTJOIN(", ", TRUE, _xlfn._xlws.FILTER(Input!W:W, Input!J:J=B16))</f>
        <v/>
      </c>
      <c r="S16" s="13" t="str">
        <f>_xlfn.LET(_xlpm.Result,_xlfn.XLOOKUP(B16,Input!J:J,Input!AB:AB),IF(_xlpm.Result="","",_xlpm.Result))</f>
        <v/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Z16">IFERROR(IF(_xlfn.XLOOKUP(B16,Input!J:J,Input!N:S)=0,"",
          _xlfn.XLOOKUP(B16,Input!J:J,Input!N:S)),"")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t="str">
        <f t="shared" si="2"/>
        <v/>
      </c>
      <c r="AB16" t="str">
        <f>_xlfn.XLOOKUP(B:B,Disk_Pivot!G:G,Disk_Pivot!I:I)</f>
        <v>No</v>
      </c>
      <c r="AC16" t="str">
        <f>_xlfn.XLOOKUP(B16,Disk_Pivot!G:G,Disk_Pivot!N:N)</f>
        <v/>
      </c>
    </row>
    <row r="17" spans="1:29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str" cm="1">
        <f t="array" ref="Q17">_xlfn.TEXTJOIN(", ", TRUE, _xlfn._xlws.FILTER(Input!W:W, Input!J:J=B17))</f>
        <v/>
      </c>
      <c r="S17" s="13" t="str">
        <f>_xlfn.LET(_xlpm.Result,_xlfn.XLOOKUP(B17,Input!J:J,Input!AB:AB),IF(_xlpm.Result="","",_xlpm.Result))</f>
        <v/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Z17">IFERROR(IF(_xlfn.XLOOKUP(B17,Input!J:J,Input!N:S)=0,"",
          _xlfn.XLOOKUP(B17,Input!J:J,Input!N:S)),"")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t="str">
        <f t="shared" si="2"/>
        <v/>
      </c>
      <c r="AB17" t="str">
        <f>_xlfn.XLOOKUP(B:B,Disk_Pivot!G:G,Disk_Pivot!I:I)</f>
        <v>No</v>
      </c>
      <c r="AC17" t="str">
        <f>_xlfn.XLOOKUP(B17,Disk_Pivot!G:G,Disk_Pivot!N:N)</f>
        <v/>
      </c>
    </row>
    <row r="18" spans="1:29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str" cm="1">
        <f t="array" ref="Q18">_xlfn.TEXTJOIN(", ", TRUE, _xlfn._xlws.FILTER(Input!W:W, Input!J:J=B18))</f>
        <v/>
      </c>
      <c r="S18" s="13" t="str">
        <f>_xlfn.LET(_xlpm.Result,_xlfn.XLOOKUP(B18,Input!J:J,Input!AB:AB),IF(_xlpm.Result="","",_xlpm.Result))</f>
        <v/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Z18">IFERROR(IF(_xlfn.XLOOKUP(B18,Input!J:J,Input!N:S)=0,"",
          _xlfn.XLOOKUP(B18,Input!J:J,Input!N:S)),"")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t="str">
        <f t="shared" si="2"/>
        <v/>
      </c>
      <c r="AB18" t="str">
        <f>_xlfn.XLOOKUP(B:B,Disk_Pivot!G:G,Disk_Pivot!I:I)</f>
        <v>No</v>
      </c>
      <c r="AC18" t="str">
        <f>_xlfn.XLOOKUP(B18,Disk_Pivot!G:G,Disk_Pivot!N:N)</f>
        <v/>
      </c>
    </row>
    <row r="19" spans="1:29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str" cm="1">
        <f t="array" ref="Q19">_xlfn.TEXTJOIN(", ", TRUE, _xlfn._xlws.FILTER(Input!W:W, Input!J:J=B19))</f>
        <v/>
      </c>
      <c r="S19" s="13" t="str">
        <f>_xlfn.LET(_xlpm.Result,_xlfn.XLOOKUP(B19,Input!J:J,Input!AB:AB),IF(_xlpm.Result="","",_xlpm.Result))</f>
        <v/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Z19">IFERROR(IF(_xlfn.XLOOKUP(B19,Input!J:J,Input!N:S)=0,"",
          _xlfn.XLOOKUP(B19,Input!J:J,Input!N:S)),"")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t="str">
        <f t="shared" si="2"/>
        <v/>
      </c>
      <c r="AB19" t="str">
        <f>_xlfn.XLOOKUP(B:B,Disk_Pivot!G:G,Disk_Pivot!I:I)</f>
        <v>No</v>
      </c>
      <c r="AC19" t="str">
        <f>_xlfn.XLOOKUP(B19,Disk_Pivot!G:G,Disk_Pivot!N:N)</f>
        <v/>
      </c>
    </row>
    <row r="20" spans="1:29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str" cm="1">
        <f t="array" ref="Q20">_xlfn.TEXTJOIN(", ", TRUE, _xlfn._xlws.FILTER(Input!W:W, Input!J:J=B20))</f>
        <v/>
      </c>
      <c r="S20" s="13" t="e">
        <f>_xlfn.LET(_xlpm.Result,_xlfn.XLOOKUP(B20,Input!J:J,Input!AB:AB),IF(_xlpm.Result="","",_xlpm.Result))</f>
        <v>#N/A</v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Z20">IFERROR(IF(_xlfn.XLOOKUP(B20,Input!J:J,Input!N:S)=0,"",
          _xlfn.XLOOKUP(B20,Input!J:J,Input!N:S)),"")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t="str">
        <f t="shared" si="2"/>
        <v/>
      </c>
      <c r="AB20" t="str">
        <f>_xlfn.XLOOKUP(B:B,Disk_Pivot!G:G,Disk_Pivot!I:I)</f>
        <v>No</v>
      </c>
      <c r="AC20" t="str">
        <f>_xlfn.XLOOKUP(B20,Disk_Pivot!G:G,Disk_Pivot!N:N)</f>
        <v/>
      </c>
    </row>
    <row r="21" spans="1:29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str" cm="1">
        <f t="array" ref="Q21">_xlfn.TEXTJOIN(", ", TRUE, _xlfn._xlws.FILTER(Input!W:W, Input!J:J=B21))</f>
        <v/>
      </c>
      <c r="S21" s="13" t="str">
        <f>_xlfn.LET(_xlpm.Result,_xlfn.XLOOKUP(B21,Input!J:J,Input!AB:AB),IF(_xlpm.Result="","",_xlpm.Result))</f>
        <v/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Z21">IFERROR(IF(_xlfn.XLOOKUP(B21,Input!J:J,Input!N:S)=0,"",
          _xlfn.XLOOKUP(B21,Input!J:J,Input!N:S)),"")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t="str">
        <f t="shared" si="2"/>
        <v/>
      </c>
      <c r="AB21" t="str">
        <f>_xlfn.XLOOKUP(B:B,Disk_Pivot!G:G,Disk_Pivot!I:I)</f>
        <v>No</v>
      </c>
      <c r="AC21" t="str">
        <f>_xlfn.XLOOKUP(B21,Disk_Pivot!G:G,Disk_Pivot!N:N)</f>
        <v/>
      </c>
    </row>
    <row r="22" spans="1:29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str" cm="1">
        <f t="array" ref="Q22">_xlfn.TEXTJOIN(", ", TRUE, _xlfn._xlws.FILTER(Input!W:W, Input!J:J=B22))</f>
        <v/>
      </c>
      <c r="S22" s="13" t="str">
        <f>_xlfn.LET(_xlpm.Result,_xlfn.XLOOKUP(B22,Input!J:J,Input!AB:AB),IF(_xlpm.Result="","",_xlpm.Result))</f>
        <v/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Z22">IFERROR(IF(_xlfn.XLOOKUP(B22,Input!J:J,Input!N:S)=0,"",
          _xlfn.XLOOKUP(B22,Input!J:J,Input!N:S)),"")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t="str">
        <f t="shared" si="2"/>
        <v/>
      </c>
      <c r="AB22" t="str">
        <f>_xlfn.XLOOKUP(B:B,Disk_Pivot!G:G,Disk_Pivot!I:I)</f>
        <v>No</v>
      </c>
      <c r="AC22" t="str">
        <f>_xlfn.XLOOKUP(B22,Disk_Pivot!G:G,Disk_Pivot!N:N)</f>
        <v/>
      </c>
    </row>
    <row r="23" spans="1:29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str" cm="1">
        <f t="array" ref="Q23">_xlfn.TEXTJOIN(", ", TRUE, _xlfn._xlws.FILTER(Input!W:W, Input!J:J=B23))</f>
        <v/>
      </c>
      <c r="S23" s="13" t="str">
        <f>_xlfn.LET(_xlpm.Result,_xlfn.XLOOKUP(B23,Input!J:J,Input!AB:AB),IF(_xlpm.Result="","",_xlpm.Result))</f>
        <v/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Z23">IFERROR(IF(_xlfn.XLOOKUP(B23,Input!J:J,Input!N:S)=0,"",
          _xlfn.XLOOKUP(B23,Input!J:J,Input!N:S)),"")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t="str">
        <f t="shared" si="2"/>
        <v/>
      </c>
      <c r="AB23" t="str">
        <f>_xlfn.XLOOKUP(B:B,Disk_Pivot!G:G,Disk_Pivot!I:I)</f>
        <v>No</v>
      </c>
      <c r="AC23" t="str">
        <f>_xlfn.XLOOKUP(B23,Disk_Pivot!G:G,Disk_Pivot!N:N)</f>
        <v/>
      </c>
    </row>
    <row r="24" spans="1:29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str" cm="1">
        <f t="array" ref="Q24">_xlfn.TEXTJOIN(", ", TRUE, _xlfn._xlws.FILTER(Input!W:W, Input!J:J=B24))</f>
        <v/>
      </c>
      <c r="S24" s="13" t="str">
        <f>_xlfn.LET(_xlpm.Result,_xlfn.XLOOKUP(B24,Input!J:J,Input!AB:AB),IF(_xlpm.Result="","",_xlpm.Result))</f>
        <v/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Z24">IFERROR(IF(_xlfn.XLOOKUP(B24,Input!J:J,Input!N:S)=0,"",
          _xlfn.XLOOKUP(B24,Input!J:J,Input!N:S)),"")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t="str">
        <f t="shared" si="2"/>
        <v/>
      </c>
      <c r="AB24" t="str">
        <f>_xlfn.XLOOKUP(B:B,Disk_Pivot!G:G,Disk_Pivot!I:I)</f>
        <v>No</v>
      </c>
      <c r="AC24" t="str">
        <f>_xlfn.XLOOKUP(B24,Disk_Pivot!G:G,Disk_Pivot!N:N)</f>
        <v/>
      </c>
    </row>
    <row r="25" spans="1:29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str" cm="1">
        <f t="array" ref="Q25">_xlfn.TEXTJOIN(", ", TRUE, _xlfn._xlws.FILTER(Input!W:W, Input!J:J=B25))</f>
        <v/>
      </c>
      <c r="S25" s="13" t="str">
        <f>_xlfn.LET(_xlpm.Result,_xlfn.XLOOKUP(B25,Input!J:J,Input!AB:AB),IF(_xlpm.Result="","",_xlpm.Result))</f>
        <v/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Z25">IFERROR(IF(_xlfn.XLOOKUP(B25,Input!J:J,Input!N:S)=0,"",
          _xlfn.XLOOKUP(B25,Input!J:J,Input!N:S)),"")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t="str">
        <f t="shared" si="2"/>
        <v/>
      </c>
      <c r="AB25" t="str">
        <f>_xlfn.XLOOKUP(B:B,Disk_Pivot!G:G,Disk_Pivot!I:I)</f>
        <v>No</v>
      </c>
      <c r="AC25" t="str">
        <f>_xlfn.XLOOKUP(B25,Disk_Pivot!G:G,Disk_Pivot!N:N)</f>
        <v/>
      </c>
    </row>
    <row r="26" spans="1:29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e">
        <f>_xlfn.XLOOKUP(H26,Models!B:B,Models!F:F,"")</f>
        <v>#N/A</v>
      </c>
      <c r="G26" t="e">
        <f>_xlfn.XLOOKUP(B26,Input!J:J,Input!E:E)</f>
        <v>#N/A</v>
      </c>
      <c r="H26" t="e">
        <f>IF(G26="LENOVO",_xlfn.XLOOKUP(B26,Input!J:J,Input!K:K),_xlfn.XLOOKUP(B26,Input!J:J,Input!L:L))</f>
        <v>#N/A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str" cm="1">
        <f t="array" ref="Q26">_xlfn.TEXTJOIN(", ", TRUE, _xlfn._xlws.FILTER(Input!W:W, Input!J:J=B26))</f>
        <v/>
      </c>
      <c r="S26" s="13" t="str">
        <f>_xlfn.LET(_xlpm.Result,_xlfn.XLOOKUP(B26,Input!J:J,Input!AB:AB),IF(_xlpm.Result="","",_xlpm.Result))</f>
        <v/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Z26">IFERROR(IF(_xlfn.XLOOKUP(B26,Input!J:J,Input!N:S)=0,"",
          _xlfn.XLOOKUP(B26,Input!J:J,Input!N:S)),"")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t="str">
        <f t="shared" si="2"/>
        <v/>
      </c>
      <c r="AB26" t="str">
        <f>_xlfn.XLOOKUP(B:B,Disk_Pivot!G:G,Disk_Pivot!I:I)</f>
        <v>No</v>
      </c>
      <c r="AC26" t="str">
        <f>_xlfn.XLOOKUP(B26,Disk_Pivot!G:G,Disk_Pivot!N:N)</f>
        <v/>
      </c>
    </row>
    <row r="27" spans="1:29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str" cm="1">
        <f t="array" ref="Q27">_xlfn.TEXTJOIN(", ", TRUE, _xlfn._xlws.FILTER(Input!W:W, Input!J:J=B27))</f>
        <v/>
      </c>
      <c r="S27" s="13" t="str">
        <f>_xlfn.LET(_xlpm.Result,_xlfn.XLOOKUP(B27,Input!J:J,Input!AB:AB),IF(_xlpm.Result="","",_xlpm.Result))</f>
        <v/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Z27">IFERROR(IF(_xlfn.XLOOKUP(B27,Input!J:J,Input!N:S)=0,"",
          _xlfn.XLOOKUP(B27,Input!J:J,Input!N:S)),"")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t="str">
        <f t="shared" si="2"/>
        <v/>
      </c>
      <c r="AB27" t="str">
        <f>_xlfn.XLOOKUP(B:B,Disk_Pivot!G:G,Disk_Pivot!I:I)</f>
        <v>No</v>
      </c>
      <c r="AC27" t="str">
        <f>_xlfn.XLOOKUP(B27,Disk_Pivot!G:G,Disk_Pivot!N:N)</f>
        <v/>
      </c>
    </row>
    <row r="28" spans="1:29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str" cm="1">
        <f t="array" ref="Q28">_xlfn.TEXTJOIN(", ", TRUE, _xlfn._xlws.FILTER(Input!W:W, Input!J:J=B28))</f>
        <v/>
      </c>
      <c r="S28" s="13" t="str">
        <f>_xlfn.LET(_xlpm.Result,_xlfn.XLOOKUP(B28,Input!J:J,Input!AB:AB),IF(_xlpm.Result="","",_xlpm.Result))</f>
        <v/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Z28">IFERROR(IF(_xlfn.XLOOKUP(B28,Input!J:J,Input!N:S)=0,"",
          _xlfn.XLOOKUP(B28,Input!J:J,Input!N:S)),"")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t="str">
        <f t="shared" si="2"/>
        <v/>
      </c>
      <c r="AB28" t="str">
        <f>_xlfn.XLOOKUP(B:B,Disk_Pivot!G:G,Disk_Pivot!I:I)</f>
        <v>No</v>
      </c>
      <c r="AC28" t="str">
        <f>_xlfn.XLOOKUP(B28,Disk_Pivot!G:G,Disk_Pivot!N:N)</f>
        <v/>
      </c>
    </row>
    <row r="29" spans="1:29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str" cm="1">
        <f t="array" ref="Q29">_xlfn.TEXTJOIN(", ", TRUE, _xlfn._xlws.FILTER(Input!W:W, Input!J:J=B29))</f>
        <v/>
      </c>
      <c r="S29" s="13" t="str">
        <f>_xlfn.LET(_xlpm.Result,_xlfn.XLOOKUP(B29,Input!J:J,Input!AB:AB),IF(_xlpm.Result="","",_xlpm.Result))</f>
        <v/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Z29">IFERROR(IF(_xlfn.XLOOKUP(B29,Input!J:J,Input!N:S)=0,"",
          _xlfn.XLOOKUP(B29,Input!J:J,Input!N:S)),"")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t="str">
        <f t="shared" si="2"/>
        <v/>
      </c>
      <c r="AB29" t="str">
        <f>_xlfn.XLOOKUP(B:B,Disk_Pivot!G:G,Disk_Pivot!I:I)</f>
        <v>No</v>
      </c>
      <c r="AC29" t="str">
        <f>_xlfn.XLOOKUP(B29,Disk_Pivot!G:G,Disk_Pivot!N:N)</f>
        <v/>
      </c>
    </row>
    <row r="30" spans="1:29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str" cm="1">
        <f t="array" ref="Q30">_xlfn.TEXTJOIN(", ", TRUE, _xlfn._xlws.FILTER(Input!W:W, Input!J:J=B30))</f>
        <v/>
      </c>
      <c r="S30" s="13" t="str">
        <f>_xlfn.LET(_xlpm.Result,_xlfn.XLOOKUP(B30,Input!J:J,Input!AB:AB),IF(_xlpm.Result="","",_xlpm.Result))</f>
        <v/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Z30">IFERROR(IF(_xlfn.XLOOKUP(B30,Input!J:J,Input!N:S)=0,"",
          _xlfn.XLOOKUP(B30,Input!J:J,Input!N:S)),"")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t="str">
        <f t="shared" si="2"/>
        <v/>
      </c>
      <c r="AB30" t="str">
        <f>_xlfn.XLOOKUP(B:B,Disk_Pivot!G:G,Disk_Pivot!I:I)</f>
        <v>No</v>
      </c>
      <c r="AC30" t="str">
        <f>_xlfn.XLOOKUP(B30,Disk_Pivot!G:G,Disk_Pivot!N:N)</f>
        <v/>
      </c>
    </row>
    <row r="31" spans="1:29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str" cm="1">
        <f t="array" ref="Q31">_xlfn.TEXTJOIN(", ", TRUE, _xlfn._xlws.FILTER(Input!W:W, Input!J:J=B31))</f>
        <v/>
      </c>
      <c r="S31" s="13" t="str">
        <f>_xlfn.LET(_xlpm.Result,_xlfn.XLOOKUP(B31,Input!J:J,Input!AB:AB),IF(_xlpm.Result="","",_xlpm.Result))</f>
        <v/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Z31">IFERROR(IF(_xlfn.XLOOKUP(B31,Input!J:J,Input!N:S)=0,"",
          _xlfn.XLOOKUP(B31,Input!J:J,Input!N:S)),"")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t="str">
        <f t="shared" si="2"/>
        <v/>
      </c>
      <c r="AB31" t="str">
        <f>_xlfn.XLOOKUP(B:B,Disk_Pivot!G:G,Disk_Pivot!I:I)</f>
        <v>No</v>
      </c>
      <c r="AC31" t="str">
        <f>_xlfn.XLOOKUP(B31,Disk_Pivot!G:G,Disk_Pivot!N:N)</f>
        <v/>
      </c>
    </row>
    <row r="32" spans="1:29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str" cm="1">
        <f t="array" ref="Q32">_xlfn.TEXTJOIN(", ", TRUE, _xlfn._xlws.FILTER(Input!W:W, Input!J:J=B32))</f>
        <v/>
      </c>
      <c r="S32" s="13" t="str">
        <f>_xlfn.LET(_xlpm.Result,_xlfn.XLOOKUP(B32,Input!J:J,Input!AB:AB),IF(_xlpm.Result="","",_xlpm.Result))</f>
        <v/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Z32">IFERROR(IF(_xlfn.XLOOKUP(B32,Input!J:J,Input!N:S)=0,"",
          _xlfn.XLOOKUP(B32,Input!J:J,Input!N:S)),"")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t="str">
        <f t="shared" si="2"/>
        <v/>
      </c>
      <c r="AB32" t="str">
        <f>_xlfn.XLOOKUP(B:B,Disk_Pivot!G:G,Disk_Pivot!I:I)</f>
        <v>No</v>
      </c>
      <c r="AC32" t="str">
        <f>_xlfn.XLOOKUP(B32,Disk_Pivot!G:G,Disk_Pivot!N:N)</f>
        <v/>
      </c>
    </row>
    <row r="33" spans="1:29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str" cm="1">
        <f t="array" ref="Q33">_xlfn.TEXTJOIN(", ", TRUE, _xlfn._xlws.FILTER(Input!W:W, Input!J:J=B33))</f>
        <v/>
      </c>
      <c r="S33" s="13" t="str">
        <f>_xlfn.LET(_xlpm.Result,_xlfn.XLOOKUP(B33,Input!J:J,Input!AB:AB),IF(_xlpm.Result="","",_xlpm.Result))</f>
        <v/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Z33">IFERROR(IF(_xlfn.XLOOKUP(B33,Input!J:J,Input!N:S)=0,"",
          _xlfn.XLOOKUP(B33,Input!J:J,Input!N:S)),"")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t="str">
        <f t="shared" si="2"/>
        <v/>
      </c>
      <c r="AB33" t="str">
        <f>_xlfn.XLOOKUP(B:B,Disk_Pivot!G:G,Disk_Pivot!I:I)</f>
        <v>No</v>
      </c>
      <c r="AC33" t="str">
        <f>_xlfn.XLOOKUP(B33,Disk_Pivot!G:G,Disk_Pivot!N:N)</f>
        <v/>
      </c>
    </row>
    <row r="34" spans="1:29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str" cm="1">
        <f t="array" ref="Q34">_xlfn.TEXTJOIN(", ", TRUE, _xlfn._xlws.FILTER(Input!W:W, Input!J:J=B34))</f>
        <v/>
      </c>
      <c r="S34" s="13" t="str">
        <f>_xlfn.LET(_xlpm.Result,_xlfn.XLOOKUP(B34,Input!J:J,Input!AB:AB),IF(_xlpm.Result="","",_xlpm.Result))</f>
        <v/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Z34">IFERROR(IF(_xlfn.XLOOKUP(B34,Input!J:J,Input!N:S)=0,"",
          _xlfn.XLOOKUP(B34,Input!J:J,Input!N:S)),"")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t="str">
        <f t="shared" si="2"/>
        <v/>
      </c>
      <c r="AB34" t="str">
        <f>_xlfn.XLOOKUP(B:B,Disk_Pivot!G:G,Disk_Pivot!I:I)</f>
        <v>No</v>
      </c>
      <c r="AC34" t="str">
        <f>_xlfn.XLOOKUP(B34,Disk_Pivot!G:G,Disk_Pivot!N:N)</f>
        <v/>
      </c>
    </row>
    <row r="35" spans="1:29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str" cm="1">
        <f t="array" ref="Q35">_xlfn.TEXTJOIN(", ", TRUE, _xlfn._xlws.FILTER(Input!W:W, Input!J:J=B35))</f>
        <v/>
      </c>
      <c r="S35" s="13" t="str">
        <f>_xlfn.LET(_xlpm.Result,_xlfn.XLOOKUP(B35,Input!J:J,Input!AB:AB),IF(_xlpm.Result="","",_xlpm.Result))</f>
        <v/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Z35">IFERROR(IF(_xlfn.XLOOKUP(B35,Input!J:J,Input!N:S)=0,"",
          _xlfn.XLOOKUP(B35,Input!J:J,Input!N:S)),"")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t="str">
        <f t="shared" si="2"/>
        <v/>
      </c>
      <c r="AB35" t="str">
        <f>_xlfn.XLOOKUP(B:B,Disk_Pivot!G:G,Disk_Pivot!I:I)</f>
        <v>No</v>
      </c>
      <c r="AC35" t="str">
        <f>_xlfn.XLOOKUP(B35,Disk_Pivot!G:G,Disk_Pivot!N:N)</f>
        <v/>
      </c>
    </row>
    <row r="36" spans="1:29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str" cm="1">
        <f t="array" ref="Q36">_xlfn.TEXTJOIN(", ", TRUE, _xlfn._xlws.FILTER(Input!W:W, Input!J:J=B36))</f>
        <v/>
      </c>
      <c r="S36" s="13" t="str">
        <f>_xlfn.LET(_xlpm.Result,_xlfn.XLOOKUP(B36,Input!J:J,Input!AB:AB),IF(_xlpm.Result="","",_xlpm.Result))</f>
        <v/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Z36">IFERROR(IF(_xlfn.XLOOKUP(B36,Input!J:J,Input!N:S)=0,"",
          _xlfn.XLOOKUP(B36,Input!J:J,Input!N:S)),"")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t="str">
        <f t="shared" si="2"/>
        <v/>
      </c>
      <c r="AB36" t="str">
        <f>_xlfn.XLOOKUP(B:B,Disk_Pivot!G:G,Disk_Pivot!I:I)</f>
        <v>No</v>
      </c>
      <c r="AC36" t="str">
        <f>_xlfn.XLOOKUP(B36,Disk_Pivot!G:G,Disk_Pivot!N:N)</f>
        <v/>
      </c>
    </row>
    <row r="37" spans="1:29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e">
        <f>_xlfn.XLOOKUP(H37,Models!B:B,Models!F:F,"")</f>
        <v>#N/A</v>
      </c>
      <c r="G37" t="e">
        <f>_xlfn.XLOOKUP(B37,Input!J:J,Input!E:E)</f>
        <v>#N/A</v>
      </c>
      <c r="H37" t="e">
        <f>IF(G37="LENOVO",_xlfn.XLOOKUP(B37,Input!J:J,Input!K:K),_xlfn.XLOOKUP(B37,Input!J:J,Input!L:L))</f>
        <v>#N/A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str" cm="1">
        <f t="array" ref="Q37">_xlfn.TEXTJOIN(", ", TRUE, _xlfn._xlws.FILTER(Input!W:W, Input!J:J=B37))</f>
        <v/>
      </c>
      <c r="S37" s="13" t="str">
        <f>_xlfn.LET(_xlpm.Result,_xlfn.XLOOKUP(B37,Input!J:J,Input!AB:AB),IF(_xlpm.Result="","",_xlpm.Result))</f>
        <v/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Z37">IFERROR(IF(_xlfn.XLOOKUP(B37,Input!J:J,Input!N:S)=0,"",
          _xlfn.XLOOKUP(B37,Input!J:J,Input!N:S)),"")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t="str">
        <f t="shared" si="2"/>
        <v/>
      </c>
      <c r="AB37" t="str">
        <f>_xlfn.XLOOKUP(B:B,Disk_Pivot!G:G,Disk_Pivot!I:I)</f>
        <v>No</v>
      </c>
      <c r="AC37" t="str">
        <f>_xlfn.XLOOKUP(B37,Disk_Pivot!G:G,Disk_Pivot!N:N)</f>
        <v/>
      </c>
    </row>
    <row r="38" spans="1:29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str" cm="1">
        <f t="array" ref="Q38">_xlfn.TEXTJOIN(", ", TRUE, _xlfn._xlws.FILTER(Input!W:W, Input!J:J=B38))</f>
        <v/>
      </c>
      <c r="S38" s="13" t="str">
        <f>_xlfn.LET(_xlpm.Result,_xlfn.XLOOKUP(B38,Input!J:J,Input!AB:AB),IF(_xlpm.Result="","",_xlpm.Result))</f>
        <v/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Z38">IFERROR(IF(_xlfn.XLOOKUP(B38,Input!J:J,Input!N:S)=0,"",
          _xlfn.XLOOKUP(B38,Input!J:J,Input!N:S)),"")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t="str">
        <f t="shared" si="2"/>
        <v/>
      </c>
      <c r="AB38" t="str">
        <f>_xlfn.XLOOKUP(B:B,Disk_Pivot!G:G,Disk_Pivot!I:I)</f>
        <v>No</v>
      </c>
      <c r="AC38" t="str">
        <f>_xlfn.XLOOKUP(B38,Disk_Pivot!G:G,Disk_Pivot!N:N)</f>
        <v/>
      </c>
    </row>
    <row r="39" spans="1:29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str" cm="1">
        <f t="array" ref="Q39">_xlfn.TEXTJOIN(", ", TRUE, _xlfn._xlws.FILTER(Input!W:W, Input!J:J=B39))</f>
        <v/>
      </c>
      <c r="S39" s="13" t="str">
        <f>_xlfn.LET(_xlpm.Result,_xlfn.XLOOKUP(B39,Input!J:J,Input!AB:AB),IF(_xlpm.Result="","",_xlpm.Result))</f>
        <v/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Z39">IFERROR(IF(_xlfn.XLOOKUP(B39,Input!J:J,Input!N:S)=0,"",
          _xlfn.XLOOKUP(B39,Input!J:J,Input!N:S)),"")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t="str">
        <f t="shared" si="2"/>
        <v/>
      </c>
      <c r="AB39" t="str">
        <f>_xlfn.XLOOKUP(B:B,Disk_Pivot!G:G,Disk_Pivot!I:I)</f>
        <v>No</v>
      </c>
      <c r="AC39" t="str">
        <f>_xlfn.XLOOKUP(B39,Disk_Pivot!G:G,Disk_Pivot!N:N)</f>
        <v/>
      </c>
    </row>
    <row r="40" spans="1:29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str" cm="1">
        <f t="array" ref="Q40">_xlfn.TEXTJOIN(", ", TRUE, _xlfn._xlws.FILTER(Input!W:W, Input!J:J=B40))</f>
        <v/>
      </c>
      <c r="S40" s="13" t="str">
        <f>_xlfn.LET(_xlpm.Result,_xlfn.XLOOKUP(B40,Input!J:J,Input!AB:AB),IF(_xlpm.Result="","",_xlpm.Result))</f>
        <v/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Z40">IFERROR(IF(_xlfn.XLOOKUP(B40,Input!J:J,Input!N:S)=0,"",
          _xlfn.XLOOKUP(B40,Input!J:J,Input!N:S)),"")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t="str">
        <f t="shared" si="2"/>
        <v/>
      </c>
      <c r="AB40" t="str">
        <f>_xlfn.XLOOKUP(B:B,Disk_Pivot!G:G,Disk_Pivot!I:I)</f>
        <v>No</v>
      </c>
      <c r="AC40" t="str">
        <f>_xlfn.XLOOKUP(B40,Disk_Pivot!G:G,Disk_Pivot!N:N)</f>
        <v/>
      </c>
    </row>
    <row r="41" spans="1:29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e">
        <f>_xlfn.XLOOKUP(H41,Models!B:B,Models!F:F,"")</f>
        <v>#N/A</v>
      </c>
      <c r="G41" t="e">
        <f>_xlfn.XLOOKUP(B41,Input!J:J,Input!E:E)</f>
        <v>#N/A</v>
      </c>
      <c r="H41" t="e">
        <f>IF(G41="LENOVO",_xlfn.XLOOKUP(B41,Input!J:J,Input!K:K),_xlfn.XLOOKUP(B41,Input!J:J,Input!L:L))</f>
        <v>#N/A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str" cm="1">
        <f t="array" ref="Q41">_xlfn.TEXTJOIN(", ", TRUE, _xlfn._xlws.FILTER(Input!W:W, Input!J:J=B41))</f>
        <v/>
      </c>
      <c r="S41" s="13" t="str">
        <f>_xlfn.LET(_xlpm.Result,_xlfn.XLOOKUP(B41,Input!J:J,Input!AB:AB),IF(_xlpm.Result="","",_xlpm.Result))</f>
        <v/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Z41">IFERROR(IF(_xlfn.XLOOKUP(B41,Input!J:J,Input!N:S)=0,"",
          _xlfn.XLOOKUP(B41,Input!J:J,Input!N:S)),"")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t="str">
        <f t="shared" si="2"/>
        <v/>
      </c>
      <c r="AB41" t="str">
        <f>_xlfn.XLOOKUP(B:B,Disk_Pivot!G:G,Disk_Pivot!I:I)</f>
        <v>No</v>
      </c>
      <c r="AC41" t="str">
        <f>_xlfn.XLOOKUP(B41,Disk_Pivot!G:G,Disk_Pivot!N:N)</f>
        <v/>
      </c>
    </row>
    <row r="42" spans="1:29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str" cm="1">
        <f t="array" ref="Q42">_xlfn.TEXTJOIN(", ", TRUE, _xlfn._xlws.FILTER(Input!W:W, Input!J:J=B42))</f>
        <v/>
      </c>
      <c r="S42" s="13" t="e">
        <f>_xlfn.LET(_xlpm.Result,_xlfn.XLOOKUP(B42,Input!J:J,Input!AB:AB),IF(_xlpm.Result="","",_xlpm.Result))</f>
        <v>#N/A</v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Z42">IFERROR(IF(_xlfn.XLOOKUP(B42,Input!J:J,Input!N:S)=0,"",
          _xlfn.XLOOKUP(B42,Input!J:J,Input!N:S)),"")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t="str">
        <f t="shared" si="2"/>
        <v/>
      </c>
      <c r="AB42" t="str">
        <f>_xlfn.XLOOKUP(B:B,Disk_Pivot!G:G,Disk_Pivot!I:I)</f>
        <v>No</v>
      </c>
      <c r="AC42" t="str">
        <f>_xlfn.XLOOKUP(B42,Disk_Pivot!G:G,Disk_Pivot!N:N)</f>
        <v/>
      </c>
    </row>
    <row r="43" spans="1:29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str" cm="1">
        <f t="array" ref="Q43">_xlfn.TEXTJOIN(", ", TRUE, _xlfn._xlws.FILTER(Input!W:W, Input!J:J=B43))</f>
        <v/>
      </c>
      <c r="S43" s="13" t="str">
        <f>_xlfn.LET(_xlpm.Result,_xlfn.XLOOKUP(B43,Input!J:J,Input!AB:AB),IF(_xlpm.Result="","",_xlpm.Result))</f>
        <v/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Z43">IFERROR(IF(_xlfn.XLOOKUP(B43,Input!J:J,Input!N:S)=0,"",
          _xlfn.XLOOKUP(B43,Input!J:J,Input!N:S)),"")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t="str">
        <f t="shared" si="2"/>
        <v/>
      </c>
      <c r="AB43" t="str">
        <f>_xlfn.XLOOKUP(B:B,Disk_Pivot!G:G,Disk_Pivot!I:I)</f>
        <v>No</v>
      </c>
      <c r="AC43" t="str">
        <f>_xlfn.XLOOKUP(B43,Disk_Pivot!G:G,Disk_Pivot!N:N)</f>
        <v/>
      </c>
    </row>
    <row r="44" spans="1:29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str" cm="1">
        <f t="array" ref="Q44">_xlfn.TEXTJOIN(", ", TRUE, _xlfn._xlws.FILTER(Input!W:W, Input!J:J=B44))</f>
        <v/>
      </c>
      <c r="S44" s="13" t="str">
        <f>_xlfn.LET(_xlpm.Result,_xlfn.XLOOKUP(B44,Input!J:J,Input!AB:AB),IF(_xlpm.Result="","",_xlpm.Result))</f>
        <v/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Z44">IFERROR(IF(_xlfn.XLOOKUP(B44,Input!J:J,Input!N:S)=0,"",
          _xlfn.XLOOKUP(B44,Input!J:J,Input!N:S)),"")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t="str">
        <f t="shared" si="2"/>
        <v/>
      </c>
      <c r="AB44" t="str">
        <f>_xlfn.XLOOKUP(B:B,Disk_Pivot!G:G,Disk_Pivot!I:I)</f>
        <v>No</v>
      </c>
      <c r="AC44" t="str">
        <f>_xlfn.XLOOKUP(B44,Disk_Pivot!G:G,Disk_Pivot!N:N)</f>
        <v/>
      </c>
    </row>
    <row r="45" spans="1:29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str" cm="1">
        <f t="array" ref="Q45">_xlfn.TEXTJOIN(", ", TRUE, _xlfn._xlws.FILTER(Input!W:W, Input!J:J=B45))</f>
        <v/>
      </c>
      <c r="S45" s="13" t="str">
        <f>_xlfn.LET(_xlpm.Result,_xlfn.XLOOKUP(B45,Input!J:J,Input!AB:AB),IF(_xlpm.Result="","",_xlpm.Result))</f>
        <v/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Z45">IFERROR(IF(_xlfn.XLOOKUP(B45,Input!J:J,Input!N:S)=0,"",
          _xlfn.XLOOKUP(B45,Input!J:J,Input!N:S)),"")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t="str">
        <f t="shared" si="2"/>
        <v/>
      </c>
      <c r="AB45" t="str">
        <f>_xlfn.XLOOKUP(B:B,Disk_Pivot!G:G,Disk_Pivot!I:I)</f>
        <v>No</v>
      </c>
      <c r="AC45" t="str">
        <f>_xlfn.XLOOKUP(B45,Disk_Pivot!G:G,Disk_Pivot!N:N)</f>
        <v/>
      </c>
    </row>
    <row r="46" spans="1:29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str" cm="1">
        <f t="array" ref="Q46">_xlfn.TEXTJOIN(", ", TRUE, _xlfn._xlws.FILTER(Input!W:W, Input!J:J=B46))</f>
        <v/>
      </c>
      <c r="S46" s="13" t="str">
        <f>_xlfn.LET(_xlpm.Result,_xlfn.XLOOKUP(B46,Input!J:J,Input!AB:AB),IF(_xlpm.Result="","",_xlpm.Result))</f>
        <v/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Z46">IFERROR(IF(_xlfn.XLOOKUP(B46,Input!J:J,Input!N:S)=0,"",
          _xlfn.XLOOKUP(B46,Input!J:J,Input!N:S)),"")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t="str">
        <f t="shared" si="2"/>
        <v/>
      </c>
      <c r="AB46" t="str">
        <f>_xlfn.XLOOKUP(B:B,Disk_Pivot!G:G,Disk_Pivot!I:I)</f>
        <v>No</v>
      </c>
      <c r="AC46" t="str">
        <f>_xlfn.XLOOKUP(B46,Disk_Pivot!G:G,Disk_Pivot!N:N)</f>
        <v/>
      </c>
    </row>
    <row r="47" spans="1:29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str" cm="1">
        <f t="array" ref="Q47">_xlfn.TEXTJOIN(", ", TRUE, _xlfn._xlws.FILTER(Input!W:W, Input!J:J=B47))</f>
        <v/>
      </c>
      <c r="S47" s="13" t="str">
        <f>_xlfn.LET(_xlpm.Result,_xlfn.XLOOKUP(B47,Input!J:J,Input!AB:AB),IF(_xlpm.Result="","",_xlpm.Result))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Z47">IFERROR(IF(_xlfn.XLOOKUP(B47,Input!J:J,Input!N:S)=0,"",
          _xlfn.XLOOKUP(B47,Input!J:J,Input!N:S)),"")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t="str">
        <f t="shared" si="2"/>
        <v/>
      </c>
      <c r="AB47" t="str">
        <f>_xlfn.XLOOKUP(B:B,Disk_Pivot!G:G,Disk_Pivot!I:I)</f>
        <v>No</v>
      </c>
      <c r="AC47" t="str">
        <f>_xlfn.XLOOKUP(B47,Disk_Pivot!G:G,Disk_Pivot!N:N)</f>
        <v/>
      </c>
    </row>
    <row r="48" spans="1:29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str" cm="1">
        <f t="array" ref="Q48">_xlfn.TEXTJOIN(", ", TRUE, _xlfn._xlws.FILTER(Input!W:W, Input!J:J=B48))</f>
        <v/>
      </c>
      <c r="S48" s="13" t="str">
        <f>_xlfn.LET(_xlpm.Result,_xlfn.XLOOKUP(B48,Input!J:J,Input!AB:AB),IF(_xlpm.Result="","",_xlpm.Result))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Z48">IFERROR(IF(_xlfn.XLOOKUP(B48,Input!J:J,Input!N:S)=0,"",
          _xlfn.XLOOKUP(B48,Input!J:J,Input!N:S)),"")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t="str">
        <f t="shared" si="2"/>
        <v/>
      </c>
      <c r="AB48" t="str">
        <f>_xlfn.XLOOKUP(B:B,Disk_Pivot!G:G,Disk_Pivot!I:I)</f>
        <v>No</v>
      </c>
      <c r="AC48" t="str">
        <f>_xlfn.XLOOKUP(B48,Disk_Pivot!G:G,Disk_Pivot!N:N)</f>
        <v/>
      </c>
    </row>
    <row r="49" spans="1:29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str" cm="1">
        <f t="array" ref="Q49">_xlfn.TEXTJOIN(", ", TRUE, _xlfn._xlws.FILTER(Input!W:W, Input!J:J=B49))</f>
        <v/>
      </c>
      <c r="S49" s="13" t="str">
        <f>_xlfn.LET(_xlpm.Result,_xlfn.XLOOKUP(B49,Input!J:J,Input!AB:AB),IF(_xlpm.Result="","",_xlpm.Result))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Z49">IFERROR(IF(_xlfn.XLOOKUP(B49,Input!J:J,Input!N:S)=0,"",
          _xlfn.XLOOKUP(B49,Input!J:J,Input!N:S)),"")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t="str">
        <f t="shared" si="2"/>
        <v/>
      </c>
      <c r="AB49" t="str">
        <f>_xlfn.XLOOKUP(B:B,Disk_Pivot!G:G,Disk_Pivot!I:I)</f>
        <v>No</v>
      </c>
      <c r="AC49" t="str">
        <f>_xlfn.XLOOKUP(B49,Disk_Pivot!G:G,Disk_Pivot!N:N)</f>
        <v/>
      </c>
    </row>
    <row r="50" spans="1:29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str" cm="1">
        <f t="array" ref="Q50">_xlfn.TEXTJOIN(", ", TRUE, _xlfn._xlws.FILTER(Input!W:W, Input!J:J=B50))</f>
        <v/>
      </c>
      <c r="S50" s="13" t="str">
        <f>_xlfn.LET(_xlpm.Result,_xlfn.XLOOKUP(B50,Input!J:J,Input!AB:AB),IF(_xlpm.Result="","",_xlpm.Result))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Z50">IFERROR(IF(_xlfn.XLOOKUP(B50,Input!J:J,Input!N:S)=0,"",
          _xlfn.XLOOKUP(B50,Input!J:J,Input!N:S)),"")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t="str">
        <f t="shared" si="2"/>
        <v/>
      </c>
      <c r="AB50" t="str">
        <f>_xlfn.XLOOKUP(B:B,Disk_Pivot!G:G,Disk_Pivot!I:I)</f>
        <v>No</v>
      </c>
      <c r="AC50" t="str">
        <f>_xlfn.XLOOKUP(B50,Disk_Pivot!G:G,Disk_Pivot!N:N)</f>
        <v/>
      </c>
    </row>
    <row r="51" spans="1:29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str" cm="1">
        <f t="array" ref="Q51">_xlfn.TEXTJOIN(", ", TRUE, _xlfn._xlws.FILTER(Input!W:W, Input!J:J=B51))</f>
        <v/>
      </c>
      <c r="S51" s="13" t="str">
        <f>_xlfn.LET(_xlpm.Result,_xlfn.XLOOKUP(B51,Input!J:J,Input!AB:AB),IF(_xlpm.Result="","",_xlpm.Result))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Z51">IFERROR(IF(_xlfn.XLOOKUP(B51,Input!J:J,Input!N:S)=0,"",
          _xlfn.XLOOKUP(B51,Input!J:J,Input!N:S)),"")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t="str">
        <f t="shared" si="2"/>
        <v/>
      </c>
      <c r="AB51" t="str">
        <f>_xlfn.XLOOKUP(B:B,Disk_Pivot!G:G,Disk_Pivot!I:I)</f>
        <v>No</v>
      </c>
      <c r="AC51" t="str">
        <f>_xlfn.XLOOKUP(B51,Disk_Pivot!G:G,Disk_Pivot!N:N)</f>
        <v/>
      </c>
    </row>
    <row r="52" spans="1:29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str" cm="1">
        <f t="array" ref="Q52">_xlfn.TEXTJOIN(", ", TRUE, _xlfn._xlws.FILTER(Input!W:W, Input!J:J=B52))</f>
        <v/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Z52">IFERROR(IF(_xlfn.XLOOKUP(B52,Input!J:J,Input!N:S)=0,"",
          _xlfn.XLOOKUP(B52,Input!J:J,Input!N:S)),"")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t="str">
        <f t="shared" si="2"/>
        <v/>
      </c>
      <c r="AB52" t="str">
        <f>_xlfn.XLOOKUP(B:B,Disk_Pivot!G:G,Disk_Pivot!I:I)</f>
        <v>No</v>
      </c>
      <c r="AC52" t="str">
        <f>_xlfn.XLOOKUP(B52,Disk_Pivot!G:G,Disk_Pivot!N:N)</f>
        <v/>
      </c>
    </row>
    <row r="53" spans="1:29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str" cm="1">
        <f t="array" ref="Q53">_xlfn.TEXTJOIN(", ", TRUE, _xlfn._xlws.FILTER(Input!W:W, Input!J:J=B53))</f>
        <v/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Z53">IFERROR(IF(_xlfn.XLOOKUP(B53,Input!J:J,Input!N:S)=0,"",
          _xlfn.XLOOKUP(B53,Input!J:J,Input!N:S)),"")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t="str">
        <f t="shared" si="2"/>
        <v/>
      </c>
      <c r="AB53" t="str">
        <f>_xlfn.XLOOKUP(B:B,Disk_Pivot!G:G,Disk_Pivot!I:I)</f>
        <v>No</v>
      </c>
      <c r="AC53" t="str">
        <f>_xlfn.XLOOKUP(B53,Disk_Pivot!G:G,Disk_Pivot!N:N)</f>
        <v/>
      </c>
    </row>
    <row r="54" spans="1:29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str" cm="1">
        <f t="array" ref="Q54">_xlfn.TEXTJOIN(", ", TRUE, _xlfn._xlws.FILTER(Input!W:W, Input!J:J=B54))</f>
        <v/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Z54">IFERROR(IF(_xlfn.XLOOKUP(B54,Input!J:J,Input!N:S)=0,"",
          _xlfn.XLOOKUP(B54,Input!J:J,Input!N:S)),"")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t="str">
        <f t="shared" si="2"/>
        <v/>
      </c>
      <c r="AB54" t="str">
        <f>_xlfn.XLOOKUP(B:B,Disk_Pivot!G:G,Disk_Pivot!I:I)</f>
        <v>No</v>
      </c>
      <c r="AC54" t="str">
        <f>_xlfn.XLOOKUP(B54,Disk_Pivot!G:G,Disk_Pivot!N:N)</f>
        <v/>
      </c>
    </row>
    <row r="55" spans="1:29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str" cm="1">
        <f t="array" ref="Q55">_xlfn.TEXTJOIN(", ", TRUE, _xlfn._xlws.FILTER(Input!W:W, Input!J:J=B55))</f>
        <v/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Z55">IFERROR(IF(_xlfn.XLOOKUP(B55,Input!J:J,Input!N:S)=0,"",
          _xlfn.XLOOKUP(B55,Input!J:J,Input!N:S)),"")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t="str">
        <f t="shared" si="2"/>
        <v/>
      </c>
      <c r="AB55" t="str">
        <f>_xlfn.XLOOKUP(B:B,Disk_Pivot!G:G,Disk_Pivot!I:I)</f>
        <v>No</v>
      </c>
      <c r="AC55" t="str">
        <f>_xlfn.XLOOKUP(B55,Disk_Pivot!G:G,Disk_Pivot!N:N)</f>
        <v/>
      </c>
    </row>
    <row r="56" spans="1:29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str" cm="1">
        <f t="array" ref="Q56">_xlfn.TEXTJOIN(", ", TRUE, _xlfn._xlws.FILTER(Input!W:W, Input!J:J=B56))</f>
        <v/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Z56">IFERROR(IF(_xlfn.XLOOKUP(B56,Input!J:J,Input!N:S)=0,"",
          _xlfn.XLOOKUP(B56,Input!J:J,Input!N:S)),"")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t="str">
        <f t="shared" si="2"/>
        <v/>
      </c>
      <c r="AB56" t="str">
        <f>_xlfn.XLOOKUP(B:B,Disk_Pivot!G:G,Disk_Pivot!I:I)</f>
        <v>No</v>
      </c>
      <c r="AC56" t="str">
        <f>_xlfn.XLOOKUP(B56,Disk_Pivot!G:G,Disk_Pivot!N:N)</f>
        <v/>
      </c>
    </row>
    <row r="57" spans="1:29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str" cm="1">
        <f t="array" ref="Q57">_xlfn.TEXTJOIN(", ", TRUE, _xlfn._xlws.FILTER(Input!W:W, Input!J:J=B57))</f>
        <v/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Z57">IFERROR(IF(_xlfn.XLOOKUP(B57,Input!J:J,Input!N:S)=0,"",
          _xlfn.XLOOKUP(B57,Input!J:J,Input!N:S)),"")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t="str">
        <f t="shared" si="2"/>
        <v/>
      </c>
      <c r="AB57" t="str">
        <f>_xlfn.XLOOKUP(B:B,Disk_Pivot!G:G,Disk_Pivot!I:I)</f>
        <v>No</v>
      </c>
      <c r="AC57" t="str">
        <f>_xlfn.XLOOKUP(B57,Disk_Pivot!G:G,Disk_Pivot!N:N)</f>
        <v/>
      </c>
    </row>
    <row r="58" spans="1:29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str" cm="1">
        <f t="array" ref="Q58">_xlfn.TEXTJOIN(", ", TRUE, _xlfn._xlws.FILTER(Input!W:W, Input!J:J=B58))</f>
        <v/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Z58">IFERROR(IF(_xlfn.XLOOKUP(B58,Input!J:J,Input!N:S)=0,"",
          _xlfn.XLOOKUP(B58,Input!J:J,Input!N:S)),"")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t="str">
        <f t="shared" si="2"/>
        <v/>
      </c>
      <c r="AB58" t="str">
        <f>_xlfn.XLOOKUP(B:B,Disk_Pivot!G:G,Disk_Pivot!I:I)</f>
        <v>No</v>
      </c>
      <c r="AC58" t="str">
        <f>_xlfn.XLOOKUP(B58,Disk_Pivot!G:G,Disk_Pivot!N:N)</f>
        <v/>
      </c>
    </row>
    <row r="59" spans="1:29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str" cm="1">
        <f t="array" ref="Q59">_xlfn.TEXTJOIN(", ", TRUE, _xlfn._xlws.FILTER(Input!W:W, Input!J:J=B59))</f>
        <v/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Z59">IFERROR(IF(_xlfn.XLOOKUP(B59,Input!J:J,Input!N:S)=0,"",
          _xlfn.XLOOKUP(B59,Input!J:J,Input!N:S)),"")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t="str">
        <f t="shared" si="2"/>
        <v/>
      </c>
      <c r="AB59" t="str">
        <f>_xlfn.XLOOKUP(B:B,Disk_Pivot!G:G,Disk_Pivot!I:I)</f>
        <v>No</v>
      </c>
      <c r="AC59" t="str">
        <f>_xlfn.XLOOKUP(B59,Disk_Pivot!G:G,Disk_Pivot!N:N)</f>
        <v/>
      </c>
    </row>
    <row r="60" spans="1:29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str" cm="1">
        <f t="array" ref="Q60">_xlfn.TEXTJOIN(", ", TRUE, _xlfn._xlws.FILTER(Input!W:W, Input!J:J=B60))</f>
        <v/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Z60">IFERROR(IF(_xlfn.XLOOKUP(B60,Input!J:J,Input!N:S)=0,"",
          _xlfn.XLOOKUP(B60,Input!J:J,Input!N:S)),"")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t="str">
        <f t="shared" si="2"/>
        <v/>
      </c>
      <c r="AB60" t="str">
        <f>_xlfn.XLOOKUP(B:B,Disk_Pivot!G:G,Disk_Pivot!I:I)</f>
        <v>No</v>
      </c>
      <c r="AC60" t="str">
        <f>_xlfn.XLOOKUP(B60,Disk_Pivot!G:G,Disk_Pivot!N:N)</f>
        <v/>
      </c>
    </row>
    <row r="61" spans="1:29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str" cm="1">
        <f t="array" ref="Q61">_xlfn.TEXTJOIN(", ", TRUE, _xlfn._xlws.FILTER(Input!W:W, Input!J:J=B61))</f>
        <v/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Z61">IFERROR(IF(_xlfn.XLOOKUP(B61,Input!J:J,Input!N:S)=0,"",
          _xlfn.XLOOKUP(B61,Input!J:J,Input!N:S)),"")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t="str">
        <f t="shared" si="2"/>
        <v/>
      </c>
      <c r="AB61" t="str">
        <f>_xlfn.XLOOKUP(B:B,Disk_Pivot!G:G,Disk_Pivot!I:I)</f>
        <v>No</v>
      </c>
      <c r="AC61" t="str">
        <f>_xlfn.XLOOKUP(B61,Disk_Pivot!G:G,Disk_Pivot!N:N)</f>
        <v/>
      </c>
    </row>
    <row r="62" spans="1:29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str" cm="1">
        <f t="array" ref="Q62">_xlfn.TEXTJOIN(", ", TRUE, _xlfn._xlws.FILTER(Input!W:W, Input!J:J=B62))</f>
        <v/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Z62">IFERROR(IF(_xlfn.XLOOKUP(B62,Input!J:J,Input!N:S)=0,"",
          _xlfn.XLOOKUP(B62,Input!J:J,Input!N:S)),"")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t="str">
        <f t="shared" si="2"/>
        <v/>
      </c>
      <c r="AB62" t="str">
        <f>_xlfn.XLOOKUP(B:B,Disk_Pivot!G:G,Disk_Pivot!I:I)</f>
        <v>No</v>
      </c>
      <c r="AC62" t="str">
        <f>_xlfn.XLOOKUP(B62,Disk_Pivot!G:G,Disk_Pivot!N:N)</f>
        <v/>
      </c>
    </row>
    <row r="63" spans="1:29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str" cm="1">
        <f t="array" ref="Q63">_xlfn.TEXTJOIN(", ", TRUE, _xlfn._xlws.FILTER(Input!W:W, Input!J:J=B63))</f>
        <v/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Z63">IFERROR(IF(_xlfn.XLOOKUP(B63,Input!J:J,Input!N:S)=0,"",
          _xlfn.XLOOKUP(B63,Input!J:J,Input!N:S)),"")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t="str">
        <f t="shared" si="2"/>
        <v/>
      </c>
      <c r="AB63" t="str">
        <f>_xlfn.XLOOKUP(B:B,Disk_Pivot!G:G,Disk_Pivot!I:I)</f>
        <v>No</v>
      </c>
      <c r="AC63" t="str">
        <f>_xlfn.XLOOKUP(B63,Disk_Pivot!G:G,Disk_Pivot!N:N)</f>
        <v/>
      </c>
    </row>
    <row r="64" spans="1:29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str" cm="1">
        <f t="array" ref="Q64">_xlfn.TEXTJOIN(", ", TRUE, _xlfn._xlws.FILTER(Input!W:W, Input!J:J=B64))</f>
        <v/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Z64">IFERROR(IF(_xlfn.XLOOKUP(B64,Input!J:J,Input!N:S)=0,"",
          _xlfn.XLOOKUP(B64,Input!J:J,Input!N:S)),"")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t="str">
        <f t="shared" si="2"/>
        <v/>
      </c>
      <c r="AB64" t="str">
        <f>_xlfn.XLOOKUP(B:B,Disk_Pivot!G:G,Disk_Pivot!I:I)</f>
        <v>No</v>
      </c>
      <c r="AC64" t="str">
        <f>_xlfn.XLOOKUP(B64,Disk_Pivot!G:G,Disk_Pivot!N:N)</f>
        <v/>
      </c>
    </row>
    <row r="65" spans="1:29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str" cm="1">
        <f t="array" ref="Q65">_xlfn.TEXTJOIN(", ", TRUE, _xlfn._xlws.FILTER(Input!W:W, Input!J:J=B65))</f>
        <v/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Z65">IFERROR(IF(_xlfn.XLOOKUP(B65,Input!J:J,Input!N:S)=0,"",
          _xlfn.XLOOKUP(B65,Input!J:J,Input!N:S)),"")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t="str">
        <f t="shared" si="2"/>
        <v/>
      </c>
      <c r="AB65" t="str">
        <f>_xlfn.XLOOKUP(B:B,Disk_Pivot!G:G,Disk_Pivot!I:I)</f>
        <v>No</v>
      </c>
      <c r="AC65" t="str">
        <f>_xlfn.XLOOKUP(B65,Disk_Pivot!G:G,Disk_Pivot!N:N)</f>
        <v/>
      </c>
    </row>
    <row r="66" spans="1:29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str" cm="1">
        <f t="array" ref="Q66">_xlfn.TEXTJOIN(", ", TRUE, _xlfn._xlws.FILTER(Input!W:W, Input!J:J=B66))</f>
        <v/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Z66">IFERROR(IF(_xlfn.XLOOKUP(B66,Input!J:J,Input!N:S)=0,"",
          _xlfn.XLOOKUP(B66,Input!J:J,Input!N:S)),"")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t="str">
        <f t="shared" si="2"/>
        <v/>
      </c>
      <c r="AB66" t="str">
        <f>_xlfn.XLOOKUP(B:B,Disk_Pivot!G:G,Disk_Pivot!I:I)</f>
        <v>No</v>
      </c>
      <c r="AC66" t="str">
        <f>_xlfn.XLOOKUP(B66,Disk_Pivot!G:G,Disk_Pivot!N:N)</f>
        <v/>
      </c>
    </row>
    <row r="67" spans="1:29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str" cm="1">
        <f t="array" ref="Q67">_xlfn.TEXTJOIN(", ", TRUE, _xlfn._xlws.FILTER(Input!W:W, Input!J:J=B67))</f>
        <v/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Z67">IFERROR(IF(_xlfn.XLOOKUP(B67,Input!J:J,Input!N:S)=0,"",
          _xlfn.XLOOKUP(B67,Input!J:J,Input!N:S)),"")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t="str">
        <f t="shared" ref="AA67:AA130" si="5">_xlfn.TEXTJOIN(", ",TRUE,T67,U67,V67,W67,X67,Y67,Z67)</f>
        <v/>
      </c>
      <c r="AB67" t="str">
        <f>_xlfn.XLOOKUP(B:B,Disk_Pivot!G:G,Disk_Pivot!I:I)</f>
        <v>No</v>
      </c>
      <c r="AC67" t="str">
        <f>_xlfn.XLOOKUP(B67,Disk_Pivot!G:G,Disk_Pivot!N:N)</f>
        <v/>
      </c>
    </row>
    <row r="68" spans="1:29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str" cm="1">
        <f t="array" ref="Q68">_xlfn.TEXTJOIN(", ", TRUE, _xlfn._xlws.FILTER(Input!W:W, Input!J:J=B68))</f>
        <v/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Z68">IFERROR(IF(_xlfn.XLOOKUP(B68,Input!J:J,Input!N:S)=0,"",
          _xlfn.XLOOKUP(B68,Input!J:J,Input!N:S)),"")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t="str">
        <f t="shared" si="5"/>
        <v/>
      </c>
      <c r="AB68" t="str">
        <f>_xlfn.XLOOKUP(B:B,Disk_Pivot!G:G,Disk_Pivot!I:I)</f>
        <v>No</v>
      </c>
      <c r="AC68" t="str">
        <f>_xlfn.XLOOKUP(B68,Disk_Pivot!G:G,Disk_Pivot!N:N)</f>
        <v/>
      </c>
    </row>
    <row r="69" spans="1:29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str" cm="1">
        <f t="array" ref="Q69">_xlfn.TEXTJOIN(", ", TRUE, _xlfn._xlws.FILTER(Input!W:W, Input!J:J=B69))</f>
        <v/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Z69">IFERROR(IF(_xlfn.XLOOKUP(B69,Input!J:J,Input!N:S)=0,"",
          _xlfn.XLOOKUP(B69,Input!J:J,Input!N:S)),"")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t="str">
        <f t="shared" si="5"/>
        <v/>
      </c>
      <c r="AB69" t="str">
        <f>_xlfn.XLOOKUP(B:B,Disk_Pivot!G:G,Disk_Pivot!I:I)</f>
        <v>No</v>
      </c>
      <c r="AC69" t="str">
        <f>_xlfn.XLOOKUP(B69,Disk_Pivot!G:G,Disk_Pivot!N:N)</f>
        <v/>
      </c>
    </row>
    <row r="70" spans="1:29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str" cm="1">
        <f t="array" ref="Q70">_xlfn.TEXTJOIN(", ", TRUE, _xlfn._xlws.FILTER(Input!W:W, Input!J:J=B70))</f>
        <v/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Z70">IFERROR(IF(_xlfn.XLOOKUP(B70,Input!J:J,Input!N:S)=0,"",
          _xlfn.XLOOKUP(B70,Input!J:J,Input!N:S)),"")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t="str">
        <f t="shared" si="5"/>
        <v/>
      </c>
      <c r="AB70" t="str">
        <f>_xlfn.XLOOKUP(B:B,Disk_Pivot!G:G,Disk_Pivot!I:I)</f>
        <v>No</v>
      </c>
      <c r="AC70" t="str">
        <f>_xlfn.XLOOKUP(B70,Disk_Pivot!G:G,Disk_Pivot!N:N)</f>
        <v/>
      </c>
    </row>
    <row r="71" spans="1:29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str" cm="1">
        <f t="array" ref="Q71">_xlfn.TEXTJOIN(", ", TRUE, _xlfn._xlws.FILTER(Input!W:W, Input!J:J=B71))</f>
        <v/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Z71">IFERROR(IF(_xlfn.XLOOKUP(B71,Input!J:J,Input!N:S)=0,"",
          _xlfn.XLOOKUP(B71,Input!J:J,Input!N:S)),"")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t="str">
        <f t="shared" si="5"/>
        <v/>
      </c>
      <c r="AB71" t="str">
        <f>_xlfn.XLOOKUP(B:B,Disk_Pivot!G:G,Disk_Pivot!I:I)</f>
        <v>No</v>
      </c>
      <c r="AC71" t="str">
        <f>_xlfn.XLOOKUP(B71,Disk_Pivot!G:G,Disk_Pivot!N:N)</f>
        <v/>
      </c>
    </row>
    <row r="72" spans="1:29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str" cm="1">
        <f t="array" ref="Q72">_xlfn.TEXTJOIN(", ", TRUE, _xlfn._xlws.FILTER(Input!W:W, Input!J:J=B72))</f>
        <v/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Z72">IFERROR(IF(_xlfn.XLOOKUP(B72,Input!J:J,Input!N:S)=0,"",
          _xlfn.XLOOKUP(B72,Input!J:J,Input!N:S)),"")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t="str">
        <f t="shared" si="5"/>
        <v/>
      </c>
      <c r="AB72" t="str">
        <f>_xlfn.XLOOKUP(B:B,Disk_Pivot!G:G,Disk_Pivot!I:I)</f>
        <v>No</v>
      </c>
      <c r="AC72" t="str">
        <f>_xlfn.XLOOKUP(B72,Disk_Pivot!G:G,Disk_Pivot!N:N)</f>
        <v/>
      </c>
    </row>
    <row r="73" spans="1:29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str" cm="1">
        <f t="array" ref="Q73">_xlfn.TEXTJOIN(", ", TRUE, _xlfn._xlws.FILTER(Input!W:W, Input!J:J=B73))</f>
        <v/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Z73">IFERROR(IF(_xlfn.XLOOKUP(B73,Input!J:J,Input!N:S)=0,"",
          _xlfn.XLOOKUP(B73,Input!J:J,Input!N:S)),"")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t="str">
        <f t="shared" si="5"/>
        <v/>
      </c>
      <c r="AB73" t="str">
        <f>_xlfn.XLOOKUP(B:B,Disk_Pivot!G:G,Disk_Pivot!I:I)</f>
        <v>No</v>
      </c>
      <c r="AC73" t="str">
        <f>_xlfn.XLOOKUP(B73,Disk_Pivot!G:G,Disk_Pivot!N:N)</f>
        <v/>
      </c>
    </row>
    <row r="74" spans="1:29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str" cm="1">
        <f t="array" ref="Q74">_xlfn.TEXTJOIN(", ", TRUE, _xlfn._xlws.FILTER(Input!W:W, Input!J:J=B74))</f>
        <v/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Z74">IFERROR(IF(_xlfn.XLOOKUP(B74,Input!J:J,Input!N:S)=0,"",
          _xlfn.XLOOKUP(B74,Input!J:J,Input!N:S)),"")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t="str">
        <f t="shared" si="5"/>
        <v/>
      </c>
      <c r="AB74" t="str">
        <f>_xlfn.XLOOKUP(B:B,Disk_Pivot!G:G,Disk_Pivot!I:I)</f>
        <v>No</v>
      </c>
      <c r="AC74" t="str">
        <f>_xlfn.XLOOKUP(B74,Disk_Pivot!G:G,Disk_Pivot!N:N)</f>
        <v/>
      </c>
    </row>
    <row r="75" spans="1:29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str" cm="1">
        <f t="array" ref="Q75">_xlfn.TEXTJOIN(", ", TRUE, _xlfn._xlws.FILTER(Input!W:W, Input!J:J=B75))</f>
        <v/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Z75">IFERROR(IF(_xlfn.XLOOKUP(B75,Input!J:J,Input!N:S)=0,"",
          _xlfn.XLOOKUP(B75,Input!J:J,Input!N:S)),"")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t="str">
        <f t="shared" si="5"/>
        <v/>
      </c>
      <c r="AB75" t="str">
        <f>_xlfn.XLOOKUP(B:B,Disk_Pivot!G:G,Disk_Pivot!I:I)</f>
        <v>No</v>
      </c>
      <c r="AC75" t="str">
        <f>_xlfn.XLOOKUP(B75,Disk_Pivot!G:G,Disk_Pivot!N:N)</f>
        <v/>
      </c>
    </row>
    <row r="76" spans="1:29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str" cm="1">
        <f t="array" ref="Q76">_xlfn.TEXTJOIN(", ", TRUE, _xlfn._xlws.FILTER(Input!W:W, Input!J:J=B76))</f>
        <v/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Z76">IFERROR(IF(_xlfn.XLOOKUP(B76,Input!J:J,Input!N:S)=0,"",
          _xlfn.XLOOKUP(B76,Input!J:J,Input!N:S)),"")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t="str">
        <f t="shared" si="5"/>
        <v/>
      </c>
      <c r="AB76" t="str">
        <f>_xlfn.XLOOKUP(B:B,Disk_Pivot!G:G,Disk_Pivot!I:I)</f>
        <v>No</v>
      </c>
      <c r="AC76" t="str">
        <f>_xlfn.XLOOKUP(B76,Disk_Pivot!G:G,Disk_Pivot!N:N)</f>
        <v/>
      </c>
    </row>
    <row r="77" spans="1:29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str" cm="1">
        <f t="array" ref="Q77">_xlfn.TEXTJOIN(", ", TRUE, _xlfn._xlws.FILTER(Input!W:W, Input!J:J=B77))</f>
        <v/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Z77">IFERROR(IF(_xlfn.XLOOKUP(B77,Input!J:J,Input!N:S)=0,"",
          _xlfn.XLOOKUP(B77,Input!J:J,Input!N:S)),"")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t="str">
        <f t="shared" si="5"/>
        <v/>
      </c>
      <c r="AB77" t="str">
        <f>_xlfn.XLOOKUP(B:B,Disk_Pivot!G:G,Disk_Pivot!I:I)</f>
        <v>No</v>
      </c>
      <c r="AC77" t="str">
        <f>_xlfn.XLOOKUP(B77,Disk_Pivot!G:G,Disk_Pivot!N:N)</f>
        <v/>
      </c>
    </row>
    <row r="78" spans="1:29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str" cm="1">
        <f t="array" ref="Q78">_xlfn.TEXTJOIN(", ", TRUE, _xlfn._xlws.FILTER(Input!W:W, Input!J:J=B78))</f>
        <v/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Z78">IFERROR(IF(_xlfn.XLOOKUP(B78,Input!J:J,Input!N:S)=0,"",
          _xlfn.XLOOKUP(B78,Input!J:J,Input!N:S)),"")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t="str">
        <f t="shared" si="5"/>
        <v/>
      </c>
      <c r="AB78" t="str">
        <f>_xlfn.XLOOKUP(B:B,Disk_Pivot!G:G,Disk_Pivot!I:I)</f>
        <v>No</v>
      </c>
      <c r="AC78" t="str">
        <f>_xlfn.XLOOKUP(B78,Disk_Pivot!G:G,Disk_Pivot!N:N)</f>
        <v/>
      </c>
    </row>
    <row r="79" spans="1:29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str" cm="1">
        <f t="array" ref="Q79">_xlfn.TEXTJOIN(", ", TRUE, _xlfn._xlws.FILTER(Input!W:W, Input!J:J=B79))</f>
        <v/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Z79">IFERROR(IF(_xlfn.XLOOKUP(B79,Input!J:J,Input!N:S)=0,"",
          _xlfn.XLOOKUP(B79,Input!J:J,Input!N:S)),"")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t="str">
        <f t="shared" si="5"/>
        <v/>
      </c>
      <c r="AB79" t="str">
        <f>_xlfn.XLOOKUP(B:B,Disk_Pivot!G:G,Disk_Pivot!I:I)</f>
        <v>No</v>
      </c>
      <c r="AC79" t="str">
        <f>_xlfn.XLOOKUP(B79,Disk_Pivot!G:G,Disk_Pivot!N:N)</f>
        <v/>
      </c>
    </row>
    <row r="80" spans="1:29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str" cm="1">
        <f t="array" ref="Q80">_xlfn.TEXTJOIN(", ", TRUE, _xlfn._xlws.FILTER(Input!W:W, Input!J:J=B80))</f>
        <v/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Z80">IFERROR(IF(_xlfn.XLOOKUP(B80,Input!J:J,Input!N:S)=0,"",
          _xlfn.XLOOKUP(B80,Input!J:J,Input!N:S)),"")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t="str">
        <f t="shared" si="5"/>
        <v/>
      </c>
      <c r="AB80" t="str">
        <f>_xlfn.XLOOKUP(B:B,Disk_Pivot!G:G,Disk_Pivot!I:I)</f>
        <v>No</v>
      </c>
      <c r="AC80" t="str">
        <f>_xlfn.XLOOKUP(B80,Disk_Pivot!G:G,Disk_Pivot!N:N)</f>
        <v/>
      </c>
    </row>
    <row r="81" spans="1:29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str" cm="1">
        <f t="array" ref="Q81">_xlfn.TEXTJOIN(", ", TRUE, _xlfn._xlws.FILTER(Input!W:W, Input!J:J=B81))</f>
        <v/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Z81">IFERROR(IF(_xlfn.XLOOKUP(B81,Input!J:J,Input!N:S)=0,"",
          _xlfn.XLOOKUP(B81,Input!J:J,Input!N:S)),"")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t="str">
        <f t="shared" si="5"/>
        <v/>
      </c>
      <c r="AB81" t="str">
        <f>_xlfn.XLOOKUP(B:B,Disk_Pivot!G:G,Disk_Pivot!I:I)</f>
        <v>No</v>
      </c>
      <c r="AC81" t="str">
        <f>_xlfn.XLOOKUP(B81,Disk_Pivot!G:G,Disk_Pivot!N:N)</f>
        <v/>
      </c>
    </row>
    <row r="82" spans="1:29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str" cm="1">
        <f t="array" ref="Q82">_xlfn.TEXTJOIN(", ", TRUE, _xlfn._xlws.FILTER(Input!W:W, Input!J:J=B82))</f>
        <v/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Z82">IFERROR(IF(_xlfn.XLOOKUP(B82,Input!J:J,Input!N:S)=0,"",
          _xlfn.XLOOKUP(B82,Input!J:J,Input!N:S)),"")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t="str">
        <f t="shared" si="5"/>
        <v/>
      </c>
      <c r="AB82" t="str">
        <f>_xlfn.XLOOKUP(B:B,Disk_Pivot!G:G,Disk_Pivot!I:I)</f>
        <v>No</v>
      </c>
      <c r="AC82" t="str">
        <f>_xlfn.XLOOKUP(B82,Disk_Pivot!G:G,Disk_Pivot!N:N)</f>
        <v/>
      </c>
    </row>
    <row r="83" spans="1:29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str" cm="1">
        <f t="array" ref="Q83">_xlfn.TEXTJOIN(", ", TRUE, _xlfn._xlws.FILTER(Input!W:W, Input!J:J=B83))</f>
        <v/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Z83">IFERROR(IF(_xlfn.XLOOKUP(B83,Input!J:J,Input!N:S)=0,"",
          _xlfn.XLOOKUP(B83,Input!J:J,Input!N:S)),"")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t="str">
        <f t="shared" si="5"/>
        <v/>
      </c>
      <c r="AB83" t="str">
        <f>_xlfn.XLOOKUP(B:B,Disk_Pivot!G:G,Disk_Pivot!I:I)</f>
        <v>No</v>
      </c>
      <c r="AC83" t="str">
        <f>_xlfn.XLOOKUP(B83,Disk_Pivot!G:G,Disk_Pivot!N:N)</f>
        <v/>
      </c>
    </row>
    <row r="84" spans="1:29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str" cm="1">
        <f t="array" ref="Q84">_xlfn.TEXTJOIN(", ", TRUE, _xlfn._xlws.FILTER(Input!W:W, Input!J:J=B84))</f>
        <v/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Z84">IFERROR(IF(_xlfn.XLOOKUP(B84,Input!J:J,Input!N:S)=0,"",
          _xlfn.XLOOKUP(B84,Input!J:J,Input!N:S)),"")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t="str">
        <f t="shared" si="5"/>
        <v/>
      </c>
      <c r="AB84" t="str">
        <f>_xlfn.XLOOKUP(B:B,Disk_Pivot!G:G,Disk_Pivot!I:I)</f>
        <v>No</v>
      </c>
      <c r="AC84" t="str">
        <f>_xlfn.XLOOKUP(B84,Disk_Pivot!G:G,Disk_Pivot!N:N)</f>
        <v/>
      </c>
    </row>
    <row r="85" spans="1:29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str" cm="1">
        <f t="array" ref="Q85">_xlfn.TEXTJOIN(", ", TRUE, _xlfn._xlws.FILTER(Input!W:W, Input!J:J=B85))</f>
        <v/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Z85">IFERROR(IF(_xlfn.XLOOKUP(B85,Input!J:J,Input!N:S)=0,"",
          _xlfn.XLOOKUP(B85,Input!J:J,Input!N:S)),"")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t="str">
        <f t="shared" si="5"/>
        <v/>
      </c>
      <c r="AB85" t="str">
        <f>_xlfn.XLOOKUP(B:B,Disk_Pivot!G:G,Disk_Pivot!I:I)</f>
        <v>No</v>
      </c>
      <c r="AC85" t="str">
        <f>_xlfn.XLOOKUP(B85,Disk_Pivot!G:G,Disk_Pivot!N:N)</f>
        <v/>
      </c>
    </row>
    <row r="86" spans="1:29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str" cm="1">
        <f t="array" ref="Q86">_xlfn.TEXTJOIN(", ", TRUE, _xlfn._xlws.FILTER(Input!W:W, Input!J:J=B86))</f>
        <v/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Z86">IFERROR(IF(_xlfn.XLOOKUP(B86,Input!J:J,Input!N:S)=0,"",
          _xlfn.XLOOKUP(B86,Input!J:J,Input!N:S)),"")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t="str">
        <f t="shared" si="5"/>
        <v/>
      </c>
      <c r="AB86" t="str">
        <f>_xlfn.XLOOKUP(B:B,Disk_Pivot!G:G,Disk_Pivot!I:I)</f>
        <v>No</v>
      </c>
      <c r="AC86" t="str">
        <f>_xlfn.XLOOKUP(B86,Disk_Pivot!G:G,Disk_Pivot!N:N)</f>
        <v/>
      </c>
    </row>
    <row r="87" spans="1:29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str" cm="1">
        <f t="array" ref="Q87">_xlfn.TEXTJOIN(", ", TRUE, _xlfn._xlws.FILTER(Input!W:W, Input!J:J=B87))</f>
        <v/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Z87">IFERROR(IF(_xlfn.XLOOKUP(B87,Input!J:J,Input!N:S)=0,"",
          _xlfn.XLOOKUP(B87,Input!J:J,Input!N:S)),"")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t="str">
        <f t="shared" si="5"/>
        <v/>
      </c>
      <c r="AB87" t="str">
        <f>_xlfn.XLOOKUP(B:B,Disk_Pivot!G:G,Disk_Pivot!I:I)</f>
        <v>No</v>
      </c>
      <c r="AC87" t="str">
        <f>_xlfn.XLOOKUP(B87,Disk_Pivot!G:G,Disk_Pivot!N:N)</f>
        <v/>
      </c>
    </row>
    <row r="88" spans="1:29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str" cm="1">
        <f t="array" ref="Q88">_xlfn.TEXTJOIN(", ", TRUE, _xlfn._xlws.FILTER(Input!W:W, Input!J:J=B88))</f>
        <v/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Z88">IFERROR(IF(_xlfn.XLOOKUP(B88,Input!J:J,Input!N:S)=0,"",
          _xlfn.XLOOKUP(B88,Input!J:J,Input!N:S)),"")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t="str">
        <f t="shared" si="5"/>
        <v/>
      </c>
      <c r="AB88" t="str">
        <f>_xlfn.XLOOKUP(B:B,Disk_Pivot!G:G,Disk_Pivot!I:I)</f>
        <v>No</v>
      </c>
      <c r="AC88" t="str">
        <f>_xlfn.XLOOKUP(B88,Disk_Pivot!G:G,Disk_Pivot!N:N)</f>
        <v/>
      </c>
    </row>
    <row r="89" spans="1:29">
      <c r="A89" t="str">
        <f>_xlfn.TEXTJOIN("",TRUE,_xlfn.XLOOKUP(B89,Input!J:J,Input!G:G,"",0,1),_xlfn.XLOOKUP(B89,Input!J:J,Input!H:H,"",0,1))</f>
        <v/>
      </c>
      <c r="F89" t="str">
        <f>_xlfn.XLOOKUP(H89,Models!B:B,Models!F:F,"")</f>
        <v/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Z89">IFERROR(IF(_xlfn.XLOOKUP(B89,Input!J:J,Input!N:S)=0,"",
          _xlfn.XLOOKUP(B89,Input!J:J,Input!N:S)),"")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t="str">
        <f t="shared" si="5"/>
        <v/>
      </c>
      <c r="AB89" t="str">
        <f>_xlfn.XLOOKUP(B:B,Disk_Pivot!G:G,Disk_Pivot!I:I)</f>
        <v>No</v>
      </c>
      <c r="AC89" t="str">
        <f>_xlfn.XLOOKUP(B89,Disk_Pivot!G:G,Disk_Pivot!N:N)</f>
        <v/>
      </c>
    </row>
    <row r="90" spans="1:29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Z90">IFERROR(IF(_xlfn.XLOOKUP(B90,Input!J:J,Input!N:S)=0,"",
          _xlfn.XLOOKUP(B90,Input!J:J,Input!N:S)),"")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t="str">
        <f t="shared" si="5"/>
        <v/>
      </c>
      <c r="AB90" t="str">
        <f>_xlfn.XLOOKUP(B:B,Disk_Pivot!G:G,Disk_Pivot!I:I)</f>
        <v>No</v>
      </c>
      <c r="AC90" t="str">
        <f>_xlfn.XLOOKUP(B90,Disk_Pivot!G:G,Disk_Pivot!N:N)</f>
        <v/>
      </c>
    </row>
    <row r="91" spans="1:29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Z91">IFERROR(IF(_xlfn.XLOOKUP(B91,Input!J:J,Input!N:S)=0,"",
          _xlfn.XLOOKUP(B91,Input!J:J,Input!N:S)),"")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t="str">
        <f t="shared" si="5"/>
        <v/>
      </c>
      <c r="AB91" t="str">
        <f>_xlfn.XLOOKUP(B:B,Disk_Pivot!G:G,Disk_Pivot!I:I)</f>
        <v>No</v>
      </c>
      <c r="AC91" t="str">
        <f>_xlfn.XLOOKUP(B91,Disk_Pivot!G:G,Disk_Pivot!N:N)</f>
        <v/>
      </c>
    </row>
    <row r="92" spans="1:29">
      <c r="F92" t="str">
        <f>_xlfn.XLOOKUP(H92,Models!B:B,Models!F:F,"")</f>
        <v/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Z92">IFERROR(IF(_xlfn.XLOOKUP(B92,Input!J:J,Input!N:S)=0,"",
          _xlfn.XLOOKUP(B92,Input!J:J,Input!N:S)),"")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t="str">
        <f t="shared" si="5"/>
        <v/>
      </c>
      <c r="AB92" t="str">
        <f>_xlfn.XLOOKUP(B:B,Disk_Pivot!G:G,Disk_Pivot!I:I)</f>
        <v>No</v>
      </c>
      <c r="AC92" t="str">
        <f>_xlfn.XLOOKUP(B92,Disk_Pivot!G:G,Disk_Pivot!N:N)</f>
        <v/>
      </c>
    </row>
    <row r="93" spans="1:29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Z93">IFERROR(IF(_xlfn.XLOOKUP(B93,Input!J:J,Input!N:S)=0,"",
          _xlfn.XLOOKUP(B93,Input!J:J,Input!N:S)),"")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t="str">
        <f t="shared" si="5"/>
        <v/>
      </c>
      <c r="AB93" t="str">
        <f>_xlfn.XLOOKUP(B:B,Disk_Pivot!G:G,Disk_Pivot!I:I)</f>
        <v>No</v>
      </c>
      <c r="AC93" t="str">
        <f>_xlfn.XLOOKUP(B93,Disk_Pivot!G:G,Disk_Pivot!N:N)</f>
        <v/>
      </c>
    </row>
    <row r="94" spans="1:29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Z94">IFERROR(IF(_xlfn.XLOOKUP(B94,Input!J:J,Input!N:S)=0,"",
          _xlfn.XLOOKUP(B94,Input!J:J,Input!N:S)),"")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t="str">
        <f t="shared" si="5"/>
        <v/>
      </c>
      <c r="AB94" t="str">
        <f>_xlfn.XLOOKUP(B:B,Disk_Pivot!G:G,Disk_Pivot!I:I)</f>
        <v>No</v>
      </c>
      <c r="AC94" t="str">
        <f>_xlfn.XLOOKUP(B94,Disk_Pivot!G:G,Disk_Pivot!N:N)</f>
        <v/>
      </c>
    </row>
    <row r="95" spans="1:29">
      <c r="F95" t="str">
        <f>_xlfn.XLOOKUP(H95,Models!B:B,Models!F:F,"")</f>
        <v/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Z95">IFERROR(IF(_xlfn.XLOOKUP(B95,Input!J:J,Input!N:S)=0,"",
          _xlfn.XLOOKUP(B95,Input!J:J,Input!N:S)),"")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t="str">
        <f t="shared" si="5"/>
        <v/>
      </c>
      <c r="AB95" t="str">
        <f>_xlfn.XLOOKUP(B:B,Disk_Pivot!G:G,Disk_Pivot!I:I)</f>
        <v>No</v>
      </c>
      <c r="AC95" t="str">
        <f>_xlfn.XLOOKUP(B95,Disk_Pivot!G:G,Disk_Pivot!N:N)</f>
        <v/>
      </c>
    </row>
    <row r="96" spans="1:29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Z96">IFERROR(IF(_xlfn.XLOOKUP(B96,Input!J:J,Input!N:S)=0,"",
          _xlfn.XLOOKUP(B96,Input!J:J,Input!N:S)),"")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t="str">
        <f t="shared" si="5"/>
        <v/>
      </c>
      <c r="AB96" t="str">
        <f>_xlfn.XLOOKUP(B:B,Disk_Pivot!G:G,Disk_Pivot!I:I)</f>
        <v>No</v>
      </c>
      <c r="AC96" t="str">
        <f>_xlfn.XLOOKUP(B96,Disk_Pivot!G:G,Disk_Pivot!N:N)</f>
        <v/>
      </c>
    </row>
    <row r="97" spans="6:29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Z97">IFERROR(IF(_xlfn.XLOOKUP(B97,Input!J:J,Input!N:S)=0,"",
          _xlfn.XLOOKUP(B97,Input!J:J,Input!N:S)),"")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t="str">
        <f t="shared" si="5"/>
        <v/>
      </c>
      <c r="AB97" t="str">
        <f>_xlfn.XLOOKUP(B:B,Disk_Pivot!G:G,Disk_Pivot!I:I)</f>
        <v>No</v>
      </c>
      <c r="AC97" t="str">
        <f>_xlfn.XLOOKUP(B97,Disk_Pivot!G:G,Disk_Pivot!N:N)</f>
        <v/>
      </c>
    </row>
    <row r="98" spans="6:29">
      <c r="F98" t="str">
        <f>_xlfn.XLOOKUP(H98,Models!B:B,Models!F:F,"")</f>
        <v/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Z98">IFERROR(IF(_xlfn.XLOOKUP(B98,Input!J:J,Input!N:S)=0,"",
          _xlfn.XLOOKUP(B98,Input!J:J,Input!N:S)),"")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t="str">
        <f t="shared" si="5"/>
        <v/>
      </c>
      <c r="AB98" t="str">
        <f>_xlfn.XLOOKUP(B:B,Disk_Pivot!G:G,Disk_Pivot!I:I)</f>
        <v>No</v>
      </c>
      <c r="AC98" t="str">
        <f>_xlfn.XLOOKUP(B98,Disk_Pivot!G:G,Disk_Pivot!N:N)</f>
        <v/>
      </c>
    </row>
    <row r="99" spans="6:29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Z99">IFERROR(IF(_xlfn.XLOOKUP(B99,Input!J:J,Input!N:S)=0,"",
          _xlfn.XLOOKUP(B99,Input!J:J,Input!N:S)),"")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t="str">
        <f t="shared" si="5"/>
        <v/>
      </c>
      <c r="AB99" t="str">
        <f>_xlfn.XLOOKUP(B:B,Disk_Pivot!G:G,Disk_Pivot!I:I)</f>
        <v>No</v>
      </c>
      <c r="AC99" t="str">
        <f>_xlfn.XLOOKUP(B99,Disk_Pivot!G:G,Disk_Pivot!N:N)</f>
        <v/>
      </c>
    </row>
    <row r="100" spans="6:29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Z100">IFERROR(IF(_xlfn.XLOOKUP(B100,Input!J:J,Input!N:S)=0,"",
          _xlfn.XLOOKUP(B100,Input!J:J,Input!N:S)),"")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t="str">
        <f t="shared" si="5"/>
        <v/>
      </c>
      <c r="AB100" t="str">
        <f>_xlfn.XLOOKUP(B:B,Disk_Pivot!G:G,Disk_Pivot!I:I)</f>
        <v>No</v>
      </c>
      <c r="AC100" t="str">
        <f>_xlfn.XLOOKUP(B100,Disk_Pivot!G:G,Disk_Pivot!N:N)</f>
        <v/>
      </c>
    </row>
    <row r="101" spans="6:29">
      <c r="F101" t="str">
        <f>_xlfn.XLOOKUP(H101,Models!B:B,Models!F:F,"")</f>
        <v/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Z101">IFERROR(IF(_xlfn.XLOOKUP(B101,Input!J:J,Input!N:S)=0,"",
          _xlfn.XLOOKUP(B101,Input!J:J,Input!N:S)),"")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t="str">
        <f t="shared" si="5"/>
        <v/>
      </c>
      <c r="AB101" t="str">
        <f>_xlfn.XLOOKUP(B:B,Disk_Pivot!G:G,Disk_Pivot!I:I)</f>
        <v>No</v>
      </c>
      <c r="AC101" t="str">
        <f>_xlfn.XLOOKUP(B101,Disk_Pivot!G:G,Disk_Pivot!N:N)</f>
        <v/>
      </c>
    </row>
    <row r="102" spans="6:29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Z102">IFERROR(IF(_xlfn.XLOOKUP(B102,Input!J:J,Input!N:S)=0,"",
          _xlfn.XLOOKUP(B102,Input!J:J,Input!N:S)),"")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t="str">
        <f t="shared" si="5"/>
        <v/>
      </c>
      <c r="AB102" t="str">
        <f>_xlfn.XLOOKUP(B:B,Disk_Pivot!G:G,Disk_Pivot!I:I)</f>
        <v>No</v>
      </c>
      <c r="AC102" t="str">
        <f>_xlfn.XLOOKUP(B102,Disk_Pivot!G:G,Disk_Pivot!N:N)</f>
        <v/>
      </c>
    </row>
    <row r="103" spans="6:29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Z103">IFERROR(IF(_xlfn.XLOOKUP(B103,Input!J:J,Input!N:S)=0,"",
          _xlfn.XLOOKUP(B103,Input!J:J,Input!N:S)),"")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t="str">
        <f t="shared" si="5"/>
        <v/>
      </c>
      <c r="AB103" t="str">
        <f>_xlfn.XLOOKUP(B:B,Disk_Pivot!G:G,Disk_Pivot!I:I)</f>
        <v>No</v>
      </c>
      <c r="AC103" t="str">
        <f>_xlfn.XLOOKUP(B103,Disk_Pivot!G:G,Disk_Pivot!N:N)</f>
        <v/>
      </c>
    </row>
    <row r="104" spans="6:29">
      <c r="F104" t="str">
        <f>_xlfn.XLOOKUP(H104,Models!B:B,Models!F:F,"")</f>
        <v/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Z104">IFERROR(IF(_xlfn.XLOOKUP(B104,Input!J:J,Input!N:S)=0,"",
          _xlfn.XLOOKUP(B104,Input!J:J,Input!N:S)),"")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t="str">
        <f t="shared" si="5"/>
        <v/>
      </c>
      <c r="AB104" t="str">
        <f>_xlfn.XLOOKUP(B:B,Disk_Pivot!G:G,Disk_Pivot!I:I)</f>
        <v>No</v>
      </c>
      <c r="AC104" t="str">
        <f>_xlfn.XLOOKUP(B104,Disk_Pivot!G:G,Disk_Pivot!N:N)</f>
        <v/>
      </c>
    </row>
    <row r="105" spans="6:29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Z105">IFERROR(IF(_xlfn.XLOOKUP(B105,Input!J:J,Input!N:S)=0,"",
          _xlfn.XLOOKUP(B105,Input!J:J,Input!N:S)),"")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t="str">
        <f t="shared" si="5"/>
        <v/>
      </c>
      <c r="AB105" t="str">
        <f>_xlfn.XLOOKUP(B:B,Disk_Pivot!G:G,Disk_Pivot!I:I)</f>
        <v>No</v>
      </c>
      <c r="AC105" t="str">
        <f>_xlfn.XLOOKUP(B105,Disk_Pivot!G:G,Disk_Pivot!N:N)</f>
        <v/>
      </c>
    </row>
    <row r="106" spans="6:29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Z106">IFERROR(IF(_xlfn.XLOOKUP(B106,Input!J:J,Input!N:S)=0,"",
          _xlfn.XLOOKUP(B106,Input!J:J,Input!N:S)),"")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t="str">
        <f t="shared" si="5"/>
        <v/>
      </c>
      <c r="AB106" t="str">
        <f>_xlfn.XLOOKUP(B:B,Disk_Pivot!G:G,Disk_Pivot!I:I)</f>
        <v>No</v>
      </c>
      <c r="AC106" t="str">
        <f>_xlfn.XLOOKUP(B106,Disk_Pivot!G:G,Disk_Pivot!N:N)</f>
        <v/>
      </c>
    </row>
    <row r="107" spans="6:29">
      <c r="F107" t="str">
        <f>_xlfn.XLOOKUP(H107,Models!B:B,Models!F:F,"")</f>
        <v/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Z107">IFERROR(IF(_xlfn.XLOOKUP(B107,Input!J:J,Input!N:S)=0,"",
          _xlfn.XLOOKUP(B107,Input!J:J,Input!N:S)),"")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t="str">
        <f t="shared" si="5"/>
        <v/>
      </c>
      <c r="AB107" t="str">
        <f>_xlfn.XLOOKUP(B:B,Disk_Pivot!G:G,Disk_Pivot!I:I)</f>
        <v>No</v>
      </c>
      <c r="AC107" t="str">
        <f>_xlfn.XLOOKUP(B107,Disk_Pivot!G:G,Disk_Pivot!N:N)</f>
        <v/>
      </c>
    </row>
    <row r="108" spans="6:29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Z108">IFERROR(IF(_xlfn.XLOOKUP(B108,Input!J:J,Input!N:S)=0,"",
          _xlfn.XLOOKUP(B108,Input!J:J,Input!N:S)),"")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t="str">
        <f t="shared" si="5"/>
        <v/>
      </c>
      <c r="AB108" t="str">
        <f>_xlfn.XLOOKUP(B:B,Disk_Pivot!G:G,Disk_Pivot!I:I)</f>
        <v>No</v>
      </c>
      <c r="AC108" t="str">
        <f>_xlfn.XLOOKUP(B108,Disk_Pivot!G:G,Disk_Pivot!N:N)</f>
        <v/>
      </c>
    </row>
    <row r="109" spans="6:29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Z109">IFERROR(IF(_xlfn.XLOOKUP(B109,Input!J:J,Input!N:S)=0,"",
          _xlfn.XLOOKUP(B109,Input!J:J,Input!N:S)),"")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t="str">
        <f t="shared" si="5"/>
        <v/>
      </c>
      <c r="AB109" t="str">
        <f>_xlfn.XLOOKUP(B:B,Disk_Pivot!G:G,Disk_Pivot!I:I)</f>
        <v>No</v>
      </c>
      <c r="AC109" t="str">
        <f>_xlfn.XLOOKUP(B109,Disk_Pivot!G:G,Disk_Pivot!N:N)</f>
        <v/>
      </c>
    </row>
    <row r="110" spans="6:29">
      <c r="F110" t="str">
        <f>_xlfn.XLOOKUP(H110,Models!B:B,Models!F:F,"")</f>
        <v/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Z110">IFERROR(IF(_xlfn.XLOOKUP(B110,Input!J:J,Input!N:S)=0,"",
          _xlfn.XLOOKUP(B110,Input!J:J,Input!N:S)),"")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t="str">
        <f t="shared" si="5"/>
        <v/>
      </c>
      <c r="AB110" t="str">
        <f>_xlfn.XLOOKUP(B:B,Disk_Pivot!G:G,Disk_Pivot!I:I)</f>
        <v>No</v>
      </c>
      <c r="AC110" t="str">
        <f>_xlfn.XLOOKUP(B110,Disk_Pivot!G:G,Disk_Pivot!N:N)</f>
        <v/>
      </c>
    </row>
    <row r="111" spans="6:29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Z111">IFERROR(IF(_xlfn.XLOOKUP(B111,Input!J:J,Input!N:S)=0,"",
          _xlfn.XLOOKUP(B111,Input!J:J,Input!N:S)),"")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t="str">
        <f t="shared" si="5"/>
        <v/>
      </c>
      <c r="AB111" t="str">
        <f>_xlfn.XLOOKUP(B:B,Disk_Pivot!G:G,Disk_Pivot!I:I)</f>
        <v>No</v>
      </c>
      <c r="AC111" t="str">
        <f>_xlfn.XLOOKUP(B111,Disk_Pivot!G:G,Disk_Pivot!N:N)</f>
        <v/>
      </c>
    </row>
    <row r="112" spans="6:29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Z112">IFERROR(IF(_xlfn.XLOOKUP(B112,Input!J:J,Input!N:S)=0,"",
          _xlfn.XLOOKUP(B112,Input!J:J,Input!N:S)),"")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t="str">
        <f t="shared" si="5"/>
        <v/>
      </c>
      <c r="AB112" t="str">
        <f>_xlfn.XLOOKUP(B:B,Disk_Pivot!G:G,Disk_Pivot!I:I)</f>
        <v>No</v>
      </c>
      <c r="AC112" t="str">
        <f>_xlfn.XLOOKUP(B112,Disk_Pivot!G:G,Disk_Pivot!N:N)</f>
        <v/>
      </c>
    </row>
    <row r="113" spans="6:29">
      <c r="F113" t="str">
        <f>_xlfn.XLOOKUP(H113,Models!B:B,Models!F:F,"")</f>
        <v/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Z113">IFERROR(IF(_xlfn.XLOOKUP(B113,Input!J:J,Input!N:S)=0,"",
          _xlfn.XLOOKUP(B113,Input!J:J,Input!N:S)),"")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t="str">
        <f t="shared" si="5"/>
        <v/>
      </c>
      <c r="AB113" t="str">
        <f>_xlfn.XLOOKUP(B:B,Disk_Pivot!G:G,Disk_Pivot!I:I)</f>
        <v>No</v>
      </c>
      <c r="AC113" t="str">
        <f>_xlfn.XLOOKUP(B113,Disk_Pivot!G:G,Disk_Pivot!N:N)</f>
        <v/>
      </c>
    </row>
    <row r="114" spans="6:29">
      <c r="F114">
        <f>_xlfn.XLOOKUP(H114,Models!B:B,Models!F:F,"")</f>
        <v>0</v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Z114">IFERROR(IF(_xlfn.XLOOKUP(B114,Input!J:J,Input!N:S)=0,"",
          _xlfn.XLOOKUP(B114,Input!J:J,Input!N:S)),"")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t="str">
        <f t="shared" si="5"/>
        <v/>
      </c>
      <c r="AB114" t="str">
        <f>_xlfn.XLOOKUP(B:B,Disk_Pivot!G:G,Disk_Pivot!I:I)</f>
        <v>No</v>
      </c>
      <c r="AC114" t="str">
        <f>_xlfn.XLOOKUP(B114,Disk_Pivot!G:G,Disk_Pivot!N:N)</f>
        <v/>
      </c>
    </row>
    <row r="115" spans="6:29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Z115">IFERROR(IF(_xlfn.XLOOKUP(B115,Input!J:J,Input!N:S)=0,"",
          _xlfn.XLOOKUP(B115,Input!J:J,Input!N:S)),"")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t="str">
        <f t="shared" si="5"/>
        <v/>
      </c>
      <c r="AB115" t="str">
        <f>_xlfn.XLOOKUP(B:B,Disk_Pivot!G:G,Disk_Pivot!I:I)</f>
        <v>No</v>
      </c>
      <c r="AC115" t="str">
        <f>_xlfn.XLOOKUP(B115,Disk_Pivot!G:G,Disk_Pivot!N:N)</f>
        <v/>
      </c>
    </row>
    <row r="116" spans="6:29">
      <c r="F116" t="str">
        <f>_xlfn.XLOOKUP(H116,Models!B:B,Models!F:F,"")</f>
        <v/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Z116">IFERROR(IF(_xlfn.XLOOKUP(B116,Input!J:J,Input!N:S)=0,"",
          _xlfn.XLOOKUP(B116,Input!J:J,Input!N:S)),"")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t="str">
        <f t="shared" si="5"/>
        <v/>
      </c>
      <c r="AB116" t="str">
        <f>_xlfn.XLOOKUP(B:B,Disk_Pivot!G:G,Disk_Pivot!I:I)</f>
        <v>No</v>
      </c>
      <c r="AC116" t="str">
        <f>_xlfn.XLOOKUP(B116,Disk_Pivot!G:G,Disk_Pivot!N:N)</f>
        <v/>
      </c>
    </row>
    <row r="117" spans="6:29">
      <c r="F117">
        <f>_xlfn.XLOOKUP(H117,Models!B:B,Models!F:F,"")</f>
        <v>0</v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Z117">IFERROR(IF(_xlfn.XLOOKUP(B117,Input!J:J,Input!N:S)=0,"",
          _xlfn.XLOOKUP(B117,Input!J:J,Input!N:S)),"")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t="str">
        <f t="shared" si="5"/>
        <v/>
      </c>
      <c r="AB117" t="str">
        <f>_xlfn.XLOOKUP(B:B,Disk_Pivot!G:G,Disk_Pivot!I:I)</f>
        <v>No</v>
      </c>
      <c r="AC117" t="str">
        <f>_xlfn.XLOOKUP(B117,Disk_Pivot!G:G,Disk_Pivot!N:N)</f>
        <v/>
      </c>
    </row>
    <row r="118" spans="6:29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Z118">IFERROR(IF(_xlfn.XLOOKUP(B118,Input!J:J,Input!N:S)=0,"",
          _xlfn.XLOOKUP(B118,Input!J:J,Input!N:S)),"")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t="str">
        <f t="shared" si="5"/>
        <v/>
      </c>
      <c r="AB118" t="str">
        <f>_xlfn.XLOOKUP(B:B,Disk_Pivot!G:G,Disk_Pivot!I:I)</f>
        <v>No</v>
      </c>
      <c r="AC118" t="str">
        <f>_xlfn.XLOOKUP(B118,Disk_Pivot!G:G,Disk_Pivot!N:N)</f>
        <v/>
      </c>
    </row>
    <row r="119" spans="6:29">
      <c r="F119" t="str">
        <f>_xlfn.XLOOKUP(H119,Models!B:B,Models!F:F,"")</f>
        <v/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Z119">IFERROR(IF(_xlfn.XLOOKUP(B119,Input!J:J,Input!N:S)=0,"",
          _xlfn.XLOOKUP(B119,Input!J:J,Input!N:S)),"")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t="str">
        <f t="shared" si="5"/>
        <v/>
      </c>
      <c r="AB119" t="str">
        <f>_xlfn.XLOOKUP(B:B,Disk_Pivot!G:G,Disk_Pivot!I:I)</f>
        <v>No</v>
      </c>
      <c r="AC119" t="str">
        <f>_xlfn.XLOOKUP(B119,Disk_Pivot!G:G,Disk_Pivot!N:N)</f>
        <v/>
      </c>
    </row>
    <row r="120" spans="6:29">
      <c r="F120">
        <f>_xlfn.XLOOKUP(H120,Models!B:B,Models!F:F,"")</f>
        <v>0</v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Z120">IFERROR(IF(_xlfn.XLOOKUP(B120,Input!J:J,Input!N:S)=0,"",
          _xlfn.XLOOKUP(B120,Input!J:J,Input!N:S)),"")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t="str">
        <f t="shared" si="5"/>
        <v/>
      </c>
      <c r="AB120" t="str">
        <f>_xlfn.XLOOKUP(B:B,Disk_Pivot!G:G,Disk_Pivot!I:I)</f>
        <v>No</v>
      </c>
      <c r="AC120" t="str">
        <f>_xlfn.XLOOKUP(B120,Disk_Pivot!G:G,Disk_Pivot!N:N)</f>
        <v/>
      </c>
    </row>
    <row r="121" spans="6:29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Z121">IFERROR(IF(_xlfn.XLOOKUP(B121,Input!J:J,Input!N:S)=0,"",
          _xlfn.XLOOKUP(B121,Input!J:J,Input!N:S)),"")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t="str">
        <f t="shared" si="5"/>
        <v/>
      </c>
      <c r="AB121" t="str">
        <f>_xlfn.XLOOKUP(B:B,Disk_Pivot!G:G,Disk_Pivot!I:I)</f>
        <v>No</v>
      </c>
      <c r="AC121" t="str">
        <f>_xlfn.XLOOKUP(B121,Disk_Pivot!G:G,Disk_Pivot!N:N)</f>
        <v/>
      </c>
    </row>
    <row r="122" spans="6:29">
      <c r="F122" t="str">
        <f>_xlfn.XLOOKUP(H122,Models!B:B,Models!F:F,"")</f>
        <v/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Z122">IFERROR(IF(_xlfn.XLOOKUP(B122,Input!J:J,Input!N:S)=0,"",
          _xlfn.XLOOKUP(B122,Input!J:J,Input!N:S)),"")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t="str">
        <f t="shared" si="5"/>
        <v/>
      </c>
      <c r="AB122" t="str">
        <f>_xlfn.XLOOKUP(B:B,Disk_Pivot!G:G,Disk_Pivot!I:I)</f>
        <v>No</v>
      </c>
      <c r="AC122" t="str">
        <f>_xlfn.XLOOKUP(B122,Disk_Pivot!G:G,Disk_Pivot!N:N)</f>
        <v/>
      </c>
    </row>
    <row r="123" spans="6:29">
      <c r="F123">
        <f>_xlfn.XLOOKUP(H123,Models!B:B,Models!F:F,"")</f>
        <v>0</v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Z123">IFERROR(IF(_xlfn.XLOOKUP(B123,Input!J:J,Input!N:S)=0,"",
          _xlfn.XLOOKUP(B123,Input!J:J,Input!N:S)),"")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t="str">
        <f t="shared" si="5"/>
        <v/>
      </c>
      <c r="AB123" t="str">
        <f>_xlfn.XLOOKUP(B:B,Disk_Pivot!G:G,Disk_Pivot!I:I)</f>
        <v>No</v>
      </c>
      <c r="AC123" t="str">
        <f>_xlfn.XLOOKUP(B123,Disk_Pivot!G:G,Disk_Pivot!N:N)</f>
        <v/>
      </c>
    </row>
    <row r="124" spans="6:29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Z124">IFERROR(IF(_xlfn.XLOOKUP(B124,Input!J:J,Input!N:S)=0,"",
          _xlfn.XLOOKUP(B124,Input!J:J,Input!N:S)),"")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t="str">
        <f t="shared" si="5"/>
        <v/>
      </c>
      <c r="AB124" t="str">
        <f>_xlfn.XLOOKUP(B:B,Disk_Pivot!G:G,Disk_Pivot!I:I)</f>
        <v>No</v>
      </c>
      <c r="AC124" t="str">
        <f>_xlfn.XLOOKUP(B124,Disk_Pivot!G:G,Disk_Pivot!N:N)</f>
        <v/>
      </c>
    </row>
    <row r="125" spans="6:29">
      <c r="F125" t="str">
        <f>_xlfn.XLOOKUP(H125,Models!B:B,Models!F:F,"")</f>
        <v/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Z125">IFERROR(IF(_xlfn.XLOOKUP(B125,Input!J:J,Input!N:S)=0,"",
          _xlfn.XLOOKUP(B125,Input!J:J,Input!N:S)),"")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t="str">
        <f t="shared" si="5"/>
        <v/>
      </c>
      <c r="AB125" t="str">
        <f>_xlfn.XLOOKUP(B:B,Disk_Pivot!G:G,Disk_Pivot!I:I)</f>
        <v>No</v>
      </c>
      <c r="AC125" t="str">
        <f>_xlfn.XLOOKUP(B125,Disk_Pivot!G:G,Disk_Pivot!N:N)</f>
        <v/>
      </c>
    </row>
    <row r="126" spans="6:29">
      <c r="F126">
        <f>_xlfn.XLOOKUP(H126,Models!B:B,Models!F:F,"")</f>
        <v>0</v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Z126">IFERROR(IF(_xlfn.XLOOKUP(B126,Input!J:J,Input!N:S)=0,"",
          _xlfn.XLOOKUP(B126,Input!J:J,Input!N:S)),"")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t="str">
        <f t="shared" si="5"/>
        <v/>
      </c>
      <c r="AB126" t="str">
        <f>_xlfn.XLOOKUP(B:B,Disk_Pivot!G:G,Disk_Pivot!I:I)</f>
        <v>No</v>
      </c>
      <c r="AC126" t="str">
        <f>_xlfn.XLOOKUP(B126,Disk_Pivot!G:G,Disk_Pivot!N:N)</f>
        <v/>
      </c>
    </row>
    <row r="127" spans="6:29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Z127">IFERROR(IF(_xlfn.XLOOKUP(B127,Input!J:J,Input!N:S)=0,"",
          _xlfn.XLOOKUP(B127,Input!J:J,Input!N:S)),"")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t="str">
        <f t="shared" si="5"/>
        <v/>
      </c>
      <c r="AB127" t="str">
        <f>_xlfn.XLOOKUP(B:B,Disk_Pivot!G:G,Disk_Pivot!I:I)</f>
        <v>No</v>
      </c>
      <c r="AC127" t="str">
        <f>_xlfn.XLOOKUP(B127,Disk_Pivot!G:G,Disk_Pivot!N:N)</f>
        <v/>
      </c>
    </row>
    <row r="128" spans="6:29">
      <c r="F128" t="str">
        <f>_xlfn.XLOOKUP(H128,Models!B:B,Models!F:F,"")</f>
        <v/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Z128">IFERROR(IF(_xlfn.XLOOKUP(B128,Input!J:J,Input!N:S)=0,"",
          _xlfn.XLOOKUP(B128,Input!J:J,Input!N:S)),"")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t="str">
        <f t="shared" si="5"/>
        <v/>
      </c>
      <c r="AB128" t="str">
        <f>_xlfn.XLOOKUP(B:B,Disk_Pivot!G:G,Disk_Pivot!I:I)</f>
        <v>No</v>
      </c>
      <c r="AC128" t="str">
        <f>_xlfn.XLOOKUP(B128,Disk_Pivot!G:G,Disk_Pivot!N:N)</f>
        <v/>
      </c>
    </row>
    <row r="129" spans="6:29">
      <c r="F129">
        <f>_xlfn.XLOOKUP(H129,Models!B:B,Models!F:F,"")</f>
        <v>0</v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Z129">IFERROR(IF(_xlfn.XLOOKUP(B129,Input!J:J,Input!N:S)=0,"",
          _xlfn.XLOOKUP(B129,Input!J:J,Input!N:S)),"")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t="str">
        <f t="shared" si="5"/>
        <v/>
      </c>
      <c r="AB129" t="str">
        <f>_xlfn.XLOOKUP(B:B,Disk_Pivot!G:G,Disk_Pivot!I:I)</f>
        <v>No</v>
      </c>
      <c r="AC129" t="str">
        <f>_xlfn.XLOOKUP(B129,Disk_Pivot!G:G,Disk_Pivot!N:N)</f>
        <v/>
      </c>
    </row>
    <row r="130" spans="6:29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Z130">IFERROR(IF(_xlfn.XLOOKUP(B130,Input!J:J,Input!N:S)=0,"",
          _xlfn.XLOOKUP(B130,Input!J:J,Input!N:S)),"")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t="str">
        <f t="shared" si="5"/>
        <v/>
      </c>
      <c r="AB130" t="str">
        <f>_xlfn.XLOOKUP(B:B,Disk_Pivot!G:G,Disk_Pivot!I:I)</f>
        <v>No</v>
      </c>
      <c r="AC130" t="str">
        <f>_xlfn.XLOOKUP(B130,Disk_Pivot!G:G,Disk_Pivot!N:N)</f>
        <v/>
      </c>
    </row>
    <row r="131" spans="6:29">
      <c r="F131" t="str">
        <f>_xlfn.XLOOKUP(H131,Models!B:B,Models!F:F,"")</f>
        <v/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7">IF(ISNUMBER(L131), L131, SUBSTITUTE(SUBSTITUTE(SUBSTITUTE(L131,"GiB","")," ",""),"/","+"))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Z131">IFERROR(IF(_xlfn.XLOOKUP(B131,Input!J:J,Input!N:S)=0,"",
          _xlfn.XLOOKUP(B131,Input!J:J,Input!N:S)),"")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t="str">
        <f t="shared" ref="AA131:AA194" si="8">_xlfn.TEXTJOIN(", ",TRUE,T131,U131,V131,W131,X131,Y131,Z131)</f>
        <v/>
      </c>
      <c r="AB131" t="str">
        <f>_xlfn.XLOOKUP(B:B,Disk_Pivot!G:G,Disk_Pivot!I:I)</f>
        <v>No</v>
      </c>
      <c r="AC131" t="str">
        <f>_xlfn.XLOOKUP(B131,Disk_Pivot!G:G,Disk_Pivot!N:N)</f>
        <v/>
      </c>
    </row>
    <row r="132" spans="6:29">
      <c r="F132" t="str">
        <f>_xlfn.XLOOKUP(H132,Models!B:B,Models!F:F,"")</f>
        <v/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7"/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Z132">IFERROR(IF(_xlfn.XLOOKUP(B132,Input!J:J,Input!N:S)=0,"",
          _xlfn.XLOOKUP(B132,Input!J:J,Input!N:S)),"")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t="str">
        <f t="shared" si="8"/>
        <v/>
      </c>
      <c r="AB132" t="str">
        <f>_xlfn.XLOOKUP(B:B,Disk_Pivot!G:G,Disk_Pivot!I:I)</f>
        <v>No</v>
      </c>
      <c r="AC132" t="str">
        <f>_xlfn.XLOOKUP(B132,Disk_Pivot!G:G,Disk_Pivot!N:N)</f>
        <v/>
      </c>
    </row>
    <row r="133" spans="6:29">
      <c r="F133">
        <f>_xlfn.XLOOKUP(H133,Models!B:B,Models!F:F,"")</f>
        <v>0</v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7"/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Z133">IFERROR(IF(_xlfn.XLOOKUP(B133,Input!J:J,Input!N:S)=0,"",
          _xlfn.XLOOKUP(B133,Input!J:J,Input!N:S)),"")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t="str">
        <f t="shared" si="8"/>
        <v/>
      </c>
      <c r="AB133" t="str">
        <f>_xlfn.XLOOKUP(B:B,Disk_Pivot!G:G,Disk_Pivot!I:I)</f>
        <v>No</v>
      </c>
      <c r="AC133" t="str">
        <f>_xlfn.XLOOKUP(B133,Disk_Pivot!G:G,Disk_Pivot!N:N)</f>
        <v/>
      </c>
    </row>
    <row r="134" spans="6:29">
      <c r="F134" t="str">
        <f>_xlfn.XLOOKUP(H134,Models!B:B,Models!F:F,"")</f>
        <v/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7"/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Z134">IFERROR(IF(_xlfn.XLOOKUP(B134,Input!J:J,Input!N:S)=0,"",
          _xlfn.XLOOKUP(B134,Input!J:J,Input!N:S)),"")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t="str">
        <f t="shared" si="8"/>
        <v/>
      </c>
      <c r="AB134" t="str">
        <f>_xlfn.XLOOKUP(B:B,Disk_Pivot!G:G,Disk_Pivot!I:I)</f>
        <v>No</v>
      </c>
      <c r="AC134" t="str">
        <f>_xlfn.XLOOKUP(B134,Disk_Pivot!G:G,Disk_Pivot!N:N)</f>
        <v/>
      </c>
    </row>
    <row r="135" spans="6:29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7"/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Z135">IFERROR(IF(_xlfn.XLOOKUP(B135,Input!J:J,Input!N:S)=0,"",
          _xlfn.XLOOKUP(B135,Input!J:J,Input!N:S)),"")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t="str">
        <f t="shared" si="8"/>
        <v/>
      </c>
      <c r="AB135" t="str">
        <f>_xlfn.XLOOKUP(B:B,Disk_Pivot!G:G,Disk_Pivot!I:I)</f>
        <v>No</v>
      </c>
      <c r="AC135" t="str">
        <f>_xlfn.XLOOKUP(B135,Disk_Pivot!G:G,Disk_Pivot!N:N)</f>
        <v/>
      </c>
    </row>
    <row r="136" spans="6:29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7"/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Z136">IFERROR(IF(_xlfn.XLOOKUP(B136,Input!J:J,Input!N:S)=0,"",
          _xlfn.XLOOKUP(B136,Input!J:J,Input!N:S)),"")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t="str">
        <f t="shared" si="8"/>
        <v/>
      </c>
      <c r="AB136" t="str">
        <f>_xlfn.XLOOKUP(B:B,Disk_Pivot!G:G,Disk_Pivot!I:I)</f>
        <v>No</v>
      </c>
      <c r="AC136" t="str">
        <f>_xlfn.XLOOKUP(B136,Disk_Pivot!G:G,Disk_Pivot!N:N)</f>
        <v/>
      </c>
    </row>
    <row r="137" spans="6:29">
      <c r="F137" t="str">
        <f>_xlfn.XLOOKUP(H137,Models!B:B,Models!F:F,"")</f>
        <v/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7"/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Z137">IFERROR(IF(_xlfn.XLOOKUP(B137,Input!J:J,Input!N:S)=0,"",
          _xlfn.XLOOKUP(B137,Input!J:J,Input!N:S)),"")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t="str">
        <f t="shared" si="8"/>
        <v/>
      </c>
      <c r="AB137" t="str">
        <f>_xlfn.XLOOKUP(B:B,Disk_Pivot!G:G,Disk_Pivot!I:I)</f>
        <v>No</v>
      </c>
      <c r="AC137" t="str">
        <f>_xlfn.XLOOKUP(B137,Disk_Pivot!G:G,Disk_Pivot!N:N)</f>
        <v/>
      </c>
    </row>
    <row r="138" spans="6:29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7"/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Z138">IFERROR(IF(_xlfn.XLOOKUP(B138,Input!J:J,Input!N:S)=0,"",
          _xlfn.XLOOKUP(B138,Input!J:J,Input!N:S)),"")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t="str">
        <f t="shared" si="8"/>
        <v/>
      </c>
      <c r="AB138" t="str">
        <f>_xlfn.XLOOKUP(B:B,Disk_Pivot!G:G,Disk_Pivot!I:I)</f>
        <v>No</v>
      </c>
      <c r="AC138" t="str">
        <f>_xlfn.XLOOKUP(B138,Disk_Pivot!G:G,Disk_Pivot!N:N)</f>
        <v/>
      </c>
    </row>
    <row r="139" spans="6:29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7"/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Z139">IFERROR(IF(_xlfn.XLOOKUP(B139,Input!J:J,Input!N:S)=0,"",
          _xlfn.XLOOKUP(B139,Input!J:J,Input!N:S)),"")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t="str">
        <f t="shared" si="8"/>
        <v/>
      </c>
      <c r="AB139" t="str">
        <f>_xlfn.XLOOKUP(B:B,Disk_Pivot!G:G,Disk_Pivot!I:I)</f>
        <v>No</v>
      </c>
      <c r="AC139" t="str">
        <f>_xlfn.XLOOKUP(B139,Disk_Pivot!G:G,Disk_Pivot!N:N)</f>
        <v/>
      </c>
    </row>
    <row r="140" spans="6:29">
      <c r="F140" t="str">
        <f>_xlfn.XLOOKUP(H140,Models!B:B,Models!F:F,"")</f>
        <v/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7"/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Z140">IFERROR(IF(_xlfn.XLOOKUP(B140,Input!J:J,Input!N:S)=0,"",
          _xlfn.XLOOKUP(B140,Input!J:J,Input!N:S)),"")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t="str">
        <f t="shared" si="8"/>
        <v/>
      </c>
      <c r="AB140" t="str">
        <f>_xlfn.XLOOKUP(B:B,Disk_Pivot!G:G,Disk_Pivot!I:I)</f>
        <v>No</v>
      </c>
      <c r="AC140" t="str">
        <f>_xlfn.XLOOKUP(B140,Disk_Pivot!G:G,Disk_Pivot!N:N)</f>
        <v/>
      </c>
    </row>
    <row r="141" spans="6:29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7"/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Z141">IFERROR(IF(_xlfn.XLOOKUP(B141,Input!J:J,Input!N:S)=0,"",
          _xlfn.XLOOKUP(B141,Input!J:J,Input!N:S)),"")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t="str">
        <f t="shared" si="8"/>
        <v/>
      </c>
      <c r="AB141" t="str">
        <f>_xlfn.XLOOKUP(B:B,Disk_Pivot!G:G,Disk_Pivot!I:I)</f>
        <v>No</v>
      </c>
      <c r="AC141" t="str">
        <f>_xlfn.XLOOKUP(B141,Disk_Pivot!G:G,Disk_Pivot!N:N)</f>
        <v/>
      </c>
    </row>
    <row r="142" spans="6:29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7"/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Z142">IFERROR(IF(_xlfn.XLOOKUP(B142,Input!J:J,Input!N:S)=0,"",
          _xlfn.XLOOKUP(B142,Input!J:J,Input!N:S)),"")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t="str">
        <f t="shared" si="8"/>
        <v/>
      </c>
      <c r="AB142" t="str">
        <f>_xlfn.XLOOKUP(B:B,Disk_Pivot!G:G,Disk_Pivot!I:I)</f>
        <v>No</v>
      </c>
      <c r="AC142" t="str">
        <f>_xlfn.XLOOKUP(B142,Disk_Pivot!G:G,Disk_Pivot!N:N)</f>
        <v/>
      </c>
    </row>
    <row r="143" spans="6:29">
      <c r="F143" t="str">
        <f>_xlfn.XLOOKUP(H143,Models!B:B,Models!F:F,"")</f>
        <v/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7"/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Z143">IFERROR(IF(_xlfn.XLOOKUP(B143,Input!J:J,Input!N:S)=0,"",
          _xlfn.XLOOKUP(B143,Input!J:J,Input!N:S)),"")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t="str">
        <f t="shared" si="8"/>
        <v/>
      </c>
      <c r="AB143" t="str">
        <f>_xlfn.XLOOKUP(B:B,Disk_Pivot!G:G,Disk_Pivot!I:I)</f>
        <v>No</v>
      </c>
      <c r="AC143" t="str">
        <f>_xlfn.XLOOKUP(B143,Disk_Pivot!G:G,Disk_Pivot!N:N)</f>
        <v/>
      </c>
    </row>
    <row r="144" spans="6:29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7"/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Z144">IFERROR(IF(_xlfn.XLOOKUP(B144,Input!J:J,Input!N:S)=0,"",
          _xlfn.XLOOKUP(B144,Input!J:J,Input!N:S)),"")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t="str">
        <f t="shared" si="8"/>
        <v/>
      </c>
      <c r="AB144" t="str">
        <f>_xlfn.XLOOKUP(B:B,Disk_Pivot!G:G,Disk_Pivot!I:I)</f>
        <v>No</v>
      </c>
      <c r="AC144" t="str">
        <f>_xlfn.XLOOKUP(B144,Disk_Pivot!G:G,Disk_Pivot!N:N)</f>
        <v/>
      </c>
    </row>
    <row r="145" spans="6:29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7"/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Z145">IFERROR(IF(_xlfn.XLOOKUP(B145,Input!J:J,Input!N:S)=0,"",
          _xlfn.XLOOKUP(B145,Input!J:J,Input!N:S)),"")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t="str">
        <f t="shared" si="8"/>
        <v/>
      </c>
      <c r="AB145" t="str">
        <f>_xlfn.XLOOKUP(B:B,Disk_Pivot!G:G,Disk_Pivot!I:I)</f>
        <v>No</v>
      </c>
      <c r="AC145" t="str">
        <f>_xlfn.XLOOKUP(B145,Disk_Pivot!G:G,Disk_Pivot!N:N)</f>
        <v/>
      </c>
    </row>
    <row r="146" spans="6:29">
      <c r="F146" t="str">
        <f>_xlfn.XLOOKUP(H146,Models!B:B,Models!F:F,"")</f>
        <v/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7"/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Z146">IFERROR(IF(_xlfn.XLOOKUP(B146,Input!J:J,Input!N:S)=0,"",
          _xlfn.XLOOKUP(B146,Input!J:J,Input!N:S)),"")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t="str">
        <f t="shared" si="8"/>
        <v/>
      </c>
      <c r="AB146" t="str">
        <f>_xlfn.XLOOKUP(B:B,Disk_Pivot!G:G,Disk_Pivot!I:I)</f>
        <v>No</v>
      </c>
      <c r="AC146" t="str">
        <f>_xlfn.XLOOKUP(B146,Disk_Pivot!G:G,Disk_Pivot!N:N)</f>
        <v/>
      </c>
    </row>
    <row r="147" spans="6:29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7"/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Z147">IFERROR(IF(_xlfn.XLOOKUP(B147,Input!J:J,Input!N:S)=0,"",
          _xlfn.XLOOKUP(B147,Input!J:J,Input!N:S)),"")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t="str">
        <f t="shared" si="8"/>
        <v/>
      </c>
      <c r="AB147" t="str">
        <f>_xlfn.XLOOKUP(B:B,Disk_Pivot!G:G,Disk_Pivot!I:I)</f>
        <v>No</v>
      </c>
      <c r="AC147" t="str">
        <f>_xlfn.XLOOKUP(B147,Disk_Pivot!G:G,Disk_Pivot!N:N)</f>
        <v/>
      </c>
    </row>
    <row r="148" spans="6:29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7"/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Z148">IFERROR(IF(_xlfn.XLOOKUP(B148,Input!J:J,Input!N:S)=0,"",
          _xlfn.XLOOKUP(B148,Input!J:J,Input!N:S)),"")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t="str">
        <f t="shared" si="8"/>
        <v/>
      </c>
      <c r="AB148" t="str">
        <f>_xlfn.XLOOKUP(B:B,Disk_Pivot!G:G,Disk_Pivot!I:I)</f>
        <v>No</v>
      </c>
      <c r="AC148" t="str">
        <f>_xlfn.XLOOKUP(B148,Disk_Pivot!G:G,Disk_Pivot!N:N)</f>
        <v/>
      </c>
    </row>
    <row r="149" spans="6:29">
      <c r="F149" t="str">
        <f>_xlfn.XLOOKUP(H149,Models!B:B,Models!F:F,"")</f>
        <v/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7"/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Z149">IFERROR(IF(_xlfn.XLOOKUP(B149,Input!J:J,Input!N:S)=0,"",
          _xlfn.XLOOKUP(B149,Input!J:J,Input!N:S)),"")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t="str">
        <f t="shared" si="8"/>
        <v/>
      </c>
      <c r="AB149" t="str">
        <f>_xlfn.XLOOKUP(B:B,Disk_Pivot!G:G,Disk_Pivot!I:I)</f>
        <v>No</v>
      </c>
      <c r="AC149" t="str">
        <f>_xlfn.XLOOKUP(B149,Disk_Pivot!G:G,Disk_Pivot!N:N)</f>
        <v/>
      </c>
    </row>
    <row r="150" spans="6:29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7"/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Z150">IFERROR(IF(_xlfn.XLOOKUP(B150,Input!J:J,Input!N:S)=0,"",
          _xlfn.XLOOKUP(B150,Input!J:J,Input!N:S)),"")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t="str">
        <f t="shared" si="8"/>
        <v/>
      </c>
      <c r="AB150" t="str">
        <f>_xlfn.XLOOKUP(B:B,Disk_Pivot!G:G,Disk_Pivot!I:I)</f>
        <v>No</v>
      </c>
      <c r="AC150" t="str">
        <f>_xlfn.XLOOKUP(B150,Disk_Pivot!G:G,Disk_Pivot!N:N)</f>
        <v/>
      </c>
    </row>
    <row r="151" spans="6:29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7"/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Z151">IFERROR(IF(_xlfn.XLOOKUP(B151,Input!J:J,Input!N:S)=0,"",
          _xlfn.XLOOKUP(B151,Input!J:J,Input!N:S)),"")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t="str">
        <f t="shared" si="8"/>
        <v/>
      </c>
      <c r="AB151" t="str">
        <f>_xlfn.XLOOKUP(B:B,Disk_Pivot!G:G,Disk_Pivot!I:I)</f>
        <v>No</v>
      </c>
      <c r="AC151" t="str">
        <f>_xlfn.XLOOKUP(B151,Disk_Pivot!G:G,Disk_Pivot!N:N)</f>
        <v/>
      </c>
    </row>
    <row r="152" spans="6:29">
      <c r="F152" t="str">
        <f>_xlfn.XLOOKUP(H152,Models!B:B,Models!F:F,"")</f>
        <v/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7"/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Z152">IFERROR(IF(_xlfn.XLOOKUP(B152,Input!J:J,Input!N:S)=0,"",
          _xlfn.XLOOKUP(B152,Input!J:J,Input!N:S)),"")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t="str">
        <f t="shared" si="8"/>
        <v/>
      </c>
      <c r="AB152" t="str">
        <f>_xlfn.XLOOKUP(B:B,Disk_Pivot!G:G,Disk_Pivot!I:I)</f>
        <v>No</v>
      </c>
      <c r="AC152" t="str">
        <f>_xlfn.XLOOKUP(B152,Disk_Pivot!G:G,Disk_Pivot!N:N)</f>
        <v/>
      </c>
    </row>
    <row r="153" spans="6:29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7"/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Z153">IFERROR(IF(_xlfn.XLOOKUP(B153,Input!J:J,Input!N:S)=0,"",
          _xlfn.XLOOKUP(B153,Input!J:J,Input!N:S)),"")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t="str">
        <f t="shared" si="8"/>
        <v/>
      </c>
      <c r="AB153" t="str">
        <f>_xlfn.XLOOKUP(B:B,Disk_Pivot!G:G,Disk_Pivot!I:I)</f>
        <v>No</v>
      </c>
      <c r="AC153" t="str">
        <f>_xlfn.XLOOKUP(B153,Disk_Pivot!G:G,Disk_Pivot!N:N)</f>
        <v/>
      </c>
    </row>
    <row r="154" spans="6:29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7"/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Z154">IFERROR(IF(_xlfn.XLOOKUP(B154,Input!J:J,Input!N:S)=0,"",
          _xlfn.XLOOKUP(B154,Input!J:J,Input!N:S)),"")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t="str">
        <f t="shared" si="8"/>
        <v/>
      </c>
      <c r="AB154" t="str">
        <f>_xlfn.XLOOKUP(B:B,Disk_Pivot!G:G,Disk_Pivot!I:I)</f>
        <v>No</v>
      </c>
      <c r="AC154" t="str">
        <f>_xlfn.XLOOKUP(B154,Disk_Pivot!G:G,Disk_Pivot!N:N)</f>
        <v/>
      </c>
    </row>
    <row r="155" spans="6:29">
      <c r="F155" t="str">
        <f>_xlfn.XLOOKUP(H155,Models!B:B,Models!F:F,"")</f>
        <v/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7"/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Z155">IFERROR(IF(_xlfn.XLOOKUP(B155,Input!J:J,Input!N:S)=0,"",
          _xlfn.XLOOKUP(B155,Input!J:J,Input!N:S)),"")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t="str">
        <f t="shared" si="8"/>
        <v/>
      </c>
      <c r="AB155" t="str">
        <f>_xlfn.XLOOKUP(B:B,Disk_Pivot!G:G,Disk_Pivot!I:I)</f>
        <v>No</v>
      </c>
      <c r="AC155" t="str">
        <f>_xlfn.XLOOKUP(B155,Disk_Pivot!G:G,Disk_Pivot!N:N)</f>
        <v/>
      </c>
    </row>
    <row r="156" spans="6:29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7"/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Z156">IFERROR(IF(_xlfn.XLOOKUP(B156,Input!J:J,Input!N:S)=0,"",
          _xlfn.XLOOKUP(B156,Input!J:J,Input!N:S)),"")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t="str">
        <f t="shared" si="8"/>
        <v/>
      </c>
      <c r="AB156" t="str">
        <f>_xlfn.XLOOKUP(B:B,Disk_Pivot!G:G,Disk_Pivot!I:I)</f>
        <v>No</v>
      </c>
      <c r="AC156" t="str">
        <f>_xlfn.XLOOKUP(B156,Disk_Pivot!G:G,Disk_Pivot!N:N)</f>
        <v/>
      </c>
    </row>
    <row r="157" spans="6:29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7"/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Z157">IFERROR(IF(_xlfn.XLOOKUP(B157,Input!J:J,Input!N:S)=0,"",
          _xlfn.XLOOKUP(B157,Input!J:J,Input!N:S)),"")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t="str">
        <f t="shared" si="8"/>
        <v/>
      </c>
      <c r="AB157" t="str">
        <f>_xlfn.XLOOKUP(B:B,Disk_Pivot!G:G,Disk_Pivot!I:I)</f>
        <v>No</v>
      </c>
      <c r="AC157" t="str">
        <f>_xlfn.XLOOKUP(B157,Disk_Pivot!G:G,Disk_Pivot!N:N)</f>
        <v/>
      </c>
    </row>
    <row r="158" spans="6:29">
      <c r="F158" t="str">
        <f>_xlfn.XLOOKUP(H158,Models!B:B,Models!F:F,"")</f>
        <v/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7"/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Z158">IFERROR(IF(_xlfn.XLOOKUP(B158,Input!J:J,Input!N:S)=0,"",
          _xlfn.XLOOKUP(B158,Input!J:J,Input!N:S)),"")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t="str">
        <f t="shared" si="8"/>
        <v/>
      </c>
      <c r="AB158" t="str">
        <f>_xlfn.XLOOKUP(B:B,Disk_Pivot!G:G,Disk_Pivot!I:I)</f>
        <v>No</v>
      </c>
      <c r="AC158" t="str">
        <f>_xlfn.XLOOKUP(B158,Disk_Pivot!G:G,Disk_Pivot!N:N)</f>
        <v/>
      </c>
    </row>
    <row r="159" spans="6:29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7"/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Z159">IFERROR(IF(_xlfn.XLOOKUP(B159,Input!J:J,Input!N:S)=0,"",
          _xlfn.XLOOKUP(B159,Input!J:J,Input!N:S)),"")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t="str">
        <f t="shared" si="8"/>
        <v/>
      </c>
      <c r="AB159" t="str">
        <f>_xlfn.XLOOKUP(B:B,Disk_Pivot!G:G,Disk_Pivot!I:I)</f>
        <v>No</v>
      </c>
      <c r="AC159" t="str">
        <f>_xlfn.XLOOKUP(B159,Disk_Pivot!G:G,Disk_Pivot!N:N)</f>
        <v/>
      </c>
    </row>
    <row r="160" spans="6:29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7"/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Z160">IFERROR(IF(_xlfn.XLOOKUP(B160,Input!J:J,Input!N:S)=0,"",
          _xlfn.XLOOKUP(B160,Input!J:J,Input!N:S)),"")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t="str">
        <f t="shared" si="8"/>
        <v/>
      </c>
      <c r="AB160" t="str">
        <f>_xlfn.XLOOKUP(B:B,Disk_Pivot!G:G,Disk_Pivot!I:I)</f>
        <v>No</v>
      </c>
      <c r="AC160" t="str">
        <f>_xlfn.XLOOKUP(B160,Disk_Pivot!G:G,Disk_Pivot!N:N)</f>
        <v/>
      </c>
    </row>
    <row r="161" spans="6:29">
      <c r="F161" t="str">
        <f>_xlfn.XLOOKUP(H161,Models!B:B,Models!F:F,"")</f>
        <v/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7"/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Z161">IFERROR(IF(_xlfn.XLOOKUP(B161,Input!J:J,Input!N:S)=0,"",
          _xlfn.XLOOKUP(B161,Input!J:J,Input!N:S)),"")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t="str">
        <f t="shared" si="8"/>
        <v/>
      </c>
      <c r="AB161" t="str">
        <f>_xlfn.XLOOKUP(B:B,Disk_Pivot!G:G,Disk_Pivot!I:I)</f>
        <v>No</v>
      </c>
      <c r="AC161" t="str">
        <f>_xlfn.XLOOKUP(B161,Disk_Pivot!G:G,Disk_Pivot!N:N)</f>
        <v/>
      </c>
    </row>
    <row r="162" spans="6:29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7"/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Z162">IFERROR(IF(_xlfn.XLOOKUP(B162,Input!J:J,Input!N:S)=0,"",
          _xlfn.XLOOKUP(B162,Input!J:J,Input!N:S)),"")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t="str">
        <f t="shared" si="8"/>
        <v/>
      </c>
      <c r="AB162" t="str">
        <f>_xlfn.XLOOKUP(B:B,Disk_Pivot!G:G,Disk_Pivot!I:I)</f>
        <v>No</v>
      </c>
      <c r="AC162" t="str">
        <f>_xlfn.XLOOKUP(B162,Disk_Pivot!G:G,Disk_Pivot!N:N)</f>
        <v/>
      </c>
    </row>
    <row r="163" spans="6:29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7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Z163">IFERROR(IF(_xlfn.XLOOKUP(B163,Input!J:J,Input!N:S)=0,"",
          _xlfn.XLOOKUP(B163,Input!J:J,Input!N:S)),"")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t="str">
        <f t="shared" si="8"/>
        <v/>
      </c>
      <c r="AB163" t="str">
        <f>_xlfn.XLOOKUP(B:B,Disk_Pivot!G:G,Disk_Pivot!I:I)</f>
        <v>No</v>
      </c>
      <c r="AC163" t="str">
        <f>_xlfn.XLOOKUP(B163,Disk_Pivot!G:G,Disk_Pivot!N:N)</f>
        <v/>
      </c>
    </row>
    <row r="164" spans="6:29">
      <c r="F164" t="str">
        <f>_xlfn.XLOOKUP(H164,Models!B:B,Models!F:F,"")</f>
        <v/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7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Z164">IFERROR(IF(_xlfn.XLOOKUP(B164,Input!J:J,Input!N:S)=0,"",
          _xlfn.XLOOKUP(B164,Input!J:J,Input!N:S)),"")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t="str">
        <f t="shared" si="8"/>
        <v/>
      </c>
      <c r="AB164" t="str">
        <f>_xlfn.XLOOKUP(B:B,Disk_Pivot!G:G,Disk_Pivot!I:I)</f>
        <v>No</v>
      </c>
      <c r="AC164" t="str">
        <f>_xlfn.XLOOKUP(B164,Disk_Pivot!G:G,Disk_Pivot!N:N)</f>
        <v/>
      </c>
    </row>
    <row r="165" spans="6:29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7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Z165">IFERROR(IF(_xlfn.XLOOKUP(B165,Input!J:J,Input!N:S)=0,"",
          _xlfn.XLOOKUP(B165,Input!J:J,Input!N:S)),"")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t="str">
        <f t="shared" si="8"/>
        <v/>
      </c>
      <c r="AB165" t="str">
        <f>_xlfn.XLOOKUP(B:B,Disk_Pivot!G:G,Disk_Pivot!I:I)</f>
        <v>No</v>
      </c>
      <c r="AC165" t="str">
        <f>_xlfn.XLOOKUP(B165,Disk_Pivot!G:G,Disk_Pivot!N:N)</f>
        <v/>
      </c>
    </row>
    <row r="166" spans="6:29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7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Z166">IFERROR(IF(_xlfn.XLOOKUP(B166,Input!J:J,Input!N:S)=0,"",
          _xlfn.XLOOKUP(B166,Input!J:J,Input!N:S)),"")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t="str">
        <f t="shared" si="8"/>
        <v/>
      </c>
      <c r="AB166" t="str">
        <f>_xlfn.XLOOKUP(B:B,Disk_Pivot!G:G,Disk_Pivot!I:I)</f>
        <v>No</v>
      </c>
      <c r="AC166" t="str">
        <f>_xlfn.XLOOKUP(B166,Disk_Pivot!G:G,Disk_Pivot!N:N)</f>
        <v/>
      </c>
    </row>
    <row r="167" spans="6:29">
      <c r="F167" t="str">
        <f>_xlfn.XLOOKUP(H167,Models!B:B,Models!F:F,"")</f>
        <v/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7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Z167">IFERROR(IF(_xlfn.XLOOKUP(B167,Input!J:J,Input!N:S)=0,"",
          _xlfn.XLOOKUP(B167,Input!J:J,Input!N:S)),"")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t="str">
        <f t="shared" si="8"/>
        <v/>
      </c>
      <c r="AB167" t="str">
        <f>_xlfn.XLOOKUP(B:B,Disk_Pivot!G:G,Disk_Pivot!I:I)</f>
        <v>No</v>
      </c>
      <c r="AC167" t="str">
        <f>_xlfn.XLOOKUP(B167,Disk_Pivot!G:G,Disk_Pivot!N:N)</f>
        <v/>
      </c>
    </row>
    <row r="168" spans="6:29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7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Z168">IFERROR(IF(_xlfn.XLOOKUP(B168,Input!J:J,Input!N:S)=0,"",
          _xlfn.XLOOKUP(B168,Input!J:J,Input!N:S)),"")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t="str">
        <f t="shared" si="8"/>
        <v/>
      </c>
      <c r="AB168" t="str">
        <f>_xlfn.XLOOKUP(B:B,Disk_Pivot!G:G,Disk_Pivot!I:I)</f>
        <v>No</v>
      </c>
      <c r="AC168" t="str">
        <f>_xlfn.XLOOKUP(B168,Disk_Pivot!G:G,Disk_Pivot!N:N)</f>
        <v/>
      </c>
    </row>
    <row r="169" spans="6:29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7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Z169">IFERROR(IF(_xlfn.XLOOKUP(B169,Input!J:J,Input!N:S)=0,"",
          _xlfn.XLOOKUP(B169,Input!J:J,Input!N:S)),"")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t="str">
        <f t="shared" si="8"/>
        <v/>
      </c>
      <c r="AB169" t="str">
        <f>_xlfn.XLOOKUP(B:B,Disk_Pivot!G:G,Disk_Pivot!I:I)</f>
        <v>No</v>
      </c>
      <c r="AC169" t="str">
        <f>_xlfn.XLOOKUP(B169,Disk_Pivot!G:G,Disk_Pivot!N:N)</f>
        <v/>
      </c>
    </row>
    <row r="170" spans="6:29">
      <c r="F170" t="str">
        <f>_xlfn.XLOOKUP(H170,Models!B:B,Models!F:F,"")</f>
        <v/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7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Z170">IFERROR(IF(_xlfn.XLOOKUP(B170,Input!J:J,Input!N:S)=0,"",
          _xlfn.XLOOKUP(B170,Input!J:J,Input!N:S)),"")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t="str">
        <f t="shared" si="8"/>
        <v/>
      </c>
      <c r="AB170" t="str">
        <f>_xlfn.XLOOKUP(B:B,Disk_Pivot!G:G,Disk_Pivot!I:I)</f>
        <v>No</v>
      </c>
      <c r="AC170" t="str">
        <f>_xlfn.XLOOKUP(B170,Disk_Pivot!G:G,Disk_Pivot!N:N)</f>
        <v/>
      </c>
    </row>
    <row r="171" spans="6:29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7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Z171">IFERROR(IF(_xlfn.XLOOKUP(B171,Input!J:J,Input!N:S)=0,"",
          _xlfn.XLOOKUP(B171,Input!J:J,Input!N:S)),"")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t="str">
        <f t="shared" si="8"/>
        <v/>
      </c>
      <c r="AB171" t="str">
        <f>_xlfn.XLOOKUP(B:B,Disk_Pivot!G:G,Disk_Pivot!I:I)</f>
        <v>No</v>
      </c>
      <c r="AC171" t="str">
        <f>_xlfn.XLOOKUP(B171,Disk_Pivot!G:G,Disk_Pivot!N:N)</f>
        <v/>
      </c>
    </row>
    <row r="172" spans="6:29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7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Z172">IFERROR(IF(_xlfn.XLOOKUP(B172,Input!J:J,Input!N:S)=0,"",
          _xlfn.XLOOKUP(B172,Input!J:J,Input!N:S)),"")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t="str">
        <f t="shared" si="8"/>
        <v/>
      </c>
      <c r="AB172" t="str">
        <f>_xlfn.XLOOKUP(B:B,Disk_Pivot!G:G,Disk_Pivot!I:I)</f>
        <v>No</v>
      </c>
      <c r="AC172" t="str">
        <f>_xlfn.XLOOKUP(B172,Disk_Pivot!G:G,Disk_Pivot!N:N)</f>
        <v/>
      </c>
    </row>
    <row r="173" spans="6:29">
      <c r="F173" t="str">
        <f>_xlfn.XLOOKUP(H173,Models!B:B,Models!F:F,"")</f>
        <v/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7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Z173">IFERROR(IF(_xlfn.XLOOKUP(B173,Input!J:J,Input!N:S)=0,"",
          _xlfn.XLOOKUP(B173,Input!J:J,Input!N:S)),"")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t="str">
        <f t="shared" si="8"/>
        <v/>
      </c>
      <c r="AB173" t="str">
        <f>_xlfn.XLOOKUP(B:B,Disk_Pivot!G:G,Disk_Pivot!I:I)</f>
        <v>No</v>
      </c>
      <c r="AC173" t="str">
        <f>_xlfn.XLOOKUP(B173,Disk_Pivot!G:G,Disk_Pivot!N:N)</f>
        <v/>
      </c>
    </row>
    <row r="174" spans="6:29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7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Z174">IFERROR(IF(_xlfn.XLOOKUP(B174,Input!J:J,Input!N:S)=0,"",
          _xlfn.XLOOKUP(B174,Input!J:J,Input!N:S)),"")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t="str">
        <f t="shared" si="8"/>
        <v/>
      </c>
      <c r="AB174" t="str">
        <f>_xlfn.XLOOKUP(B:B,Disk_Pivot!G:G,Disk_Pivot!I:I)</f>
        <v>No</v>
      </c>
      <c r="AC174" t="str">
        <f>_xlfn.XLOOKUP(B174,Disk_Pivot!G:G,Disk_Pivot!N:N)</f>
        <v/>
      </c>
    </row>
    <row r="175" spans="6:29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7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Z175">IFERROR(IF(_xlfn.XLOOKUP(B175,Input!J:J,Input!N:S)=0,"",
          _xlfn.XLOOKUP(B175,Input!J:J,Input!N:S)),"")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t="str">
        <f t="shared" si="8"/>
        <v/>
      </c>
      <c r="AB175" t="str">
        <f>_xlfn.XLOOKUP(B:B,Disk_Pivot!G:G,Disk_Pivot!I:I)</f>
        <v>No</v>
      </c>
      <c r="AC175" t="str">
        <f>_xlfn.XLOOKUP(B175,Disk_Pivot!G:G,Disk_Pivot!N:N)</f>
        <v/>
      </c>
    </row>
    <row r="176" spans="6:29">
      <c r="F176" t="str">
        <f>_xlfn.XLOOKUP(H176,Models!B:B,Models!F:F,"")</f>
        <v/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7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Z176">IFERROR(IF(_xlfn.XLOOKUP(B176,Input!J:J,Input!N:S)=0,"",
          _xlfn.XLOOKUP(B176,Input!J:J,Input!N:S)),"")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t="str">
        <f t="shared" si="8"/>
        <v/>
      </c>
      <c r="AB176" t="str">
        <f>_xlfn.XLOOKUP(B:B,Disk_Pivot!G:G,Disk_Pivot!I:I)</f>
        <v>No</v>
      </c>
      <c r="AC176" t="str">
        <f>_xlfn.XLOOKUP(B176,Disk_Pivot!G:G,Disk_Pivot!N:N)</f>
        <v/>
      </c>
    </row>
    <row r="177" spans="6:29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7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Z177">IFERROR(IF(_xlfn.XLOOKUP(B177,Input!J:J,Input!N:S)=0,"",
          _xlfn.XLOOKUP(B177,Input!J:J,Input!N:S)),"")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t="str">
        <f t="shared" si="8"/>
        <v/>
      </c>
      <c r="AB177" t="str">
        <f>_xlfn.XLOOKUP(B:B,Disk_Pivot!G:G,Disk_Pivot!I:I)</f>
        <v>No</v>
      </c>
      <c r="AC177" t="str">
        <f>_xlfn.XLOOKUP(B177,Disk_Pivot!G:G,Disk_Pivot!N:N)</f>
        <v/>
      </c>
    </row>
    <row r="178" spans="6:29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7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Z178">IFERROR(IF(_xlfn.XLOOKUP(B178,Input!J:J,Input!N:S)=0,"",
          _xlfn.XLOOKUP(B178,Input!J:J,Input!N:S)),"")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t="str">
        <f t="shared" si="8"/>
        <v/>
      </c>
      <c r="AB178" t="str">
        <f>_xlfn.XLOOKUP(B:B,Disk_Pivot!G:G,Disk_Pivot!I:I)</f>
        <v>No</v>
      </c>
      <c r="AC178" t="str">
        <f>_xlfn.XLOOKUP(B178,Disk_Pivot!G:G,Disk_Pivot!N:N)</f>
        <v/>
      </c>
    </row>
    <row r="179" spans="6:29">
      <c r="F179" t="str">
        <f>_xlfn.XLOOKUP(H179,Models!B:B,Models!F:F,"")</f>
        <v/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7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Z179">IFERROR(IF(_xlfn.XLOOKUP(B179,Input!J:J,Input!N:S)=0,"",
          _xlfn.XLOOKUP(B179,Input!J:J,Input!N:S)),"")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t="str">
        <f t="shared" si="8"/>
        <v/>
      </c>
      <c r="AB179" t="str">
        <f>_xlfn.XLOOKUP(B:B,Disk_Pivot!G:G,Disk_Pivot!I:I)</f>
        <v>No</v>
      </c>
      <c r="AC179" t="str">
        <f>_xlfn.XLOOKUP(B179,Disk_Pivot!G:G,Disk_Pivot!N:N)</f>
        <v/>
      </c>
    </row>
    <row r="180" spans="6:29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7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Z180">IFERROR(IF(_xlfn.XLOOKUP(B180,Input!J:J,Input!N:S)=0,"",
          _xlfn.XLOOKUP(B180,Input!J:J,Input!N:S)),"")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t="str">
        <f t="shared" si="8"/>
        <v/>
      </c>
      <c r="AB180" t="str">
        <f>_xlfn.XLOOKUP(B:B,Disk_Pivot!G:G,Disk_Pivot!I:I)</f>
        <v>No</v>
      </c>
      <c r="AC180" t="str">
        <f>_xlfn.XLOOKUP(B180,Disk_Pivot!G:G,Disk_Pivot!N:N)</f>
        <v/>
      </c>
    </row>
    <row r="181" spans="6:29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7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Z181">IFERROR(IF(_xlfn.XLOOKUP(B181,Input!J:J,Input!N:S)=0,"",
          _xlfn.XLOOKUP(B181,Input!J:J,Input!N:S)),"")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t="str">
        <f t="shared" si="8"/>
        <v/>
      </c>
      <c r="AB181" t="str">
        <f>_xlfn.XLOOKUP(B:B,Disk_Pivot!G:G,Disk_Pivot!I:I)</f>
        <v>No</v>
      </c>
      <c r="AC181" t="str">
        <f>_xlfn.XLOOKUP(B181,Disk_Pivot!G:G,Disk_Pivot!N:N)</f>
        <v/>
      </c>
    </row>
    <row r="182" spans="6:29">
      <c r="F182" t="str">
        <f>_xlfn.XLOOKUP(H182,Models!B:B,Models!F:F,"")</f>
        <v/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7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Z182">IFERROR(IF(_xlfn.XLOOKUP(B182,Input!J:J,Input!N:S)=0,"",
          _xlfn.XLOOKUP(B182,Input!J:J,Input!N:S)),"")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t="str">
        <f t="shared" si="8"/>
        <v/>
      </c>
      <c r="AB182" t="str">
        <f>_xlfn.XLOOKUP(B:B,Disk_Pivot!G:G,Disk_Pivot!I:I)</f>
        <v>No</v>
      </c>
      <c r="AC182" t="str">
        <f>_xlfn.XLOOKUP(B182,Disk_Pivot!G:G,Disk_Pivot!N:N)</f>
        <v/>
      </c>
    </row>
    <row r="183" spans="6:29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7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Z183">IFERROR(IF(_xlfn.XLOOKUP(B183,Input!J:J,Input!N:S)=0,"",
          _xlfn.XLOOKUP(B183,Input!J:J,Input!N:S)),"")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t="str">
        <f t="shared" si="8"/>
        <v/>
      </c>
      <c r="AB183" t="str">
        <f>_xlfn.XLOOKUP(B:B,Disk_Pivot!G:G,Disk_Pivot!I:I)</f>
        <v>No</v>
      </c>
      <c r="AC183" t="str">
        <f>_xlfn.XLOOKUP(B183,Disk_Pivot!G:G,Disk_Pivot!N:N)</f>
        <v/>
      </c>
    </row>
    <row r="184" spans="6:29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7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Z184">IFERROR(IF(_xlfn.XLOOKUP(B184,Input!J:J,Input!N:S)=0,"",
          _xlfn.XLOOKUP(B184,Input!J:J,Input!N:S)),"")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t="str">
        <f t="shared" si="8"/>
        <v/>
      </c>
      <c r="AB184" t="str">
        <f>_xlfn.XLOOKUP(B:B,Disk_Pivot!G:G,Disk_Pivot!I:I)</f>
        <v>No</v>
      </c>
      <c r="AC184" t="str">
        <f>_xlfn.XLOOKUP(B184,Disk_Pivot!G:G,Disk_Pivot!N:N)</f>
        <v/>
      </c>
    </row>
    <row r="185" spans="6:29">
      <c r="F185" t="str">
        <f>_xlfn.XLOOKUP(H185,Models!B:B,Models!F:F,"")</f>
        <v/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7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Z185">IFERROR(IF(_xlfn.XLOOKUP(B185,Input!J:J,Input!N:S)=0,"",
          _xlfn.XLOOKUP(B185,Input!J:J,Input!N:S)),"")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t="str">
        <f t="shared" si="8"/>
        <v/>
      </c>
      <c r="AB185" t="str">
        <f>_xlfn.XLOOKUP(B:B,Disk_Pivot!G:G,Disk_Pivot!I:I)</f>
        <v>No</v>
      </c>
      <c r="AC185" t="str">
        <f>_xlfn.XLOOKUP(B185,Disk_Pivot!G:G,Disk_Pivot!N:N)</f>
        <v/>
      </c>
    </row>
    <row r="186" spans="6:29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7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Z186">IFERROR(IF(_xlfn.XLOOKUP(B186,Input!J:J,Input!N:S)=0,"",
          _xlfn.XLOOKUP(B186,Input!J:J,Input!N:S)),"")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t="str">
        <f t="shared" si="8"/>
        <v/>
      </c>
      <c r="AB186" t="str">
        <f>_xlfn.XLOOKUP(B:B,Disk_Pivot!G:G,Disk_Pivot!I:I)</f>
        <v>No</v>
      </c>
      <c r="AC186" t="str">
        <f>_xlfn.XLOOKUP(B186,Disk_Pivot!G:G,Disk_Pivot!N:N)</f>
        <v/>
      </c>
    </row>
    <row r="187" spans="6:29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7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Z187">IFERROR(IF(_xlfn.XLOOKUP(B187,Input!J:J,Input!N:S)=0,"",
          _xlfn.XLOOKUP(B187,Input!J:J,Input!N:S)),"")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t="str">
        <f t="shared" si="8"/>
        <v/>
      </c>
      <c r="AB187" t="str">
        <f>_xlfn.XLOOKUP(B:B,Disk_Pivot!G:G,Disk_Pivot!I:I)</f>
        <v>No</v>
      </c>
      <c r="AC187" t="str">
        <f>_xlfn.XLOOKUP(B187,Disk_Pivot!G:G,Disk_Pivot!N:N)</f>
        <v/>
      </c>
    </row>
    <row r="188" spans="6:29">
      <c r="F188" t="str">
        <f>_xlfn.XLOOKUP(H188,Models!B:B,Models!F:F,"")</f>
        <v/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7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Z188">IFERROR(IF(_xlfn.XLOOKUP(B188,Input!J:J,Input!N:S)=0,"",
          _xlfn.XLOOKUP(B188,Input!J:J,Input!N:S)),"")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t="str">
        <f t="shared" si="8"/>
        <v/>
      </c>
      <c r="AB188" t="str">
        <f>_xlfn.XLOOKUP(B:B,Disk_Pivot!G:G,Disk_Pivot!I:I)</f>
        <v>No</v>
      </c>
      <c r="AC188" t="str">
        <f>_xlfn.XLOOKUP(B188,Disk_Pivot!G:G,Disk_Pivot!N:N)</f>
        <v/>
      </c>
    </row>
    <row r="189" spans="6:29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7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Z189">IFERROR(IF(_xlfn.XLOOKUP(B189,Input!J:J,Input!N:S)=0,"",
          _xlfn.XLOOKUP(B189,Input!J:J,Input!N:S)),"")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t="str">
        <f t="shared" si="8"/>
        <v/>
      </c>
      <c r="AB189" t="str">
        <f>_xlfn.XLOOKUP(B:B,Disk_Pivot!G:G,Disk_Pivot!I:I)</f>
        <v>No</v>
      </c>
      <c r="AC189" t="str">
        <f>_xlfn.XLOOKUP(B189,Disk_Pivot!G:G,Disk_Pivot!N:N)</f>
        <v/>
      </c>
    </row>
    <row r="190" spans="6:29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7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Z190">IFERROR(IF(_xlfn.XLOOKUP(B190,Input!J:J,Input!N:S)=0,"",
          _xlfn.XLOOKUP(B190,Input!J:J,Input!N:S)),"")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t="str">
        <f t="shared" si="8"/>
        <v/>
      </c>
      <c r="AB190" t="str">
        <f>_xlfn.XLOOKUP(B:B,Disk_Pivot!G:G,Disk_Pivot!I:I)</f>
        <v>No</v>
      </c>
      <c r="AC190" t="str">
        <f>_xlfn.XLOOKUP(B190,Disk_Pivot!G:G,Disk_Pivot!N:N)</f>
        <v/>
      </c>
    </row>
    <row r="191" spans="6:29">
      <c r="F191" t="str">
        <f>_xlfn.XLOOKUP(H191,Models!B:B,Models!F:F,"")</f>
        <v/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7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Z191">IFERROR(IF(_xlfn.XLOOKUP(B191,Input!J:J,Input!N:S)=0,"",
          _xlfn.XLOOKUP(B191,Input!J:J,Input!N:S)),"")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t="str">
        <f t="shared" si="8"/>
        <v/>
      </c>
      <c r="AB191" t="str">
        <f>_xlfn.XLOOKUP(B:B,Disk_Pivot!G:G,Disk_Pivot!I:I)</f>
        <v>No</v>
      </c>
      <c r="AC191" t="str">
        <f>_xlfn.XLOOKUP(B191,Disk_Pivot!G:G,Disk_Pivot!N:N)</f>
        <v/>
      </c>
    </row>
    <row r="192" spans="6:29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7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Z192">IFERROR(IF(_xlfn.XLOOKUP(B192,Input!J:J,Input!N:S)=0,"",
          _xlfn.XLOOKUP(B192,Input!J:J,Input!N:S)),"")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t="str">
        <f t="shared" si="8"/>
        <v/>
      </c>
      <c r="AB192" t="str">
        <f>_xlfn.XLOOKUP(B:B,Disk_Pivot!G:G,Disk_Pivot!I:I)</f>
        <v>No</v>
      </c>
      <c r="AC192" t="str">
        <f>_xlfn.XLOOKUP(B192,Disk_Pivot!G:G,Disk_Pivot!N:N)</f>
        <v/>
      </c>
    </row>
    <row r="193" spans="6:29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7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Z193">IFERROR(IF(_xlfn.XLOOKUP(B193,Input!J:J,Input!N:S)=0,"",
          _xlfn.XLOOKUP(B193,Input!J:J,Input!N:S)),"")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t="str">
        <f t="shared" si="8"/>
        <v/>
      </c>
      <c r="AB193" t="str">
        <f>_xlfn.XLOOKUP(B:B,Disk_Pivot!G:G,Disk_Pivot!I:I)</f>
        <v>No</v>
      </c>
      <c r="AC193" t="str">
        <f>_xlfn.XLOOKUP(B193,Disk_Pivot!G:G,Disk_Pivot!N:N)</f>
        <v/>
      </c>
    </row>
    <row r="194" spans="6:29">
      <c r="F194" t="str">
        <f>_xlfn.XLOOKUP(H194,Models!B:B,Models!F:F,"")</f>
        <v/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7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Z194">IFERROR(IF(_xlfn.XLOOKUP(B194,Input!J:J,Input!N:S)=0,"",
          _xlfn.XLOOKUP(B194,Input!J:J,Input!N:S)),"")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t="str">
        <f t="shared" si="8"/>
        <v/>
      </c>
      <c r="AB194" t="str">
        <f>_xlfn.XLOOKUP(B:B,Disk_Pivot!G:G,Disk_Pivot!I:I)</f>
        <v>No</v>
      </c>
      <c r="AC194" t="str">
        <f>_xlfn.XLOOKUP(B194,Disk_Pivot!G:G,Disk_Pivot!N:N)</f>
        <v/>
      </c>
    </row>
    <row r="195" spans="6:29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Z195">IFERROR(IF(_xlfn.XLOOKUP(B195,Input!J:J,Input!N:S)=0,"",
          _xlfn.XLOOKUP(B195,Input!J:J,Input!N:S)),"")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t="str">
        <f t="shared" ref="AA195:AA256" si="10">_xlfn.TEXTJOIN(", ",TRUE,T195,U195,V195,W195,X195,Y195,Z195)</f>
        <v/>
      </c>
      <c r="AB195" t="str">
        <f>_xlfn.XLOOKUP(B:B,Disk_Pivot!G:G,Disk_Pivot!I:I)</f>
        <v>No</v>
      </c>
      <c r="AC195" t="str">
        <f>_xlfn.XLOOKUP(B195,Disk_Pivot!G:G,Disk_Pivot!N:N)</f>
        <v/>
      </c>
    </row>
    <row r="196" spans="6:29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9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Z196">IFERROR(IF(_xlfn.XLOOKUP(B196,Input!J:J,Input!N:S)=0,"",
          _xlfn.XLOOKUP(B196,Input!J:J,Input!N:S)),"")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t="str">
        <f t="shared" si="10"/>
        <v/>
      </c>
      <c r="AB196" t="str">
        <f>_xlfn.XLOOKUP(B:B,Disk_Pivot!G:G,Disk_Pivot!I:I)</f>
        <v>No</v>
      </c>
      <c r="AC196" t="str">
        <f>_xlfn.XLOOKUP(B196,Disk_Pivot!G:G,Disk_Pivot!N:N)</f>
        <v/>
      </c>
    </row>
    <row r="197" spans="6:29">
      <c r="F197" t="str">
        <f>_xlfn.XLOOKUP(H197,Models!B:B,Models!F:F,"")</f>
        <v/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9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Z197">IFERROR(IF(_xlfn.XLOOKUP(B197,Input!J:J,Input!N:S)=0,"",
          _xlfn.XLOOKUP(B197,Input!J:J,Input!N:S)),"")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t="str">
        <f t="shared" si="10"/>
        <v/>
      </c>
      <c r="AB197" t="str">
        <f>_xlfn.XLOOKUP(B:B,Disk_Pivot!G:G,Disk_Pivot!I:I)</f>
        <v>No</v>
      </c>
      <c r="AC197" t="str">
        <f>_xlfn.XLOOKUP(B197,Disk_Pivot!G:G,Disk_Pivot!N:N)</f>
        <v/>
      </c>
    </row>
    <row r="198" spans="6:29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9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Z198">IFERROR(IF(_xlfn.XLOOKUP(B198,Input!J:J,Input!N:S)=0,"",
          _xlfn.XLOOKUP(B198,Input!J:J,Input!N:S)),"")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t="str">
        <f t="shared" si="10"/>
        <v/>
      </c>
      <c r="AB198" t="str">
        <f>_xlfn.XLOOKUP(B:B,Disk_Pivot!G:G,Disk_Pivot!I:I)</f>
        <v>No</v>
      </c>
      <c r="AC198" t="str">
        <f>_xlfn.XLOOKUP(B198,Disk_Pivot!G:G,Disk_Pivot!N:N)</f>
        <v/>
      </c>
    </row>
    <row r="199" spans="6:29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9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Z199">IFERROR(IF(_xlfn.XLOOKUP(B199,Input!J:J,Input!N:S)=0,"",
          _xlfn.XLOOKUP(B199,Input!J:J,Input!N:S)),"")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t="str">
        <f t="shared" si="10"/>
        <v/>
      </c>
      <c r="AB199" t="str">
        <f>_xlfn.XLOOKUP(B:B,Disk_Pivot!G:G,Disk_Pivot!I:I)</f>
        <v>No</v>
      </c>
      <c r="AC199" t="str">
        <f>_xlfn.XLOOKUP(B199,Disk_Pivot!G:G,Disk_Pivot!N:N)</f>
        <v/>
      </c>
    </row>
    <row r="200" spans="6:29">
      <c r="F200" t="str">
        <f>_xlfn.XLOOKUP(H200,Models!B:B,Models!F:F,"")</f>
        <v/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9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Z200">IFERROR(IF(_xlfn.XLOOKUP(B200,Input!J:J,Input!N:S)=0,"",
          _xlfn.XLOOKUP(B200,Input!J:J,Input!N:S)),"")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t="str">
        <f t="shared" si="10"/>
        <v/>
      </c>
      <c r="AB200" t="str">
        <f>_xlfn.XLOOKUP(B:B,Disk_Pivot!G:G,Disk_Pivot!I:I)</f>
        <v>No</v>
      </c>
      <c r="AC200" t="str">
        <f>_xlfn.XLOOKUP(B200,Disk_Pivot!G:G,Disk_Pivot!N:N)</f>
        <v/>
      </c>
    </row>
    <row r="201" spans="6:29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9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Z201">IFERROR(IF(_xlfn.XLOOKUP(B201,Input!J:J,Input!N:S)=0,"",
          _xlfn.XLOOKUP(B201,Input!J:J,Input!N:S)),"")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t="str">
        <f t="shared" si="10"/>
        <v/>
      </c>
      <c r="AB201" t="str">
        <f>_xlfn.XLOOKUP(B:B,Disk_Pivot!G:G,Disk_Pivot!I:I)</f>
        <v>No</v>
      </c>
      <c r="AC201" t="str">
        <f>_xlfn.XLOOKUP(B201,Disk_Pivot!G:G,Disk_Pivot!N:N)</f>
        <v/>
      </c>
    </row>
    <row r="202" spans="6:29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9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Z202">IFERROR(IF(_xlfn.XLOOKUP(B202,Input!J:J,Input!N:S)=0,"",
          _xlfn.XLOOKUP(B202,Input!J:J,Input!N:S)),"")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t="str">
        <f t="shared" si="10"/>
        <v/>
      </c>
      <c r="AB202" t="str">
        <f>_xlfn.XLOOKUP(B:B,Disk_Pivot!G:G,Disk_Pivot!I:I)</f>
        <v>No</v>
      </c>
      <c r="AC202" t="str">
        <f>_xlfn.XLOOKUP(B202,Disk_Pivot!G:G,Disk_Pivot!N:N)</f>
        <v/>
      </c>
    </row>
    <row r="203" spans="6:29">
      <c r="F203" t="str">
        <f>_xlfn.XLOOKUP(H203,Models!B:B,Models!F:F,"")</f>
        <v/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9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Z203">IFERROR(IF(_xlfn.XLOOKUP(B203,Input!J:J,Input!N:S)=0,"",
          _xlfn.XLOOKUP(B203,Input!J:J,Input!N:S)),"")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t="str">
        <f t="shared" si="10"/>
        <v/>
      </c>
      <c r="AB203" t="str">
        <f>_xlfn.XLOOKUP(B:B,Disk_Pivot!G:G,Disk_Pivot!I:I)</f>
        <v>No</v>
      </c>
      <c r="AC203" t="str">
        <f>_xlfn.XLOOKUP(B203,Disk_Pivot!G:G,Disk_Pivot!N:N)</f>
        <v/>
      </c>
    </row>
    <row r="204" spans="6:29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9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Z204">IFERROR(IF(_xlfn.XLOOKUP(B204,Input!J:J,Input!N:S)=0,"",
          _xlfn.XLOOKUP(B204,Input!J:J,Input!N:S)),"")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t="str">
        <f t="shared" si="10"/>
        <v/>
      </c>
      <c r="AB204" t="str">
        <f>_xlfn.XLOOKUP(B:B,Disk_Pivot!G:G,Disk_Pivot!I:I)</f>
        <v>No</v>
      </c>
      <c r="AC204" t="str">
        <f>_xlfn.XLOOKUP(B204,Disk_Pivot!G:G,Disk_Pivot!N:N)</f>
        <v/>
      </c>
    </row>
    <row r="205" spans="6:29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9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Z205">IFERROR(IF(_xlfn.XLOOKUP(B205,Input!J:J,Input!N:S)=0,"",
          _xlfn.XLOOKUP(B205,Input!J:J,Input!N:S)),"")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t="str">
        <f t="shared" si="10"/>
        <v/>
      </c>
      <c r="AB205" t="str">
        <f>_xlfn.XLOOKUP(B:B,Disk_Pivot!G:G,Disk_Pivot!I:I)</f>
        <v>No</v>
      </c>
      <c r="AC205" t="str">
        <f>_xlfn.XLOOKUP(B205,Disk_Pivot!G:G,Disk_Pivot!N:N)</f>
        <v/>
      </c>
    </row>
    <row r="206" spans="6:29">
      <c r="F206" t="str">
        <f>_xlfn.XLOOKUP(H206,Models!B:B,Models!F:F,"")</f>
        <v/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9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Z206">IFERROR(IF(_xlfn.XLOOKUP(B206,Input!J:J,Input!N:S)=0,"",
          _xlfn.XLOOKUP(B206,Input!J:J,Input!N:S)),"")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t="str">
        <f t="shared" si="10"/>
        <v/>
      </c>
      <c r="AB206" t="str">
        <f>_xlfn.XLOOKUP(B:B,Disk_Pivot!G:G,Disk_Pivot!I:I)</f>
        <v>No</v>
      </c>
      <c r="AC206" t="str">
        <f>_xlfn.XLOOKUP(B206,Disk_Pivot!G:G,Disk_Pivot!N:N)</f>
        <v/>
      </c>
    </row>
    <row r="207" spans="6:29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9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Z207">IFERROR(IF(_xlfn.XLOOKUP(B207,Input!J:J,Input!N:S)=0,"",
          _xlfn.XLOOKUP(B207,Input!J:J,Input!N:S)),"")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t="str">
        <f t="shared" si="10"/>
        <v/>
      </c>
      <c r="AB207" t="str">
        <f>_xlfn.XLOOKUP(B:B,Disk_Pivot!G:G,Disk_Pivot!I:I)</f>
        <v>No</v>
      </c>
      <c r="AC207" t="str">
        <f>_xlfn.XLOOKUP(B207,Disk_Pivot!G:G,Disk_Pivot!N:N)</f>
        <v/>
      </c>
    </row>
    <row r="208" spans="6:29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9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Z208">IFERROR(IF(_xlfn.XLOOKUP(B208,Input!J:J,Input!N:S)=0,"",
          _xlfn.XLOOKUP(B208,Input!J:J,Input!N:S)),"")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t="str">
        <f t="shared" si="10"/>
        <v/>
      </c>
      <c r="AB208" t="str">
        <f>_xlfn.XLOOKUP(B:B,Disk_Pivot!G:G,Disk_Pivot!I:I)</f>
        <v>No</v>
      </c>
      <c r="AC208" t="str">
        <f>_xlfn.XLOOKUP(B208,Disk_Pivot!G:G,Disk_Pivot!N:N)</f>
        <v/>
      </c>
    </row>
    <row r="209" spans="6:29">
      <c r="F209" t="str">
        <f>_xlfn.XLOOKUP(H209,Models!B:B,Models!F:F,"")</f>
        <v/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9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Z209">IFERROR(IF(_xlfn.XLOOKUP(B209,Input!J:J,Input!N:S)=0,"",
          _xlfn.XLOOKUP(B209,Input!J:J,Input!N:S)),"")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t="str">
        <f t="shared" si="10"/>
        <v/>
      </c>
      <c r="AB209" t="str">
        <f>_xlfn.XLOOKUP(B:B,Disk_Pivot!G:G,Disk_Pivot!I:I)</f>
        <v>No</v>
      </c>
      <c r="AC209" t="str">
        <f>_xlfn.XLOOKUP(B209,Disk_Pivot!G:G,Disk_Pivot!N:N)</f>
        <v/>
      </c>
    </row>
    <row r="210" spans="6:29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9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Z210">IFERROR(IF(_xlfn.XLOOKUP(B210,Input!J:J,Input!N:S)=0,"",
          _xlfn.XLOOKUP(B210,Input!J:J,Input!N:S)),"")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t="str">
        <f t="shared" si="10"/>
        <v/>
      </c>
      <c r="AB210" t="str">
        <f>_xlfn.XLOOKUP(B:B,Disk_Pivot!G:G,Disk_Pivot!I:I)</f>
        <v>No</v>
      </c>
      <c r="AC210" t="str">
        <f>_xlfn.XLOOKUP(B210,Disk_Pivot!G:G,Disk_Pivot!N:N)</f>
        <v/>
      </c>
    </row>
    <row r="211" spans="6:29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9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Z211">IFERROR(IF(_xlfn.XLOOKUP(B211,Input!J:J,Input!N:S)=0,"",
          _xlfn.XLOOKUP(B211,Input!J:J,Input!N:S)),"")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t="str">
        <f t="shared" si="10"/>
        <v/>
      </c>
      <c r="AB211" t="str">
        <f>_xlfn.XLOOKUP(B:B,Disk_Pivot!G:G,Disk_Pivot!I:I)</f>
        <v>No</v>
      </c>
      <c r="AC211" t="str">
        <f>_xlfn.XLOOKUP(B211,Disk_Pivot!G:G,Disk_Pivot!N:N)</f>
        <v/>
      </c>
    </row>
    <row r="212" spans="6:29">
      <c r="F212" t="str">
        <f>_xlfn.XLOOKUP(H212,Models!B:B,Models!F:F,"")</f>
        <v/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9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Z212">IFERROR(IF(_xlfn.XLOOKUP(B212,Input!J:J,Input!N:S)=0,"",
          _xlfn.XLOOKUP(B212,Input!J:J,Input!N:S)),"")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t="str">
        <f t="shared" si="10"/>
        <v/>
      </c>
      <c r="AB212" t="str">
        <f>_xlfn.XLOOKUP(B:B,Disk_Pivot!G:G,Disk_Pivot!I:I)</f>
        <v>No</v>
      </c>
      <c r="AC212" t="str">
        <f>_xlfn.XLOOKUP(B212,Disk_Pivot!G:G,Disk_Pivot!N:N)</f>
        <v/>
      </c>
    </row>
    <row r="213" spans="6:29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9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Z213">IFERROR(IF(_xlfn.XLOOKUP(B213,Input!J:J,Input!N:S)=0,"",
          _xlfn.XLOOKUP(B213,Input!J:J,Input!N:S)),"")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t="str">
        <f t="shared" si="10"/>
        <v/>
      </c>
      <c r="AB213" t="str">
        <f>_xlfn.XLOOKUP(B:B,Disk_Pivot!G:G,Disk_Pivot!I:I)</f>
        <v>No</v>
      </c>
      <c r="AC213" t="str">
        <f>_xlfn.XLOOKUP(B213,Disk_Pivot!G:G,Disk_Pivot!N:N)</f>
        <v/>
      </c>
    </row>
    <row r="214" spans="6:29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9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Z214">IFERROR(IF(_xlfn.XLOOKUP(B214,Input!J:J,Input!N:S)=0,"",
          _xlfn.XLOOKUP(B214,Input!J:J,Input!N:S)),"")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t="str">
        <f t="shared" si="10"/>
        <v/>
      </c>
      <c r="AB214" t="str">
        <f>_xlfn.XLOOKUP(B:B,Disk_Pivot!G:G,Disk_Pivot!I:I)</f>
        <v>No</v>
      </c>
      <c r="AC214" t="str">
        <f>_xlfn.XLOOKUP(B214,Disk_Pivot!G:G,Disk_Pivot!N:N)</f>
        <v/>
      </c>
    </row>
    <row r="215" spans="6:29">
      <c r="F215" t="str">
        <f>_xlfn.XLOOKUP(H215,Models!B:B,Models!F:F,"")</f>
        <v/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9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Z215">IFERROR(IF(_xlfn.XLOOKUP(B215,Input!J:J,Input!N:S)=0,"",
          _xlfn.XLOOKUP(B215,Input!J:J,Input!N:S)),"")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t="str">
        <f t="shared" si="10"/>
        <v/>
      </c>
      <c r="AB215" t="str">
        <f>_xlfn.XLOOKUP(B:B,Disk_Pivot!G:G,Disk_Pivot!I:I)</f>
        <v>No</v>
      </c>
      <c r="AC215" t="str">
        <f>_xlfn.XLOOKUP(B215,Disk_Pivot!G:G,Disk_Pivot!N:N)</f>
        <v/>
      </c>
    </row>
    <row r="216" spans="6:29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9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Z216">IFERROR(IF(_xlfn.XLOOKUP(B216,Input!J:J,Input!N:S)=0,"",
          _xlfn.XLOOKUP(B216,Input!J:J,Input!N:S)),"")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t="str">
        <f t="shared" si="10"/>
        <v/>
      </c>
      <c r="AB216" t="str">
        <f>_xlfn.XLOOKUP(B:B,Disk_Pivot!G:G,Disk_Pivot!I:I)</f>
        <v>No</v>
      </c>
      <c r="AC216" t="str">
        <f>_xlfn.XLOOKUP(B216,Disk_Pivot!G:G,Disk_Pivot!N:N)</f>
        <v/>
      </c>
    </row>
    <row r="217" spans="6:29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9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Z217">IFERROR(IF(_xlfn.XLOOKUP(B217,Input!J:J,Input!N:S)=0,"",
          _xlfn.XLOOKUP(B217,Input!J:J,Input!N:S)),"")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t="str">
        <f t="shared" si="10"/>
        <v/>
      </c>
      <c r="AB217" t="str">
        <f>_xlfn.XLOOKUP(B:B,Disk_Pivot!G:G,Disk_Pivot!I:I)</f>
        <v>No</v>
      </c>
      <c r="AC217" t="str">
        <f>_xlfn.XLOOKUP(B217,Disk_Pivot!G:G,Disk_Pivot!N:N)</f>
        <v/>
      </c>
    </row>
    <row r="218" spans="6:29">
      <c r="F218" t="str">
        <f>_xlfn.XLOOKUP(H218,Models!B:B,Models!F:F,"")</f>
        <v/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9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Z218">IFERROR(IF(_xlfn.XLOOKUP(B218,Input!J:J,Input!N:S)=0,"",
          _xlfn.XLOOKUP(B218,Input!J:J,Input!N:S)),"")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t="str">
        <f t="shared" si="10"/>
        <v/>
      </c>
      <c r="AB218" t="str">
        <f>_xlfn.XLOOKUP(B:B,Disk_Pivot!G:G,Disk_Pivot!I:I)</f>
        <v>No</v>
      </c>
      <c r="AC218" t="str">
        <f>_xlfn.XLOOKUP(B218,Disk_Pivot!G:G,Disk_Pivot!N:N)</f>
        <v/>
      </c>
    </row>
    <row r="219" spans="6:29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9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Z219">IFERROR(IF(_xlfn.XLOOKUP(B219,Input!J:J,Input!N:S)=0,"",
          _xlfn.XLOOKUP(B219,Input!J:J,Input!N:S)),"")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t="str">
        <f t="shared" si="10"/>
        <v/>
      </c>
      <c r="AB219" t="str">
        <f>_xlfn.XLOOKUP(B:B,Disk_Pivot!G:G,Disk_Pivot!I:I)</f>
        <v>No</v>
      </c>
      <c r="AC219" t="str">
        <f>_xlfn.XLOOKUP(B219,Disk_Pivot!G:G,Disk_Pivot!N:N)</f>
        <v/>
      </c>
    </row>
    <row r="220" spans="6:29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9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Z220">IFERROR(IF(_xlfn.XLOOKUP(B220,Input!J:J,Input!N:S)=0,"",
          _xlfn.XLOOKUP(B220,Input!J:J,Input!N:S)),"")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t="str">
        <f t="shared" si="10"/>
        <v/>
      </c>
      <c r="AB220" t="str">
        <f>_xlfn.XLOOKUP(B:B,Disk_Pivot!G:G,Disk_Pivot!I:I)</f>
        <v>No</v>
      </c>
      <c r="AC220" t="str">
        <f>_xlfn.XLOOKUP(B220,Disk_Pivot!G:G,Disk_Pivot!N:N)</f>
        <v/>
      </c>
    </row>
    <row r="221" spans="6:29">
      <c r="F221" t="str">
        <f>_xlfn.XLOOKUP(H221,Models!B:B,Models!F:F,"")</f>
        <v/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9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Z221">IFERROR(IF(_xlfn.XLOOKUP(B221,Input!J:J,Input!N:S)=0,"",
          _xlfn.XLOOKUP(B221,Input!J:J,Input!N:S)),"")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t="str">
        <f t="shared" si="10"/>
        <v/>
      </c>
      <c r="AB221" t="str">
        <f>_xlfn.XLOOKUP(B:B,Disk_Pivot!G:G,Disk_Pivot!I:I)</f>
        <v>No</v>
      </c>
      <c r="AC221" t="str">
        <f>_xlfn.XLOOKUP(B221,Disk_Pivot!G:G,Disk_Pivot!N:N)</f>
        <v/>
      </c>
    </row>
    <row r="222" spans="6:29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9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Z222">IFERROR(IF(_xlfn.XLOOKUP(B222,Input!J:J,Input!N:S)=0,"",
          _xlfn.XLOOKUP(B222,Input!J:J,Input!N:S)),"")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t="str">
        <f t="shared" si="10"/>
        <v/>
      </c>
      <c r="AB222" t="str">
        <f>_xlfn.XLOOKUP(B:B,Disk_Pivot!G:G,Disk_Pivot!I:I)</f>
        <v>No</v>
      </c>
      <c r="AC222" t="str">
        <f>_xlfn.XLOOKUP(B222,Disk_Pivot!G:G,Disk_Pivot!N:N)</f>
        <v/>
      </c>
    </row>
    <row r="223" spans="6:29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9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Z223">IFERROR(IF(_xlfn.XLOOKUP(B223,Input!J:J,Input!N:S)=0,"",
          _xlfn.XLOOKUP(B223,Input!J:J,Input!N:S)),"")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t="str">
        <f t="shared" si="10"/>
        <v/>
      </c>
      <c r="AB223" t="str">
        <f>_xlfn.XLOOKUP(B:B,Disk_Pivot!G:G,Disk_Pivot!I:I)</f>
        <v>No</v>
      </c>
      <c r="AC223" t="str">
        <f>_xlfn.XLOOKUP(B223,Disk_Pivot!G:G,Disk_Pivot!N:N)</f>
        <v/>
      </c>
    </row>
    <row r="224" spans="6:29">
      <c r="F224" t="str">
        <f>_xlfn.XLOOKUP(H224,Models!B:B,Models!F:F,"")</f>
        <v/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9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Z224">IFERROR(IF(_xlfn.XLOOKUP(B224,Input!J:J,Input!N:S)=0,"",
          _xlfn.XLOOKUP(B224,Input!J:J,Input!N:S)),"")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t="str">
        <f t="shared" si="10"/>
        <v/>
      </c>
      <c r="AB224" t="str">
        <f>_xlfn.XLOOKUP(B:B,Disk_Pivot!G:G,Disk_Pivot!I:I)</f>
        <v>No</v>
      </c>
      <c r="AC224" t="str">
        <f>_xlfn.XLOOKUP(B224,Disk_Pivot!G:G,Disk_Pivot!N:N)</f>
        <v/>
      </c>
    </row>
    <row r="225" spans="6:29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9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Z225">IFERROR(IF(_xlfn.XLOOKUP(B225,Input!J:J,Input!N:S)=0,"",
          _xlfn.XLOOKUP(B225,Input!J:J,Input!N:S)),"")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t="str">
        <f t="shared" si="10"/>
        <v/>
      </c>
      <c r="AB225" t="str">
        <f>_xlfn.XLOOKUP(B:B,Disk_Pivot!G:G,Disk_Pivot!I:I)</f>
        <v>No</v>
      </c>
      <c r="AC225" t="str">
        <f>_xlfn.XLOOKUP(B225,Disk_Pivot!G:G,Disk_Pivot!N:N)</f>
        <v/>
      </c>
    </row>
    <row r="226" spans="6:29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9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Z226">IFERROR(IF(_xlfn.XLOOKUP(B226,Input!J:J,Input!N:S)=0,"",
          _xlfn.XLOOKUP(B226,Input!J:J,Input!N:S)),"")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t="str">
        <f t="shared" si="10"/>
        <v/>
      </c>
      <c r="AB226" t="str">
        <f>_xlfn.XLOOKUP(B:B,Disk_Pivot!G:G,Disk_Pivot!I:I)</f>
        <v>No</v>
      </c>
      <c r="AC226" t="str">
        <f>_xlfn.XLOOKUP(B226,Disk_Pivot!G:G,Disk_Pivot!N:N)</f>
        <v/>
      </c>
    </row>
    <row r="227" spans="6:29">
      <c r="F227" t="str">
        <f>_xlfn.XLOOKUP(H227,Models!B:B,Models!F:F,"")</f>
        <v/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9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Z227">IFERROR(IF(_xlfn.XLOOKUP(B227,Input!J:J,Input!N:S)=0,"",
          _xlfn.XLOOKUP(B227,Input!J:J,Input!N:S)),"")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t="str">
        <f t="shared" si="10"/>
        <v/>
      </c>
      <c r="AB227" t="str">
        <f>_xlfn.XLOOKUP(B:B,Disk_Pivot!G:G,Disk_Pivot!I:I)</f>
        <v>No</v>
      </c>
      <c r="AC227" t="str">
        <f>_xlfn.XLOOKUP(B227,Disk_Pivot!G:G,Disk_Pivot!N:N)</f>
        <v/>
      </c>
    </row>
    <row r="228" spans="6:29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9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Z228">IFERROR(IF(_xlfn.XLOOKUP(B228,Input!J:J,Input!N:S)=0,"",
          _xlfn.XLOOKUP(B228,Input!J:J,Input!N:S)),"")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t="str">
        <f t="shared" si="10"/>
        <v/>
      </c>
      <c r="AB228" t="str">
        <f>_xlfn.XLOOKUP(B:B,Disk_Pivot!G:G,Disk_Pivot!I:I)</f>
        <v>No</v>
      </c>
      <c r="AC228" t="str">
        <f>_xlfn.XLOOKUP(B228,Disk_Pivot!G:G,Disk_Pivot!N:N)</f>
        <v/>
      </c>
    </row>
    <row r="229" spans="6:29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9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Z229">IFERROR(IF(_xlfn.XLOOKUP(B229,Input!J:J,Input!N:S)=0,"",
          _xlfn.XLOOKUP(B229,Input!J:J,Input!N:S)),"")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t="str">
        <f t="shared" si="10"/>
        <v/>
      </c>
      <c r="AB229" t="str">
        <f>_xlfn.XLOOKUP(B:B,Disk_Pivot!G:G,Disk_Pivot!I:I)</f>
        <v>No</v>
      </c>
      <c r="AC229" t="str">
        <f>_xlfn.XLOOKUP(B229,Disk_Pivot!G:G,Disk_Pivot!N:N)</f>
        <v/>
      </c>
    </row>
    <row r="230" spans="6:29">
      <c r="F230" t="str">
        <f>_xlfn.XLOOKUP(H230,Models!B:B,Models!F:F,"")</f>
        <v/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9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Z230">IFERROR(IF(_xlfn.XLOOKUP(B230,Input!J:J,Input!N:S)=0,"",
          _xlfn.XLOOKUP(B230,Input!J:J,Input!N:S)),"")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t="str">
        <f t="shared" si="10"/>
        <v/>
      </c>
      <c r="AB230" t="str">
        <f>_xlfn.XLOOKUP(B:B,Disk_Pivot!G:G,Disk_Pivot!I:I)</f>
        <v>No</v>
      </c>
      <c r="AC230" t="str">
        <f>_xlfn.XLOOKUP(B230,Disk_Pivot!G:G,Disk_Pivot!N:N)</f>
        <v/>
      </c>
    </row>
    <row r="231" spans="6:29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9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Z231">IFERROR(IF(_xlfn.XLOOKUP(B231,Input!J:J,Input!N:S)=0,"",
          _xlfn.XLOOKUP(B231,Input!J:J,Input!N:S)),"")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t="str">
        <f t="shared" si="10"/>
        <v/>
      </c>
      <c r="AB231" t="str">
        <f>_xlfn.XLOOKUP(B:B,Disk_Pivot!G:G,Disk_Pivot!I:I)</f>
        <v>No</v>
      </c>
      <c r="AC231" t="str">
        <f>_xlfn.XLOOKUP(B231,Disk_Pivot!G:G,Disk_Pivot!N:N)</f>
        <v/>
      </c>
    </row>
    <row r="232" spans="6:29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9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Z232">IFERROR(IF(_xlfn.XLOOKUP(B232,Input!J:J,Input!N:S)=0,"",
          _xlfn.XLOOKUP(B232,Input!J:J,Input!N:S)),"")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t="str">
        <f t="shared" si="10"/>
        <v/>
      </c>
      <c r="AB232" t="str">
        <f>_xlfn.XLOOKUP(B:B,Disk_Pivot!G:G,Disk_Pivot!I:I)</f>
        <v>No</v>
      </c>
      <c r="AC232" t="str">
        <f>_xlfn.XLOOKUP(B232,Disk_Pivot!G:G,Disk_Pivot!N:N)</f>
        <v/>
      </c>
    </row>
    <row r="233" spans="6:29">
      <c r="F233" t="str">
        <f>_xlfn.XLOOKUP(H233,Models!B:B,Models!F:F,"")</f>
        <v/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9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Z233">IFERROR(IF(_xlfn.XLOOKUP(B233,Input!J:J,Input!N:S)=0,"",
          _xlfn.XLOOKUP(B233,Input!J:J,Input!N:S)),"")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t="str">
        <f t="shared" si="10"/>
        <v/>
      </c>
      <c r="AB233" t="str">
        <f>_xlfn.XLOOKUP(B:B,Disk_Pivot!G:G,Disk_Pivot!I:I)</f>
        <v>No</v>
      </c>
      <c r="AC233" t="str">
        <f>_xlfn.XLOOKUP(B233,Disk_Pivot!G:G,Disk_Pivot!N:N)</f>
        <v/>
      </c>
    </row>
    <row r="234" spans="6:29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9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Z234">IFERROR(IF(_xlfn.XLOOKUP(B234,Input!J:J,Input!N:S)=0,"",
          _xlfn.XLOOKUP(B234,Input!J:J,Input!N:S)),"")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t="str">
        <f t="shared" si="10"/>
        <v/>
      </c>
      <c r="AB234" t="str">
        <f>_xlfn.XLOOKUP(B:B,Disk_Pivot!G:G,Disk_Pivot!I:I)</f>
        <v>No</v>
      </c>
      <c r="AC234" t="str">
        <f>_xlfn.XLOOKUP(B234,Disk_Pivot!G:G,Disk_Pivot!N:N)</f>
        <v/>
      </c>
    </row>
    <row r="235" spans="6:29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9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Z235">IFERROR(IF(_xlfn.XLOOKUP(B235,Input!J:J,Input!N:S)=0,"",
          _xlfn.XLOOKUP(B235,Input!J:J,Input!N:S)),"")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t="str">
        <f t="shared" si="10"/>
        <v/>
      </c>
      <c r="AB235" t="str">
        <f>_xlfn.XLOOKUP(B:B,Disk_Pivot!G:G,Disk_Pivot!I:I)</f>
        <v>No</v>
      </c>
      <c r="AC235" t="str">
        <f>_xlfn.XLOOKUP(B235,Disk_Pivot!G:G,Disk_Pivot!N:N)</f>
        <v/>
      </c>
    </row>
    <row r="236" spans="6:29">
      <c r="F236" t="str">
        <f>_xlfn.XLOOKUP(H236,Models!B:B,Models!F:F,"")</f>
        <v/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9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Z236">IFERROR(IF(_xlfn.XLOOKUP(B236,Input!J:J,Input!N:S)=0,"",
          _xlfn.XLOOKUP(B236,Input!J:J,Input!N:S)),"")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t="str">
        <f t="shared" si="10"/>
        <v/>
      </c>
      <c r="AB236" t="str">
        <f>_xlfn.XLOOKUP(B:B,Disk_Pivot!G:G,Disk_Pivot!I:I)</f>
        <v>No</v>
      </c>
      <c r="AC236" t="str">
        <f>_xlfn.XLOOKUP(B236,Disk_Pivot!G:G,Disk_Pivot!N:N)</f>
        <v/>
      </c>
    </row>
    <row r="237" spans="6:29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9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Z237">IFERROR(IF(_xlfn.XLOOKUP(B237,Input!J:J,Input!N:S)=0,"",
          _xlfn.XLOOKUP(B237,Input!J:J,Input!N:S)),"")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t="str">
        <f t="shared" si="10"/>
        <v/>
      </c>
      <c r="AB237" t="str">
        <f>_xlfn.XLOOKUP(B:B,Disk_Pivot!G:G,Disk_Pivot!I:I)</f>
        <v>No</v>
      </c>
      <c r="AC237" t="str">
        <f>_xlfn.XLOOKUP(B237,Disk_Pivot!G:G,Disk_Pivot!N:N)</f>
        <v/>
      </c>
    </row>
    <row r="238" spans="6:29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9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Z238">IFERROR(IF(_xlfn.XLOOKUP(B238,Input!J:J,Input!N:S)=0,"",
          _xlfn.XLOOKUP(B238,Input!J:J,Input!N:S)),"")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t="str">
        <f t="shared" si="10"/>
        <v/>
      </c>
      <c r="AB238" t="str">
        <f>_xlfn.XLOOKUP(B:B,Disk_Pivot!G:G,Disk_Pivot!I:I)</f>
        <v>No</v>
      </c>
      <c r="AC238" t="str">
        <f>_xlfn.XLOOKUP(B238,Disk_Pivot!G:G,Disk_Pivot!N:N)</f>
        <v/>
      </c>
    </row>
    <row r="239" spans="6:29">
      <c r="F239" t="str">
        <f>_xlfn.XLOOKUP(H239,Models!B:B,Models!F:F,"")</f>
        <v/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9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Z239">IFERROR(IF(_xlfn.XLOOKUP(B239,Input!J:J,Input!N:S)=0,"",
          _xlfn.XLOOKUP(B239,Input!J:J,Input!N:S)),"")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t="str">
        <f t="shared" si="10"/>
        <v/>
      </c>
      <c r="AB239" t="str">
        <f>_xlfn.XLOOKUP(B:B,Disk_Pivot!G:G,Disk_Pivot!I:I)</f>
        <v>No</v>
      </c>
      <c r="AC239" t="str">
        <f>_xlfn.XLOOKUP(B239,Disk_Pivot!G:G,Disk_Pivot!N:N)</f>
        <v/>
      </c>
    </row>
    <row r="240" spans="6:29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9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Z240">IFERROR(IF(_xlfn.XLOOKUP(B240,Input!J:J,Input!N:S)=0,"",
          _xlfn.XLOOKUP(B240,Input!J:J,Input!N:S)),"")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t="str">
        <f t="shared" si="10"/>
        <v/>
      </c>
      <c r="AB240" t="str">
        <f>_xlfn.XLOOKUP(B:B,Disk_Pivot!G:G,Disk_Pivot!I:I)</f>
        <v>No</v>
      </c>
      <c r="AC240" t="str">
        <f>_xlfn.XLOOKUP(B240,Disk_Pivot!G:G,Disk_Pivot!N:N)</f>
        <v/>
      </c>
    </row>
    <row r="241" spans="6:29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9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Z241">IFERROR(IF(_xlfn.XLOOKUP(B241,Input!J:J,Input!N:S)=0,"",
          _xlfn.XLOOKUP(B241,Input!J:J,Input!N:S)),"")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t="str">
        <f t="shared" si="10"/>
        <v/>
      </c>
      <c r="AB241" t="str">
        <f>_xlfn.XLOOKUP(B:B,Disk_Pivot!G:G,Disk_Pivot!I:I)</f>
        <v>No</v>
      </c>
      <c r="AC241" t="str">
        <f>_xlfn.XLOOKUP(B241,Disk_Pivot!G:G,Disk_Pivot!N:N)</f>
        <v/>
      </c>
    </row>
    <row r="242" spans="6:29">
      <c r="F242" t="str">
        <f>_xlfn.XLOOKUP(H242,Models!B:B,Models!F:F,"")</f>
        <v/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9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Z242">IFERROR(IF(_xlfn.XLOOKUP(B242,Input!J:J,Input!N:S)=0,"",
          _xlfn.XLOOKUP(B242,Input!J:J,Input!N:S)),"")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t="str">
        <f t="shared" si="10"/>
        <v/>
      </c>
      <c r="AB242" t="str">
        <f>_xlfn.XLOOKUP(B:B,Disk_Pivot!G:G,Disk_Pivot!I:I)</f>
        <v>No</v>
      </c>
      <c r="AC242" t="str">
        <f>_xlfn.XLOOKUP(B242,Disk_Pivot!G:G,Disk_Pivot!N:N)</f>
        <v/>
      </c>
    </row>
    <row r="243" spans="6:29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9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Z243">IFERROR(IF(_xlfn.XLOOKUP(B243,Input!J:J,Input!N:S)=0,"",
          _xlfn.XLOOKUP(B243,Input!J:J,Input!N:S)),"")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t="str">
        <f t="shared" si="10"/>
        <v/>
      </c>
      <c r="AB243" t="str">
        <f>_xlfn.XLOOKUP(B:B,Disk_Pivot!G:G,Disk_Pivot!I:I)</f>
        <v>No</v>
      </c>
      <c r="AC243" t="str">
        <f>_xlfn.XLOOKUP(B243,Disk_Pivot!G:G,Disk_Pivot!N:N)</f>
        <v/>
      </c>
    </row>
    <row r="244" spans="6:29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9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Z244">IFERROR(IF(_xlfn.XLOOKUP(B244,Input!J:J,Input!N:S)=0,"",
          _xlfn.XLOOKUP(B244,Input!J:J,Input!N:S)),"")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t="str">
        <f t="shared" si="10"/>
        <v/>
      </c>
      <c r="AB244" t="str">
        <f>_xlfn.XLOOKUP(B:B,Disk_Pivot!G:G,Disk_Pivot!I:I)</f>
        <v>No</v>
      </c>
      <c r="AC244" t="str">
        <f>_xlfn.XLOOKUP(B244,Disk_Pivot!G:G,Disk_Pivot!N:N)</f>
        <v/>
      </c>
    </row>
    <row r="245" spans="6:29">
      <c r="F245" t="str">
        <f>_xlfn.XLOOKUP(H245,Models!B:B,Models!F:F,"")</f>
        <v/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9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Z245">IFERROR(IF(_xlfn.XLOOKUP(B245,Input!J:J,Input!N:S)=0,"",
          _xlfn.XLOOKUP(B245,Input!J:J,Input!N:S)),"")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t="str">
        <f t="shared" si="10"/>
        <v/>
      </c>
      <c r="AB245" t="str">
        <f>_xlfn.XLOOKUP(B:B,Disk_Pivot!G:G,Disk_Pivot!I:I)</f>
        <v>No</v>
      </c>
      <c r="AC245" t="str">
        <f>_xlfn.XLOOKUP(B245,Disk_Pivot!G:G,Disk_Pivot!N:N)</f>
        <v/>
      </c>
    </row>
    <row r="246" spans="6:29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9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Z246">IFERROR(IF(_xlfn.XLOOKUP(B246,Input!J:J,Input!N:S)=0,"",
          _xlfn.XLOOKUP(B246,Input!J:J,Input!N:S)),"")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t="str">
        <f t="shared" si="10"/>
        <v/>
      </c>
      <c r="AB246" t="str">
        <f>_xlfn.XLOOKUP(B:B,Disk_Pivot!G:G,Disk_Pivot!I:I)</f>
        <v>No</v>
      </c>
      <c r="AC246" t="str">
        <f>_xlfn.XLOOKUP(B246,Disk_Pivot!G:G,Disk_Pivot!N:N)</f>
        <v/>
      </c>
    </row>
    <row r="247" spans="6:29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9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Z247">IFERROR(IF(_xlfn.XLOOKUP(B247,Input!J:J,Input!N:S)=0,"",
          _xlfn.XLOOKUP(B247,Input!J:J,Input!N:S)),"")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t="str">
        <f t="shared" si="10"/>
        <v/>
      </c>
      <c r="AB247" t="str">
        <f>_xlfn.XLOOKUP(B:B,Disk_Pivot!G:G,Disk_Pivot!I:I)</f>
        <v>No</v>
      </c>
      <c r="AC247" t="str">
        <f>_xlfn.XLOOKUP(B247,Disk_Pivot!G:G,Disk_Pivot!N:N)</f>
        <v/>
      </c>
    </row>
    <row r="248" spans="6:29">
      <c r="F248">
        <f>_xlfn.XLOOKUP(H248,Models!B:B,Models!F:F,"")</f>
        <v>0</v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9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Z248">IFERROR(IF(_xlfn.XLOOKUP(B248,Input!J:J,Input!N:S)=0,"",
          _xlfn.XLOOKUP(B248,Input!J:J,Input!N:S)),"")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t="str">
        <f t="shared" si="10"/>
        <v/>
      </c>
      <c r="AB248" t="str">
        <f>_xlfn.XLOOKUP(B:B,Disk_Pivot!G:G,Disk_Pivot!I:I)</f>
        <v>No</v>
      </c>
      <c r="AC248" t="str">
        <f>_xlfn.XLOOKUP(B248,Disk_Pivot!G:G,Disk_Pivot!N:N)</f>
        <v/>
      </c>
    </row>
    <row r="249" spans="6:29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9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Z249">IFERROR(IF(_xlfn.XLOOKUP(B249,Input!J:J,Input!N:S)=0,"",
          _xlfn.XLOOKUP(B249,Input!J:J,Input!N:S)),"")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t="str">
        <f t="shared" si="10"/>
        <v/>
      </c>
      <c r="AB249" t="str">
        <f>_xlfn.XLOOKUP(B:B,Disk_Pivot!G:G,Disk_Pivot!I:I)</f>
        <v>No</v>
      </c>
      <c r="AC249" t="str">
        <f>_xlfn.XLOOKUP(B249,Disk_Pivot!G:G,Disk_Pivot!N:N)</f>
        <v/>
      </c>
    </row>
    <row r="250" spans="6:29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9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Z250">IFERROR(IF(_xlfn.XLOOKUP(B250,Input!J:J,Input!N:S)=0,"",
          _xlfn.XLOOKUP(B250,Input!J:J,Input!N:S)),"")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t="str">
        <f t="shared" si="10"/>
        <v/>
      </c>
      <c r="AB250" t="str">
        <f>_xlfn.XLOOKUP(B:B,Disk_Pivot!G:G,Disk_Pivot!I:I)</f>
        <v>No</v>
      </c>
      <c r="AC250" t="str">
        <f>_xlfn.XLOOKUP(B250,Disk_Pivot!G:G,Disk_Pivot!N:N)</f>
        <v/>
      </c>
    </row>
    <row r="251" spans="6:29">
      <c r="F251">
        <f>_xlfn.XLOOKUP(H251,Models!B:B,Models!F:F,"")</f>
        <v>0</v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9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Z251">IFERROR(IF(_xlfn.XLOOKUP(B252,Input!J:J,Input!N:S)=0,"",
          _xlfn.XLOOKUP(B252,Input!J:J,Input!N:S)),"")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t="str">
        <f t="shared" si="10"/>
        <v/>
      </c>
      <c r="AB251" t="str">
        <f>_xlfn.XLOOKUP(B:B,Disk_Pivot!G:G,Disk_Pivot!I:I)</f>
        <v>No</v>
      </c>
      <c r="AC251" t="str">
        <f>_xlfn.XLOOKUP(B251,Disk_Pivot!G:G,Disk_Pivot!N:N)</f>
        <v/>
      </c>
    </row>
    <row r="252" spans="6:29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9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Z252">IFERROR(IF(_xlfn.XLOOKUP(B253,Input!J:J,Input!N:S)=0,"",
          _xlfn.XLOOKUP(B253,Input!J:J,Input!N:S)),"")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t="str">
        <f t="shared" si="10"/>
        <v/>
      </c>
      <c r="AB252" t="str">
        <f>_xlfn.XLOOKUP(B:B,Disk_Pivot!G:G,Disk_Pivot!I:I)</f>
        <v>No</v>
      </c>
      <c r="AC252" t="str">
        <f>_xlfn.XLOOKUP(B252,Disk_Pivot!G:G,Disk_Pivot!N:N)</f>
        <v/>
      </c>
    </row>
    <row r="253" spans="6:29">
      <c r="F253" t="str">
        <f>_xlfn.XLOOKUP(H253,Models!B:B,Models!F:F,"")</f>
        <v/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9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A253" t="str">
        <f t="shared" si="10"/>
        <v/>
      </c>
    </row>
    <row r="254" spans="6:29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9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A254" t="str">
        <f t="shared" si="10"/>
        <v/>
      </c>
    </row>
    <row r="255" spans="6:29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A255" t="str">
        <f t="shared" si="10"/>
        <v/>
      </c>
    </row>
    <row r="256" spans="6:29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A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104"/>
  <sheetViews>
    <sheetView workbookViewId="0">
      <selection activeCell="G53" sqref="G53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65</v>
      </c>
      <c r="B1" s="12" t="s">
        <v>322</v>
      </c>
      <c r="C1" s="12" t="s">
        <v>316</v>
      </c>
      <c r="D1" s="12" t="s">
        <v>317</v>
      </c>
      <c r="E1" s="12" t="s">
        <v>318</v>
      </c>
      <c r="F1" s="12" t="s">
        <v>319</v>
      </c>
      <c r="G1" s="12" t="s">
        <v>320</v>
      </c>
      <c r="H1" s="12" t="s">
        <v>321</v>
      </c>
      <c r="I1" s="1" t="s">
        <v>9</v>
      </c>
    </row>
    <row r="2" spans="1:9" ht="15.75" thickTop="1">
      <c r="A2">
        <f>CSV!B2</f>
        <v>0</v>
      </c>
      <c r="B2" s="13" t="e">
        <f>INDEX(Input!$D$2:$AD$500,
       MATCH(CPU_Formula!A2, Input!$J$2:$J$500, 0),
       MATCH("CPU model", Input!$D$1:$AD$1, 0))</f>
        <v>#N/A</v>
      </c>
      <c r="C2" s="13" t="str">
        <f t="shared" ref="C2:C65" si="0">IFERROR(_xlfn.TEXTAFTER(B2,"Core(TM) "), "")</f>
        <v/>
      </c>
      <c r="D2" s="13" t="str">
        <f t="shared" ref="D2:D65" si="1">IF(ISNUMBER(SEARCH("Ryzen", B2)), _xlfn.TEXTAFTER(B2, "AMD"), "")</f>
        <v/>
      </c>
      <c r="E2" s="13" t="str">
        <f t="shared" ref="E2:E65" si="2">IF(ISNUMBER(SEARCH("Ultra", B2)), "Ultra"&amp;_xlfn.TEXTAFTER(B2, "Ultra"), "")</f>
        <v/>
      </c>
      <c r="F2" s="13" t="str">
        <f t="shared" ref="F2:F65" si="3">IF(C2&lt;&gt;"", TRIM(_xlfn.TEXTBEFORE(C2," ",,1,1)), "")</f>
        <v/>
      </c>
      <c r="G2" s="13" t="str">
        <f t="shared" ref="G2:G65" si="4">IFERROR(_xlfn.TEXTBEFORE(D2,"w/"),"")</f>
        <v/>
      </c>
      <c r="H2" s="13" t="str">
        <f t="shared" ref="H2:H65" si="5">E2</f>
        <v/>
      </c>
      <c r="I2" t="str">
        <f t="shared" ref="I2:I65" si="6">IF(H2&lt;&gt;"",H2,IF(G2&lt;&gt;"",G2,F2))</f>
        <v/>
      </c>
    </row>
    <row r="3" spans="1:9">
      <c r="A3">
        <f>CSV!B3</f>
        <v>0</v>
      </c>
      <c r="B3" s="13" t="e">
        <f>INDEX(Input!$D$2:$AD$500,
       MATCH(CPU_Formula!A3, Input!$J$2:$J$500, 0),
       MATCH("CPU model", Input!$D$1:$AD$1, 0))</f>
        <v>#N/A</v>
      </c>
      <c r="C3" s="13" t="str">
        <f t="shared" si="0"/>
        <v/>
      </c>
      <c r="D3" s="13" t="str">
        <f t="shared" si="1"/>
        <v/>
      </c>
      <c r="E3" s="13" t="str">
        <f t="shared" si="2"/>
        <v/>
      </c>
      <c r="F3" s="13" t="str">
        <f t="shared" si="3"/>
        <v/>
      </c>
      <c r="G3" s="13" t="str">
        <f t="shared" si="4"/>
        <v/>
      </c>
      <c r="H3" s="13" t="str">
        <f t="shared" si="5"/>
        <v/>
      </c>
      <c r="I3" t="str">
        <f t="shared" si="6"/>
        <v/>
      </c>
    </row>
    <row r="4" spans="1:9">
      <c r="A4">
        <f>CSV!B4</f>
        <v>0</v>
      </c>
      <c r="B4" s="13" t="e">
        <f>INDEX(Input!$D$2:$AD$500,
       MATCH(CPU_Formula!A4, Input!$J$2:$J$500, 0),
       MATCH("CPU model", Input!$D$1:$AD$1, 0))</f>
        <v>#N/A</v>
      </c>
      <c r="C4" s="13" t="str">
        <f t="shared" si="0"/>
        <v/>
      </c>
      <c r="D4" s="13" t="str">
        <f t="shared" si="1"/>
        <v/>
      </c>
      <c r="E4" s="13" t="str">
        <f t="shared" si="2"/>
        <v/>
      </c>
      <c r="F4" s="13" t="str">
        <f t="shared" si="3"/>
        <v/>
      </c>
      <c r="G4" s="13" t="str">
        <f t="shared" si="4"/>
        <v/>
      </c>
      <c r="H4" s="13" t="str">
        <f t="shared" si="5"/>
        <v/>
      </c>
      <c r="I4" t="str">
        <f t="shared" si="6"/>
        <v/>
      </c>
    </row>
    <row r="5" spans="1:9">
      <c r="A5">
        <f>CSV!B5</f>
        <v>0</v>
      </c>
      <c r="B5" s="13" t="e">
        <f>INDEX(Input!$D$2:$AD$500,
       MATCH(CPU_Formula!A5, Input!$J$2:$J$500, 0),
       MATCH("CPU model", Input!$D$1:$AD$1, 0))</f>
        <v>#N/A</v>
      </c>
      <c r="C5" s="13" t="str">
        <f t="shared" si="0"/>
        <v/>
      </c>
      <c r="D5" s="13" t="str">
        <f t="shared" si="1"/>
        <v/>
      </c>
      <c r="E5" s="13" t="str">
        <f t="shared" si="2"/>
        <v/>
      </c>
      <c r="F5" s="13" t="str">
        <f t="shared" si="3"/>
        <v/>
      </c>
      <c r="G5" s="13" t="str">
        <f t="shared" si="4"/>
        <v/>
      </c>
      <c r="H5" s="13" t="str">
        <f t="shared" si="5"/>
        <v/>
      </c>
      <c r="I5" t="str">
        <f t="shared" si="6"/>
        <v/>
      </c>
    </row>
    <row r="6" spans="1:9">
      <c r="A6">
        <f>CSV!B6</f>
        <v>0</v>
      </c>
      <c r="B6" s="13" t="e">
        <f>INDEX(Input!$D$2:$AD$500,
       MATCH(CPU_Formula!A6, Input!$J$2:$J$500, 0),
       MATCH("CPU model", Input!$D$1:$AD$1, 0))</f>
        <v>#N/A</v>
      </c>
      <c r="C6" s="13" t="str">
        <f t="shared" si="0"/>
        <v/>
      </c>
      <c r="D6" s="13" t="str">
        <f t="shared" si="1"/>
        <v/>
      </c>
      <c r="E6" s="13" t="str">
        <f t="shared" si="2"/>
        <v/>
      </c>
      <c r="F6" s="13" t="str">
        <f t="shared" si="3"/>
        <v/>
      </c>
      <c r="G6" s="13" t="str">
        <f t="shared" si="4"/>
        <v/>
      </c>
      <c r="H6" s="13" t="str">
        <f t="shared" si="5"/>
        <v/>
      </c>
      <c r="I6" t="str">
        <f t="shared" si="6"/>
        <v/>
      </c>
    </row>
    <row r="7" spans="1:9">
      <c r="A7">
        <f>CSV!B7</f>
        <v>0</v>
      </c>
      <c r="B7" s="13" t="e">
        <f>INDEX(Input!$D$2:$AD$500,
       MATCH(CPU_Formula!A7, Input!$J$2:$J$500, 0),
       MATCH("CPU model", Input!$D$1:$AD$1, 0))</f>
        <v>#N/A</v>
      </c>
      <c r="C7" s="13" t="str">
        <f t="shared" si="0"/>
        <v/>
      </c>
      <c r="D7" s="13" t="str">
        <f t="shared" si="1"/>
        <v/>
      </c>
      <c r="E7" s="13" t="str">
        <f t="shared" si="2"/>
        <v/>
      </c>
      <c r="F7" s="13" t="str">
        <f t="shared" si="3"/>
        <v/>
      </c>
      <c r="G7" s="13" t="str">
        <f t="shared" si="4"/>
        <v/>
      </c>
      <c r="H7" s="13" t="str">
        <f t="shared" si="5"/>
        <v/>
      </c>
      <c r="I7" t="str">
        <f t="shared" si="6"/>
        <v/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0"/>
        <v/>
      </c>
      <c r="D8" s="13" t="str">
        <f t="shared" si="1"/>
        <v/>
      </c>
      <c r="E8" s="13" t="str">
        <f t="shared" si="2"/>
        <v/>
      </c>
      <c r="F8" s="13" t="str">
        <f t="shared" si="3"/>
        <v/>
      </c>
      <c r="G8" s="13" t="str">
        <f t="shared" si="4"/>
        <v/>
      </c>
      <c r="H8" s="13" t="str">
        <f t="shared" si="5"/>
        <v/>
      </c>
      <c r="I8" t="str">
        <f t="shared" si="6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0"/>
        <v/>
      </c>
      <c r="D9" s="13" t="str">
        <f t="shared" si="1"/>
        <v/>
      </c>
      <c r="E9" s="13" t="str">
        <f t="shared" si="2"/>
        <v/>
      </c>
      <c r="F9" s="13" t="str">
        <f t="shared" si="3"/>
        <v/>
      </c>
      <c r="G9" s="13" t="str">
        <f t="shared" si="4"/>
        <v/>
      </c>
      <c r="H9" s="13" t="str">
        <f t="shared" si="5"/>
        <v/>
      </c>
      <c r="I9" t="str">
        <f t="shared" si="6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0"/>
        <v/>
      </c>
      <c r="D10" s="13" t="str">
        <f t="shared" si="1"/>
        <v/>
      </c>
      <c r="E10" s="13" t="str">
        <f t="shared" si="2"/>
        <v/>
      </c>
      <c r="F10" s="13" t="str">
        <f t="shared" si="3"/>
        <v/>
      </c>
      <c r="G10" s="13" t="str">
        <f t="shared" si="4"/>
        <v/>
      </c>
      <c r="H10" s="13" t="str">
        <f t="shared" si="5"/>
        <v/>
      </c>
      <c r="I10" t="str">
        <f t="shared" si="6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0"/>
        <v/>
      </c>
      <c r="D11" s="13" t="str">
        <f t="shared" si="1"/>
        <v/>
      </c>
      <c r="E11" s="13" t="str">
        <f t="shared" si="2"/>
        <v/>
      </c>
      <c r="F11" s="13" t="str">
        <f t="shared" si="3"/>
        <v/>
      </c>
      <c r="G11" s="13" t="str">
        <f t="shared" si="4"/>
        <v/>
      </c>
      <c r="H11" s="13" t="str">
        <f t="shared" si="5"/>
        <v/>
      </c>
      <c r="I11" t="str">
        <f t="shared" si="6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0"/>
        <v/>
      </c>
      <c r="D12" s="13" t="str">
        <f t="shared" si="1"/>
        <v/>
      </c>
      <c r="E12" s="13" t="str">
        <f t="shared" si="2"/>
        <v/>
      </c>
      <c r="F12" s="13" t="str">
        <f t="shared" si="3"/>
        <v/>
      </c>
      <c r="G12" s="13" t="str">
        <f t="shared" si="4"/>
        <v/>
      </c>
      <c r="H12" s="13" t="str">
        <f t="shared" si="5"/>
        <v/>
      </c>
      <c r="I12" t="str">
        <f t="shared" si="6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0"/>
        <v/>
      </c>
      <c r="D13" s="13" t="str">
        <f t="shared" si="1"/>
        <v/>
      </c>
      <c r="E13" s="13" t="str">
        <f t="shared" si="2"/>
        <v/>
      </c>
      <c r="F13" s="13" t="str">
        <f t="shared" si="3"/>
        <v/>
      </c>
      <c r="G13" s="13" t="str">
        <f t="shared" si="4"/>
        <v/>
      </c>
      <c r="H13" s="13" t="str">
        <f t="shared" si="5"/>
        <v/>
      </c>
      <c r="I13" t="str">
        <f t="shared" si="6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0"/>
        <v/>
      </c>
      <c r="D14" s="13" t="str">
        <f t="shared" si="1"/>
        <v/>
      </c>
      <c r="E14" s="13" t="str">
        <f t="shared" si="2"/>
        <v/>
      </c>
      <c r="F14" s="13" t="str">
        <f t="shared" si="3"/>
        <v/>
      </c>
      <c r="G14" s="13" t="str">
        <f t="shared" si="4"/>
        <v/>
      </c>
      <c r="H14" s="13" t="str">
        <f t="shared" si="5"/>
        <v/>
      </c>
      <c r="I14" t="str">
        <f t="shared" si="6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0"/>
        <v/>
      </c>
      <c r="D15" s="13" t="str">
        <f t="shared" si="1"/>
        <v/>
      </c>
      <c r="E15" s="13" t="str">
        <f t="shared" si="2"/>
        <v/>
      </c>
      <c r="F15" s="13" t="str">
        <f t="shared" si="3"/>
        <v/>
      </c>
      <c r="G15" s="13" t="str">
        <f t="shared" si="4"/>
        <v/>
      </c>
      <c r="H15" s="13" t="str">
        <f t="shared" si="5"/>
        <v/>
      </c>
      <c r="I15" t="str">
        <f t="shared" si="6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0"/>
        <v/>
      </c>
      <c r="D16" s="13" t="str">
        <f t="shared" si="1"/>
        <v/>
      </c>
      <c r="E16" s="13" t="str">
        <f t="shared" si="2"/>
        <v/>
      </c>
      <c r="F16" s="13" t="str">
        <f t="shared" si="3"/>
        <v/>
      </c>
      <c r="G16" s="13" t="str">
        <f t="shared" si="4"/>
        <v/>
      </c>
      <c r="H16" s="13" t="str">
        <f t="shared" si="5"/>
        <v/>
      </c>
      <c r="I16" t="str">
        <f t="shared" si="6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0"/>
        <v/>
      </c>
      <c r="D17" s="13" t="str">
        <f t="shared" si="1"/>
        <v/>
      </c>
      <c r="E17" s="13" t="str">
        <f t="shared" si="2"/>
        <v/>
      </c>
      <c r="F17" s="13" t="str">
        <f t="shared" si="3"/>
        <v/>
      </c>
      <c r="G17" s="13" t="str">
        <f t="shared" si="4"/>
        <v/>
      </c>
      <c r="H17" s="13" t="str">
        <f t="shared" si="5"/>
        <v/>
      </c>
      <c r="I17" t="str">
        <f t="shared" si="6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0"/>
        <v/>
      </c>
      <c r="D18" s="13" t="str">
        <f t="shared" si="1"/>
        <v/>
      </c>
      <c r="E18" s="13" t="str">
        <f t="shared" si="2"/>
        <v/>
      </c>
      <c r="F18" s="13" t="str">
        <f t="shared" si="3"/>
        <v/>
      </c>
      <c r="G18" s="13" t="str">
        <f t="shared" si="4"/>
        <v/>
      </c>
      <c r="H18" s="13" t="str">
        <f t="shared" si="5"/>
        <v/>
      </c>
      <c r="I18" t="str">
        <f t="shared" si="6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0"/>
        <v/>
      </c>
      <c r="D19" s="13" t="str">
        <f t="shared" si="1"/>
        <v/>
      </c>
      <c r="E19" s="13" t="str">
        <f t="shared" si="2"/>
        <v/>
      </c>
      <c r="F19" s="13" t="str">
        <f t="shared" si="3"/>
        <v/>
      </c>
      <c r="G19" s="13" t="str">
        <f t="shared" si="4"/>
        <v/>
      </c>
      <c r="H19" s="13" t="str">
        <f t="shared" si="5"/>
        <v/>
      </c>
      <c r="I19" t="str">
        <f t="shared" si="6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0"/>
        <v/>
      </c>
      <c r="D20" s="13" t="str">
        <f t="shared" si="1"/>
        <v/>
      </c>
      <c r="E20" s="13" t="str">
        <f t="shared" si="2"/>
        <v/>
      </c>
      <c r="F20" s="13" t="str">
        <f t="shared" si="3"/>
        <v/>
      </c>
      <c r="G20" s="13" t="str">
        <f t="shared" si="4"/>
        <v/>
      </c>
      <c r="H20" s="13" t="str">
        <f t="shared" si="5"/>
        <v/>
      </c>
      <c r="I20" t="str">
        <f t="shared" si="6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0"/>
        <v/>
      </c>
      <c r="D21" s="13" t="str">
        <f t="shared" si="1"/>
        <v/>
      </c>
      <c r="E21" s="13" t="str">
        <f t="shared" si="2"/>
        <v/>
      </c>
      <c r="F21" s="13" t="str">
        <f t="shared" si="3"/>
        <v/>
      </c>
      <c r="G21" s="13" t="str">
        <f t="shared" si="4"/>
        <v/>
      </c>
      <c r="H21" s="13" t="str">
        <f t="shared" si="5"/>
        <v/>
      </c>
      <c r="I21" t="str">
        <f t="shared" si="6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0"/>
        <v/>
      </c>
      <c r="D22" s="13" t="str">
        <f t="shared" si="1"/>
        <v/>
      </c>
      <c r="E22" s="13" t="str">
        <f t="shared" si="2"/>
        <v/>
      </c>
      <c r="F22" s="13" t="str">
        <f t="shared" si="3"/>
        <v/>
      </c>
      <c r="G22" s="13" t="str">
        <f t="shared" si="4"/>
        <v/>
      </c>
      <c r="H22" s="13" t="str">
        <f t="shared" si="5"/>
        <v/>
      </c>
      <c r="I22" t="str">
        <f t="shared" si="6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0"/>
        <v/>
      </c>
      <c r="D23" s="13" t="str">
        <f t="shared" si="1"/>
        <v/>
      </c>
      <c r="E23" s="13" t="str">
        <f t="shared" si="2"/>
        <v/>
      </c>
      <c r="F23" s="13" t="str">
        <f t="shared" si="3"/>
        <v/>
      </c>
      <c r="G23" s="13" t="str">
        <f t="shared" si="4"/>
        <v/>
      </c>
      <c r="H23" s="13" t="str">
        <f t="shared" si="5"/>
        <v/>
      </c>
      <c r="I23" t="str">
        <f t="shared" si="6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0"/>
        <v/>
      </c>
      <c r="D24" s="13" t="str">
        <f t="shared" si="1"/>
        <v/>
      </c>
      <c r="E24" s="13" t="str">
        <f t="shared" si="2"/>
        <v/>
      </c>
      <c r="F24" s="13" t="str">
        <f t="shared" si="3"/>
        <v/>
      </c>
      <c r="G24" s="13" t="str">
        <f t="shared" si="4"/>
        <v/>
      </c>
      <c r="H24" s="13" t="str">
        <f t="shared" si="5"/>
        <v/>
      </c>
      <c r="I24" t="str">
        <f t="shared" si="6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0"/>
        <v/>
      </c>
      <c r="D25" s="13" t="str">
        <f t="shared" si="1"/>
        <v/>
      </c>
      <c r="E25" s="13" t="str">
        <f t="shared" si="2"/>
        <v/>
      </c>
      <c r="F25" s="13" t="str">
        <f t="shared" si="3"/>
        <v/>
      </c>
      <c r="G25" s="13" t="str">
        <f t="shared" si="4"/>
        <v/>
      </c>
      <c r="H25" s="13" t="str">
        <f t="shared" si="5"/>
        <v/>
      </c>
      <c r="I25" t="str">
        <f t="shared" si="6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0"/>
        <v/>
      </c>
      <c r="D26" s="13" t="str">
        <f t="shared" si="1"/>
        <v/>
      </c>
      <c r="E26" s="13" t="str">
        <f t="shared" si="2"/>
        <v/>
      </c>
      <c r="F26" s="13" t="str">
        <f t="shared" si="3"/>
        <v/>
      </c>
      <c r="G26" s="13" t="str">
        <f t="shared" si="4"/>
        <v/>
      </c>
      <c r="H26" s="13" t="str">
        <f t="shared" si="5"/>
        <v/>
      </c>
      <c r="I26" t="str">
        <f t="shared" si="6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0"/>
        <v/>
      </c>
      <c r="D27" s="13" t="str">
        <f t="shared" si="1"/>
        <v/>
      </c>
      <c r="E27" s="13" t="str">
        <f t="shared" si="2"/>
        <v/>
      </c>
      <c r="F27" s="13" t="str">
        <f t="shared" si="3"/>
        <v/>
      </c>
      <c r="G27" s="13" t="str">
        <f t="shared" si="4"/>
        <v/>
      </c>
      <c r="H27" s="13" t="str">
        <f t="shared" si="5"/>
        <v/>
      </c>
      <c r="I27" t="str">
        <f t="shared" si="6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0"/>
        <v/>
      </c>
      <c r="D28" s="13" t="str">
        <f t="shared" si="1"/>
        <v/>
      </c>
      <c r="E28" s="13" t="str">
        <f t="shared" si="2"/>
        <v/>
      </c>
      <c r="F28" s="13" t="str">
        <f t="shared" si="3"/>
        <v/>
      </c>
      <c r="G28" s="13" t="str">
        <f t="shared" si="4"/>
        <v/>
      </c>
      <c r="H28" s="13" t="str">
        <f t="shared" si="5"/>
        <v/>
      </c>
      <c r="I28" t="str">
        <f t="shared" si="6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0"/>
        <v/>
      </c>
      <c r="D29" s="13" t="str">
        <f t="shared" si="1"/>
        <v/>
      </c>
      <c r="E29" s="13" t="str">
        <f t="shared" si="2"/>
        <v/>
      </c>
      <c r="F29" s="13" t="str">
        <f t="shared" si="3"/>
        <v/>
      </c>
      <c r="G29" s="13" t="str">
        <f t="shared" si="4"/>
        <v/>
      </c>
      <c r="H29" s="13" t="str">
        <f t="shared" si="5"/>
        <v/>
      </c>
      <c r="I29" t="str">
        <f t="shared" si="6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0"/>
        <v/>
      </c>
      <c r="D30" s="13" t="str">
        <f t="shared" si="1"/>
        <v/>
      </c>
      <c r="E30" s="13" t="str">
        <f t="shared" si="2"/>
        <v/>
      </c>
      <c r="F30" s="13" t="str">
        <f t="shared" si="3"/>
        <v/>
      </c>
      <c r="G30" s="13" t="str">
        <f t="shared" si="4"/>
        <v/>
      </c>
      <c r="H30" s="13" t="str">
        <f t="shared" si="5"/>
        <v/>
      </c>
      <c r="I30" t="str">
        <f t="shared" si="6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0"/>
        <v/>
      </c>
      <c r="D31" s="13" t="str">
        <f t="shared" si="1"/>
        <v/>
      </c>
      <c r="E31" s="13" t="str">
        <f t="shared" si="2"/>
        <v/>
      </c>
      <c r="F31" s="13" t="str">
        <f t="shared" si="3"/>
        <v/>
      </c>
      <c r="G31" s="13" t="str">
        <f t="shared" si="4"/>
        <v/>
      </c>
      <c r="H31" s="13" t="str">
        <f t="shared" si="5"/>
        <v/>
      </c>
      <c r="I31" t="str">
        <f t="shared" si="6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0"/>
        <v/>
      </c>
      <c r="D32" s="13" t="str">
        <f t="shared" si="1"/>
        <v/>
      </c>
      <c r="E32" s="13" t="str">
        <f t="shared" si="2"/>
        <v/>
      </c>
      <c r="F32" s="13" t="str">
        <f t="shared" si="3"/>
        <v/>
      </c>
      <c r="G32" s="13" t="str">
        <f t="shared" si="4"/>
        <v/>
      </c>
      <c r="H32" s="13" t="str">
        <f t="shared" si="5"/>
        <v/>
      </c>
      <c r="I32" t="str">
        <f t="shared" si="6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0"/>
        <v/>
      </c>
      <c r="D33" s="13" t="str">
        <f t="shared" si="1"/>
        <v/>
      </c>
      <c r="E33" s="13" t="str">
        <f t="shared" si="2"/>
        <v/>
      </c>
      <c r="F33" s="13" t="str">
        <f t="shared" si="3"/>
        <v/>
      </c>
      <c r="G33" s="13" t="str">
        <f t="shared" si="4"/>
        <v/>
      </c>
      <c r="H33" s="13" t="str">
        <f t="shared" si="5"/>
        <v/>
      </c>
      <c r="I33" t="str">
        <f t="shared" si="6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0"/>
        <v/>
      </c>
      <c r="D34" s="13" t="str">
        <f t="shared" si="1"/>
        <v/>
      </c>
      <c r="E34" s="13" t="str">
        <f t="shared" si="2"/>
        <v/>
      </c>
      <c r="F34" s="13" t="str">
        <f t="shared" si="3"/>
        <v/>
      </c>
      <c r="G34" s="13" t="str">
        <f t="shared" si="4"/>
        <v/>
      </c>
      <c r="H34" s="13" t="str">
        <f t="shared" si="5"/>
        <v/>
      </c>
      <c r="I34" t="str">
        <f t="shared" si="6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0"/>
        <v/>
      </c>
      <c r="D35" s="13" t="str">
        <f t="shared" si="1"/>
        <v/>
      </c>
      <c r="E35" s="13" t="str">
        <f t="shared" si="2"/>
        <v/>
      </c>
      <c r="F35" s="13" t="str">
        <f t="shared" si="3"/>
        <v/>
      </c>
      <c r="G35" s="13" t="str">
        <f t="shared" si="4"/>
        <v/>
      </c>
      <c r="H35" s="13" t="str">
        <f t="shared" si="5"/>
        <v/>
      </c>
      <c r="I35" t="str">
        <f t="shared" si="6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0"/>
        <v/>
      </c>
      <c r="D36" s="13" t="str">
        <f t="shared" si="1"/>
        <v/>
      </c>
      <c r="E36" s="13" t="str">
        <f t="shared" si="2"/>
        <v/>
      </c>
      <c r="F36" s="13" t="str">
        <f t="shared" si="3"/>
        <v/>
      </c>
      <c r="G36" s="13" t="str">
        <f t="shared" si="4"/>
        <v/>
      </c>
      <c r="H36" s="13" t="str">
        <f t="shared" si="5"/>
        <v/>
      </c>
      <c r="I36" t="str">
        <f t="shared" si="6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0"/>
        <v/>
      </c>
      <c r="D37" s="13" t="str">
        <f t="shared" si="1"/>
        <v/>
      </c>
      <c r="E37" s="13" t="str">
        <f t="shared" si="2"/>
        <v/>
      </c>
      <c r="F37" s="13" t="str">
        <f t="shared" si="3"/>
        <v/>
      </c>
      <c r="G37" s="13" t="str">
        <f t="shared" si="4"/>
        <v/>
      </c>
      <c r="H37" s="13" t="str">
        <f t="shared" si="5"/>
        <v/>
      </c>
      <c r="I37" t="str">
        <f t="shared" si="6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0"/>
        <v/>
      </c>
      <c r="D38" s="13" t="str">
        <f t="shared" si="1"/>
        <v/>
      </c>
      <c r="E38" s="13" t="str">
        <f t="shared" si="2"/>
        <v/>
      </c>
      <c r="F38" s="13" t="str">
        <f t="shared" si="3"/>
        <v/>
      </c>
      <c r="G38" s="13" t="str">
        <f t="shared" si="4"/>
        <v/>
      </c>
      <c r="H38" s="13" t="str">
        <f t="shared" si="5"/>
        <v/>
      </c>
      <c r="I38" t="str">
        <f t="shared" si="6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0"/>
        <v/>
      </c>
      <c r="D39" s="13" t="str">
        <f t="shared" si="1"/>
        <v/>
      </c>
      <c r="E39" s="13" t="str">
        <f t="shared" si="2"/>
        <v/>
      </c>
      <c r="F39" s="13" t="str">
        <f t="shared" si="3"/>
        <v/>
      </c>
      <c r="G39" s="13" t="str">
        <f t="shared" si="4"/>
        <v/>
      </c>
      <c r="H39" s="13" t="str">
        <f t="shared" si="5"/>
        <v/>
      </c>
      <c r="I39" t="str">
        <f t="shared" si="6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0"/>
        <v/>
      </c>
      <c r="D40" s="13" t="str">
        <f t="shared" si="1"/>
        <v/>
      </c>
      <c r="E40" s="13" t="str">
        <f t="shared" si="2"/>
        <v/>
      </c>
      <c r="F40" s="13" t="str">
        <f t="shared" si="3"/>
        <v/>
      </c>
      <c r="G40" s="13" t="str">
        <f t="shared" si="4"/>
        <v/>
      </c>
      <c r="H40" s="13" t="str">
        <f t="shared" si="5"/>
        <v/>
      </c>
      <c r="I40" t="str">
        <f t="shared" si="6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0"/>
        <v/>
      </c>
      <c r="D41" s="13" t="str">
        <f t="shared" si="1"/>
        <v/>
      </c>
      <c r="E41" s="13" t="str">
        <f t="shared" si="2"/>
        <v/>
      </c>
      <c r="F41" s="13" t="str">
        <f t="shared" si="3"/>
        <v/>
      </c>
      <c r="G41" s="13" t="str">
        <f t="shared" si="4"/>
        <v/>
      </c>
      <c r="H41" s="13" t="str">
        <f t="shared" si="5"/>
        <v/>
      </c>
      <c r="I41" t="str">
        <f t="shared" si="6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0"/>
        <v/>
      </c>
      <c r="D42" s="13" t="str">
        <f t="shared" si="1"/>
        <v/>
      </c>
      <c r="E42" s="13" t="str">
        <f t="shared" si="2"/>
        <v/>
      </c>
      <c r="F42" s="13" t="str">
        <f t="shared" si="3"/>
        <v/>
      </c>
      <c r="G42" s="13" t="str">
        <f t="shared" si="4"/>
        <v/>
      </c>
      <c r="H42" s="13" t="str">
        <f t="shared" si="5"/>
        <v/>
      </c>
      <c r="I42" t="str">
        <f t="shared" si="6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0"/>
        <v/>
      </c>
      <c r="D43" s="13" t="str">
        <f t="shared" si="1"/>
        <v/>
      </c>
      <c r="E43" s="13" t="str">
        <f t="shared" si="2"/>
        <v/>
      </c>
      <c r="F43" s="13" t="str">
        <f t="shared" si="3"/>
        <v/>
      </c>
      <c r="G43" s="13" t="str">
        <f t="shared" si="4"/>
        <v/>
      </c>
      <c r="H43" s="13" t="str">
        <f t="shared" si="5"/>
        <v/>
      </c>
      <c r="I43" t="str">
        <f t="shared" si="6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0"/>
        <v/>
      </c>
      <c r="D44" s="13" t="str">
        <f t="shared" si="1"/>
        <v/>
      </c>
      <c r="E44" s="13" t="str">
        <f t="shared" si="2"/>
        <v/>
      </c>
      <c r="F44" s="13" t="str">
        <f t="shared" si="3"/>
        <v/>
      </c>
      <c r="G44" s="13" t="str">
        <f t="shared" si="4"/>
        <v/>
      </c>
      <c r="H44" s="13" t="str">
        <f t="shared" si="5"/>
        <v/>
      </c>
      <c r="I44" t="str">
        <f t="shared" si="6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0"/>
        <v/>
      </c>
      <c r="D45" s="13" t="str">
        <f t="shared" si="1"/>
        <v/>
      </c>
      <c r="E45" s="13" t="str">
        <f t="shared" si="2"/>
        <v/>
      </c>
      <c r="F45" s="13" t="str">
        <f t="shared" si="3"/>
        <v/>
      </c>
      <c r="G45" s="13" t="str">
        <f t="shared" si="4"/>
        <v/>
      </c>
      <c r="H45" s="13" t="str">
        <f t="shared" si="5"/>
        <v/>
      </c>
      <c r="I45" t="str">
        <f t="shared" si="6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0"/>
        <v/>
      </c>
      <c r="D46" s="13" t="str">
        <f t="shared" si="1"/>
        <v/>
      </c>
      <c r="E46" s="13" t="str">
        <f t="shared" si="2"/>
        <v/>
      </c>
      <c r="F46" s="13" t="str">
        <f t="shared" si="3"/>
        <v/>
      </c>
      <c r="G46" s="13" t="str">
        <f t="shared" si="4"/>
        <v/>
      </c>
      <c r="H46" s="13" t="str">
        <f t="shared" si="5"/>
        <v/>
      </c>
      <c r="I46" t="str">
        <f t="shared" si="6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0"/>
        <v/>
      </c>
      <c r="D47" s="13" t="str">
        <f t="shared" si="1"/>
        <v/>
      </c>
      <c r="E47" s="13" t="str">
        <f t="shared" si="2"/>
        <v/>
      </c>
      <c r="F47" s="13" t="str">
        <f t="shared" si="3"/>
        <v/>
      </c>
      <c r="G47" s="13" t="str">
        <f t="shared" si="4"/>
        <v/>
      </c>
      <c r="H47" s="13" t="str">
        <f t="shared" si="5"/>
        <v/>
      </c>
      <c r="I47" t="str">
        <f t="shared" si="6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0"/>
        <v/>
      </c>
      <c r="D48" s="13" t="str">
        <f t="shared" si="1"/>
        <v/>
      </c>
      <c r="E48" s="13" t="str">
        <f t="shared" si="2"/>
        <v/>
      </c>
      <c r="F48" s="13" t="str">
        <f t="shared" si="3"/>
        <v/>
      </c>
      <c r="G48" s="13" t="str">
        <f t="shared" si="4"/>
        <v/>
      </c>
      <c r="H48" s="13" t="str">
        <f t="shared" si="5"/>
        <v/>
      </c>
      <c r="I48" t="str">
        <f t="shared" si="6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0"/>
        <v/>
      </c>
      <c r="D49" s="13" t="str">
        <f t="shared" si="1"/>
        <v/>
      </c>
      <c r="E49" s="13" t="str">
        <f t="shared" si="2"/>
        <v/>
      </c>
      <c r="F49" s="13" t="str">
        <f t="shared" si="3"/>
        <v/>
      </c>
      <c r="G49" s="13" t="str">
        <f t="shared" si="4"/>
        <v/>
      </c>
      <c r="H49" s="13" t="str">
        <f t="shared" si="5"/>
        <v/>
      </c>
      <c r="I49" t="str">
        <f t="shared" si="6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0"/>
        <v/>
      </c>
      <c r="D50" s="13" t="str">
        <f t="shared" si="1"/>
        <v/>
      </c>
      <c r="E50" s="13" t="str">
        <f t="shared" si="2"/>
        <v/>
      </c>
      <c r="F50" s="13" t="str">
        <f t="shared" si="3"/>
        <v/>
      </c>
      <c r="G50" s="13" t="str">
        <f t="shared" si="4"/>
        <v/>
      </c>
      <c r="H50" s="13" t="str">
        <f t="shared" si="5"/>
        <v/>
      </c>
      <c r="I50" t="str">
        <f t="shared" si="6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0"/>
        <v/>
      </c>
      <c r="D51" s="13" t="str">
        <f t="shared" si="1"/>
        <v/>
      </c>
      <c r="E51" s="13" t="str">
        <f t="shared" si="2"/>
        <v/>
      </c>
      <c r="F51" s="13" t="str">
        <f t="shared" si="3"/>
        <v/>
      </c>
      <c r="G51" s="13" t="str">
        <f t="shared" si="4"/>
        <v/>
      </c>
      <c r="H51" s="13" t="str">
        <f t="shared" si="5"/>
        <v/>
      </c>
      <c r="I51" t="str">
        <f t="shared" si="6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0"/>
        <v/>
      </c>
      <c r="D52" s="13" t="str">
        <f t="shared" si="1"/>
        <v/>
      </c>
      <c r="E52" s="13" t="str">
        <f t="shared" si="2"/>
        <v/>
      </c>
      <c r="F52" s="13" t="str">
        <f t="shared" si="3"/>
        <v/>
      </c>
      <c r="G52" s="13" t="str">
        <f t="shared" si="4"/>
        <v/>
      </c>
      <c r="H52" s="13" t="str">
        <f t="shared" si="5"/>
        <v/>
      </c>
      <c r="I52" t="str">
        <f t="shared" si="6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0"/>
        <v/>
      </c>
      <c r="D53" s="13" t="str">
        <f t="shared" si="1"/>
        <v/>
      </c>
      <c r="E53" s="13" t="str">
        <f t="shared" si="2"/>
        <v/>
      </c>
      <c r="F53" s="13" t="str">
        <f t="shared" si="3"/>
        <v/>
      </c>
      <c r="G53" s="13" t="str">
        <f t="shared" si="4"/>
        <v/>
      </c>
      <c r="H53" s="13" t="str">
        <f t="shared" si="5"/>
        <v/>
      </c>
      <c r="I53" t="str">
        <f t="shared" si="6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0"/>
        <v/>
      </c>
      <c r="D54" s="13" t="str">
        <f t="shared" si="1"/>
        <v/>
      </c>
      <c r="E54" s="13" t="str">
        <f t="shared" si="2"/>
        <v/>
      </c>
      <c r="F54" s="13" t="str">
        <f t="shared" si="3"/>
        <v/>
      </c>
      <c r="G54" s="13" t="str">
        <f t="shared" si="4"/>
        <v/>
      </c>
      <c r="H54" s="13" t="str">
        <f t="shared" si="5"/>
        <v/>
      </c>
      <c r="I54" t="str">
        <f t="shared" si="6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0"/>
        <v/>
      </c>
      <c r="D55" s="13" t="str">
        <f t="shared" si="1"/>
        <v/>
      </c>
      <c r="E55" s="13" t="str">
        <f t="shared" si="2"/>
        <v/>
      </c>
      <c r="F55" s="13" t="str">
        <f t="shared" si="3"/>
        <v/>
      </c>
      <c r="G55" s="13" t="str">
        <f t="shared" si="4"/>
        <v/>
      </c>
      <c r="H55" s="13" t="str">
        <f t="shared" si="5"/>
        <v/>
      </c>
      <c r="I55" t="str">
        <f t="shared" si="6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0"/>
        <v/>
      </c>
      <c r="D56" s="13" t="str">
        <f t="shared" si="1"/>
        <v/>
      </c>
      <c r="E56" s="13" t="str">
        <f t="shared" si="2"/>
        <v/>
      </c>
      <c r="F56" s="13" t="str">
        <f t="shared" si="3"/>
        <v/>
      </c>
      <c r="G56" s="13" t="str">
        <f t="shared" si="4"/>
        <v/>
      </c>
      <c r="H56" s="13" t="str">
        <f t="shared" si="5"/>
        <v/>
      </c>
      <c r="I56" t="str">
        <f t="shared" si="6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0"/>
        <v/>
      </c>
      <c r="D57" s="13" t="str">
        <f t="shared" si="1"/>
        <v/>
      </c>
      <c r="E57" s="13" t="str">
        <f t="shared" si="2"/>
        <v/>
      </c>
      <c r="F57" s="13" t="str">
        <f t="shared" si="3"/>
        <v/>
      </c>
      <c r="G57" s="13" t="str">
        <f t="shared" si="4"/>
        <v/>
      </c>
      <c r="H57" s="13" t="str">
        <f t="shared" si="5"/>
        <v/>
      </c>
      <c r="I57" t="str">
        <f t="shared" si="6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0"/>
        <v/>
      </c>
      <c r="D58" s="13" t="str">
        <f t="shared" si="1"/>
        <v/>
      </c>
      <c r="E58" s="13" t="str">
        <f t="shared" si="2"/>
        <v/>
      </c>
      <c r="F58" s="13" t="str">
        <f t="shared" si="3"/>
        <v/>
      </c>
      <c r="G58" s="13" t="str">
        <f t="shared" si="4"/>
        <v/>
      </c>
      <c r="H58" s="13" t="str">
        <f t="shared" si="5"/>
        <v/>
      </c>
      <c r="I58" t="str">
        <f t="shared" si="6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0"/>
        <v/>
      </c>
      <c r="D59" s="13" t="str">
        <f t="shared" si="1"/>
        <v/>
      </c>
      <c r="E59" s="13" t="str">
        <f t="shared" si="2"/>
        <v/>
      </c>
      <c r="F59" s="13" t="str">
        <f t="shared" si="3"/>
        <v/>
      </c>
      <c r="G59" s="13" t="str">
        <f t="shared" si="4"/>
        <v/>
      </c>
      <c r="H59" s="13" t="str">
        <f t="shared" si="5"/>
        <v/>
      </c>
      <c r="I59" t="str">
        <f t="shared" si="6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0"/>
        <v/>
      </c>
      <c r="D60" s="13" t="str">
        <f t="shared" si="1"/>
        <v/>
      </c>
      <c r="E60" s="13" t="str">
        <f t="shared" si="2"/>
        <v/>
      </c>
      <c r="F60" s="13" t="str">
        <f t="shared" si="3"/>
        <v/>
      </c>
      <c r="G60" s="13" t="str">
        <f t="shared" si="4"/>
        <v/>
      </c>
      <c r="H60" s="13" t="str">
        <f t="shared" si="5"/>
        <v/>
      </c>
      <c r="I60" t="str">
        <f t="shared" si="6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0"/>
        <v/>
      </c>
      <c r="D61" s="13" t="str">
        <f t="shared" si="1"/>
        <v/>
      </c>
      <c r="E61" s="13" t="str">
        <f t="shared" si="2"/>
        <v/>
      </c>
      <c r="F61" s="13" t="str">
        <f t="shared" si="3"/>
        <v/>
      </c>
      <c r="G61" s="13" t="str">
        <f t="shared" si="4"/>
        <v/>
      </c>
      <c r="H61" s="13" t="str">
        <f t="shared" si="5"/>
        <v/>
      </c>
      <c r="I61" t="str">
        <f t="shared" si="6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0"/>
        <v/>
      </c>
      <c r="D62" s="13" t="str">
        <f t="shared" si="1"/>
        <v/>
      </c>
      <c r="E62" s="13" t="str">
        <f t="shared" si="2"/>
        <v/>
      </c>
      <c r="F62" s="13" t="str">
        <f t="shared" si="3"/>
        <v/>
      </c>
      <c r="G62" s="13" t="str">
        <f t="shared" si="4"/>
        <v/>
      </c>
      <c r="H62" s="13" t="str">
        <f t="shared" si="5"/>
        <v/>
      </c>
      <c r="I62" t="str">
        <f t="shared" si="6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0"/>
        <v/>
      </c>
      <c r="D63" s="13" t="str">
        <f t="shared" si="1"/>
        <v/>
      </c>
      <c r="E63" s="13" t="str">
        <f t="shared" si="2"/>
        <v/>
      </c>
      <c r="F63" s="13" t="str">
        <f t="shared" si="3"/>
        <v/>
      </c>
      <c r="G63" s="13" t="str">
        <f t="shared" si="4"/>
        <v/>
      </c>
      <c r="H63" s="13" t="str">
        <f t="shared" si="5"/>
        <v/>
      </c>
      <c r="I63" t="str">
        <f t="shared" si="6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0"/>
        <v/>
      </c>
      <c r="D64" s="13" t="str">
        <f t="shared" si="1"/>
        <v/>
      </c>
      <c r="E64" s="13" t="str">
        <f t="shared" si="2"/>
        <v/>
      </c>
      <c r="F64" s="13" t="str">
        <f t="shared" si="3"/>
        <v/>
      </c>
      <c r="G64" s="13" t="str">
        <f t="shared" si="4"/>
        <v/>
      </c>
      <c r="H64" s="13" t="str">
        <f t="shared" si="5"/>
        <v/>
      </c>
      <c r="I64" t="str">
        <f t="shared" si="6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0"/>
        <v/>
      </c>
      <c r="D65" s="13" t="str">
        <f t="shared" si="1"/>
        <v/>
      </c>
      <c r="E65" s="13" t="str">
        <f t="shared" si="2"/>
        <v/>
      </c>
      <c r="F65" s="13" t="str">
        <f t="shared" si="3"/>
        <v/>
      </c>
      <c r="G65" s="13" t="str">
        <f t="shared" si="4"/>
        <v/>
      </c>
      <c r="H65" s="13" t="str">
        <f t="shared" si="5"/>
        <v/>
      </c>
      <c r="I65" t="str">
        <f t="shared" si="6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ref="C66:C73" si="7">IFERROR(_xlfn.TEXTAFTER(B66,"Core(TM) "), "")</f>
        <v/>
      </c>
      <c r="D66" s="13" t="str">
        <f t="shared" ref="D66:D73" si="8">IF(ISNUMBER(SEARCH("Ryzen", B66)), _xlfn.TEXTAFTER(B66, "AMD"), "")</f>
        <v/>
      </c>
      <c r="E66" s="13" t="str">
        <f t="shared" ref="E66:E73" si="9">IF(ISNUMBER(SEARCH("Ultra", B66)), "Ultra"&amp;_xlfn.TEXTAFTER(B66, "Ultra"), "")</f>
        <v/>
      </c>
      <c r="F66" s="13" t="str">
        <f t="shared" ref="F66:F73" si="10">IF(C66&lt;&gt;"", TRIM(_xlfn.TEXTBEFORE(C66," ",,1,1)), "")</f>
        <v/>
      </c>
      <c r="G66" s="13" t="str">
        <f t="shared" ref="G66:G73" si="11">IFERROR(_xlfn.TEXTBEFORE(D66,"w/"),"")</f>
        <v/>
      </c>
      <c r="H66" s="13" t="str">
        <f t="shared" ref="H66:H73" si="12">E66</f>
        <v/>
      </c>
      <c r="I66" t="str">
        <f t="shared" ref="I66:I73" si="13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si="7"/>
        <v/>
      </c>
      <c r="D67" s="13" t="str">
        <f t="shared" si="8"/>
        <v/>
      </c>
      <c r="E67" s="13" t="str">
        <f t="shared" si="9"/>
        <v/>
      </c>
      <c r="F67" s="13" t="str">
        <f t="shared" si="10"/>
        <v/>
      </c>
      <c r="G67" s="13" t="str">
        <f t="shared" si="11"/>
        <v/>
      </c>
      <c r="H67" s="13" t="str">
        <f t="shared" si="12"/>
        <v/>
      </c>
      <c r="I67" t="str">
        <f t="shared" si="13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7"/>
        <v/>
      </c>
      <c r="D68" s="13" t="str">
        <f t="shared" si="8"/>
        <v/>
      </c>
      <c r="E68" s="13" t="str">
        <f t="shared" si="9"/>
        <v/>
      </c>
      <c r="F68" s="13" t="str">
        <f t="shared" si="10"/>
        <v/>
      </c>
      <c r="G68" s="13" t="str">
        <f t="shared" si="11"/>
        <v/>
      </c>
      <c r="H68" s="13" t="str">
        <f t="shared" si="12"/>
        <v/>
      </c>
      <c r="I68" t="str">
        <f t="shared" si="13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7"/>
        <v/>
      </c>
      <c r="D69" s="13" t="str">
        <f t="shared" si="8"/>
        <v/>
      </c>
      <c r="E69" s="13" t="str">
        <f t="shared" si="9"/>
        <v/>
      </c>
      <c r="F69" s="13" t="str">
        <f t="shared" si="10"/>
        <v/>
      </c>
      <c r="G69" s="13" t="str">
        <f t="shared" si="11"/>
        <v/>
      </c>
      <c r="H69" s="13" t="str">
        <f t="shared" si="12"/>
        <v/>
      </c>
      <c r="I69" t="str">
        <f t="shared" si="13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7"/>
        <v/>
      </c>
      <c r="D70" s="13" t="str">
        <f t="shared" si="8"/>
        <v/>
      </c>
      <c r="E70" s="13" t="str">
        <f t="shared" si="9"/>
        <v/>
      </c>
      <c r="F70" s="13" t="str">
        <f t="shared" si="10"/>
        <v/>
      </c>
      <c r="G70" s="13" t="str">
        <f t="shared" si="11"/>
        <v/>
      </c>
      <c r="H70" s="13" t="str">
        <f t="shared" si="12"/>
        <v/>
      </c>
      <c r="I70" t="str">
        <f t="shared" si="13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7"/>
        <v/>
      </c>
      <c r="D71" s="13" t="str">
        <f t="shared" si="8"/>
        <v/>
      </c>
      <c r="E71" s="13" t="str">
        <f t="shared" si="9"/>
        <v/>
      </c>
      <c r="F71" s="13" t="str">
        <f t="shared" si="10"/>
        <v/>
      </c>
      <c r="G71" s="13" t="str">
        <f t="shared" si="11"/>
        <v/>
      </c>
      <c r="H71" s="13" t="str">
        <f t="shared" si="12"/>
        <v/>
      </c>
      <c r="I71" t="str">
        <f t="shared" si="13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7"/>
        <v/>
      </c>
      <c r="D72" s="13" t="str">
        <f t="shared" si="8"/>
        <v/>
      </c>
      <c r="E72" s="13" t="str">
        <f t="shared" si="9"/>
        <v/>
      </c>
      <c r="F72" s="13" t="str">
        <f t="shared" si="10"/>
        <v/>
      </c>
      <c r="G72" s="13" t="str">
        <f t="shared" si="11"/>
        <v/>
      </c>
      <c r="H72" s="13" t="str">
        <f t="shared" si="12"/>
        <v/>
      </c>
      <c r="I72" t="str">
        <f t="shared" si="13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7"/>
        <v/>
      </c>
      <c r="D73" s="13" t="str">
        <f t="shared" si="8"/>
        <v/>
      </c>
      <c r="E73" s="13" t="str">
        <f t="shared" si="9"/>
        <v/>
      </c>
      <c r="F73" s="13" t="str">
        <f t="shared" si="10"/>
        <v/>
      </c>
      <c r="G73" s="13" t="str">
        <f t="shared" si="11"/>
        <v/>
      </c>
      <c r="H73" s="13" t="str">
        <f t="shared" si="12"/>
        <v/>
      </c>
      <c r="I73" t="str">
        <f t="shared" si="13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ref="C74:C104" si="14">IFERROR(_xlfn.TEXTAFTER(B74,"Core(TM) "), "")</f>
        <v/>
      </c>
      <c r="D74" s="13" t="str">
        <f>IF(ISNUMBER(SEARCH("Ryzen", B74)), _xlfn.TEXTAFTER(B74, "AMD"), "")</f>
        <v/>
      </c>
      <c r="E74" s="13" t="str">
        <f t="shared" ref="E74:E104" si="15">IF(ISNUMBER(SEARCH("Ultra", B74)), "Ultra"&amp;_xlfn.TEXTAFTER(B74, "Ultra"), "")</f>
        <v/>
      </c>
      <c r="F74" s="13" t="str">
        <f t="shared" ref="F74:F104" si="16">IF(C74&lt;&gt;"", TRIM(_xlfn.TEXTBEFORE(C74," ",,1,1)), "")</f>
        <v/>
      </c>
      <c r="G74" s="13" t="str">
        <f>IFERROR(_xlfn.TEXTBEFORE(D74,"w/"),"")</f>
        <v/>
      </c>
      <c r="H74" s="13" t="str">
        <f t="shared" ref="H74:H104" si="17">E74</f>
        <v/>
      </c>
      <c r="I74" t="str">
        <f t="shared" ref="I74:I104" si="18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4"/>
        <v/>
      </c>
      <c r="D75" s="13" t="str">
        <f t="shared" ref="D75:D87" si="19">IF(ISNUMBER(SEARCH("Ryzen", B75)), _xlfn.TEXTAFTER(B75, "AMD"), "")</f>
        <v/>
      </c>
      <c r="E75" s="13" t="str">
        <f t="shared" ref="E75:E87" si="20">IF(ISNUMBER(SEARCH("Ultra", B75)), "Ultra"&amp;_xlfn.TEXTAFTER(B75, "Ultra"), "")</f>
        <v/>
      </c>
      <c r="F75" s="13" t="str">
        <f t="shared" ref="F75:F87" si="21">IF(C75&lt;&gt;"", TRIM(_xlfn.TEXTBEFORE(C75," ",,1,1)), "")</f>
        <v/>
      </c>
      <c r="G75" s="13" t="str">
        <f t="shared" ref="G75:G87" si="22">IFERROR(_xlfn.TEXTBEFORE(D75,"w/"),"")</f>
        <v/>
      </c>
      <c r="H75" s="13" t="str">
        <f t="shared" ref="H75:H87" si="23">E75</f>
        <v/>
      </c>
      <c r="I75" t="str">
        <f t="shared" ref="I75:I87" si="24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4"/>
        <v/>
      </c>
      <c r="D76" s="13" t="str">
        <f t="shared" si="19"/>
        <v/>
      </c>
      <c r="E76" s="13" t="str">
        <f t="shared" si="20"/>
        <v/>
      </c>
      <c r="F76" s="13" t="str">
        <f t="shared" si="21"/>
        <v/>
      </c>
      <c r="G76" s="13" t="str">
        <f t="shared" si="22"/>
        <v/>
      </c>
      <c r="H76" s="13" t="str">
        <f t="shared" si="23"/>
        <v/>
      </c>
      <c r="I76" t="str">
        <f t="shared" si="24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4"/>
        <v/>
      </c>
      <c r="D77" s="13" t="str">
        <f t="shared" si="19"/>
        <v/>
      </c>
      <c r="E77" s="13" t="str">
        <f t="shared" si="20"/>
        <v/>
      </c>
      <c r="F77" s="13" t="str">
        <f t="shared" si="21"/>
        <v/>
      </c>
      <c r="G77" s="13" t="str">
        <f t="shared" si="22"/>
        <v/>
      </c>
      <c r="H77" s="13" t="str">
        <f t="shared" si="23"/>
        <v/>
      </c>
      <c r="I77" t="str">
        <f t="shared" si="24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4"/>
        <v/>
      </c>
      <c r="D78" s="13" t="str">
        <f t="shared" si="19"/>
        <v/>
      </c>
      <c r="E78" s="13" t="str">
        <f t="shared" si="20"/>
        <v/>
      </c>
      <c r="F78" s="13" t="str">
        <f t="shared" si="21"/>
        <v/>
      </c>
      <c r="G78" s="13" t="str">
        <f t="shared" si="22"/>
        <v/>
      </c>
      <c r="H78" s="13" t="str">
        <f t="shared" si="23"/>
        <v/>
      </c>
      <c r="I78" t="str">
        <f t="shared" si="24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4"/>
        <v/>
      </c>
      <c r="D79" s="13" t="str">
        <f t="shared" si="19"/>
        <v/>
      </c>
      <c r="E79" s="13" t="str">
        <f t="shared" si="20"/>
        <v/>
      </c>
      <c r="F79" s="13" t="str">
        <f t="shared" si="21"/>
        <v/>
      </c>
      <c r="G79" s="13" t="str">
        <f t="shared" si="22"/>
        <v/>
      </c>
      <c r="H79" s="13" t="str">
        <f t="shared" si="23"/>
        <v/>
      </c>
      <c r="I79" t="str">
        <f t="shared" si="24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4"/>
        <v/>
      </c>
      <c r="D80" s="13" t="str">
        <f t="shared" si="19"/>
        <v/>
      </c>
      <c r="E80" s="13" t="str">
        <f t="shared" si="20"/>
        <v/>
      </c>
      <c r="F80" s="13" t="str">
        <f t="shared" si="21"/>
        <v/>
      </c>
      <c r="G80" s="13" t="str">
        <f t="shared" si="22"/>
        <v/>
      </c>
      <c r="H80" s="13" t="str">
        <f t="shared" si="23"/>
        <v/>
      </c>
      <c r="I80" t="str">
        <f t="shared" si="24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4"/>
        <v/>
      </c>
      <c r="D81" s="13" t="str">
        <f t="shared" si="19"/>
        <v/>
      </c>
      <c r="E81" s="13" t="str">
        <f t="shared" si="20"/>
        <v/>
      </c>
      <c r="F81" s="13" t="str">
        <f t="shared" si="21"/>
        <v/>
      </c>
      <c r="G81" s="13" t="str">
        <f t="shared" si="22"/>
        <v/>
      </c>
      <c r="H81" s="13" t="str">
        <f t="shared" si="23"/>
        <v/>
      </c>
      <c r="I81" t="str">
        <f t="shared" si="24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4"/>
        <v/>
      </c>
      <c r="D82" s="13" t="str">
        <f t="shared" si="19"/>
        <v/>
      </c>
      <c r="E82" s="13" t="str">
        <f t="shared" si="20"/>
        <v/>
      </c>
      <c r="F82" s="13" t="str">
        <f t="shared" si="21"/>
        <v/>
      </c>
      <c r="G82" s="13" t="str">
        <f t="shared" si="22"/>
        <v/>
      </c>
      <c r="H82" s="13" t="str">
        <f t="shared" si="23"/>
        <v/>
      </c>
      <c r="I82" t="str">
        <f t="shared" si="24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4"/>
        <v/>
      </c>
      <c r="D83" s="13" t="str">
        <f t="shared" si="19"/>
        <v/>
      </c>
      <c r="E83" s="13" t="str">
        <f t="shared" si="20"/>
        <v/>
      </c>
      <c r="F83" s="13" t="str">
        <f t="shared" si="21"/>
        <v/>
      </c>
      <c r="G83" s="13" t="str">
        <f t="shared" si="22"/>
        <v/>
      </c>
      <c r="H83" s="13" t="str">
        <f t="shared" si="23"/>
        <v/>
      </c>
      <c r="I83" t="str">
        <f t="shared" si="24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4"/>
        <v/>
      </c>
      <c r="D84" s="13" t="str">
        <f t="shared" si="19"/>
        <v/>
      </c>
      <c r="E84" s="13" t="str">
        <f t="shared" si="20"/>
        <v/>
      </c>
      <c r="F84" s="13" t="str">
        <f t="shared" si="21"/>
        <v/>
      </c>
      <c r="G84" s="13" t="str">
        <f t="shared" si="22"/>
        <v/>
      </c>
      <c r="H84" s="13" t="str">
        <f t="shared" si="23"/>
        <v/>
      </c>
      <c r="I84" t="str">
        <f t="shared" si="24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4"/>
        <v/>
      </c>
      <c r="D85" s="13" t="str">
        <f t="shared" si="19"/>
        <v/>
      </c>
      <c r="E85" s="13" t="str">
        <f t="shared" si="20"/>
        <v/>
      </c>
      <c r="F85" s="13" t="str">
        <f t="shared" si="21"/>
        <v/>
      </c>
      <c r="G85" s="13" t="str">
        <f t="shared" si="22"/>
        <v/>
      </c>
      <c r="H85" s="13" t="str">
        <f t="shared" si="23"/>
        <v/>
      </c>
      <c r="I85" t="str">
        <f t="shared" si="24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4"/>
        <v/>
      </c>
      <c r="D86" s="13" t="str">
        <f t="shared" si="19"/>
        <v/>
      </c>
      <c r="E86" s="13" t="str">
        <f t="shared" si="20"/>
        <v/>
      </c>
      <c r="F86" s="13" t="str">
        <f t="shared" si="21"/>
        <v/>
      </c>
      <c r="G86" s="13" t="str">
        <f t="shared" si="22"/>
        <v/>
      </c>
      <c r="H86" s="13" t="str">
        <f t="shared" si="23"/>
        <v/>
      </c>
      <c r="I86" t="str">
        <f t="shared" si="24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4"/>
        <v/>
      </c>
      <c r="D87" s="13" t="str">
        <f t="shared" si="19"/>
        <v/>
      </c>
      <c r="E87" s="13" t="str">
        <f t="shared" si="20"/>
        <v/>
      </c>
      <c r="F87" s="13" t="str">
        <f t="shared" si="21"/>
        <v/>
      </c>
      <c r="G87" s="13" t="str">
        <f t="shared" si="22"/>
        <v/>
      </c>
      <c r="H87" s="13" t="str">
        <f t="shared" si="23"/>
        <v/>
      </c>
      <c r="I87" t="str">
        <f t="shared" si="24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4"/>
        <v/>
      </c>
      <c r="D88" s="13" t="str">
        <f t="shared" ref="D88:D104" si="25">IFERROR(_xlfn.TEXTAFTER(B88,"Ryzen "), "")</f>
        <v/>
      </c>
      <c r="E88" s="13" t="str">
        <f t="shared" si="15"/>
        <v/>
      </c>
      <c r="F88" s="13" t="str">
        <f t="shared" si="16"/>
        <v/>
      </c>
      <c r="G88" s="13" t="str">
        <f t="shared" ref="G88:G104" si="26">IF(D88&lt;&gt;"", TRIM(_xlfn.TEXTBEFORE(D88," ",,1)), "")</f>
        <v/>
      </c>
      <c r="H88" s="13" t="str">
        <f t="shared" si="17"/>
        <v/>
      </c>
      <c r="I88" t="str">
        <f t="shared" si="18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4"/>
        <v/>
      </c>
      <c r="D89" s="13" t="str">
        <f t="shared" si="25"/>
        <v/>
      </c>
      <c r="E89" s="13" t="str">
        <f t="shared" si="15"/>
        <v/>
      </c>
      <c r="F89" s="13" t="str">
        <f t="shared" si="16"/>
        <v/>
      </c>
      <c r="G89" s="13" t="str">
        <f t="shared" si="26"/>
        <v/>
      </c>
      <c r="H89" s="13" t="str">
        <f t="shared" si="17"/>
        <v/>
      </c>
      <c r="I89" t="str">
        <f t="shared" si="18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4"/>
        <v/>
      </c>
      <c r="D90" s="13" t="str">
        <f t="shared" si="25"/>
        <v/>
      </c>
      <c r="E90" s="13" t="str">
        <f t="shared" si="15"/>
        <v/>
      </c>
      <c r="F90" s="13" t="str">
        <f t="shared" si="16"/>
        <v/>
      </c>
      <c r="G90" s="13" t="str">
        <f t="shared" si="26"/>
        <v/>
      </c>
      <c r="H90" s="13" t="str">
        <f t="shared" si="17"/>
        <v/>
      </c>
      <c r="I90" t="str">
        <f t="shared" si="18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4"/>
        <v/>
      </c>
      <c r="D91" s="13" t="str">
        <f t="shared" si="25"/>
        <v/>
      </c>
      <c r="E91" s="13" t="str">
        <f t="shared" si="15"/>
        <v/>
      </c>
      <c r="F91" s="13" t="str">
        <f t="shared" si="16"/>
        <v/>
      </c>
      <c r="G91" s="13" t="str">
        <f t="shared" si="26"/>
        <v/>
      </c>
      <c r="H91" s="13" t="str">
        <f t="shared" si="17"/>
        <v/>
      </c>
      <c r="I91" t="str">
        <f t="shared" si="18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4"/>
        <v/>
      </c>
      <c r="D92" s="13" t="str">
        <f t="shared" si="25"/>
        <v/>
      </c>
      <c r="E92" s="13" t="str">
        <f t="shared" si="15"/>
        <v/>
      </c>
      <c r="F92" s="13" t="str">
        <f t="shared" si="16"/>
        <v/>
      </c>
      <c r="G92" s="13" t="str">
        <f t="shared" si="26"/>
        <v/>
      </c>
      <c r="H92" s="13" t="str">
        <f t="shared" si="17"/>
        <v/>
      </c>
      <c r="I92" t="str">
        <f t="shared" si="18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4"/>
        <v/>
      </c>
      <c r="D93" s="13" t="str">
        <f t="shared" si="25"/>
        <v/>
      </c>
      <c r="E93" s="13" t="str">
        <f t="shared" si="15"/>
        <v/>
      </c>
      <c r="F93" s="13" t="str">
        <f t="shared" si="16"/>
        <v/>
      </c>
      <c r="G93" s="13" t="str">
        <f t="shared" si="26"/>
        <v/>
      </c>
      <c r="H93" s="13" t="str">
        <f t="shared" si="17"/>
        <v/>
      </c>
      <c r="I93" t="str">
        <f t="shared" si="18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4"/>
        <v/>
      </c>
      <c r="D94" s="13" t="str">
        <f t="shared" si="25"/>
        <v/>
      </c>
      <c r="E94" s="13" t="str">
        <f t="shared" si="15"/>
        <v/>
      </c>
      <c r="F94" s="13" t="str">
        <f t="shared" si="16"/>
        <v/>
      </c>
      <c r="G94" s="13" t="str">
        <f t="shared" si="26"/>
        <v/>
      </c>
      <c r="H94" s="13" t="str">
        <f t="shared" si="17"/>
        <v/>
      </c>
      <c r="I94" t="str">
        <f t="shared" si="18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4"/>
        <v/>
      </c>
      <c r="D95" s="13" t="str">
        <f t="shared" si="25"/>
        <v/>
      </c>
      <c r="E95" s="13" t="str">
        <f t="shared" si="15"/>
        <v/>
      </c>
      <c r="F95" s="13" t="str">
        <f t="shared" si="16"/>
        <v/>
      </c>
      <c r="G95" s="13" t="str">
        <f t="shared" si="26"/>
        <v/>
      </c>
      <c r="H95" s="13" t="str">
        <f t="shared" si="17"/>
        <v/>
      </c>
      <c r="I95" t="str">
        <f t="shared" si="18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4"/>
        <v/>
      </c>
      <c r="D96" s="13" t="str">
        <f t="shared" si="25"/>
        <v/>
      </c>
      <c r="E96" s="13" t="str">
        <f t="shared" si="15"/>
        <v/>
      </c>
      <c r="F96" s="13" t="str">
        <f t="shared" si="16"/>
        <v/>
      </c>
      <c r="G96" s="13" t="str">
        <f t="shared" si="26"/>
        <v/>
      </c>
      <c r="H96" s="13" t="str">
        <f t="shared" si="17"/>
        <v/>
      </c>
      <c r="I96" t="str">
        <f t="shared" si="18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4"/>
        <v/>
      </c>
      <c r="D97" s="13" t="str">
        <f t="shared" si="25"/>
        <v/>
      </c>
      <c r="E97" s="13" t="str">
        <f t="shared" si="15"/>
        <v/>
      </c>
      <c r="F97" s="13" t="str">
        <f t="shared" si="16"/>
        <v/>
      </c>
      <c r="G97" s="13" t="str">
        <f t="shared" si="26"/>
        <v/>
      </c>
      <c r="H97" s="13" t="str">
        <f t="shared" si="17"/>
        <v/>
      </c>
      <c r="I97" t="str">
        <f t="shared" si="18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4"/>
        <v/>
      </c>
      <c r="D98" s="13" t="str">
        <f t="shared" si="25"/>
        <v/>
      </c>
      <c r="E98" s="13" t="str">
        <f t="shared" si="15"/>
        <v/>
      </c>
      <c r="F98" s="13" t="str">
        <f t="shared" si="16"/>
        <v/>
      </c>
      <c r="G98" s="13" t="str">
        <f t="shared" si="26"/>
        <v/>
      </c>
      <c r="H98" s="13" t="str">
        <f t="shared" si="17"/>
        <v/>
      </c>
      <c r="I98" t="str">
        <f t="shared" si="18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4"/>
        <v/>
      </c>
      <c r="D99" s="13" t="str">
        <f t="shared" si="25"/>
        <v/>
      </c>
      <c r="E99" s="13" t="str">
        <f t="shared" si="15"/>
        <v/>
      </c>
      <c r="F99" s="13" t="str">
        <f t="shared" si="16"/>
        <v/>
      </c>
      <c r="G99" s="13" t="str">
        <f t="shared" si="26"/>
        <v/>
      </c>
      <c r="H99" s="13" t="str">
        <f t="shared" si="17"/>
        <v/>
      </c>
      <c r="I99" t="str">
        <f t="shared" si="18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4"/>
        <v/>
      </c>
      <c r="D100" s="13" t="str">
        <f t="shared" si="25"/>
        <v/>
      </c>
      <c r="E100" s="13" t="str">
        <f t="shared" si="15"/>
        <v/>
      </c>
      <c r="F100" s="13" t="str">
        <f t="shared" si="16"/>
        <v/>
      </c>
      <c r="G100" s="13" t="str">
        <f t="shared" si="26"/>
        <v/>
      </c>
      <c r="H100" s="13" t="str">
        <f t="shared" si="17"/>
        <v/>
      </c>
      <c r="I100" t="str">
        <f t="shared" si="18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4"/>
        <v/>
      </c>
      <c r="D101" s="13" t="str">
        <f t="shared" si="25"/>
        <v/>
      </c>
      <c r="E101" s="13" t="str">
        <f t="shared" si="15"/>
        <v/>
      </c>
      <c r="F101" s="13" t="str">
        <f t="shared" si="16"/>
        <v/>
      </c>
      <c r="G101" s="13" t="str">
        <f t="shared" si="26"/>
        <v/>
      </c>
      <c r="H101" s="13" t="str">
        <f t="shared" si="17"/>
        <v/>
      </c>
      <c r="I101" t="str">
        <f t="shared" si="18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4"/>
        <v/>
      </c>
      <c r="D102" s="13" t="str">
        <f t="shared" si="25"/>
        <v/>
      </c>
      <c r="E102" s="13" t="str">
        <f t="shared" si="15"/>
        <v/>
      </c>
      <c r="F102" s="13" t="str">
        <f t="shared" si="16"/>
        <v/>
      </c>
      <c r="G102" s="13" t="str">
        <f t="shared" si="26"/>
        <v/>
      </c>
      <c r="H102" s="13" t="str">
        <f t="shared" si="17"/>
        <v/>
      </c>
      <c r="I102" t="str">
        <f t="shared" si="18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4"/>
        <v/>
      </c>
      <c r="D103" s="13" t="str">
        <f t="shared" si="25"/>
        <v/>
      </c>
      <c r="E103" s="13" t="str">
        <f t="shared" si="15"/>
        <v/>
      </c>
      <c r="F103" s="13" t="str">
        <f t="shared" si="16"/>
        <v/>
      </c>
      <c r="G103" s="13" t="str">
        <f t="shared" si="26"/>
        <v/>
      </c>
      <c r="H103" s="13" t="str">
        <f t="shared" si="17"/>
        <v/>
      </c>
      <c r="I103" t="str">
        <f t="shared" si="18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4"/>
        <v/>
      </c>
      <c r="D104" s="13" t="str">
        <f t="shared" si="25"/>
        <v/>
      </c>
      <c r="E104" s="13" t="str">
        <f t="shared" si="15"/>
        <v/>
      </c>
      <c r="F104" s="13" t="str">
        <f t="shared" si="16"/>
        <v/>
      </c>
      <c r="G104" s="13" t="str">
        <f t="shared" si="26"/>
        <v/>
      </c>
      <c r="H104" s="13" t="str">
        <f t="shared" si="17"/>
        <v/>
      </c>
      <c r="I104" t="str">
        <f t="shared" si="18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O1" workbookViewId="0">
      <selection activeCell="AB2" sqref="AB2:AB3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308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310</v>
      </c>
      <c r="O1" s="12" t="s">
        <v>309</v>
      </c>
      <c r="P1" s="12" t="s">
        <v>19</v>
      </c>
      <c r="Q1" s="12" t="s">
        <v>311</v>
      </c>
      <c r="R1" s="12" t="s">
        <v>312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9" t="s">
        <v>531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No</v>
      </c>
      <c r="U2" t="str">
        <f>_xlfn.XLOOKUP(B2,Disk_Pivot!G:G,Disk_Pivot!N:N)</f>
        <v/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No</v>
      </c>
      <c r="U3" t="str">
        <f>_xlfn.XLOOKUP(B3,Disk_Pivot!G:G,Disk_Pivot!N:N)</f>
        <v/>
      </c>
      <c r="V3" t="str">
        <f>IF(U3="Fail",MacReports!N3,"")</f>
        <v/>
      </c>
      <c r="AB3" t="str">
        <f t="shared" ref="AB3:AB66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No</v>
      </c>
      <c r="U4" t="str">
        <f>_xlfn.XLOOKUP(B4,Disk_Pivot!G:G,Disk_Pivot!N:N)</f>
        <v/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No</v>
      </c>
      <c r="U5" t="str">
        <f>_xlfn.XLOOKUP(B5,Disk_Pivot!G:G,Disk_Pivot!N:N)</f>
        <v/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No</v>
      </c>
      <c r="U6" t="str">
        <f>_xlfn.XLOOKUP(B6,Disk_Pivot!G:G,Disk_Pivot!N:N)</f>
        <v/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No</v>
      </c>
      <c r="U7" t="str">
        <f>_xlfn.XLOOKUP(B7,Disk_Pivot!G:G,Disk_Pivot!N:N)</f>
        <v/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No</v>
      </c>
      <c r="U8" t="str">
        <f>_xlfn.XLOOKUP(B8,Disk_Pivot!G:G,Disk_Pivot!N:N)</f>
        <v/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No</v>
      </c>
      <c r="U9" t="str">
        <f>_xlfn.XLOOKUP(B9,Disk_Pivot!G:G,Disk_Pivot!N:N)</f>
        <v/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52" si="2">_xlfn.TEXTJOIN(", ",TRUE,Q10,R10,N10,O10,P10)</f>
        <v>Battery Defect, 0</v>
      </c>
      <c r="T10" t="str">
        <f>_xlfn.XLOOKUP(B10,Disk_Pivot!G:G,Disk_Pivot!I:I)</f>
        <v>No</v>
      </c>
      <c r="U10" t="str">
        <f>_xlfn.XLOOKUP(B10,Disk_Pivot!G:G,Disk_Pivot!N:N)</f>
        <v/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No</v>
      </c>
      <c r="U11" t="str">
        <f>_xlfn.XLOOKUP(B11,Disk_Pivot!G:G,Disk_Pivot!N:N)</f>
        <v/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No</v>
      </c>
      <c r="U12" t="str">
        <f>_xlfn.XLOOKUP(B12,Disk_Pivot!G:G,Disk_Pivot!N:N)</f>
        <v/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No</v>
      </c>
      <c r="U13" t="str">
        <f>_xlfn.XLOOKUP(B13,Disk_Pivot!G:G,Disk_Pivot!N:N)</f>
        <v/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No</v>
      </c>
      <c r="U14" t="str">
        <f>_xlfn.XLOOKUP(B14,Disk_Pivot!G:G,Disk_Pivot!N:N)</f>
        <v/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No</v>
      </c>
      <c r="U15" t="str">
        <f>_xlfn.XLOOKUP(B15,Disk_Pivot!G:G,Disk_Pivot!N:N)</f>
        <v/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No</v>
      </c>
      <c r="U16" t="str">
        <f>_xlfn.XLOOKUP(B16,Disk_Pivot!G:G,Disk_Pivot!N:N)</f>
        <v/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No</v>
      </c>
      <c r="U17" t="str">
        <f>_xlfn.XLOOKUP(B17,Disk_Pivot!G:G,Disk_Pivot!N:N)</f>
        <v/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No</v>
      </c>
      <c r="U18" t="str">
        <f>_xlfn.XLOOKUP(B18,Disk_Pivot!G:G,Disk_Pivot!N:N)</f>
        <v/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No</v>
      </c>
      <c r="U19" t="str">
        <f>_xlfn.XLOOKUP(B19,Disk_Pivot!G:G,Disk_Pivot!N:N)</f>
        <v/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>
        <f>MacReports!A35</f>
        <v>0</v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si="2"/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si="1"/>
        <v/>
      </c>
    </row>
    <row r="36" spans="1:28">
      <c r="A36">
        <f>MacReports!A36</f>
        <v>0</v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2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1"/>
        <v/>
      </c>
    </row>
    <row r="37" spans="1:28">
      <c r="A37">
        <f>MacReports!A37</f>
        <v>0</v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2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1"/>
        <v/>
      </c>
    </row>
    <row r="38" spans="1:28">
      <c r="A38">
        <f>MacReports!A38</f>
        <v>0</v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2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1"/>
        <v/>
      </c>
    </row>
    <row r="39" spans="1:28">
      <c r="A39">
        <f>MacReports!A39</f>
        <v>0</v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2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1"/>
        <v/>
      </c>
    </row>
    <row r="40" spans="1:28">
      <c r="A40">
        <f>MacReports!A40</f>
        <v>0</v>
      </c>
      <c r="B40">
        <f>MacReports!B40</f>
        <v>0</v>
      </c>
      <c r="C40">
        <f>MacReports!C40</f>
        <v>0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2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1"/>
        <v/>
      </c>
    </row>
    <row r="41" spans="1:28">
      <c r="A41">
        <f>MacReports!A41</f>
        <v>0</v>
      </c>
      <c r="B41">
        <f>MacReports!B41</f>
        <v>0</v>
      </c>
      <c r="C41">
        <f>MacReports!C41</f>
        <v>0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2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1"/>
        <v/>
      </c>
    </row>
    <row r="42" spans="1:28">
      <c r="A42">
        <f>MacReports!A42</f>
        <v>0</v>
      </c>
      <c r="B42">
        <f>MacReports!B42</f>
        <v>0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2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1"/>
        <v/>
      </c>
    </row>
    <row r="43" spans="1:28">
      <c r="A43">
        <f>MacReports!A43</f>
        <v>0</v>
      </c>
      <c r="B43">
        <f>MacReports!B43</f>
        <v>0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2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1"/>
        <v/>
      </c>
    </row>
    <row r="44" spans="1:28">
      <c r="A44">
        <f>MacReports!A44</f>
        <v>0</v>
      </c>
      <c r="B44">
        <f>MacReports!B44</f>
        <v>0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2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1"/>
        <v/>
      </c>
    </row>
    <row r="45" spans="1:28">
      <c r="A45">
        <f>MacReports!A45</f>
        <v>0</v>
      </c>
      <c r="B45">
        <f>MacReports!B45</f>
        <v>0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2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1"/>
        <v/>
      </c>
    </row>
    <row r="46" spans="1:28">
      <c r="A46">
        <f>MacReports!A46</f>
        <v>0</v>
      </c>
      <c r="B46">
        <f>MacReports!B46</f>
        <v>0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2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1"/>
        <v/>
      </c>
    </row>
    <row r="47" spans="1:28">
      <c r="A47">
        <f>MacReports!A47</f>
        <v>0</v>
      </c>
      <c r="B47">
        <f>MacReports!B47</f>
        <v>0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2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1"/>
        <v/>
      </c>
    </row>
    <row r="48" spans="1:28">
      <c r="A48">
        <f>MacReports!A48</f>
        <v>0</v>
      </c>
      <c r="B48">
        <f>MacReports!B48</f>
        <v>0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2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1"/>
        <v/>
      </c>
    </row>
    <row r="49" spans="1:28">
      <c r="A49">
        <f>MacReports!A49</f>
        <v>0</v>
      </c>
      <c r="B49">
        <f>MacReports!B49</f>
        <v>0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2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1"/>
        <v/>
      </c>
    </row>
    <row r="50" spans="1:28">
      <c r="A50">
        <f>MacReports!A50</f>
        <v>0</v>
      </c>
      <c r="B50">
        <f>MacReports!B50</f>
        <v>0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2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1"/>
        <v/>
      </c>
    </row>
    <row r="51" spans="1:28">
      <c r="A51">
        <f>MacReports!A51</f>
        <v>0</v>
      </c>
      <c r="B51">
        <f>MacReports!B51</f>
        <v>0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2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1"/>
        <v/>
      </c>
    </row>
    <row r="52" spans="1:28">
      <c r="A52">
        <f>MacReports!A52</f>
        <v>0</v>
      </c>
      <c r="B52">
        <f>MacReports!B52</f>
        <v>0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2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1"/>
        <v/>
      </c>
    </row>
    <row r="53" spans="1:28">
      <c r="B53">
        <f>MacReports!B53</f>
        <v>0</v>
      </c>
      <c r="F53" t="str">
        <f>_xlfn.XLOOKUP(B53,MacReports!B:B,MacReports!D:D,"")</f>
        <v/>
      </c>
      <c r="AB53" t="str">
        <f t="shared" si="1"/>
        <v/>
      </c>
    </row>
    <row r="54" spans="1:28">
      <c r="B54">
        <f>MacReports!B54</f>
        <v>0</v>
      </c>
      <c r="F54" t="str">
        <f>_xlfn.XLOOKUP(B54,MacReports!B:B,MacReports!D:D,"")</f>
        <v/>
      </c>
      <c r="AB54" t="str">
        <f t="shared" si="1"/>
        <v/>
      </c>
    </row>
    <row r="55" spans="1:28">
      <c r="B55">
        <f>MacReports!B55</f>
        <v>0</v>
      </c>
      <c r="F55" t="str">
        <f>_xlfn.XLOOKUP(B55,MacReports!B:B,MacReports!D:D,"")</f>
        <v/>
      </c>
      <c r="AB55" t="str">
        <f t="shared" si="1"/>
        <v/>
      </c>
    </row>
    <row r="56" spans="1:28">
      <c r="B56">
        <f>MacReports!B56</f>
        <v>0</v>
      </c>
      <c r="F56" t="str">
        <f>_xlfn.XLOOKUP(B56,MacReports!B:B,MacReports!D:D,"")</f>
        <v/>
      </c>
      <c r="AB56" t="str">
        <f t="shared" si="1"/>
        <v/>
      </c>
    </row>
    <row r="57" spans="1:28">
      <c r="B57">
        <f>MacReports!B57</f>
        <v>0</v>
      </c>
      <c r="F57" t="str">
        <f>_xlfn.XLOOKUP(B57,MacReports!B:B,MacReports!D:D,"")</f>
        <v/>
      </c>
      <c r="AB57" t="str">
        <f t="shared" si="1"/>
        <v/>
      </c>
    </row>
    <row r="58" spans="1:28">
      <c r="B58">
        <f>MacReports!B58</f>
        <v>0</v>
      </c>
      <c r="F58" t="str">
        <f>_xlfn.XLOOKUP(B58,MacReports!B:B,MacReports!D:D,"")</f>
        <v/>
      </c>
      <c r="AB58" t="str">
        <f t="shared" si="1"/>
        <v/>
      </c>
    </row>
    <row r="59" spans="1:28">
      <c r="B59">
        <f>MacReports!B59</f>
        <v>0</v>
      </c>
      <c r="F59" t="str">
        <f>_xlfn.XLOOKUP(B59,MacReports!B:B,MacReports!D:D,"")</f>
        <v/>
      </c>
      <c r="AB59" t="str">
        <f t="shared" si="1"/>
        <v/>
      </c>
    </row>
    <row r="60" spans="1:28">
      <c r="B60">
        <f>MacReports!B60</f>
        <v>0</v>
      </c>
      <c r="F60" t="str">
        <f>_xlfn.XLOOKUP(B60,MacReports!B:B,MacReports!D:D,"")</f>
        <v/>
      </c>
      <c r="AB60" t="str">
        <f t="shared" si="1"/>
        <v/>
      </c>
    </row>
    <row r="61" spans="1:28">
      <c r="B61">
        <f>MacReports!B61</f>
        <v>0</v>
      </c>
      <c r="F61" t="str">
        <f>_xlfn.XLOOKUP(B61,MacReports!B:B,MacReports!D:D,"")</f>
        <v/>
      </c>
      <c r="AB61" t="str">
        <f t="shared" si="1"/>
        <v/>
      </c>
    </row>
    <row r="62" spans="1:28">
      <c r="B62">
        <f>MacReports!B62</f>
        <v>0</v>
      </c>
      <c r="F62" t="str">
        <f>_xlfn.XLOOKUP(B62,MacReports!B:B,MacReports!D:D,"")</f>
        <v/>
      </c>
      <c r="AB62" t="str">
        <f t="shared" si="1"/>
        <v/>
      </c>
    </row>
    <row r="63" spans="1:28">
      <c r="B63">
        <f>MacReports!B63</f>
        <v>0</v>
      </c>
      <c r="F63" t="str">
        <f>_xlfn.XLOOKUP(B63,MacReports!B:B,MacReports!D:D,"")</f>
        <v/>
      </c>
      <c r="AB63" t="str">
        <f t="shared" si="1"/>
        <v/>
      </c>
    </row>
    <row r="64" spans="1:28">
      <c r="B64">
        <f>MacReports!B64</f>
        <v>0</v>
      </c>
      <c r="F64" t="str">
        <f>_xlfn.XLOOKUP(B64,MacReports!B:B,MacReports!D:D,"")</f>
        <v/>
      </c>
      <c r="AB64" t="str">
        <f t="shared" si="1"/>
        <v/>
      </c>
    </row>
    <row r="65" spans="2:28">
      <c r="B65">
        <f>MacReports!B65</f>
        <v>0</v>
      </c>
      <c r="F65" t="str">
        <f>_xlfn.XLOOKUP(B65,MacReports!B:B,MacReports!D:D,"")</f>
        <v/>
      </c>
      <c r="AB65" t="str">
        <f t="shared" si="1"/>
        <v/>
      </c>
    </row>
    <row r="66" spans="2:28">
      <c r="B66">
        <f>MacReports!B66</f>
        <v>0</v>
      </c>
      <c r="F66" t="str">
        <f>_xlfn.XLOOKUP(B66,MacReports!B:B,MacReports!D:D,"")</f>
        <v/>
      </c>
      <c r="AB66" t="str">
        <f t="shared" si="1"/>
        <v/>
      </c>
    </row>
    <row r="67" spans="2:28">
      <c r="B67">
        <f>MacReports!B67</f>
        <v>0</v>
      </c>
      <c r="F67" t="str">
        <f>_xlfn.XLOOKUP(B67,MacReports!B:B,MacReports!D:D,"")</f>
        <v/>
      </c>
      <c r="AB67" t="str">
        <f t="shared" ref="AB67:AB130" si="3">_xlfn.TEXTJOIN(", ",TRUE,Q67,R67)</f>
        <v/>
      </c>
    </row>
    <row r="68" spans="2:28">
      <c r="B68">
        <f>MacReports!B68</f>
        <v>0</v>
      </c>
      <c r="F68" t="str">
        <f>_xlfn.XLOOKUP(B68,MacReports!B:B,MacReports!D:D,"")</f>
        <v/>
      </c>
      <c r="AB68" t="str">
        <f t="shared" si="3"/>
        <v/>
      </c>
    </row>
    <row r="69" spans="2:28">
      <c r="B69">
        <f>MacReports!B69</f>
        <v>0</v>
      </c>
      <c r="F69" t="str">
        <f>_xlfn.XLOOKUP(B69,MacReports!B:B,MacReports!D:D,"")</f>
        <v/>
      </c>
      <c r="AB69" t="str">
        <f t="shared" si="3"/>
        <v/>
      </c>
    </row>
    <row r="70" spans="2:28">
      <c r="B70">
        <f>MacReports!B70</f>
        <v>0</v>
      </c>
      <c r="F70" t="str">
        <f>_xlfn.XLOOKUP(B70,MacReports!B:B,MacReports!D:D,"")</f>
        <v/>
      </c>
      <c r="AB70" t="str">
        <f t="shared" si="3"/>
        <v/>
      </c>
    </row>
    <row r="71" spans="2:28">
      <c r="B71">
        <f>MacReports!B71</f>
        <v>0</v>
      </c>
      <c r="F71" t="str">
        <f>_xlfn.XLOOKUP(B71,MacReports!B:B,MacReports!D:D,"")</f>
        <v/>
      </c>
      <c r="AB71" t="str">
        <f t="shared" si="3"/>
        <v/>
      </c>
    </row>
    <row r="72" spans="2:28">
      <c r="B72">
        <f>MacReports!B72</f>
        <v>0</v>
      </c>
      <c r="F72" t="str">
        <f>_xlfn.XLOOKUP(B72,MacReports!B:B,MacReports!D:D,"")</f>
        <v/>
      </c>
      <c r="AB72" t="str">
        <f t="shared" si="3"/>
        <v/>
      </c>
    </row>
    <row r="73" spans="2:28">
      <c r="B73">
        <f>MacReports!B73</f>
        <v>0</v>
      </c>
      <c r="F73" t="str">
        <f>_xlfn.XLOOKUP(B73,MacReports!B:B,MacReports!D:D,"")</f>
        <v/>
      </c>
      <c r="AB73" t="str">
        <f t="shared" si="3"/>
        <v/>
      </c>
    </row>
    <row r="74" spans="2:28">
      <c r="B74">
        <f>MacReports!B74</f>
        <v>0</v>
      </c>
      <c r="F74" t="str">
        <f>_xlfn.XLOOKUP(B74,MacReports!B:B,MacReports!D:D,"")</f>
        <v/>
      </c>
      <c r="AB74" t="str">
        <f t="shared" si="3"/>
        <v/>
      </c>
    </row>
    <row r="75" spans="2:28">
      <c r="B75">
        <f>MacReports!B75</f>
        <v>0</v>
      </c>
      <c r="F75" t="str">
        <f>_xlfn.XLOOKUP(B75,MacReports!B:B,MacReports!D:D,"")</f>
        <v/>
      </c>
      <c r="AB75" t="str">
        <f t="shared" si="3"/>
        <v/>
      </c>
    </row>
    <row r="76" spans="2:28">
      <c r="B76">
        <f>MacReports!B76</f>
        <v>0</v>
      </c>
      <c r="F76" t="str">
        <f>_xlfn.XLOOKUP(B76,MacReports!B:B,MacReports!D:D,"")</f>
        <v/>
      </c>
      <c r="AB76" t="str">
        <f t="shared" si="3"/>
        <v/>
      </c>
    </row>
    <row r="77" spans="2:28">
      <c r="B77">
        <f>MacReports!B77</f>
        <v>0</v>
      </c>
      <c r="F77" t="str">
        <f>_xlfn.XLOOKUP(B77,MacReports!B:B,MacReports!D:D,"")</f>
        <v/>
      </c>
      <c r="AB77" t="str">
        <f t="shared" si="3"/>
        <v/>
      </c>
    </row>
    <row r="78" spans="2:28">
      <c r="B78">
        <f>MacReports!B78</f>
        <v>0</v>
      </c>
      <c r="F78" t="str">
        <f>_xlfn.XLOOKUP(B78,MacReports!B:B,MacReports!D:D,"")</f>
        <v/>
      </c>
      <c r="AB78" t="str">
        <f t="shared" si="3"/>
        <v/>
      </c>
    </row>
    <row r="79" spans="2:28">
      <c r="B79">
        <f>MacReports!B79</f>
        <v>0</v>
      </c>
      <c r="F79" t="str">
        <f>_xlfn.XLOOKUP(B79,MacReports!B:B,MacReports!D:D,"")</f>
        <v/>
      </c>
      <c r="AB79" t="str">
        <f t="shared" si="3"/>
        <v/>
      </c>
    </row>
    <row r="80" spans="2:28">
      <c r="B80">
        <f>MacReports!B80</f>
        <v>0</v>
      </c>
      <c r="F80" t="str">
        <f>_xlfn.XLOOKUP(B80,MacReports!B:B,MacReports!D:D,"")</f>
        <v/>
      </c>
      <c r="AB80" t="str">
        <f t="shared" si="3"/>
        <v/>
      </c>
    </row>
    <row r="81" spans="2:28">
      <c r="B81">
        <f>MacReports!B81</f>
        <v>0</v>
      </c>
      <c r="F81" t="str">
        <f>_xlfn.XLOOKUP(B81,MacReports!B:B,MacReports!D:D,"")</f>
        <v/>
      </c>
      <c r="AB81" t="str">
        <f t="shared" si="3"/>
        <v/>
      </c>
    </row>
    <row r="82" spans="2:28">
      <c r="B82">
        <f>MacReports!B82</f>
        <v>0</v>
      </c>
      <c r="F82" t="str">
        <f>_xlfn.XLOOKUP(B82,MacReports!B:B,MacReports!D:D,"")</f>
        <v/>
      </c>
      <c r="AB82" t="str">
        <f t="shared" si="3"/>
        <v/>
      </c>
    </row>
    <row r="83" spans="2:28">
      <c r="B83">
        <f>MacReports!B83</f>
        <v>0</v>
      </c>
      <c r="F83" t="str">
        <f>_xlfn.XLOOKUP(B83,MacReports!B:B,MacReports!D:D,"")</f>
        <v/>
      </c>
      <c r="AB83" t="str">
        <f t="shared" si="3"/>
        <v/>
      </c>
    </row>
    <row r="84" spans="2:28">
      <c r="B84">
        <f>MacReports!B84</f>
        <v>0</v>
      </c>
      <c r="F84" t="str">
        <f>_xlfn.XLOOKUP(B84,MacReports!B:B,MacReports!D:D,"")</f>
        <v/>
      </c>
      <c r="AB84" t="str">
        <f t="shared" si="3"/>
        <v/>
      </c>
    </row>
    <row r="85" spans="2:28">
      <c r="B85">
        <f>MacReports!B85</f>
        <v>0</v>
      </c>
      <c r="F85" t="str">
        <f>_xlfn.XLOOKUP(B85,MacReports!B:B,MacReports!D:D,"")</f>
        <v/>
      </c>
      <c r="AB85" t="str">
        <f t="shared" si="3"/>
        <v/>
      </c>
    </row>
    <row r="86" spans="2:28">
      <c r="B86">
        <f>MacReports!B86</f>
        <v>0</v>
      </c>
      <c r="F86" t="str">
        <f>_xlfn.XLOOKUP(B86,MacReports!B:B,MacReports!D:D,"")</f>
        <v/>
      </c>
      <c r="AB86" t="str">
        <f t="shared" si="3"/>
        <v/>
      </c>
    </row>
    <row r="87" spans="2:28">
      <c r="B87">
        <f>MacReports!B87</f>
        <v>0</v>
      </c>
      <c r="F87" t="str">
        <f>_xlfn.XLOOKUP(B87,MacReports!B:B,MacReports!D:D,"")</f>
        <v/>
      </c>
      <c r="AB87" t="str">
        <f t="shared" si="3"/>
        <v/>
      </c>
    </row>
    <row r="88" spans="2:28">
      <c r="B88">
        <f>MacReports!B88</f>
        <v>0</v>
      </c>
      <c r="F88" t="str">
        <f>_xlfn.XLOOKUP(B88,MacReports!B:B,MacReports!D:D,"")</f>
        <v/>
      </c>
      <c r="AB88" t="str">
        <f t="shared" si="3"/>
        <v/>
      </c>
    </row>
    <row r="89" spans="2:28">
      <c r="B89">
        <f>MacReports!B89</f>
        <v>0</v>
      </c>
      <c r="F89" t="str">
        <f>_xlfn.XLOOKUP(B89,MacReports!B:B,MacReports!D:D,"")</f>
        <v/>
      </c>
      <c r="AB89" t="str">
        <f t="shared" si="3"/>
        <v/>
      </c>
    </row>
    <row r="90" spans="2:28">
      <c r="B90">
        <f>MacReports!B90</f>
        <v>0</v>
      </c>
      <c r="F90" t="str">
        <f>_xlfn.XLOOKUP(B90,MacReports!B:B,MacReports!D:D,"")</f>
        <v/>
      </c>
      <c r="AB90" t="str">
        <f t="shared" si="3"/>
        <v/>
      </c>
    </row>
    <row r="91" spans="2:28">
      <c r="B91">
        <f>MacReports!B91</f>
        <v>0</v>
      </c>
      <c r="F91" t="str">
        <f>_xlfn.XLOOKUP(B91,MacReports!B:B,MacReports!D:D,"")</f>
        <v/>
      </c>
      <c r="AB91" t="str">
        <f t="shared" si="3"/>
        <v/>
      </c>
    </row>
    <row r="92" spans="2:28">
      <c r="B92">
        <f>MacReports!B92</f>
        <v>0</v>
      </c>
      <c r="F92" t="str">
        <f>_xlfn.XLOOKUP(B92,MacReports!B:B,MacReports!D:D,"")</f>
        <v/>
      </c>
      <c r="AB92" t="str">
        <f t="shared" si="3"/>
        <v/>
      </c>
    </row>
    <row r="93" spans="2:28">
      <c r="B93">
        <f>MacReports!B93</f>
        <v>0</v>
      </c>
      <c r="F93" t="str">
        <f>_xlfn.XLOOKUP(B93,MacReports!B:B,MacReports!D:D,"")</f>
        <v/>
      </c>
      <c r="AB93" t="str">
        <f t="shared" si="3"/>
        <v/>
      </c>
    </row>
    <row r="94" spans="2:28">
      <c r="B94">
        <f>MacReports!B94</f>
        <v>0</v>
      </c>
      <c r="F94" t="str">
        <f>_xlfn.XLOOKUP(B94,MacReports!B:B,MacReports!D:D,"")</f>
        <v/>
      </c>
      <c r="AB94" t="str">
        <f t="shared" si="3"/>
        <v/>
      </c>
    </row>
    <row r="95" spans="2:28">
      <c r="B95">
        <f>MacReports!B95</f>
        <v>0</v>
      </c>
      <c r="F95" t="str">
        <f>_xlfn.XLOOKUP(B95,MacReports!B:B,MacReports!D:D,"")</f>
        <v/>
      </c>
      <c r="AB95" t="str">
        <f t="shared" si="3"/>
        <v/>
      </c>
    </row>
    <row r="96" spans="2:28">
      <c r="B96">
        <f>MacReports!B96</f>
        <v>0</v>
      </c>
      <c r="F96" t="str">
        <f>_xlfn.XLOOKUP(B96,MacReports!B:B,MacReports!D:D,"")</f>
        <v/>
      </c>
      <c r="AB96" t="str">
        <f t="shared" si="3"/>
        <v/>
      </c>
    </row>
    <row r="97" spans="2:28">
      <c r="B97">
        <f>MacReports!B97</f>
        <v>0</v>
      </c>
      <c r="F97" t="str">
        <f>_xlfn.XLOOKUP(B97,MacReports!B:B,MacReports!D:D,"")</f>
        <v/>
      </c>
      <c r="AB97" t="str">
        <f t="shared" si="3"/>
        <v/>
      </c>
    </row>
    <row r="98" spans="2:28">
      <c r="B98">
        <f>MacReports!B98</f>
        <v>0</v>
      </c>
      <c r="F98" t="str">
        <f>_xlfn.XLOOKUP(B98,MacReports!B:B,MacReports!D:D,"")</f>
        <v/>
      </c>
      <c r="AB98" t="str">
        <f t="shared" si="3"/>
        <v/>
      </c>
    </row>
    <row r="99" spans="2:28">
      <c r="B99">
        <f>MacReports!B99</f>
        <v>0</v>
      </c>
      <c r="F99" t="str">
        <f>_xlfn.XLOOKUP(B99,MacReports!B:B,MacReports!D:D,"")</f>
        <v/>
      </c>
      <c r="AB99" t="str">
        <f t="shared" si="3"/>
        <v/>
      </c>
    </row>
    <row r="100" spans="2:28">
      <c r="B100">
        <f>MacReports!B100</f>
        <v>0</v>
      </c>
      <c r="F100" t="str">
        <f>_xlfn.XLOOKUP(B100,MacReports!B:B,MacReports!D:D,"")</f>
        <v/>
      </c>
      <c r="AB100" t="str">
        <f t="shared" si="3"/>
        <v/>
      </c>
    </row>
    <row r="101" spans="2:28">
      <c r="B101">
        <f>MacReports!B101</f>
        <v>0</v>
      </c>
      <c r="F101" t="str">
        <f>_xlfn.XLOOKUP(B101,MacReports!B:B,MacReports!D:D,"")</f>
        <v/>
      </c>
      <c r="AB101" t="str">
        <f t="shared" si="3"/>
        <v/>
      </c>
    </row>
    <row r="102" spans="2:28">
      <c r="B102">
        <f>MacReports!B102</f>
        <v>0</v>
      </c>
      <c r="F102" t="str">
        <f>_xlfn.XLOOKUP(B102,MacReports!B:B,MacReports!D:D,"")</f>
        <v/>
      </c>
      <c r="AB102" t="str">
        <f t="shared" si="3"/>
        <v/>
      </c>
    </row>
    <row r="103" spans="2:28">
      <c r="B103">
        <f>MacReports!B103</f>
        <v>0</v>
      </c>
      <c r="F103" t="str">
        <f>_xlfn.XLOOKUP(B103,MacReports!B:B,MacReports!D:D,"")</f>
        <v/>
      </c>
      <c r="AB103" t="str">
        <f t="shared" si="3"/>
        <v/>
      </c>
    </row>
    <row r="104" spans="2:28">
      <c r="B104">
        <f>MacReports!B104</f>
        <v>0</v>
      </c>
      <c r="F104" t="str">
        <f>_xlfn.XLOOKUP(B104,MacReports!B:B,MacReports!D:D,"")</f>
        <v/>
      </c>
      <c r="AB104" t="str">
        <f t="shared" si="3"/>
        <v/>
      </c>
    </row>
    <row r="105" spans="2:28">
      <c r="B105">
        <f>MacReports!B105</f>
        <v>0</v>
      </c>
      <c r="F105" t="str">
        <f>_xlfn.XLOOKUP(B105,MacReports!B:B,MacReports!D:D,"")</f>
        <v/>
      </c>
      <c r="AB105" t="str">
        <f t="shared" si="3"/>
        <v/>
      </c>
    </row>
    <row r="106" spans="2:28">
      <c r="B106">
        <f>MacReports!B106</f>
        <v>0</v>
      </c>
      <c r="F106" t="str">
        <f>_xlfn.XLOOKUP(B106,MacReports!B:B,MacReports!D:D,"")</f>
        <v/>
      </c>
      <c r="AB106" t="str">
        <f t="shared" si="3"/>
        <v/>
      </c>
    </row>
    <row r="107" spans="2:28">
      <c r="B107">
        <f>MacReports!B107</f>
        <v>0</v>
      </c>
      <c r="F107" t="str">
        <f>_xlfn.XLOOKUP(B107,MacReports!B:B,MacReports!D:D,"")</f>
        <v/>
      </c>
      <c r="AB107" t="str">
        <f t="shared" si="3"/>
        <v/>
      </c>
    </row>
    <row r="108" spans="2:28">
      <c r="B108">
        <f>MacReports!B108</f>
        <v>0</v>
      </c>
      <c r="F108" t="str">
        <f>_xlfn.XLOOKUP(B108,MacReports!B:B,MacReports!D:D,"")</f>
        <v/>
      </c>
      <c r="AB108" t="str">
        <f t="shared" si="3"/>
        <v/>
      </c>
    </row>
    <row r="109" spans="2:28">
      <c r="B109">
        <f>MacReports!B109</f>
        <v>0</v>
      </c>
      <c r="F109" t="str">
        <f>_xlfn.XLOOKUP(B109,MacReports!B:B,MacReports!D:D,"")</f>
        <v/>
      </c>
      <c r="AB109" t="str">
        <f t="shared" si="3"/>
        <v/>
      </c>
    </row>
    <row r="110" spans="2:28">
      <c r="B110">
        <f>MacReports!B110</f>
        <v>0</v>
      </c>
      <c r="F110" t="str">
        <f>_xlfn.XLOOKUP(B110,MacReports!B:B,MacReports!D:D,"")</f>
        <v/>
      </c>
      <c r="AB110" t="str">
        <f t="shared" si="3"/>
        <v/>
      </c>
    </row>
    <row r="111" spans="2:28">
      <c r="B111">
        <f>MacReports!B111</f>
        <v>0</v>
      </c>
      <c r="F111" t="str">
        <f>_xlfn.XLOOKUP(B111,MacReports!B:B,MacReports!D:D,"")</f>
        <v/>
      </c>
      <c r="AB111" t="str">
        <f t="shared" si="3"/>
        <v/>
      </c>
    </row>
    <row r="112" spans="2:28">
      <c r="B112">
        <f>MacReports!B112</f>
        <v>0</v>
      </c>
      <c r="F112" t="str">
        <f>_xlfn.XLOOKUP(B112,MacReports!B:B,MacReports!D:D,"")</f>
        <v/>
      </c>
      <c r="AB112" t="str">
        <f t="shared" si="3"/>
        <v/>
      </c>
    </row>
    <row r="113" spans="2:28">
      <c r="B113">
        <f>MacReports!B113</f>
        <v>0</v>
      </c>
      <c r="F113" t="str">
        <f>_xlfn.XLOOKUP(B113,MacReports!B:B,MacReports!D:D,"")</f>
        <v/>
      </c>
      <c r="AB113" t="str">
        <f t="shared" si="3"/>
        <v/>
      </c>
    </row>
    <row r="114" spans="2:28">
      <c r="B114">
        <f>MacReports!B114</f>
        <v>0</v>
      </c>
      <c r="F114" t="str">
        <f>_xlfn.XLOOKUP(B114,MacReports!B:B,MacReports!D:D,"")</f>
        <v/>
      </c>
      <c r="AB114" t="str">
        <f t="shared" si="3"/>
        <v/>
      </c>
    </row>
    <row r="115" spans="2:28">
      <c r="B115">
        <f>MacReports!B115</f>
        <v>0</v>
      </c>
      <c r="F115" t="str">
        <f>_xlfn.XLOOKUP(B115,MacReports!B:B,MacReports!D:D,"")</f>
        <v/>
      </c>
      <c r="AB115" t="str">
        <f t="shared" si="3"/>
        <v/>
      </c>
    </row>
    <row r="116" spans="2:28">
      <c r="B116">
        <f>MacReports!B116</f>
        <v>0</v>
      </c>
      <c r="F116" t="str">
        <f>_xlfn.XLOOKUP(B116,MacReports!B:B,MacReports!D:D,"")</f>
        <v/>
      </c>
      <c r="AB116" t="str">
        <f t="shared" si="3"/>
        <v/>
      </c>
    </row>
    <row r="117" spans="2:28">
      <c r="B117">
        <f>MacReports!B117</f>
        <v>0</v>
      </c>
      <c r="F117" t="str">
        <f>_xlfn.XLOOKUP(B117,MacReports!B:B,MacReports!D:D,"")</f>
        <v/>
      </c>
      <c r="AB117" t="str">
        <f t="shared" si="3"/>
        <v/>
      </c>
    </row>
    <row r="118" spans="2:28">
      <c r="B118">
        <f>MacReports!B118</f>
        <v>0</v>
      </c>
      <c r="F118" t="str">
        <f>_xlfn.XLOOKUP(B118,MacReports!B:B,MacReports!D:D,"")</f>
        <v/>
      </c>
      <c r="AB118" t="str">
        <f t="shared" si="3"/>
        <v/>
      </c>
    </row>
    <row r="119" spans="2:28">
      <c r="B119">
        <f>MacReports!B119</f>
        <v>0</v>
      </c>
      <c r="F119" t="str">
        <f>_xlfn.XLOOKUP(B119,MacReports!B:B,MacReports!D:D,"")</f>
        <v/>
      </c>
      <c r="AB119" t="str">
        <f t="shared" si="3"/>
        <v/>
      </c>
    </row>
    <row r="120" spans="2:28">
      <c r="B120">
        <f>MacReports!B120</f>
        <v>0</v>
      </c>
      <c r="F120" t="str">
        <f>_xlfn.XLOOKUP(B120,MacReports!B:B,MacReports!D:D,"")</f>
        <v/>
      </c>
      <c r="AB120" t="str">
        <f t="shared" si="3"/>
        <v/>
      </c>
    </row>
    <row r="121" spans="2:28">
      <c r="B121">
        <f>MacReports!B121</f>
        <v>0</v>
      </c>
      <c r="F121" t="str">
        <f>_xlfn.XLOOKUP(B121,MacReports!B:B,MacReports!D:D,"")</f>
        <v/>
      </c>
      <c r="AB121" t="str">
        <f t="shared" si="3"/>
        <v/>
      </c>
    </row>
    <row r="122" spans="2:28">
      <c r="B122">
        <f>MacReports!B122</f>
        <v>0</v>
      </c>
      <c r="F122" t="str">
        <f>_xlfn.XLOOKUP(B122,MacReports!B:B,MacReports!D:D,"")</f>
        <v/>
      </c>
      <c r="AB122" t="str">
        <f t="shared" si="3"/>
        <v/>
      </c>
    </row>
    <row r="123" spans="2:28">
      <c r="B123">
        <f>MacReports!B123</f>
        <v>0</v>
      </c>
      <c r="F123" t="str">
        <f>_xlfn.XLOOKUP(B123,MacReports!B:B,MacReports!D:D,"")</f>
        <v/>
      </c>
      <c r="AB123" t="str">
        <f t="shared" si="3"/>
        <v/>
      </c>
    </row>
    <row r="124" spans="2:28">
      <c r="B124">
        <f>MacReports!B124</f>
        <v>0</v>
      </c>
      <c r="F124" t="str">
        <f>_xlfn.XLOOKUP(B124,MacReports!B:B,MacReports!D:D,"")</f>
        <v/>
      </c>
      <c r="AB124" t="str">
        <f t="shared" si="3"/>
        <v/>
      </c>
    </row>
    <row r="125" spans="2:28">
      <c r="B125">
        <f>MacReports!B125</f>
        <v>0</v>
      </c>
      <c r="F125" t="str">
        <f>_xlfn.XLOOKUP(B125,MacReports!B:B,MacReports!D:D,"")</f>
        <v/>
      </c>
      <c r="AB125" t="str">
        <f t="shared" si="3"/>
        <v/>
      </c>
    </row>
    <row r="126" spans="2:28">
      <c r="B126">
        <f>MacReports!B126</f>
        <v>0</v>
      </c>
      <c r="F126" t="str">
        <f>_xlfn.XLOOKUP(B126,MacReports!B:B,MacReports!D:D,"")</f>
        <v/>
      </c>
      <c r="AB126" t="str">
        <f t="shared" si="3"/>
        <v/>
      </c>
    </row>
    <row r="127" spans="2:28">
      <c r="B127">
        <f>MacReports!B127</f>
        <v>0</v>
      </c>
      <c r="F127" t="str">
        <f>_xlfn.XLOOKUP(B127,MacReports!B:B,MacReports!D:D,"")</f>
        <v/>
      </c>
      <c r="AB127" t="str">
        <f t="shared" si="3"/>
        <v/>
      </c>
    </row>
    <row r="128" spans="2:28">
      <c r="B128">
        <f>MacReports!B128</f>
        <v>0</v>
      </c>
      <c r="F128" t="str">
        <f>_xlfn.XLOOKUP(B128,MacReports!B:B,MacReports!D:D,"")</f>
        <v/>
      </c>
      <c r="AB128" t="str">
        <f t="shared" si="3"/>
        <v/>
      </c>
    </row>
    <row r="129" spans="2:28">
      <c r="B129">
        <f>MacReports!B129</f>
        <v>0</v>
      </c>
      <c r="F129" t="str">
        <f>_xlfn.XLOOKUP(B129,MacReports!B:B,MacReports!D:D,"")</f>
        <v/>
      </c>
      <c r="AB129" t="str">
        <f t="shared" si="3"/>
        <v/>
      </c>
    </row>
    <row r="130" spans="2:28">
      <c r="B130">
        <f>MacReports!B130</f>
        <v>0</v>
      </c>
      <c r="F130" t="str">
        <f>_xlfn.XLOOKUP(B130,MacReports!B:B,MacReports!D:D,"")</f>
        <v/>
      </c>
      <c r="AB130" t="str">
        <f t="shared" si="3"/>
        <v/>
      </c>
    </row>
    <row r="131" spans="2:28">
      <c r="B131">
        <f>MacReports!B131</f>
        <v>0</v>
      </c>
      <c r="F131" t="str">
        <f>_xlfn.XLOOKUP(B131,MacReports!B:B,MacReports!D:D,"")</f>
        <v/>
      </c>
      <c r="AB131" t="str">
        <f t="shared" ref="AB131:AB194" si="4">_xlfn.TEXTJOIN(", ",TRUE,Q131,R131)</f>
        <v/>
      </c>
    </row>
    <row r="132" spans="2:28">
      <c r="B132">
        <f>MacReports!B132</f>
        <v>0</v>
      </c>
      <c r="F132" t="str">
        <f>_xlfn.XLOOKUP(B132,MacReports!B:B,MacReports!D:D,"")</f>
        <v/>
      </c>
      <c r="AB132" t="str">
        <f t="shared" si="4"/>
        <v/>
      </c>
    </row>
    <row r="133" spans="2:28">
      <c r="B133">
        <f>MacReports!B133</f>
        <v>0</v>
      </c>
      <c r="F133" t="str">
        <f>_xlfn.XLOOKUP(B133,MacReports!B:B,MacReports!D:D,"")</f>
        <v/>
      </c>
      <c r="AB133" t="str">
        <f t="shared" si="4"/>
        <v/>
      </c>
    </row>
    <row r="134" spans="2:28">
      <c r="B134">
        <f>MacReports!B134</f>
        <v>0</v>
      </c>
      <c r="F134" t="str">
        <f>_xlfn.XLOOKUP(B134,MacReports!B:B,MacReports!D:D,"")</f>
        <v/>
      </c>
      <c r="AB134" t="str">
        <f t="shared" si="4"/>
        <v/>
      </c>
    </row>
    <row r="135" spans="2:28">
      <c r="B135">
        <f>MacReports!B135</f>
        <v>0</v>
      </c>
      <c r="F135" t="str">
        <f>_xlfn.XLOOKUP(B135,MacReports!B:B,MacReports!D:D,"")</f>
        <v/>
      </c>
      <c r="AB135" t="str">
        <f t="shared" si="4"/>
        <v/>
      </c>
    </row>
    <row r="136" spans="2:28">
      <c r="B136">
        <f>MacReports!B136</f>
        <v>0</v>
      </c>
      <c r="F136" t="str">
        <f>_xlfn.XLOOKUP(B136,MacReports!B:B,MacReports!D:D,"")</f>
        <v/>
      </c>
      <c r="AB136" t="str">
        <f t="shared" si="4"/>
        <v/>
      </c>
    </row>
    <row r="137" spans="2:28">
      <c r="B137">
        <f>MacReports!B137</f>
        <v>0</v>
      </c>
      <c r="F137" t="str">
        <f>_xlfn.XLOOKUP(B137,MacReports!B:B,MacReports!D:D,"")</f>
        <v/>
      </c>
      <c r="AB137" t="str">
        <f t="shared" si="4"/>
        <v/>
      </c>
    </row>
    <row r="138" spans="2:28">
      <c r="B138">
        <f>MacReports!B138</f>
        <v>0</v>
      </c>
      <c r="F138" t="str">
        <f>_xlfn.XLOOKUP(B138,MacReports!B:B,MacReports!D:D,"")</f>
        <v/>
      </c>
      <c r="AB138" t="str">
        <f t="shared" si="4"/>
        <v/>
      </c>
    </row>
    <row r="139" spans="2:28">
      <c r="B139">
        <f>MacReports!B139</f>
        <v>0</v>
      </c>
      <c r="F139" t="str">
        <f>_xlfn.XLOOKUP(B139,MacReports!B:B,MacReports!D:D,"")</f>
        <v/>
      </c>
      <c r="AB139" t="str">
        <f t="shared" si="4"/>
        <v/>
      </c>
    </row>
    <row r="140" spans="2:28">
      <c r="B140">
        <f>MacReports!B140</f>
        <v>0</v>
      </c>
      <c r="F140" t="str">
        <f>_xlfn.XLOOKUP(B140,MacReports!B:B,MacReports!D:D,"")</f>
        <v/>
      </c>
      <c r="AB140" t="str">
        <f t="shared" si="4"/>
        <v/>
      </c>
    </row>
    <row r="141" spans="2:28">
      <c r="B141">
        <f>MacReports!B141</f>
        <v>0</v>
      </c>
      <c r="F141" t="str">
        <f>_xlfn.XLOOKUP(B141,MacReports!B:B,MacReports!D:D,"")</f>
        <v/>
      </c>
      <c r="AB141" t="str">
        <f t="shared" si="4"/>
        <v/>
      </c>
    </row>
    <row r="142" spans="2:28">
      <c r="B142">
        <f>MacReports!B142</f>
        <v>0</v>
      </c>
      <c r="F142" t="str">
        <f>_xlfn.XLOOKUP(B142,MacReports!B:B,MacReports!D:D,"")</f>
        <v/>
      </c>
      <c r="AB142" t="str">
        <f t="shared" si="4"/>
        <v/>
      </c>
    </row>
    <row r="143" spans="2:28">
      <c r="B143">
        <f>MacReports!B143</f>
        <v>0</v>
      </c>
      <c r="F143" t="str">
        <f>_xlfn.XLOOKUP(B143,MacReports!B:B,MacReports!D:D,"")</f>
        <v/>
      </c>
      <c r="AB143" t="str">
        <f t="shared" si="4"/>
        <v/>
      </c>
    </row>
    <row r="144" spans="2:28">
      <c r="B144">
        <f>MacReports!B144</f>
        <v>0</v>
      </c>
      <c r="F144" t="str">
        <f>_xlfn.XLOOKUP(B144,MacReports!B:B,MacReports!D:D,"")</f>
        <v/>
      </c>
      <c r="AB144" t="str">
        <f t="shared" si="4"/>
        <v/>
      </c>
    </row>
    <row r="145" spans="2:28">
      <c r="B145">
        <f>MacReports!B145</f>
        <v>0</v>
      </c>
      <c r="F145" t="str">
        <f>_xlfn.XLOOKUP(B145,MacReports!B:B,MacReports!D:D,"")</f>
        <v/>
      </c>
      <c r="AB145" t="str">
        <f t="shared" si="4"/>
        <v/>
      </c>
    </row>
    <row r="146" spans="2:28">
      <c r="B146">
        <f>MacReports!B146</f>
        <v>0</v>
      </c>
      <c r="F146" t="str">
        <f>_xlfn.XLOOKUP(B146,MacReports!B:B,MacReports!D:D,"")</f>
        <v/>
      </c>
      <c r="AB146" t="str">
        <f t="shared" si="4"/>
        <v/>
      </c>
    </row>
    <row r="147" spans="2:28">
      <c r="B147">
        <f>MacReports!B147</f>
        <v>0</v>
      </c>
      <c r="F147" t="str">
        <f>_xlfn.XLOOKUP(B147,MacReports!B:B,MacReports!D:D,"")</f>
        <v/>
      </c>
      <c r="AB147" t="str">
        <f t="shared" si="4"/>
        <v/>
      </c>
    </row>
    <row r="148" spans="2:28">
      <c r="B148">
        <f>MacReports!B148</f>
        <v>0</v>
      </c>
      <c r="F148" t="str">
        <f>_xlfn.XLOOKUP(B148,MacReports!B:B,MacReports!D:D,"")</f>
        <v/>
      </c>
      <c r="AB148" t="str">
        <f t="shared" si="4"/>
        <v/>
      </c>
    </row>
    <row r="149" spans="2:28">
      <c r="B149">
        <f>MacReports!B149</f>
        <v>0</v>
      </c>
      <c r="F149" t="str">
        <f>_xlfn.XLOOKUP(B149,MacReports!B:B,MacReports!D:D,"")</f>
        <v/>
      </c>
      <c r="AB149" t="str">
        <f t="shared" si="4"/>
        <v/>
      </c>
    </row>
    <row r="150" spans="2:28">
      <c r="B150">
        <f>MacReports!B150</f>
        <v>0</v>
      </c>
      <c r="F150" t="str">
        <f>_xlfn.XLOOKUP(B150,MacReports!B:B,MacReports!D:D,"")</f>
        <v/>
      </c>
      <c r="AB150" t="str">
        <f t="shared" si="4"/>
        <v/>
      </c>
    </row>
    <row r="151" spans="2:28">
      <c r="B151">
        <f>MacReports!B151</f>
        <v>0</v>
      </c>
      <c r="F151" t="str">
        <f>_xlfn.XLOOKUP(B151,MacReports!B:B,MacReports!D:D,"")</f>
        <v/>
      </c>
      <c r="AB151" t="str">
        <f t="shared" si="4"/>
        <v/>
      </c>
    </row>
    <row r="152" spans="2:28">
      <c r="B152">
        <f>MacReports!B152</f>
        <v>0</v>
      </c>
      <c r="F152" t="str">
        <f>_xlfn.XLOOKUP(B152,MacReports!B:B,MacReports!D:D,"")</f>
        <v/>
      </c>
      <c r="AB152" t="str">
        <f t="shared" si="4"/>
        <v/>
      </c>
    </row>
    <row r="153" spans="2:28">
      <c r="B153">
        <f>MacReports!B153</f>
        <v>0</v>
      </c>
      <c r="F153" t="str">
        <f>_xlfn.XLOOKUP(B153,MacReports!B:B,MacReports!D:D,"")</f>
        <v/>
      </c>
      <c r="AB153" t="str">
        <f t="shared" si="4"/>
        <v/>
      </c>
    </row>
    <row r="154" spans="2:28">
      <c r="B154">
        <f>MacReports!B154</f>
        <v>0</v>
      </c>
      <c r="F154" t="str">
        <f>_xlfn.XLOOKUP(B154,MacReports!B:B,MacReports!D:D,"")</f>
        <v/>
      </c>
      <c r="AB154" t="str">
        <f t="shared" si="4"/>
        <v/>
      </c>
    </row>
    <row r="155" spans="2:28">
      <c r="B155">
        <f>MacReports!B155</f>
        <v>0</v>
      </c>
      <c r="F155" t="str">
        <f>_xlfn.XLOOKUP(B155,MacReports!B:B,MacReports!D:D,"")</f>
        <v/>
      </c>
      <c r="AB155" t="str">
        <f t="shared" si="4"/>
        <v/>
      </c>
    </row>
    <row r="156" spans="2:28">
      <c r="B156">
        <f>MacReports!B156</f>
        <v>0</v>
      </c>
      <c r="F156" t="str">
        <f>_xlfn.XLOOKUP(B156,MacReports!B:B,MacReports!D:D,"")</f>
        <v/>
      </c>
      <c r="AB156" t="str">
        <f t="shared" si="4"/>
        <v/>
      </c>
    </row>
    <row r="157" spans="2:28">
      <c r="B157">
        <f>MacReports!B157</f>
        <v>0</v>
      </c>
      <c r="F157" t="str">
        <f>_xlfn.XLOOKUP(B157,MacReports!B:B,MacReports!D:D,"")</f>
        <v/>
      </c>
      <c r="AB157" t="str">
        <f t="shared" si="4"/>
        <v/>
      </c>
    </row>
    <row r="158" spans="2:28">
      <c r="B158">
        <f>MacReports!B158</f>
        <v>0</v>
      </c>
      <c r="F158" t="str">
        <f>_xlfn.XLOOKUP(B158,MacReports!B:B,MacReports!D:D,"")</f>
        <v/>
      </c>
      <c r="AB158" t="str">
        <f t="shared" si="4"/>
        <v/>
      </c>
    </row>
    <row r="159" spans="2:28">
      <c r="B159">
        <f>MacReports!B159</f>
        <v>0</v>
      </c>
      <c r="F159" t="str">
        <f>_xlfn.XLOOKUP(B159,MacReports!B:B,MacReports!D:D,"")</f>
        <v/>
      </c>
      <c r="AB159" t="str">
        <f t="shared" si="4"/>
        <v/>
      </c>
    </row>
    <row r="160" spans="2:28">
      <c r="B160">
        <f>MacReports!B160</f>
        <v>0</v>
      </c>
      <c r="F160" t="str">
        <f>_xlfn.XLOOKUP(B160,MacReports!B:B,MacReports!D:D,"")</f>
        <v/>
      </c>
      <c r="AB160" t="str">
        <f t="shared" si="4"/>
        <v/>
      </c>
    </row>
    <row r="161" spans="2:28">
      <c r="B161">
        <f>MacReports!B161</f>
        <v>0</v>
      </c>
      <c r="F161" t="str">
        <f>_xlfn.XLOOKUP(B161,MacReports!B:B,MacReports!D:D,"")</f>
        <v/>
      </c>
      <c r="AB161" t="str">
        <f t="shared" si="4"/>
        <v/>
      </c>
    </row>
    <row r="162" spans="2:28">
      <c r="B162">
        <f>MacReports!B162</f>
        <v>0</v>
      </c>
      <c r="F162" t="str">
        <f>_xlfn.XLOOKUP(B162,MacReports!B:B,MacReports!D:D,"")</f>
        <v/>
      </c>
      <c r="AB162" t="str">
        <f t="shared" si="4"/>
        <v/>
      </c>
    </row>
    <row r="163" spans="2:28">
      <c r="B163">
        <f>MacReports!B163</f>
        <v>0</v>
      </c>
      <c r="F163" t="str">
        <f>_xlfn.XLOOKUP(B163,MacReports!B:B,MacReports!D:D,"")</f>
        <v/>
      </c>
      <c r="AB163" t="str">
        <f t="shared" si="4"/>
        <v/>
      </c>
    </row>
    <row r="164" spans="2:28">
      <c r="B164">
        <f>MacReports!B164</f>
        <v>0</v>
      </c>
      <c r="F164" t="str">
        <f>_xlfn.XLOOKUP(B164,MacReports!B:B,MacReports!D:D,"")</f>
        <v/>
      </c>
      <c r="AB164" t="str">
        <f t="shared" si="4"/>
        <v/>
      </c>
    </row>
    <row r="165" spans="2:28">
      <c r="B165">
        <f>MacReports!B165</f>
        <v>0</v>
      </c>
      <c r="F165" t="str">
        <f>_xlfn.XLOOKUP(B165,MacReports!B:B,MacReports!D:D,"")</f>
        <v/>
      </c>
      <c r="AB165" t="str">
        <f t="shared" si="4"/>
        <v/>
      </c>
    </row>
    <row r="166" spans="2:28">
      <c r="B166">
        <f>MacReports!B166</f>
        <v>0</v>
      </c>
      <c r="F166" t="str">
        <f>_xlfn.XLOOKUP(B166,MacReports!B:B,MacReports!D:D,"")</f>
        <v/>
      </c>
      <c r="AB166" t="str">
        <f t="shared" si="4"/>
        <v/>
      </c>
    </row>
    <row r="167" spans="2:28">
      <c r="B167">
        <f>MacReports!B167</f>
        <v>0</v>
      </c>
      <c r="F167" t="str">
        <f>_xlfn.XLOOKUP(B167,MacReports!B:B,MacReports!D:D,"")</f>
        <v/>
      </c>
      <c r="AB167" t="str">
        <f t="shared" si="4"/>
        <v/>
      </c>
    </row>
    <row r="168" spans="2:28">
      <c r="B168">
        <f>MacReports!B168</f>
        <v>0</v>
      </c>
      <c r="F168" t="str">
        <f>_xlfn.XLOOKUP(B168,MacReports!B:B,MacReports!D:D,"")</f>
        <v/>
      </c>
      <c r="AB168" t="str">
        <f t="shared" si="4"/>
        <v/>
      </c>
    </row>
    <row r="169" spans="2:28">
      <c r="B169">
        <f>MacReports!B169</f>
        <v>0</v>
      </c>
      <c r="F169" t="str">
        <f>_xlfn.XLOOKUP(B169,MacReports!B:B,MacReports!D:D,"")</f>
        <v/>
      </c>
      <c r="AB169" t="str">
        <f t="shared" si="4"/>
        <v/>
      </c>
    </row>
    <row r="170" spans="2:28">
      <c r="B170">
        <f>MacReports!B170</f>
        <v>0</v>
      </c>
      <c r="F170" t="str">
        <f>_xlfn.XLOOKUP(B170,MacReports!B:B,MacReports!D:D,"")</f>
        <v/>
      </c>
      <c r="AB170" t="str">
        <f t="shared" si="4"/>
        <v/>
      </c>
    </row>
    <row r="171" spans="2:28">
      <c r="B171">
        <f>MacReports!B171</f>
        <v>0</v>
      </c>
      <c r="F171" t="str">
        <f>_xlfn.XLOOKUP(B171,MacReports!B:B,MacReports!D:D,"")</f>
        <v/>
      </c>
      <c r="AB171" t="str">
        <f t="shared" si="4"/>
        <v/>
      </c>
    </row>
    <row r="172" spans="2:28">
      <c r="B172">
        <f>MacReports!B172</f>
        <v>0</v>
      </c>
      <c r="F172" t="str">
        <f>_xlfn.XLOOKUP(B172,MacReports!B:B,MacReports!D:D,"")</f>
        <v/>
      </c>
      <c r="AB172" t="str">
        <f t="shared" si="4"/>
        <v/>
      </c>
    </row>
    <row r="173" spans="2:28">
      <c r="B173">
        <f>MacReports!B173</f>
        <v>0</v>
      </c>
      <c r="F173" t="str">
        <f>_xlfn.XLOOKUP(B173,MacReports!B:B,MacReports!D:D,"")</f>
        <v/>
      </c>
      <c r="AB173" t="str">
        <f t="shared" si="4"/>
        <v/>
      </c>
    </row>
    <row r="174" spans="2:28">
      <c r="B174">
        <f>MacReports!B174</f>
        <v>0</v>
      </c>
      <c r="F174" t="str">
        <f>_xlfn.XLOOKUP(B174,MacReports!B:B,MacReports!D:D,"")</f>
        <v/>
      </c>
      <c r="AB174" t="str">
        <f t="shared" si="4"/>
        <v/>
      </c>
    </row>
    <row r="175" spans="2:28">
      <c r="B175">
        <f>MacReports!B175</f>
        <v>0</v>
      </c>
      <c r="F175" t="str">
        <f>_xlfn.XLOOKUP(B175,MacReports!B:B,MacReports!D:D,"")</f>
        <v/>
      </c>
      <c r="AB175" t="str">
        <f t="shared" si="4"/>
        <v/>
      </c>
    </row>
    <row r="176" spans="2:28">
      <c r="B176">
        <f>MacReports!B176</f>
        <v>0</v>
      </c>
      <c r="F176" t="str">
        <f>_xlfn.XLOOKUP(B176,MacReports!B:B,MacReports!D:D,"")</f>
        <v/>
      </c>
      <c r="AB176" t="str">
        <f t="shared" si="4"/>
        <v/>
      </c>
    </row>
    <row r="177" spans="2:28">
      <c r="B177">
        <f>MacReports!B177</f>
        <v>0</v>
      </c>
      <c r="F177" t="str">
        <f>_xlfn.XLOOKUP(B177,MacReports!B:B,MacReports!D:D,"")</f>
        <v/>
      </c>
      <c r="AB177" t="str">
        <f t="shared" si="4"/>
        <v/>
      </c>
    </row>
    <row r="178" spans="2:28">
      <c r="B178">
        <f>MacReports!B178</f>
        <v>0</v>
      </c>
      <c r="F178" t="str">
        <f>_xlfn.XLOOKUP(B178,MacReports!B:B,MacReports!D:D,"")</f>
        <v/>
      </c>
      <c r="AB178" t="str">
        <f t="shared" si="4"/>
        <v/>
      </c>
    </row>
    <row r="179" spans="2:28">
      <c r="B179">
        <f>MacReports!B179</f>
        <v>0</v>
      </c>
      <c r="F179" t="str">
        <f>_xlfn.XLOOKUP(B179,MacReports!B:B,MacReports!D:D,"")</f>
        <v/>
      </c>
      <c r="AB179" t="str">
        <f t="shared" si="4"/>
        <v/>
      </c>
    </row>
    <row r="180" spans="2:28">
      <c r="B180">
        <f>MacReports!B180</f>
        <v>0</v>
      </c>
      <c r="F180" t="str">
        <f>_xlfn.XLOOKUP(B180,MacReports!B:B,MacReports!D:D,"")</f>
        <v/>
      </c>
      <c r="AB180" t="str">
        <f t="shared" si="4"/>
        <v/>
      </c>
    </row>
    <row r="181" spans="2:28">
      <c r="B181">
        <f>MacReports!B181</f>
        <v>0</v>
      </c>
      <c r="F181" t="str">
        <f>_xlfn.XLOOKUP(B181,MacReports!B:B,MacReports!D:D,"")</f>
        <v/>
      </c>
      <c r="AB181" t="str">
        <f t="shared" si="4"/>
        <v/>
      </c>
    </row>
    <row r="182" spans="2:28">
      <c r="B182">
        <f>MacReports!B182</f>
        <v>0</v>
      </c>
      <c r="F182" t="str">
        <f>_xlfn.XLOOKUP(B182,MacReports!B:B,MacReports!D:D,"")</f>
        <v/>
      </c>
      <c r="AB182" t="str">
        <f t="shared" si="4"/>
        <v/>
      </c>
    </row>
    <row r="183" spans="2:28">
      <c r="B183">
        <f>MacReports!B183</f>
        <v>0</v>
      </c>
      <c r="F183" t="str">
        <f>_xlfn.XLOOKUP(B183,MacReports!B:B,MacReports!D:D,"")</f>
        <v/>
      </c>
      <c r="AB183" t="str">
        <f t="shared" si="4"/>
        <v/>
      </c>
    </row>
    <row r="184" spans="2:28">
      <c r="B184">
        <f>MacReports!B184</f>
        <v>0</v>
      </c>
      <c r="F184" t="str">
        <f>_xlfn.XLOOKUP(B184,MacReports!B:B,MacReports!D:D,"")</f>
        <v/>
      </c>
      <c r="AB184" t="str">
        <f t="shared" si="4"/>
        <v/>
      </c>
    </row>
    <row r="185" spans="2:28">
      <c r="B185">
        <f>MacReports!B185</f>
        <v>0</v>
      </c>
      <c r="F185" t="str">
        <f>_xlfn.XLOOKUP(B185,MacReports!B:B,MacReports!D:D,"")</f>
        <v/>
      </c>
      <c r="AB185" t="str">
        <f t="shared" si="4"/>
        <v/>
      </c>
    </row>
    <row r="186" spans="2:28">
      <c r="B186">
        <f>MacReports!B186</f>
        <v>0</v>
      </c>
      <c r="F186" t="str">
        <f>_xlfn.XLOOKUP(B186,MacReports!B:B,MacReports!D:D,"")</f>
        <v/>
      </c>
      <c r="AB186" t="str">
        <f t="shared" si="4"/>
        <v/>
      </c>
    </row>
    <row r="187" spans="2:28">
      <c r="B187">
        <f>MacReports!B187</f>
        <v>0</v>
      </c>
      <c r="F187" t="str">
        <f>_xlfn.XLOOKUP(B187,MacReports!B:B,MacReports!D:D,"")</f>
        <v/>
      </c>
      <c r="AB187" t="str">
        <f t="shared" si="4"/>
        <v/>
      </c>
    </row>
    <row r="188" spans="2:28">
      <c r="B188">
        <f>MacReports!B188</f>
        <v>0</v>
      </c>
      <c r="F188" t="str">
        <f>_xlfn.XLOOKUP(B188,MacReports!B:B,MacReports!D:D,"")</f>
        <v/>
      </c>
      <c r="AB188" t="str">
        <f t="shared" si="4"/>
        <v/>
      </c>
    </row>
    <row r="189" spans="2:28">
      <c r="B189">
        <f>MacReports!B189</f>
        <v>0</v>
      </c>
      <c r="F189" t="str">
        <f>_xlfn.XLOOKUP(B189,MacReports!B:B,MacReports!D:D,"")</f>
        <v/>
      </c>
      <c r="AB189" t="str">
        <f t="shared" si="4"/>
        <v/>
      </c>
    </row>
    <row r="190" spans="2:28">
      <c r="B190">
        <f>MacReports!B190</f>
        <v>0</v>
      </c>
      <c r="F190" t="str">
        <f>_xlfn.XLOOKUP(B190,MacReports!B:B,MacReports!D:D,"")</f>
        <v/>
      </c>
      <c r="AB190" t="str">
        <f t="shared" si="4"/>
        <v/>
      </c>
    </row>
    <row r="191" spans="2:28">
      <c r="B191">
        <f>MacReports!B191</f>
        <v>0</v>
      </c>
      <c r="F191" t="str">
        <f>_xlfn.XLOOKUP(B191,MacReports!B:B,MacReports!D:D,"")</f>
        <v/>
      </c>
      <c r="AB191" t="str">
        <f t="shared" si="4"/>
        <v/>
      </c>
    </row>
    <row r="192" spans="2:28">
      <c r="B192">
        <f>MacReports!B192</f>
        <v>0</v>
      </c>
      <c r="F192" t="str">
        <f>_xlfn.XLOOKUP(B192,MacReports!B:B,MacReports!D:D,"")</f>
        <v/>
      </c>
      <c r="AB192" t="str">
        <f t="shared" si="4"/>
        <v/>
      </c>
    </row>
    <row r="193" spans="2:28">
      <c r="B193">
        <f>MacReports!B193</f>
        <v>0</v>
      </c>
      <c r="F193" t="str">
        <f>_xlfn.XLOOKUP(B193,MacReports!B:B,MacReports!D:D,"")</f>
        <v/>
      </c>
      <c r="AB193" t="str">
        <f t="shared" si="4"/>
        <v/>
      </c>
    </row>
    <row r="194" spans="2:28">
      <c r="B194">
        <f>MacReports!B194</f>
        <v>0</v>
      </c>
      <c r="F194" t="str">
        <f>_xlfn.XLOOKUP(B194,MacReports!B:B,MacReports!D:D,"")</f>
        <v/>
      </c>
      <c r="AB194" t="str">
        <f t="shared" si="4"/>
        <v/>
      </c>
    </row>
    <row r="195" spans="2:28">
      <c r="B195">
        <f>MacReports!B195</f>
        <v>0</v>
      </c>
      <c r="F195" t="str">
        <f>_xlfn.XLOOKUP(B195,MacReports!B:B,MacReports!D:D,"")</f>
        <v/>
      </c>
      <c r="AB195" t="str">
        <f t="shared" ref="AB195:AB258" si="5">_xlfn.TEXTJOIN(", ",TRUE,Q195,R195)</f>
        <v/>
      </c>
    </row>
    <row r="196" spans="2:28">
      <c r="B196">
        <f>MacReports!B196</f>
        <v>0</v>
      </c>
      <c r="F196" t="str">
        <f>_xlfn.XLOOKUP(B196,MacReports!B:B,MacReports!D:D,"")</f>
        <v/>
      </c>
      <c r="AB196" t="str">
        <f t="shared" si="5"/>
        <v/>
      </c>
    </row>
    <row r="197" spans="2:28">
      <c r="B197">
        <f>MacReports!B197</f>
        <v>0</v>
      </c>
      <c r="F197" t="str">
        <f>_xlfn.XLOOKUP(B197,MacReports!B:B,MacReports!D:D,"")</f>
        <v/>
      </c>
      <c r="AB197" t="str">
        <f t="shared" si="5"/>
        <v/>
      </c>
    </row>
    <row r="198" spans="2:28">
      <c r="B198">
        <f>MacReports!B198</f>
        <v>0</v>
      </c>
      <c r="F198" t="str">
        <f>_xlfn.XLOOKUP(B198,MacReports!B:B,MacReports!D:D,"")</f>
        <v/>
      </c>
      <c r="AB198" t="str">
        <f t="shared" si="5"/>
        <v/>
      </c>
    </row>
    <row r="199" spans="2:28">
      <c r="B199">
        <f>MacReports!B199</f>
        <v>0</v>
      </c>
      <c r="F199" t="str">
        <f>_xlfn.XLOOKUP(B199,MacReports!B:B,MacReports!D:D,"")</f>
        <v/>
      </c>
      <c r="AB199" t="str">
        <f t="shared" si="5"/>
        <v/>
      </c>
    </row>
    <row r="200" spans="2:28">
      <c r="B200">
        <f>MacReports!B200</f>
        <v>0</v>
      </c>
      <c r="F200" t="str">
        <f>_xlfn.XLOOKUP(B200,MacReports!B:B,MacReports!D:D,"")</f>
        <v/>
      </c>
      <c r="AB200" t="str">
        <f t="shared" si="5"/>
        <v/>
      </c>
    </row>
    <row r="201" spans="2:28">
      <c r="B201">
        <f>MacReports!B201</f>
        <v>0</v>
      </c>
      <c r="F201" t="str">
        <f>_xlfn.XLOOKUP(B201,MacReports!B:B,MacReports!D:D,"")</f>
        <v/>
      </c>
      <c r="AB201" t="str">
        <f t="shared" si="5"/>
        <v/>
      </c>
    </row>
    <row r="202" spans="2:28">
      <c r="B202">
        <f>MacReports!B202</f>
        <v>0</v>
      </c>
      <c r="F202" t="str">
        <f>_xlfn.XLOOKUP(B202,MacReports!B:B,MacReports!D:D,"")</f>
        <v/>
      </c>
      <c r="AB202" t="str">
        <f t="shared" si="5"/>
        <v/>
      </c>
    </row>
    <row r="203" spans="2:28">
      <c r="B203">
        <f>MacReports!B203</f>
        <v>0</v>
      </c>
      <c r="F203" t="str">
        <f>_xlfn.XLOOKUP(B203,MacReports!B:B,MacReports!D:D,"")</f>
        <v/>
      </c>
      <c r="AB203" t="str">
        <f t="shared" si="5"/>
        <v/>
      </c>
    </row>
    <row r="204" spans="2:28">
      <c r="B204">
        <f>MacReports!B204</f>
        <v>0</v>
      </c>
      <c r="F204" t="str">
        <f>_xlfn.XLOOKUP(B204,MacReports!B:B,MacReports!D:D,"")</f>
        <v/>
      </c>
      <c r="AB204" t="str">
        <f t="shared" si="5"/>
        <v/>
      </c>
    </row>
    <row r="205" spans="2:28">
      <c r="B205">
        <f>MacReports!B205</f>
        <v>0</v>
      </c>
      <c r="F205" t="str">
        <f>_xlfn.XLOOKUP(B205,MacReports!B:B,MacReports!D:D,"")</f>
        <v/>
      </c>
      <c r="AB205" t="str">
        <f t="shared" si="5"/>
        <v/>
      </c>
    </row>
    <row r="206" spans="2:28">
      <c r="B206">
        <f>MacReports!B206</f>
        <v>0</v>
      </c>
      <c r="F206" t="str">
        <f>_xlfn.XLOOKUP(B206,MacReports!B:B,MacReports!D:D,"")</f>
        <v/>
      </c>
      <c r="AB206" t="str">
        <f t="shared" si="5"/>
        <v/>
      </c>
    </row>
    <row r="207" spans="2:28">
      <c r="B207">
        <f>MacReports!B207</f>
        <v>0</v>
      </c>
      <c r="F207" t="str">
        <f>_xlfn.XLOOKUP(B207,MacReports!B:B,MacReports!D:D,"")</f>
        <v/>
      </c>
      <c r="AB207" t="str">
        <f t="shared" si="5"/>
        <v/>
      </c>
    </row>
    <row r="208" spans="2:28">
      <c r="B208">
        <f>MacReports!B208</f>
        <v>0</v>
      </c>
      <c r="F208" t="str">
        <f>_xlfn.XLOOKUP(B208,MacReports!B:B,MacReports!D:D,"")</f>
        <v/>
      </c>
      <c r="AB208" t="str">
        <f t="shared" si="5"/>
        <v/>
      </c>
    </row>
    <row r="209" spans="2:28">
      <c r="B209">
        <f>MacReports!B209</f>
        <v>0</v>
      </c>
      <c r="F209" t="str">
        <f>_xlfn.XLOOKUP(B209,MacReports!B:B,MacReports!D:D,"")</f>
        <v/>
      </c>
      <c r="AB209" t="str">
        <f t="shared" si="5"/>
        <v/>
      </c>
    </row>
    <row r="210" spans="2:28">
      <c r="B210">
        <f>MacReports!B210</f>
        <v>0</v>
      </c>
      <c r="F210" t="str">
        <f>_xlfn.XLOOKUP(B210,MacReports!B:B,MacReports!D:D,"")</f>
        <v/>
      </c>
      <c r="AB210" t="str">
        <f t="shared" si="5"/>
        <v/>
      </c>
    </row>
    <row r="211" spans="2:28">
      <c r="B211">
        <f>MacReports!B211</f>
        <v>0</v>
      </c>
      <c r="F211" t="str">
        <f>_xlfn.XLOOKUP(B211,MacReports!B:B,MacReports!D:D,"")</f>
        <v/>
      </c>
      <c r="AB211" t="str">
        <f t="shared" si="5"/>
        <v/>
      </c>
    </row>
    <row r="212" spans="2:28">
      <c r="B212">
        <f>MacReports!B212</f>
        <v>0</v>
      </c>
      <c r="F212" t="str">
        <f>_xlfn.XLOOKUP(B212,MacReports!B:B,MacReports!D:D,"")</f>
        <v/>
      </c>
      <c r="AB212" t="str">
        <f t="shared" si="5"/>
        <v/>
      </c>
    </row>
    <row r="213" spans="2:28">
      <c r="B213">
        <f>MacReports!B213</f>
        <v>0</v>
      </c>
      <c r="F213" t="str">
        <f>_xlfn.XLOOKUP(B213,MacReports!B:B,MacReports!D:D,"")</f>
        <v/>
      </c>
      <c r="AB213" t="str">
        <f t="shared" si="5"/>
        <v/>
      </c>
    </row>
    <row r="214" spans="2:28">
      <c r="B214">
        <f>MacReports!B214</f>
        <v>0</v>
      </c>
      <c r="F214" t="str">
        <f>_xlfn.XLOOKUP(B214,MacReports!B:B,MacReports!D:D,"")</f>
        <v/>
      </c>
      <c r="AB214" t="str">
        <f t="shared" si="5"/>
        <v/>
      </c>
    </row>
    <row r="215" spans="2:28">
      <c r="B215">
        <f>MacReports!B215</f>
        <v>0</v>
      </c>
      <c r="F215" t="str">
        <f>_xlfn.XLOOKUP(B215,MacReports!B:B,MacReports!D:D,"")</f>
        <v/>
      </c>
      <c r="AB215" t="str">
        <f t="shared" si="5"/>
        <v/>
      </c>
    </row>
    <row r="216" spans="2:28">
      <c r="B216">
        <f>MacReports!B216</f>
        <v>0</v>
      </c>
      <c r="F216" t="str">
        <f>_xlfn.XLOOKUP(B216,MacReports!B:B,MacReports!D:D,"")</f>
        <v/>
      </c>
      <c r="AB216" t="str">
        <f t="shared" si="5"/>
        <v/>
      </c>
    </row>
    <row r="217" spans="2:28">
      <c r="B217">
        <f>MacReports!B217</f>
        <v>0</v>
      </c>
      <c r="F217" t="str">
        <f>_xlfn.XLOOKUP(B217,MacReports!B:B,MacReports!D:D,"")</f>
        <v/>
      </c>
      <c r="AB217" t="str">
        <f t="shared" si="5"/>
        <v/>
      </c>
    </row>
    <row r="218" spans="2:28">
      <c r="B218">
        <f>MacReports!B218</f>
        <v>0</v>
      </c>
      <c r="F218" t="str">
        <f>_xlfn.XLOOKUP(B218,MacReports!B:B,MacReports!D:D,"")</f>
        <v/>
      </c>
      <c r="AB218" t="str">
        <f t="shared" si="5"/>
        <v/>
      </c>
    </row>
    <row r="219" spans="2:28">
      <c r="B219">
        <f>MacReports!B219</f>
        <v>0</v>
      </c>
      <c r="F219" t="str">
        <f>_xlfn.XLOOKUP(B219,MacReports!B:B,MacReports!D:D,"")</f>
        <v/>
      </c>
      <c r="AB219" t="str">
        <f t="shared" si="5"/>
        <v/>
      </c>
    </row>
    <row r="220" spans="2:28">
      <c r="B220">
        <f>MacReports!B220</f>
        <v>0</v>
      </c>
      <c r="F220" t="str">
        <f>_xlfn.XLOOKUP(B220,MacReports!B:B,MacReports!D:D,"")</f>
        <v/>
      </c>
      <c r="AB220" t="str">
        <f t="shared" si="5"/>
        <v/>
      </c>
    </row>
    <row r="221" spans="2:28">
      <c r="B221">
        <f>MacReports!B221</f>
        <v>0</v>
      </c>
      <c r="F221" t="str">
        <f>_xlfn.XLOOKUP(B221,MacReports!B:B,MacReports!D:D,"")</f>
        <v/>
      </c>
      <c r="AB221" t="str">
        <f t="shared" si="5"/>
        <v/>
      </c>
    </row>
    <row r="222" spans="2:28">
      <c r="B222">
        <f>MacReports!B222</f>
        <v>0</v>
      </c>
      <c r="F222" t="str">
        <f>_xlfn.XLOOKUP(B222,MacReports!B:B,MacReports!D:D,"")</f>
        <v/>
      </c>
      <c r="AB222" t="str">
        <f t="shared" si="5"/>
        <v/>
      </c>
    </row>
    <row r="223" spans="2:28">
      <c r="B223">
        <f>MacReports!B223</f>
        <v>0</v>
      </c>
      <c r="F223" t="str">
        <f>_xlfn.XLOOKUP(B223,MacReports!B:B,MacReports!D:D,"")</f>
        <v/>
      </c>
      <c r="AB223" t="str">
        <f t="shared" si="5"/>
        <v/>
      </c>
    </row>
    <row r="224" spans="2:28">
      <c r="B224">
        <f>MacReports!B224</f>
        <v>0</v>
      </c>
      <c r="F224" t="str">
        <f>_xlfn.XLOOKUP(B224,MacReports!B:B,MacReports!D:D,"")</f>
        <v/>
      </c>
      <c r="AB224" t="str">
        <f t="shared" si="5"/>
        <v/>
      </c>
    </row>
    <row r="225" spans="2:28">
      <c r="B225">
        <f>MacReports!B225</f>
        <v>0</v>
      </c>
      <c r="F225" t="str">
        <f>_xlfn.XLOOKUP(B225,MacReports!B:B,MacReports!D:D,"")</f>
        <v/>
      </c>
      <c r="AB225" t="str">
        <f t="shared" si="5"/>
        <v/>
      </c>
    </row>
    <row r="226" spans="2:28">
      <c r="B226">
        <f>MacReports!B226</f>
        <v>0</v>
      </c>
      <c r="F226" t="str">
        <f>_xlfn.XLOOKUP(B226,MacReports!B:B,MacReports!D:D,"")</f>
        <v/>
      </c>
      <c r="AB226" t="str">
        <f t="shared" si="5"/>
        <v/>
      </c>
    </row>
    <row r="227" spans="2:28">
      <c r="B227">
        <f>MacReports!B227</f>
        <v>0</v>
      </c>
      <c r="F227" t="str">
        <f>_xlfn.XLOOKUP(B227,MacReports!B:B,MacReports!D:D,"")</f>
        <v/>
      </c>
      <c r="AB227" t="str">
        <f t="shared" si="5"/>
        <v/>
      </c>
    </row>
    <row r="228" spans="2:28">
      <c r="B228">
        <f>MacReports!B228</f>
        <v>0</v>
      </c>
      <c r="F228" t="str">
        <f>_xlfn.XLOOKUP(B228,MacReports!B:B,MacReports!D:D,"")</f>
        <v/>
      </c>
      <c r="AB228" t="str">
        <f t="shared" si="5"/>
        <v/>
      </c>
    </row>
    <row r="229" spans="2:28">
      <c r="B229">
        <f>MacReports!B229</f>
        <v>0</v>
      </c>
      <c r="F229" t="str">
        <f>_xlfn.XLOOKUP(B229,MacReports!B:B,MacReports!D:D,"")</f>
        <v/>
      </c>
      <c r="AB229" t="str">
        <f t="shared" si="5"/>
        <v/>
      </c>
    </row>
    <row r="230" spans="2:28">
      <c r="B230">
        <f>MacReports!B230</f>
        <v>0</v>
      </c>
      <c r="F230" t="str">
        <f>_xlfn.XLOOKUP(B230,MacReports!B:B,MacReports!D:D,"")</f>
        <v/>
      </c>
      <c r="AB230" t="str">
        <f t="shared" si="5"/>
        <v/>
      </c>
    </row>
    <row r="231" spans="2:28">
      <c r="B231">
        <f>MacReports!B231</f>
        <v>0</v>
      </c>
      <c r="F231" t="str">
        <f>_xlfn.XLOOKUP(B231,MacReports!B:B,MacReports!D:D,"")</f>
        <v/>
      </c>
      <c r="AB231" t="str">
        <f t="shared" si="5"/>
        <v/>
      </c>
    </row>
    <row r="232" spans="2:28">
      <c r="B232">
        <f>MacReports!B232</f>
        <v>0</v>
      </c>
      <c r="F232" t="str">
        <f>_xlfn.XLOOKUP(B232,MacReports!B:B,MacReports!D:D,"")</f>
        <v/>
      </c>
      <c r="AB232" t="str">
        <f t="shared" si="5"/>
        <v/>
      </c>
    </row>
    <row r="233" spans="2:28">
      <c r="B233">
        <f>MacReports!B233</f>
        <v>0</v>
      </c>
      <c r="F233" t="str">
        <f>_xlfn.XLOOKUP(B233,MacReports!B:B,MacReports!D:D,"")</f>
        <v/>
      </c>
      <c r="AB233" t="str">
        <f t="shared" si="5"/>
        <v/>
      </c>
    </row>
    <row r="234" spans="2:28">
      <c r="B234">
        <f>MacReports!B234</f>
        <v>0</v>
      </c>
      <c r="F234" t="str">
        <f>_xlfn.XLOOKUP(B234,MacReports!B:B,MacReports!D:D,"")</f>
        <v/>
      </c>
      <c r="AB234" t="str">
        <f t="shared" si="5"/>
        <v/>
      </c>
    </row>
    <row r="235" spans="2:28">
      <c r="B235">
        <f>MacReports!B235</f>
        <v>0</v>
      </c>
      <c r="F235" t="str">
        <f>_xlfn.XLOOKUP(B235,MacReports!B:B,MacReports!D:D,"")</f>
        <v/>
      </c>
      <c r="AB235" t="str">
        <f t="shared" si="5"/>
        <v/>
      </c>
    </row>
    <row r="236" spans="2:28">
      <c r="B236">
        <f>MacReports!B236</f>
        <v>0</v>
      </c>
      <c r="F236" t="str">
        <f>_xlfn.XLOOKUP(B236,MacReports!B:B,MacReports!D:D,"")</f>
        <v/>
      </c>
      <c r="AB236" t="str">
        <f t="shared" si="5"/>
        <v/>
      </c>
    </row>
    <row r="237" spans="2:28">
      <c r="B237">
        <f>MacReports!B237</f>
        <v>0</v>
      </c>
      <c r="F237" t="str">
        <f>_xlfn.XLOOKUP(B237,MacReports!B:B,MacReports!D:D,"")</f>
        <v/>
      </c>
      <c r="AB237" t="str">
        <f t="shared" si="5"/>
        <v/>
      </c>
    </row>
    <row r="238" spans="2:28">
      <c r="B238">
        <f>MacReports!B238</f>
        <v>0</v>
      </c>
      <c r="F238" t="str">
        <f>_xlfn.XLOOKUP(B238,MacReports!B:B,MacReports!D:D,"")</f>
        <v/>
      </c>
      <c r="AB238" t="str">
        <f t="shared" si="5"/>
        <v/>
      </c>
    </row>
    <row r="239" spans="2:28">
      <c r="B239">
        <f>MacReports!B239</f>
        <v>0</v>
      </c>
      <c r="F239" t="str">
        <f>_xlfn.XLOOKUP(B239,MacReports!B:B,MacReports!D:D,"")</f>
        <v/>
      </c>
      <c r="AB239" t="str">
        <f t="shared" si="5"/>
        <v/>
      </c>
    </row>
    <row r="240" spans="2:28">
      <c r="B240">
        <f>MacReports!B240</f>
        <v>0</v>
      </c>
      <c r="F240" t="str">
        <f>_xlfn.XLOOKUP(B240,MacReports!B:B,MacReports!D:D,"")</f>
        <v/>
      </c>
      <c r="AB240" t="str">
        <f t="shared" si="5"/>
        <v/>
      </c>
    </row>
    <row r="241" spans="2:28">
      <c r="B241">
        <f>MacReports!B241</f>
        <v>0</v>
      </c>
      <c r="F241" t="str">
        <f>_xlfn.XLOOKUP(B241,MacReports!B:B,MacReports!D:D,"")</f>
        <v/>
      </c>
      <c r="AB241" t="str">
        <f t="shared" si="5"/>
        <v/>
      </c>
    </row>
    <row r="242" spans="2:28">
      <c r="B242">
        <f>MacReports!B242</f>
        <v>0</v>
      </c>
      <c r="F242" t="str">
        <f>_xlfn.XLOOKUP(B242,MacReports!B:B,MacReports!D:D,"")</f>
        <v/>
      </c>
      <c r="AB242" t="str">
        <f t="shared" si="5"/>
        <v/>
      </c>
    </row>
    <row r="243" spans="2:28">
      <c r="B243">
        <f>MacReports!B243</f>
        <v>0</v>
      </c>
      <c r="F243" t="str">
        <f>_xlfn.XLOOKUP(B243,MacReports!B:B,MacReports!D:D,"")</f>
        <v/>
      </c>
      <c r="AB243" t="str">
        <f t="shared" si="5"/>
        <v/>
      </c>
    </row>
    <row r="244" spans="2:28">
      <c r="B244">
        <f>MacReports!B244</f>
        <v>0</v>
      </c>
      <c r="F244" t="str">
        <f>_xlfn.XLOOKUP(B244,MacReports!B:B,MacReports!D:D,"")</f>
        <v/>
      </c>
      <c r="AB244" t="str">
        <f t="shared" si="5"/>
        <v/>
      </c>
    </row>
    <row r="245" spans="2:28">
      <c r="B245">
        <f>MacReports!B245</f>
        <v>0</v>
      </c>
      <c r="F245" t="str">
        <f>_xlfn.XLOOKUP(B245,MacReports!B:B,MacReports!D:D,"")</f>
        <v/>
      </c>
      <c r="AB245" t="str">
        <f t="shared" si="5"/>
        <v/>
      </c>
    </row>
    <row r="246" spans="2:28">
      <c r="B246">
        <f>MacReports!B246</f>
        <v>0</v>
      </c>
      <c r="F246" t="str">
        <f>_xlfn.XLOOKUP(B246,MacReports!B:B,MacReports!D:D,"")</f>
        <v/>
      </c>
      <c r="AB246" t="str">
        <f t="shared" si="5"/>
        <v/>
      </c>
    </row>
    <row r="247" spans="2:28">
      <c r="B247">
        <f>MacReports!B247</f>
        <v>0</v>
      </c>
      <c r="F247" t="str">
        <f>_xlfn.XLOOKUP(B247,MacReports!B:B,MacReports!D:D,"")</f>
        <v/>
      </c>
      <c r="AB247" t="str">
        <f t="shared" si="5"/>
        <v/>
      </c>
    </row>
    <row r="248" spans="2:28">
      <c r="B248">
        <f>MacReports!B248</f>
        <v>0</v>
      </c>
      <c r="F248" t="str">
        <f>_xlfn.XLOOKUP(B248,MacReports!B:B,MacReports!D:D,"")</f>
        <v/>
      </c>
      <c r="AB248" t="str">
        <f t="shared" si="5"/>
        <v/>
      </c>
    </row>
    <row r="249" spans="2:28">
      <c r="B249">
        <f>MacReports!B249</f>
        <v>0</v>
      </c>
      <c r="F249" t="str">
        <f>_xlfn.XLOOKUP(B249,MacReports!B:B,MacReports!D:D,"")</f>
        <v/>
      </c>
      <c r="AB249" t="str">
        <f t="shared" si="5"/>
        <v/>
      </c>
    </row>
    <row r="250" spans="2:28">
      <c r="B250">
        <f>MacReports!B250</f>
        <v>0</v>
      </c>
      <c r="F250" t="str">
        <f>_xlfn.XLOOKUP(B250,MacReports!B:B,MacReports!D:D,"")</f>
        <v/>
      </c>
      <c r="AB250" t="str">
        <f t="shared" si="5"/>
        <v/>
      </c>
    </row>
    <row r="251" spans="2:28">
      <c r="B251">
        <f>MacReports!B251</f>
        <v>0</v>
      </c>
      <c r="F251" t="str">
        <f>_xlfn.XLOOKUP(B251,MacReports!B:B,MacReports!D:D,"")</f>
        <v/>
      </c>
      <c r="AB251" t="str">
        <f t="shared" si="5"/>
        <v/>
      </c>
    </row>
    <row r="252" spans="2:28">
      <c r="B252">
        <f>MacReports!B252</f>
        <v>0</v>
      </c>
      <c r="F252" t="str">
        <f>_xlfn.XLOOKUP(B252,MacReports!B:B,MacReports!D:D,"")</f>
        <v/>
      </c>
      <c r="AB252" t="str">
        <f t="shared" si="5"/>
        <v/>
      </c>
    </row>
    <row r="253" spans="2:28">
      <c r="B253">
        <f>MacReports!B253</f>
        <v>0</v>
      </c>
      <c r="F253" t="str">
        <f>_xlfn.XLOOKUP(B253,MacReports!B:B,MacReports!D:D,"")</f>
        <v/>
      </c>
      <c r="AB253" t="str">
        <f t="shared" si="5"/>
        <v/>
      </c>
    </row>
    <row r="254" spans="2:28">
      <c r="B254">
        <f>MacReports!B254</f>
        <v>0</v>
      </c>
      <c r="F254" t="str">
        <f>_xlfn.XLOOKUP(B254,MacReports!B:B,MacReports!D:D,"")</f>
        <v/>
      </c>
      <c r="AB254" t="str">
        <f t="shared" si="5"/>
        <v/>
      </c>
    </row>
    <row r="255" spans="2:28">
      <c r="F255" t="str">
        <f>_xlfn.XLOOKUP(B255,MacReports!B:B,MacReports!D:D,"")</f>
        <v/>
      </c>
      <c r="AB255" t="str">
        <f t="shared" si="5"/>
        <v/>
      </c>
    </row>
    <row r="256" spans="2:28">
      <c r="F256" t="str">
        <f>_xlfn.XLOOKUP(B256,MacReports!B:B,MacReports!D:D,"")</f>
        <v/>
      </c>
      <c r="AB256" t="str">
        <f t="shared" si="5"/>
        <v/>
      </c>
    </row>
    <row r="257" spans="6:28">
      <c r="F257" t="str">
        <f>_xlfn.XLOOKUP(B257,MacReports!B:B,MacReports!D:D,"")</f>
        <v/>
      </c>
      <c r="AB257" t="str">
        <f t="shared" si="5"/>
        <v/>
      </c>
    </row>
    <row r="258" spans="6:28">
      <c r="F258" t="str">
        <f>_xlfn.XLOOKUP(B258,MacReports!B:B,MacReports!D:D,"")</f>
        <v/>
      </c>
      <c r="AB258" t="str">
        <f t="shared" si="5"/>
        <v/>
      </c>
    </row>
    <row r="259" spans="6:28">
      <c r="F259" t="str">
        <f>_xlfn.XLOOKUP(B259,MacReports!B:B,MacReports!D:D,"")</f>
        <v/>
      </c>
      <c r="AB259" t="str">
        <f t="shared" ref="AB259:AB271" si="6">_xlfn.TEXTJOIN(", ",TRUE,Q259,R259)</f>
        <v/>
      </c>
    </row>
    <row r="260" spans="6:28">
      <c r="F260" t="str">
        <f>_xlfn.XLOOKUP(B260,MacReports!B:B,MacReports!D:D,"")</f>
        <v/>
      </c>
      <c r="AB260" t="str">
        <f t="shared" si="6"/>
        <v/>
      </c>
    </row>
    <row r="261" spans="6:28">
      <c r="F261" t="str">
        <f>_xlfn.XLOOKUP(B261,MacReports!B:B,MacReports!D:D,"")</f>
        <v/>
      </c>
      <c r="AB261" t="str">
        <f t="shared" si="6"/>
        <v/>
      </c>
    </row>
    <row r="262" spans="6:28">
      <c r="F262" t="str">
        <f>_xlfn.XLOOKUP(B262,MacReports!B:B,MacReports!D:D,"")</f>
        <v/>
      </c>
      <c r="AB262" t="str">
        <f t="shared" si="6"/>
        <v/>
      </c>
    </row>
    <row r="263" spans="6:28">
      <c r="F263" t="str">
        <f>_xlfn.XLOOKUP(B263,MacReports!B:B,MacReports!D:D,"")</f>
        <v/>
      </c>
      <c r="AB263" t="str">
        <f t="shared" si="6"/>
        <v/>
      </c>
    </row>
    <row r="264" spans="6:28">
      <c r="F264" t="str">
        <f>_xlfn.XLOOKUP(B264,MacReports!B:B,MacReports!D:D,"")</f>
        <v/>
      </c>
      <c r="AB264" t="str">
        <f t="shared" si="6"/>
        <v/>
      </c>
    </row>
    <row r="265" spans="6:28">
      <c r="F265" t="str">
        <f>_xlfn.XLOOKUP(B265,MacReports!B:B,MacReports!D:D,"")</f>
        <v/>
      </c>
      <c r="AB265" t="str">
        <f t="shared" si="6"/>
        <v/>
      </c>
    </row>
    <row r="266" spans="6:28">
      <c r="F266" t="str">
        <f>_xlfn.XLOOKUP(B266,MacReports!B:B,MacReports!D:D,"")</f>
        <v/>
      </c>
      <c r="AB266" t="str">
        <f t="shared" si="6"/>
        <v/>
      </c>
    </row>
    <row r="267" spans="6:28">
      <c r="F267" t="str">
        <f>_xlfn.XLOOKUP(B267,MacReports!B:B,MacReports!D:D,"")</f>
        <v/>
      </c>
      <c r="AB267" t="str">
        <f t="shared" si="6"/>
        <v/>
      </c>
    </row>
    <row r="268" spans="6:28">
      <c r="F268" t="str">
        <f>_xlfn.XLOOKUP(B268,MacReports!B:B,MacReports!D:D,"")</f>
        <v/>
      </c>
      <c r="AB268" t="str">
        <f t="shared" si="6"/>
        <v/>
      </c>
    </row>
    <row r="269" spans="6:28">
      <c r="F269" t="str">
        <f>_xlfn.XLOOKUP(B269,MacReports!B:B,MacReports!D:D,"")</f>
        <v/>
      </c>
      <c r="AB269" t="str">
        <f t="shared" si="6"/>
        <v/>
      </c>
    </row>
    <row r="270" spans="6:28">
      <c r="F270" t="str">
        <f>_xlfn.XLOOKUP(B270,MacReports!B:B,MacReports!D:D,"")</f>
        <v/>
      </c>
      <c r="AB270" t="str">
        <f t="shared" si="6"/>
        <v/>
      </c>
    </row>
    <row r="271" spans="6:28">
      <c r="F271" t="str">
        <f>_xlfn.XLOOKUP(B271,MacReports!B:B,MacReports!D:D,"")</f>
        <v/>
      </c>
      <c r="AB271" t="str">
        <f t="shared" si="6"/>
        <v/>
      </c>
    </row>
    <row r="272" spans="6:28">
      <c r="F272">
        <f>_xlfn.XLOOKUP(B272,MacReports!B:B,MacReports!D:D,"")</f>
        <v>0</v>
      </c>
    </row>
    <row r="273" spans="6:6">
      <c r="F273" t="str">
        <f>_xlfn.XLOOKUP(B273,MacReports!B:B,MacReports!D:D,"")</f>
        <v/>
      </c>
    </row>
    <row r="274" spans="6:6">
      <c r="F274" t="str">
        <f>_xlfn.XLOOKUP(B274,MacReports!B:B,MacReports!D:D,"")</f>
        <v/>
      </c>
    </row>
    <row r="275" spans="6:6">
      <c r="F275" t="str">
        <f>_xlfn.XLOOKUP(B275,MacReports!B:B,MacReports!D:D,"")</f>
        <v/>
      </c>
    </row>
    <row r="276" spans="6:6">
      <c r="F276" t="str">
        <f>_xlfn.XLOOKUP(B276,MacReports!B:B,MacReports!D:D,"")</f>
        <v/>
      </c>
    </row>
    <row r="277" spans="6:6">
      <c r="F277" t="str">
        <f>_xlfn.XLOOKUP(B277,MacReports!B:B,MacReports!D:D,"")</f>
        <v/>
      </c>
    </row>
    <row r="278" spans="6:6">
      <c r="F278" t="str">
        <f>_xlfn.XLOOKUP(B278,MacReports!B:B,MacReports!D:D,"")</f>
        <v/>
      </c>
    </row>
    <row r="279" spans="6:6">
      <c r="F279" t="str">
        <f>_xlfn.XLOOKUP(B279,MacReports!B:B,MacReports!D:D,"")</f>
        <v/>
      </c>
    </row>
    <row r="280" spans="6:6">
      <c r="F280" t="str">
        <f>_xlfn.XLOOKUP(B280,MacReports!B:B,MacReports!D:D,"")</f>
        <v/>
      </c>
    </row>
    <row r="281" spans="6:6">
      <c r="F281" t="str">
        <f>_xlfn.XLOOKUP(B281,MacReports!B:B,MacReports!D:D,"")</f>
        <v/>
      </c>
    </row>
    <row r="282" spans="6:6">
      <c r="F282" t="str">
        <f>_xlfn.XLOOKUP(B282,MacReports!B:B,MacReports!D:D,"")</f>
        <v/>
      </c>
    </row>
    <row r="283" spans="6:6">
      <c r="F283" t="str">
        <f>_xlfn.XLOOKUP(B283,MacReports!B:B,MacReports!D:D,"")</f>
        <v/>
      </c>
    </row>
    <row r="284" spans="6:6">
      <c r="F284" t="str">
        <f>_xlfn.XLOOKUP(B284,MacReports!B:B,MacReports!D:D,"")</f>
        <v/>
      </c>
    </row>
    <row r="285" spans="6:6">
      <c r="F285" t="str">
        <f>_xlfn.XLOOKUP(B285,MacReports!B:B,MacReports!D:D,"")</f>
        <v/>
      </c>
    </row>
    <row r="286" spans="6:6">
      <c r="F286" t="str">
        <f>_xlfn.XLOOKUP(B286,MacReports!B:B,MacReports!D:D,"")</f>
        <v/>
      </c>
    </row>
    <row r="287" spans="6:6">
      <c r="F287" t="str">
        <f>_xlfn.XLOOKUP(B287,MacReports!B:B,MacReports!D:D,"")</f>
        <v/>
      </c>
    </row>
    <row r="288" spans="6:6">
      <c r="F288" t="str">
        <f>_xlfn.XLOOKUP(B288,MacReports!B:B,MacReports!D:D,"")</f>
        <v/>
      </c>
    </row>
    <row r="289" spans="6:6">
      <c r="F289" t="str">
        <f>_xlfn.XLOOKUP(B289,MacReports!B:B,MacReports!D:D,"")</f>
        <v/>
      </c>
    </row>
    <row r="290" spans="6:6">
      <c r="F290">
        <f>_xlfn.XLOOKUP(B290,MacReports!B:B,MacReports!D:D,"")</f>
        <v>0</v>
      </c>
    </row>
    <row r="291" spans="6:6">
      <c r="F291" t="str">
        <f>_xlfn.XLOOKUP(B291,MacReports!B:B,MacReports!D:D,"")</f>
        <v/>
      </c>
    </row>
    <row r="292" spans="6:6">
      <c r="F292" t="str">
        <f>_xlfn.XLOOKUP(B292,MacReports!B:B,MacReports!D:D,"")</f>
        <v/>
      </c>
    </row>
    <row r="293" spans="6:6">
      <c r="F293" t="str">
        <f>_xlfn.XLOOKUP(B293,MacReports!B:B,MacReports!D:D,"")</f>
        <v/>
      </c>
    </row>
    <row r="294" spans="6:6">
      <c r="F294" t="str">
        <f>_xlfn.XLOOKUP(B294,MacReports!B:B,MacReports!D:D,"")</f>
        <v/>
      </c>
    </row>
    <row r="295" spans="6:6">
      <c r="F295" t="str">
        <f>_xlfn.XLOOKUP(B295,MacReports!B:B,MacReports!D:D,"")</f>
        <v/>
      </c>
    </row>
    <row r="296" spans="6:6">
      <c r="F296" t="str">
        <f>_xlfn.XLOOKUP(B296,MacReports!B:B,MacReports!D:D,"")</f>
        <v/>
      </c>
    </row>
    <row r="297" spans="6:6">
      <c r="F297" t="str">
        <f>_xlfn.XLOOKUP(B297,MacReports!B:B,MacReports!D:D,"")</f>
        <v/>
      </c>
    </row>
    <row r="298" spans="6:6">
      <c r="F298" t="str">
        <f>_xlfn.XLOOKUP(B298,MacReports!B:B,MacReports!D:D,"")</f>
        <v/>
      </c>
    </row>
    <row r="299" spans="6:6">
      <c r="F299" t="str">
        <f>_xlfn.XLOOKUP(B299,MacReports!B:B,MacReports!D:D,"")</f>
        <v/>
      </c>
    </row>
    <row r="300" spans="6:6">
      <c r="F300" t="str">
        <f>_xlfn.XLOOKUP(B300,MacReports!B:B,MacReports!D:D,"")</f>
        <v/>
      </c>
    </row>
    <row r="301" spans="6:6">
      <c r="F301" t="str">
        <f>_xlfn.XLOOKUP(B301,MacReports!B:B,MacReports!D:D,"")</f>
        <v/>
      </c>
    </row>
    <row r="302" spans="6:6">
      <c r="F302">
        <f>_xlfn.XLOOKUP(B302,MacReports!B:B,MacReports!D:D,"")</f>
        <v>0</v>
      </c>
    </row>
    <row r="303" spans="6:6">
      <c r="F303" t="str">
        <f>_xlfn.XLOOKUP(B303,MacReports!B:B,MacReports!D:D,"")</f>
        <v/>
      </c>
    </row>
    <row r="304" spans="6:6">
      <c r="F304" t="str">
        <f>_xlfn.XLOOKUP(B304,MacReports!B:B,MacReports!D:D,"")</f>
        <v/>
      </c>
    </row>
    <row r="305" spans="6:6">
      <c r="F305" t="str">
        <f>_xlfn.XLOOKUP(B305,MacReports!B:B,MacReports!D:D,"")</f>
        <v/>
      </c>
    </row>
    <row r="306" spans="6:6">
      <c r="F306" t="str">
        <f>_xlfn.XLOOKUP(B306,MacReports!B:B,MacReports!D:D,"")</f>
        <v/>
      </c>
    </row>
    <row r="307" spans="6:6">
      <c r="F307" t="str">
        <f>_xlfn.XLOOKUP(B307,MacReports!B:B,MacReports!D:D,"")</f>
        <v/>
      </c>
    </row>
    <row r="308" spans="6:6">
      <c r="F308">
        <f>_xlfn.XLOOKUP(B308,MacReports!B:B,MacReports!D:D,"")</f>
        <v>0</v>
      </c>
    </row>
    <row r="309" spans="6:6">
      <c r="F309" t="str">
        <f>_xlfn.XLOOKUP(B309,MacReports!B:B,MacReports!D:D,"")</f>
        <v/>
      </c>
    </row>
    <row r="310" spans="6:6">
      <c r="F310" t="str">
        <f>_xlfn.XLOOKUP(B310,MacReports!B:B,MacReports!D:D,"")</f>
        <v/>
      </c>
    </row>
    <row r="311" spans="6:6">
      <c r="F311" t="str">
        <f>_xlfn.XLOOKUP(B311,MacReports!B:B,MacReports!D:D,"")</f>
        <v/>
      </c>
    </row>
    <row r="312" spans="6:6">
      <c r="F312" t="str">
        <f>_xlfn.XLOOKUP(B312,MacReports!B:B,MacReports!D:D,"")</f>
        <v/>
      </c>
    </row>
    <row r="313" spans="6:6">
      <c r="F313" t="str">
        <f>_xlfn.XLOOKUP(B313,MacReports!B:B,MacReports!D:D,"")</f>
        <v/>
      </c>
    </row>
    <row r="314" spans="6:6">
      <c r="F314" t="str">
        <f>_xlfn.XLOOKUP(B314,MacReports!B:B,MacReports!D:D,"")</f>
        <v/>
      </c>
    </row>
    <row r="315" spans="6:6">
      <c r="F315" t="str">
        <f>_xlfn.XLOOKUP(B315,MacReports!B:B,MacReports!D:D,"")</f>
        <v/>
      </c>
    </row>
    <row r="316" spans="6:6">
      <c r="F316" t="str">
        <f>_xlfn.XLOOKUP(B316,MacReports!B:B,MacReports!D:D,"")</f>
        <v/>
      </c>
    </row>
    <row r="317" spans="6:6">
      <c r="F317" t="str">
        <f>_xlfn.XLOOKUP(B317,MacReports!B:B,MacReports!D:D,"")</f>
        <v/>
      </c>
    </row>
    <row r="318" spans="6:6">
      <c r="F318" t="str">
        <f>_xlfn.XLOOKUP(B318,MacReports!B:B,MacReports!D:D,"")</f>
        <v/>
      </c>
    </row>
    <row r="319" spans="6:6">
      <c r="F319" t="str">
        <f>_xlfn.XLOOKUP(B319,MacReports!B:B,MacReports!D:D,"")</f>
        <v/>
      </c>
    </row>
    <row r="320" spans="6:6">
      <c r="F320" t="str">
        <f>_xlfn.XLOOKUP(B320,MacReports!B:B,MacReports!D:D,"")</f>
        <v/>
      </c>
    </row>
    <row r="321" spans="6:6">
      <c r="F321">
        <f>_xlfn.XLOOKUP(B321,MacReports!B:B,MacReports!D:D,"")</f>
        <v>0</v>
      </c>
    </row>
    <row r="322" spans="6:6">
      <c r="F322" t="str">
        <f>_xlfn.XLOOKUP(B322,MacReports!B:B,MacReports!D:D,"")</f>
        <v/>
      </c>
    </row>
    <row r="323" spans="6:6">
      <c r="F323" t="str">
        <f>_xlfn.XLOOKUP(B323,MacReports!B:B,MacReports!D:D,"")</f>
        <v/>
      </c>
    </row>
    <row r="324" spans="6:6">
      <c r="F324" t="str">
        <f>_xlfn.XLOOKUP(B324,MacReports!B:B,MacReports!D:D,"")</f>
        <v/>
      </c>
    </row>
    <row r="325" spans="6:6">
      <c r="F325" t="str">
        <f>_xlfn.XLOOKUP(B325,MacReports!B:B,MacReports!D:D,"")</f>
        <v/>
      </c>
    </row>
    <row r="326" spans="6:6">
      <c r="F326" t="str">
        <f>_xlfn.XLOOKUP(B326,MacReports!B:B,MacReports!D:D,"")</f>
        <v/>
      </c>
    </row>
    <row r="327" spans="6:6">
      <c r="F327" t="str">
        <f>_xlfn.XLOOKUP(B327,MacReports!B:B,MacReports!D:D,"")</f>
        <v/>
      </c>
    </row>
    <row r="328" spans="6:6">
      <c r="F328" t="str">
        <f>_xlfn.XLOOKUP(B328,MacReports!B:B,MacReports!D:D,"")</f>
        <v/>
      </c>
    </row>
    <row r="329" spans="6:6">
      <c r="F329" t="str">
        <f>_xlfn.XLOOKUP(B329,MacReports!B:B,MacReports!D:D,"")</f>
        <v/>
      </c>
    </row>
    <row r="330" spans="6:6">
      <c r="F330" t="str">
        <f>_xlfn.XLOOKUP(B330,MacReports!B:B,MacReports!D:D,"")</f>
        <v/>
      </c>
    </row>
    <row r="331" spans="6:6">
      <c r="F331" t="str">
        <f>_xlfn.XLOOKUP(B331,MacReports!B:B,MacReports!D:D,"")</f>
        <v/>
      </c>
    </row>
    <row r="332" spans="6:6">
      <c r="F332" t="str">
        <f>_xlfn.XLOOKUP(B332,MacReports!B:B,MacReports!D:D,"")</f>
        <v/>
      </c>
    </row>
    <row r="333" spans="6:6">
      <c r="F333" t="str">
        <f>_xlfn.XLOOKUP(B333,MacReports!B:B,MacReports!D:D,"")</f>
        <v/>
      </c>
    </row>
    <row r="334" spans="6:6">
      <c r="F334" t="str">
        <f>_xlfn.XLOOKUP(B334,MacReports!B:B,MacReports!D:D,"")</f>
        <v/>
      </c>
    </row>
    <row r="335" spans="6:6">
      <c r="F335" t="str">
        <f>_xlfn.XLOOKUP(B335,MacReports!B:B,MacReports!D:D,"")</f>
        <v/>
      </c>
    </row>
    <row r="336" spans="6:6">
      <c r="F336" t="str">
        <f>_xlfn.XLOOKUP(B336,MacReports!B:B,MacReports!D:D,"")</f>
        <v/>
      </c>
    </row>
    <row r="337" spans="6:6">
      <c r="F337" t="str">
        <f>_xlfn.XLOOKUP(B337,MacReports!B:B,MacReports!D:D,"")</f>
        <v/>
      </c>
    </row>
    <row r="338" spans="6:6">
      <c r="F338" t="str">
        <f>_xlfn.XLOOKUP(B338,MacReports!B:B,MacReports!D:D,"")</f>
        <v/>
      </c>
    </row>
    <row r="339" spans="6:6">
      <c r="F339" t="str">
        <f>_xlfn.XLOOKUP(B339,MacReports!B:B,MacReports!D:D,"")</f>
        <v/>
      </c>
    </row>
    <row r="340" spans="6:6">
      <c r="F340" t="str">
        <f>_xlfn.XLOOKUP(B340,MacReports!B:B,MacReports!D:D,"")</f>
        <v/>
      </c>
    </row>
    <row r="341" spans="6:6">
      <c r="F341" t="str">
        <f>_xlfn.XLOOKUP(B341,MacReports!B:B,MacReports!D:D,"")</f>
        <v/>
      </c>
    </row>
    <row r="342" spans="6:6">
      <c r="F342" t="str">
        <f>_xlfn.XLOOKUP(B342,MacReports!B:B,MacReports!D:D,"")</f>
        <v/>
      </c>
    </row>
    <row r="343" spans="6:6">
      <c r="F343" t="str">
        <f>_xlfn.XLOOKUP(B343,MacReports!B:B,MacReports!D:D,"")</f>
        <v/>
      </c>
    </row>
    <row r="344" spans="6:6">
      <c r="F344">
        <f>_xlfn.XLOOKUP(B344,MacReports!B:B,MacReports!D:D,"")</f>
        <v>0</v>
      </c>
    </row>
    <row r="345" spans="6:6">
      <c r="F345" t="str">
        <f>_xlfn.XLOOKUP(B345,MacReports!B:B,MacReports!D:D,"")</f>
        <v/>
      </c>
    </row>
    <row r="346" spans="6:6">
      <c r="F346" t="str">
        <f>_xlfn.XLOOKUP(B346,MacReports!B:B,MacReports!D:D,"")</f>
        <v/>
      </c>
    </row>
    <row r="347" spans="6:6">
      <c r="F347" t="str">
        <f>_xlfn.XLOOKUP(B347,MacReports!B:B,MacReports!D:D,"")</f>
        <v/>
      </c>
    </row>
    <row r="348" spans="6:6">
      <c r="F348" t="str">
        <f>_xlfn.XLOOKUP(B348,MacReports!B:B,MacReports!D:D,"")</f>
        <v/>
      </c>
    </row>
    <row r="349" spans="6:6">
      <c r="F349" t="str">
        <f>_xlfn.XLOOKUP(B349,MacReports!B:B,MacReports!D:D,"")</f>
        <v/>
      </c>
    </row>
    <row r="350" spans="6:6">
      <c r="F350" t="str">
        <f>_xlfn.XLOOKUP(B350,MacReports!B:B,MacReports!D:D,"")</f>
        <v/>
      </c>
    </row>
    <row r="351" spans="6:6">
      <c r="F351" t="str">
        <f>_xlfn.XLOOKUP(B351,MacReports!B:B,MacReports!D:D,"")</f>
        <v/>
      </c>
    </row>
    <row r="352" spans="6:6">
      <c r="F352" t="str">
        <f>_xlfn.XLOOKUP(B352,MacReports!B:B,MacReports!D:D,"")</f>
        <v/>
      </c>
    </row>
    <row r="353" spans="6:6">
      <c r="F353" t="str">
        <f>_xlfn.XLOOKUP(B353,MacReports!B:B,MacReports!D:D,"")</f>
        <v/>
      </c>
    </row>
    <row r="354" spans="6:6">
      <c r="F354" t="str">
        <f>_xlfn.XLOOKUP(B354,MacReports!B:B,MacReports!D:D,"")</f>
        <v/>
      </c>
    </row>
    <row r="355" spans="6:6">
      <c r="F355" t="str">
        <f>_xlfn.XLOOKUP(B355,MacReports!B:B,MacReports!D:D,"")</f>
        <v/>
      </c>
    </row>
    <row r="356" spans="6:6">
      <c r="F356">
        <f>_xlfn.XLOOKUP(B356,MacReports!B:B,MacReports!D:D,"")</f>
        <v>0</v>
      </c>
    </row>
    <row r="357" spans="6:6">
      <c r="F357" t="str">
        <f>_xlfn.XLOOKUP(B357,MacReports!B:B,MacReports!D:D,"")</f>
        <v/>
      </c>
    </row>
    <row r="358" spans="6:6">
      <c r="F358" t="str">
        <f>_xlfn.XLOOKUP(B358,MacReports!B:B,MacReports!D:D,"")</f>
        <v/>
      </c>
    </row>
    <row r="359" spans="6:6">
      <c r="F359" t="str">
        <f>_xlfn.XLOOKUP(B359,MacReports!B:B,MacReports!D:D,"")</f>
        <v/>
      </c>
    </row>
    <row r="360" spans="6:6">
      <c r="F360" t="str">
        <f>_xlfn.XLOOKUP(B360,MacReports!B:B,MacReports!D:D,"")</f>
        <v/>
      </c>
    </row>
    <row r="361" spans="6:6">
      <c r="F361" t="str">
        <f>_xlfn.XLOOKUP(B361,MacReports!B:B,MacReports!D:D,"")</f>
        <v/>
      </c>
    </row>
    <row r="362" spans="6:6">
      <c r="F362">
        <f>_xlfn.XLOOKUP(B362,MacReports!B:B,MacReports!D:D,"")</f>
        <v>0</v>
      </c>
    </row>
    <row r="363" spans="6:6">
      <c r="F363" t="str">
        <f>_xlfn.XLOOKUP(B363,MacReports!B:B,MacReports!D:D,"")</f>
        <v/>
      </c>
    </row>
    <row r="364" spans="6:6">
      <c r="F364" t="str">
        <f>_xlfn.XLOOKUP(B364,MacReports!B:B,MacReports!D:D,"")</f>
        <v/>
      </c>
    </row>
    <row r="365" spans="6:6">
      <c r="F365" t="str">
        <f>_xlfn.XLOOKUP(B365,MacReports!B:B,MacReports!D:D,"")</f>
        <v/>
      </c>
    </row>
    <row r="366" spans="6:6">
      <c r="F366" t="str">
        <f>_xlfn.XLOOKUP(B366,MacReports!B:B,MacReports!D:D,"")</f>
        <v/>
      </c>
    </row>
    <row r="367" spans="6:6">
      <c r="F367" t="str">
        <f>_xlfn.XLOOKUP(B367,MacReports!B:B,MacReports!D:D,"")</f>
        <v/>
      </c>
    </row>
    <row r="368" spans="6:6">
      <c r="F368" t="str">
        <f>_xlfn.XLOOKUP(B368,MacReports!B:B,MacReports!D:D,"")</f>
        <v/>
      </c>
    </row>
    <row r="369" spans="6:6">
      <c r="F369" t="str">
        <f>_xlfn.XLOOKUP(B369,MacReports!B:B,MacReports!D:D,"")</f>
        <v/>
      </c>
    </row>
    <row r="370" spans="6:6">
      <c r="F370" t="str">
        <f>_xlfn.XLOOKUP(B370,MacReports!B:B,MacReports!D:D,"")</f>
        <v/>
      </c>
    </row>
    <row r="371" spans="6:6">
      <c r="F371" t="str">
        <f>_xlfn.XLOOKUP(B371,MacReports!B:B,MacReports!D:D,"")</f>
        <v/>
      </c>
    </row>
    <row r="372" spans="6:6">
      <c r="F372" t="str">
        <f>_xlfn.XLOOKUP(B372,MacReports!B:B,MacReports!D:D,"")</f>
        <v/>
      </c>
    </row>
    <row r="373" spans="6:6">
      <c r="F373" t="str">
        <f>_xlfn.XLOOKUP(B373,MacReports!B:B,MacReports!D:D,"")</f>
        <v/>
      </c>
    </row>
    <row r="374" spans="6:6">
      <c r="F374" t="str">
        <f>_xlfn.XLOOKUP(B374,MacReports!B:B,MacReports!D:D,"")</f>
        <v/>
      </c>
    </row>
    <row r="375" spans="6:6">
      <c r="F375">
        <f>_xlfn.XLOOKUP(B375,MacReports!B:B,MacReports!D:D,"")</f>
        <v>0</v>
      </c>
    </row>
    <row r="376" spans="6:6">
      <c r="F376" t="str">
        <f>_xlfn.XLOOKUP(B376,MacReports!B:B,MacReports!D:D,"")</f>
        <v/>
      </c>
    </row>
    <row r="377" spans="6:6">
      <c r="F377" t="str">
        <f>_xlfn.XLOOKUP(B377,MacReports!B:B,MacReports!D:D,"")</f>
        <v/>
      </c>
    </row>
    <row r="378" spans="6:6">
      <c r="F378" t="str">
        <f>_xlfn.XLOOKUP(B378,MacReports!B:B,MacReports!D:D,"")</f>
        <v/>
      </c>
    </row>
    <row r="379" spans="6:6">
      <c r="F379" t="str">
        <f>_xlfn.XLOOKUP(B379,MacReports!B:B,MacReports!D:D,"")</f>
        <v/>
      </c>
    </row>
    <row r="380" spans="6:6">
      <c r="F380">
        <f>_xlfn.XLOOKUP(B380,MacReports!B:B,MacReports!D:D,"")</f>
        <v>0</v>
      </c>
    </row>
    <row r="381" spans="6:6">
      <c r="F381" t="str">
        <f>_xlfn.XLOOKUP(B381,MacReports!B:B,MacReports!D:D,"")</f>
        <v/>
      </c>
    </row>
    <row r="382" spans="6:6">
      <c r="F382" t="str">
        <f>_xlfn.XLOOKUP(B382,MacReports!B:B,MacReports!D:D,"")</f>
        <v/>
      </c>
    </row>
    <row r="383" spans="6:6">
      <c r="F383" t="str">
        <f>_xlfn.XLOOKUP(B383,MacReports!B:B,MacReports!D:D,"")</f>
        <v/>
      </c>
    </row>
    <row r="384" spans="6:6">
      <c r="F384" t="str">
        <f>_xlfn.XLOOKUP(B384,MacReports!B:B,MacReports!D:D,"")</f>
        <v/>
      </c>
    </row>
    <row r="385" spans="6:6">
      <c r="F385" t="str">
        <f>_xlfn.XLOOKUP(B385,MacReports!B:B,MacReports!D:D,"")</f>
        <v/>
      </c>
    </row>
    <row r="386" spans="6:6">
      <c r="F386" t="str">
        <f>_xlfn.XLOOKUP(B386,MacReports!B:B,MacReports!D:D,"")</f>
        <v/>
      </c>
    </row>
    <row r="387" spans="6:6">
      <c r="F387" t="str">
        <f>_xlfn.XLOOKUP(B387,MacReports!B:B,MacReports!D:D,"")</f>
        <v/>
      </c>
    </row>
    <row r="388" spans="6:6">
      <c r="F388" t="str">
        <f>_xlfn.XLOOKUP(B388,MacReports!B:B,MacReports!D:D,"")</f>
        <v/>
      </c>
    </row>
    <row r="389" spans="6:6">
      <c r="F389" t="str">
        <f>_xlfn.XLOOKUP(B389,MacReports!B:B,MacReports!D:D,"")</f>
        <v/>
      </c>
    </row>
    <row r="390" spans="6:6">
      <c r="F390" t="str">
        <f>_xlfn.XLOOKUP(B390,MacReports!B:B,MacReports!D:D,"")</f>
        <v/>
      </c>
    </row>
    <row r="391" spans="6:6">
      <c r="F391" t="str">
        <f>_xlfn.XLOOKUP(B391,MacReports!B:B,MacReports!D:D,"")</f>
        <v/>
      </c>
    </row>
    <row r="392" spans="6:6">
      <c r="F392" t="str">
        <f>_xlfn.XLOOKUP(B392,MacReports!B:B,MacReports!D:D,"")</f>
        <v/>
      </c>
    </row>
    <row r="393" spans="6:6">
      <c r="F393" t="str">
        <f>_xlfn.XLOOKUP(B393,MacReports!B:B,MacReports!D:D,"")</f>
        <v/>
      </c>
    </row>
    <row r="394" spans="6:6">
      <c r="F394" t="str">
        <f>_xlfn.XLOOKUP(B394,MacReports!B:B,MacReports!D:D,"")</f>
        <v/>
      </c>
    </row>
    <row r="395" spans="6:6">
      <c r="F395" t="str">
        <f>_xlfn.XLOOKUP(B395,MacReports!B:B,MacReports!D:D,"")</f>
        <v/>
      </c>
    </row>
    <row r="396" spans="6:6">
      <c r="F396" t="str">
        <f>_xlfn.XLOOKUP(B396,MacReports!B:B,MacReports!D:D,"")</f>
        <v/>
      </c>
    </row>
    <row r="397" spans="6:6">
      <c r="F397" t="str">
        <f>_xlfn.XLOOKUP(B397,MacReports!B:B,MacReports!D:D,"")</f>
        <v/>
      </c>
    </row>
    <row r="398" spans="6:6">
      <c r="F398">
        <f>_xlfn.XLOOKUP(B398,MacReports!B:B,MacReports!D:D,"")</f>
        <v>0</v>
      </c>
    </row>
    <row r="399" spans="6:6">
      <c r="F399" t="str">
        <f>_xlfn.XLOOKUP(B399,MacReports!B:B,MacReports!D:D,"")</f>
        <v/>
      </c>
    </row>
    <row r="400" spans="6:6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>
        <f>_xlfn.XLOOKUP(B410,MacReports!B:B,MacReports!D:D,"")</f>
        <v>0</v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>
        <f>_xlfn.XLOOKUP(B416,MacReports!B:B,MacReports!D:D,"")</f>
        <v>0</v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>
        <f>_xlfn.XLOOKUP(B458,MacReports!B:B,MacReports!D:D,"")</f>
        <v>0</v>
      </c>
    </row>
    <row r="459" spans="6:6">
      <c r="F459" t="str">
        <f>_xlfn.XLOOKUP(B459,MacReports!B:B,MacReports!D:D,"")</f>
        <v/>
      </c>
    </row>
    <row r="460" spans="6:6">
      <c r="F460">
        <f>_xlfn.XLOOKUP(B460,MacReports!B:B,MacReports!D:D,"")</f>
        <v>0</v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>
        <f>_xlfn.XLOOKUP(B470,MacReports!B:B,MacReports!D:D,"")</f>
        <v>0</v>
      </c>
    </row>
    <row r="471" spans="6:6">
      <c r="F471">
        <f>_xlfn.XLOOKUP(B471,MacReports!B:B,MacReports!D:D,"")</f>
        <v>0</v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>
        <f>_xlfn.XLOOKUP(B478,MacReports!B:B,MacReports!D:D,"")</f>
        <v>0</v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>
        <f>_xlfn.XLOOKUP(B485,MacReports!B:B,MacReports!D:D,"")</f>
        <v>0</v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>
        <f>_xlfn.XLOOKUP(B496,MacReports!B:B,MacReports!D:D,"")</f>
        <v>0</v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>
        <f>_xlfn.XLOOKUP(B503,MacReports!B:B,MacReports!D:D,"")</f>
        <v>0</v>
      </c>
    </row>
    <row r="504" spans="6:6">
      <c r="F504">
        <f>_xlfn.XLOOKUP(B504,MacReports!B:B,MacReports!D:D,"")</f>
        <v>0</v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>
        <f>_xlfn.XLOOKUP(B509,MacReports!B:B,MacReports!D:D,"")</f>
        <v>0</v>
      </c>
    </row>
    <row r="510" spans="6:6">
      <c r="F510">
        <f>_xlfn.XLOOKUP(B510,MacReports!B:B,MacReports!D:D,"")</f>
        <v>0</v>
      </c>
    </row>
    <row r="511" spans="6:6">
      <c r="F511" t="str">
        <f>_xlfn.XLOOKUP(B511,MacReports!B:B,MacReports!D:D,"")</f>
        <v/>
      </c>
    </row>
    <row r="512" spans="6:6">
      <c r="F512">
        <f>_xlfn.XLOOKUP(B512,MacReports!B:B,MacReports!D:D,"")</f>
        <v>0</v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>
        <f>_xlfn.XLOOKUP(B517,MacReports!B:B,MacReports!D:D,"")</f>
        <v>0</v>
      </c>
    </row>
    <row r="518" spans="6:6">
      <c r="F518">
        <f>_xlfn.XLOOKUP(B518,MacReports!B:B,MacReports!D:D,"")</f>
        <v>0</v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>
        <f>_xlfn.XLOOKUP(B528,MacReports!B:B,MacReports!D:D,"")</f>
        <v>0</v>
      </c>
    </row>
    <row r="529" spans="6:6">
      <c r="F529">
        <f>_xlfn.XLOOKUP(B529,MacReports!B:B,MacReports!D:D,"")</f>
        <v>0</v>
      </c>
    </row>
    <row r="530" spans="6:6">
      <c r="F530">
        <f>_xlfn.XLOOKUP(B530,MacReports!B:B,MacReports!D:D,"")</f>
        <v>0</v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>
        <f>_xlfn.XLOOKUP(B536,MacReports!B:B,MacReports!D:D,"")</f>
        <v>0</v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>
        <f>_xlfn.XLOOKUP(B541,MacReports!B:B,MacReports!D:D,"")</f>
        <v>0</v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>
        <f>_xlfn.XLOOKUP(B546,MacReports!B:B,MacReports!D:D,"")</f>
        <v>0</v>
      </c>
    </row>
    <row r="547" spans="6:6">
      <c r="F547" t="str">
        <f>_xlfn.XLOOKUP(B547,MacReports!B:B,MacReports!D:D,"")</f>
        <v/>
      </c>
    </row>
    <row r="548" spans="6:6">
      <c r="F548">
        <f>_xlfn.XLOOKUP(B548,MacReports!B:B,MacReports!D:D,"")</f>
        <v>0</v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>
        <f>_xlfn.XLOOKUP(B553,MacReports!B:B,MacReports!D:D,"")</f>
        <v>0</v>
      </c>
    </row>
    <row r="554" spans="6:6">
      <c r="F554">
        <f>_xlfn.XLOOKUP(B554,MacReports!B:B,MacReports!D:D,"")</f>
        <v>0</v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>
        <f>_xlfn.XLOOKUP(B560,MacReports!B:B,MacReports!D:D,"")</f>
        <v>0</v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>
        <f>_xlfn.XLOOKUP(B564,MacReports!B:B,MacReports!D:D,"")</f>
        <v>0</v>
      </c>
    </row>
    <row r="565" spans="6:6">
      <c r="F565">
        <f>_xlfn.XLOOKUP(B565,MacReports!B:B,MacReports!D:D,"")</f>
        <v>0</v>
      </c>
    </row>
    <row r="566" spans="6:6">
      <c r="F566">
        <f>_xlfn.XLOOKUP(B566,MacReports!B:B,MacReports!D:D,"")</f>
        <v>0</v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>
        <f>_xlfn.XLOOKUP(B571,MacReports!B:B,MacReports!D:D,"")</f>
        <v>0</v>
      </c>
    </row>
    <row r="572" spans="6:6">
      <c r="F572">
        <f>_xlfn.XLOOKUP(B572,MacReports!B:B,MacReports!D:D,"")</f>
        <v>0</v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>
        <f>_xlfn.XLOOKUP(B577,MacReports!B:B,MacReports!D:D,"")</f>
        <v>0</v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>
        <f>_xlfn.XLOOKUP(B582,MacReports!B:B,MacReports!D:D,"")</f>
        <v>0</v>
      </c>
    </row>
    <row r="583" spans="6:6">
      <c r="F583" t="str">
        <f>_xlfn.XLOOKUP(B583,MacReports!B:B,MacReports!D:D,"")</f>
        <v/>
      </c>
    </row>
    <row r="584" spans="6:6">
      <c r="F584">
        <f>_xlfn.XLOOKUP(B584,MacReports!B:B,MacReports!D:D,"")</f>
        <v>0</v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>
        <f>_xlfn.XLOOKUP(B589,MacReports!B:B,MacReports!D:D,"")</f>
        <v>0</v>
      </c>
    </row>
    <row r="590" spans="6:6">
      <c r="F590">
        <f>_xlfn.XLOOKUP(B590,MacReports!B:B,MacReports!D:D,"")</f>
        <v>0</v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>
        <f>_xlfn.XLOOKUP(B595,MacReports!B:B,MacReports!D:D,"")</f>
        <v>0</v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>
        <f>_xlfn.XLOOKUP(B600,MacReports!B:B,MacReports!D:D,"")</f>
        <v>0</v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>
        <f>_xlfn.XLOOKUP(B607,MacReports!B:B,MacReports!D:D,"")</f>
        <v>0</v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>
        <f>_xlfn.XLOOKUP(B614,MacReports!B:B,MacReports!D:D,"")</f>
        <v>0</v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>
        <f>_xlfn.XLOOKUP(B618,MacReports!B:B,MacReports!D:D,"")</f>
        <v>0</v>
      </c>
    </row>
    <row r="619" spans="6:6">
      <c r="F619">
        <f>_xlfn.XLOOKUP(B619,MacReports!B:B,MacReports!D:D,"")</f>
        <v>0</v>
      </c>
    </row>
    <row r="620" spans="6:6">
      <c r="F620">
        <f>_xlfn.XLOOKUP(B620,MacReports!B:B,MacReports!D:D,"")</f>
        <v>0</v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>
        <f>_xlfn.XLOOKUP(B625,MacReports!B:B,MacReports!D:D,"")</f>
        <v>0</v>
      </c>
    </row>
    <row r="626" spans="6:6">
      <c r="F626">
        <f>_xlfn.XLOOKUP(B626,MacReports!B:B,MacReports!D:D,"")</f>
        <v>0</v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>
        <f>_xlfn.XLOOKUP(B631,MacReports!B:B,MacReports!D:D,"")</f>
        <v>0</v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>
        <f>_xlfn.XLOOKUP(B636,MacReports!B:B,MacReports!D:D,"")</f>
        <v>0</v>
      </c>
    </row>
    <row r="637" spans="6:6">
      <c r="F637">
        <f>_xlfn.XLOOKUP(B637,MacReports!B:B,MacReports!D:D,"")</f>
        <v>0</v>
      </c>
    </row>
    <row r="638" spans="6:6">
      <c r="F638">
        <f>_xlfn.XLOOKUP(B638,MacReports!B:B,MacReports!D:D,"")</f>
        <v>0</v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>
        <f>_xlfn.XLOOKUP(B644,MacReports!B:B,MacReports!D:D,"")</f>
        <v>0</v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>
        <f>_xlfn.XLOOKUP(B654,MacReports!B:B,MacReports!D:D,"")</f>
        <v>0</v>
      </c>
    </row>
    <row r="655" spans="6:6">
      <c r="F655" t="str">
        <f>_xlfn.XLOOKUP(B655,MacReports!B:B,MacReports!D:D,"")</f>
        <v/>
      </c>
    </row>
    <row r="656" spans="6:6">
      <c r="F656">
        <f>_xlfn.XLOOKUP(B656,MacReports!B:B,MacReports!D:D,"")</f>
        <v>0</v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>
        <f>_xlfn.XLOOKUP(B661,MacReports!B:B,MacReports!D:D,"")</f>
        <v>0</v>
      </c>
    </row>
    <row r="662" spans="6:6">
      <c r="F662">
        <f>_xlfn.XLOOKUP(B662,MacReports!B:B,MacReports!D:D,"")</f>
        <v>0</v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>
        <f>_xlfn.XLOOKUP(B667,MacReports!B:B,MacReports!D:D,"")</f>
        <v>0</v>
      </c>
    </row>
    <row r="668" spans="6:6">
      <c r="F668">
        <f>_xlfn.XLOOKUP(B668,MacReports!B:B,MacReports!D:D,"")</f>
        <v>0</v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>
        <f>_xlfn.XLOOKUP(B672,MacReports!B:B,MacReports!D:D,"")</f>
        <v>0</v>
      </c>
    </row>
    <row r="673" spans="6:6">
      <c r="F673">
        <f>_xlfn.XLOOKUP(B673,MacReports!B:B,MacReports!D:D,"")</f>
        <v>0</v>
      </c>
    </row>
    <row r="674" spans="6:6">
      <c r="F674">
        <f>_xlfn.XLOOKUP(B674,MacReports!B:B,MacReports!D:D,"")</f>
        <v>0</v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>
        <f>_xlfn.XLOOKUP(B679,MacReports!B:B,MacReports!D:D,"")</f>
        <v>0</v>
      </c>
    </row>
    <row r="680" spans="6:6">
      <c r="F680">
        <f>_xlfn.XLOOKUP(B680,MacReports!B:B,MacReports!D:D,"")</f>
        <v>0</v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>
        <f>_xlfn.XLOOKUP(B685,MacReports!B:B,MacReports!D:D,"")</f>
        <v>0</v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>
        <f>_xlfn.XLOOKUP(B690,MacReports!B:B,MacReports!D:D,"")</f>
        <v>0</v>
      </c>
    </row>
    <row r="691" spans="6:6">
      <c r="F691" t="str">
        <f>_xlfn.XLOOKUP(B691,MacReports!B:B,MacReports!D:D,"")</f>
        <v/>
      </c>
    </row>
    <row r="692" spans="6:6">
      <c r="F692">
        <f>_xlfn.XLOOKUP(B692,MacReports!B:B,MacReports!D:D,"")</f>
        <v>0</v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>
        <f>_xlfn.XLOOKUP(B697,MacReports!B:B,MacReports!D:D,"")</f>
        <v>0</v>
      </c>
    </row>
    <row r="698" spans="6:6">
      <c r="F698">
        <f>_xlfn.XLOOKUP(B698,MacReports!B:B,MacReports!D:D,"")</f>
        <v>0</v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>
        <f>_xlfn.XLOOKUP(B703,MacReports!B:B,MacReports!D:D,"")</f>
        <v>0</v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>
        <f>_xlfn.XLOOKUP(B708,MacReports!B:B,MacReports!D:D,"")</f>
        <v>0</v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>
        <f>_xlfn.XLOOKUP(B715,MacReports!B:B,MacReports!D:D,"")</f>
        <v>0</v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>
        <f>_xlfn.XLOOKUP(B721,MacReports!B:B,MacReports!D:D,"")</f>
        <v>0</v>
      </c>
    </row>
    <row r="722" spans="6:6">
      <c r="F722">
        <f>_xlfn.XLOOKUP(B722,MacReports!B:B,MacReports!D:D,"")</f>
        <v>0</v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>
        <f>_xlfn.XLOOKUP(B726,MacReports!B:B,MacReports!D:D,"")</f>
        <v>0</v>
      </c>
    </row>
    <row r="727" spans="6:6">
      <c r="F727">
        <f>_xlfn.XLOOKUP(B727,MacReports!B:B,MacReports!D:D,"")</f>
        <v>0</v>
      </c>
    </row>
    <row r="728" spans="6:6">
      <c r="F728">
        <f>_xlfn.XLOOKUP(B728,MacReports!B:B,MacReports!D:D,"")</f>
        <v>0</v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>
        <f>_xlfn.XLOOKUP(B733,MacReports!B:B,MacReports!D:D,"")</f>
        <v>0</v>
      </c>
    </row>
    <row r="734" spans="6:6">
      <c r="F734">
        <f>_xlfn.XLOOKUP(B734,MacReports!B:B,MacReports!D:D,"")</f>
        <v>0</v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>
        <f>_xlfn.XLOOKUP(B744,MacReports!B:B,MacReports!D:D,"")</f>
        <v>0</v>
      </c>
    </row>
    <row r="745" spans="6:6">
      <c r="F745">
        <f>_xlfn.XLOOKUP(B745,MacReports!B:B,MacReports!D:D,"")</f>
        <v>0</v>
      </c>
    </row>
    <row r="746" spans="6:6">
      <c r="F746">
        <f>_xlfn.XLOOKUP(B746,MacReports!B:B,MacReports!D:D,"")</f>
        <v>0</v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>
        <f>_xlfn.XLOOKUP(B752,MacReports!B:B,MacReports!D:D,"")</f>
        <v>0</v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>
        <f>_xlfn.XLOOKUP(B757,MacReports!B:B,MacReports!D:D,"")</f>
        <v>0</v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>
        <f>_xlfn.XLOOKUP(B762,MacReports!B:B,MacReports!D:D,"")</f>
        <v>0</v>
      </c>
    </row>
    <row r="763" spans="6:6">
      <c r="F763" t="str">
        <f>_xlfn.XLOOKUP(B763,MacReports!B:B,MacReports!D:D,"")</f>
        <v/>
      </c>
    </row>
    <row r="764" spans="6:6">
      <c r="F764">
        <f>_xlfn.XLOOKUP(B764,MacReports!B:B,MacReports!D:D,"")</f>
        <v>0</v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>
        <f>_xlfn.XLOOKUP(B769,MacReports!B:B,MacReports!D:D,"")</f>
        <v>0</v>
      </c>
    </row>
    <row r="770" spans="6:6">
      <c r="F770">
        <f>_xlfn.XLOOKUP(B770,MacReports!B:B,MacReports!D:D,"")</f>
        <v>0</v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>
        <f>_xlfn.XLOOKUP(B775,MacReports!B:B,MacReports!D:D,"")</f>
        <v>0</v>
      </c>
    </row>
    <row r="776" spans="6:6">
      <c r="F776">
        <f>_xlfn.XLOOKUP(B776,MacReports!B:B,MacReports!D:D,"")</f>
        <v>0</v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>
        <f>_xlfn.XLOOKUP(B780,MacReports!B:B,MacReports!D:D,"")</f>
        <v>0</v>
      </c>
    </row>
    <row r="781" spans="6:6">
      <c r="F781">
        <f>_xlfn.XLOOKUP(B781,MacReports!B:B,MacReports!D:D,"")</f>
        <v>0</v>
      </c>
    </row>
    <row r="782" spans="6:6">
      <c r="F782">
        <f>_xlfn.XLOOKUP(B782,MacReports!B:B,MacReports!D:D,"")</f>
        <v>0</v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>
        <f>_xlfn.XLOOKUP(B787,MacReports!B:B,MacReports!D:D,"")</f>
        <v>0</v>
      </c>
    </row>
    <row r="788" spans="6:6">
      <c r="F788">
        <f>_xlfn.XLOOKUP(B788,MacReports!B:B,MacReports!D:D,"")</f>
        <v>0</v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>
        <f>_xlfn.XLOOKUP(B793,MacReports!B:B,MacReports!D:D,"")</f>
        <v>0</v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>
        <f>_xlfn.XLOOKUP(B798,MacReports!B:B,MacReports!D:D,"")</f>
        <v>0</v>
      </c>
    </row>
    <row r="799" spans="6:6">
      <c r="F799" t="str">
        <f>_xlfn.XLOOKUP(B799,MacReports!B:B,MacReports!D:D,"")</f>
        <v/>
      </c>
    </row>
    <row r="800" spans="6:6">
      <c r="F800">
        <f>_xlfn.XLOOKUP(B800,MacReports!B:B,MacReports!D:D,"")</f>
        <v>0</v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>
        <f>_xlfn.XLOOKUP(B805,MacReports!B:B,MacReports!D:D,"")</f>
        <v>0</v>
      </c>
    </row>
    <row r="806" spans="6:6">
      <c r="F806">
        <f>_xlfn.XLOOKUP(B806,MacReports!B:B,MacReports!D:D,"")</f>
        <v>0</v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>
        <f>_xlfn.XLOOKUP(B811,MacReports!B:B,MacReports!D:D,"")</f>
        <v>0</v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2"/>
  <sheetViews>
    <sheetView workbookViewId="0">
      <selection activeCell="E34" sqref="E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75</v>
      </c>
      <c r="B1" s="23" t="s">
        <v>76</v>
      </c>
      <c r="C1" s="23" t="s">
        <v>2</v>
      </c>
      <c r="D1" s="24" t="s">
        <v>77</v>
      </c>
      <c r="E1" s="25" t="s">
        <v>78</v>
      </c>
      <c r="F1" s="25" t="s">
        <v>79</v>
      </c>
      <c r="G1" s="26" t="s">
        <v>2</v>
      </c>
      <c r="H1" s="26" t="s">
        <v>313</v>
      </c>
    </row>
    <row r="2" spans="1:8" ht="15.75" thickBot="1">
      <c r="A2" s="20" t="s">
        <v>80</v>
      </c>
      <c r="B2" s="20" t="s">
        <v>81</v>
      </c>
      <c r="C2" s="20" t="s">
        <v>51</v>
      </c>
      <c r="D2" s="21">
        <v>2019</v>
      </c>
      <c r="E2" s="22">
        <v>16</v>
      </c>
      <c r="F2" s="22">
        <v>2</v>
      </c>
      <c r="G2" s="19" t="s">
        <v>51</v>
      </c>
      <c r="H2" s="19" t="s">
        <v>51</v>
      </c>
    </row>
    <row r="3" spans="1:8" ht="15.75" thickBot="1">
      <c r="A3" s="5" t="s">
        <v>82</v>
      </c>
      <c r="B3" s="5" t="s">
        <v>83</v>
      </c>
      <c r="C3" s="5" t="s">
        <v>51</v>
      </c>
      <c r="D3" s="8">
        <v>2020</v>
      </c>
      <c r="E3" s="9">
        <v>13</v>
      </c>
      <c r="F3" s="9">
        <v>1.4</v>
      </c>
      <c r="G3" s="19" t="s">
        <v>51</v>
      </c>
      <c r="H3" s="19" t="s">
        <v>50</v>
      </c>
    </row>
    <row r="4" spans="1:8" ht="15.75" thickBot="1">
      <c r="A4" s="5" t="s">
        <v>57</v>
      </c>
      <c r="B4" s="5" t="s">
        <v>84</v>
      </c>
      <c r="C4" s="5" t="s">
        <v>51</v>
      </c>
      <c r="D4" s="8">
        <v>2020</v>
      </c>
      <c r="E4" s="9">
        <v>13</v>
      </c>
      <c r="F4" s="9">
        <v>1.4</v>
      </c>
      <c r="G4" s="19" t="s">
        <v>51</v>
      </c>
      <c r="H4" s="19" t="s">
        <v>314</v>
      </c>
    </row>
    <row r="5" spans="1:8" ht="15.75" thickBot="1">
      <c r="A5" s="5" t="s">
        <v>85</v>
      </c>
      <c r="B5" s="5" t="s">
        <v>81</v>
      </c>
      <c r="C5" s="5" t="s">
        <v>51</v>
      </c>
      <c r="D5" s="8">
        <v>2019</v>
      </c>
      <c r="E5" s="9">
        <v>16</v>
      </c>
      <c r="F5" s="9">
        <v>2</v>
      </c>
      <c r="G5" s="19" t="s">
        <v>307</v>
      </c>
      <c r="H5" s="19" t="s">
        <v>307</v>
      </c>
    </row>
    <row r="6" spans="1:8" ht="15.75" thickBot="1">
      <c r="A6" s="5" t="s">
        <v>86</v>
      </c>
      <c r="B6" s="5" t="s">
        <v>87</v>
      </c>
      <c r="C6" s="5" t="s">
        <v>51</v>
      </c>
      <c r="D6" s="8">
        <v>2019</v>
      </c>
      <c r="E6" s="9">
        <v>13</v>
      </c>
      <c r="F6" s="9">
        <v>1.4</v>
      </c>
      <c r="G6" s="19" t="s">
        <v>307</v>
      </c>
      <c r="H6" s="19" t="s">
        <v>315</v>
      </c>
    </row>
    <row r="7" spans="1:8" ht="15.75" thickBot="1">
      <c r="A7" s="5" t="s">
        <v>88</v>
      </c>
      <c r="B7" s="5" t="s">
        <v>89</v>
      </c>
      <c r="C7" s="5" t="s">
        <v>51</v>
      </c>
      <c r="D7" s="8">
        <v>2019</v>
      </c>
      <c r="E7" s="9">
        <v>15</v>
      </c>
      <c r="F7" s="9">
        <v>1.8</v>
      </c>
    </row>
    <row r="8" spans="1:8" ht="15.75" thickBot="1">
      <c r="A8" s="5" t="s">
        <v>90</v>
      </c>
      <c r="B8" s="5" t="s">
        <v>91</v>
      </c>
      <c r="C8" s="5" t="s">
        <v>51</v>
      </c>
      <c r="D8" s="8">
        <v>2018</v>
      </c>
      <c r="E8" s="9">
        <v>13</v>
      </c>
      <c r="F8" s="9">
        <v>1.4</v>
      </c>
    </row>
    <row r="9" spans="1:8" ht="15.75" thickBot="1">
      <c r="A9" s="5" t="s">
        <v>90</v>
      </c>
      <c r="B9" s="5" t="s">
        <v>91</v>
      </c>
      <c r="C9" s="5" t="s">
        <v>51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90</v>
      </c>
      <c r="B10" s="5" t="s">
        <v>91</v>
      </c>
      <c r="C10" s="5" t="s">
        <v>51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90</v>
      </c>
      <c r="B11" s="5" t="s">
        <v>91</v>
      </c>
      <c r="C11" s="5" t="s">
        <v>51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92</v>
      </c>
      <c r="B12" s="5" t="s">
        <v>89</v>
      </c>
      <c r="C12" s="5" t="s">
        <v>51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92</v>
      </c>
      <c r="B13" s="5" t="s">
        <v>89</v>
      </c>
      <c r="C13" s="5" t="s">
        <v>51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92</v>
      </c>
      <c r="B14" s="5" t="s">
        <v>89</v>
      </c>
      <c r="C14" s="5" t="s">
        <v>51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92</v>
      </c>
      <c r="B15" s="5" t="s">
        <v>89</v>
      </c>
      <c r="C15" s="5" t="s">
        <v>51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92</v>
      </c>
      <c r="B16" s="5" t="s">
        <v>89</v>
      </c>
      <c r="C16" s="5" t="s">
        <v>51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92</v>
      </c>
      <c r="B17" s="5" t="s">
        <v>89</v>
      </c>
      <c r="C17" s="5" t="s">
        <v>51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93</v>
      </c>
      <c r="B18" s="5" t="s">
        <v>94</v>
      </c>
      <c r="C18" s="5" t="s">
        <v>51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95</v>
      </c>
      <c r="B19" s="5" t="s">
        <v>96</v>
      </c>
      <c r="C19" s="5" t="s">
        <v>51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97</v>
      </c>
      <c r="B20" s="5" t="s">
        <v>98</v>
      </c>
      <c r="C20" s="5" t="s">
        <v>51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99</v>
      </c>
      <c r="B21" s="5" t="s">
        <v>94</v>
      </c>
      <c r="C21" s="5" t="s">
        <v>51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100</v>
      </c>
      <c r="B22" s="5" t="s">
        <v>96</v>
      </c>
      <c r="C22" s="5" t="s">
        <v>51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101</v>
      </c>
      <c r="B23" s="5" t="s">
        <v>98</v>
      </c>
      <c r="C23" s="5" t="s">
        <v>51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102</v>
      </c>
      <c r="B24" s="5" t="s">
        <v>103</v>
      </c>
      <c r="C24" s="5" t="s">
        <v>51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104</v>
      </c>
      <c r="B25" s="5" t="s">
        <v>105</v>
      </c>
      <c r="C25" s="5" t="s">
        <v>51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106</v>
      </c>
      <c r="B26" s="5" t="s">
        <v>105</v>
      </c>
      <c r="C26" s="5" t="s">
        <v>51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107</v>
      </c>
      <c r="B27" s="5" t="s">
        <v>105</v>
      </c>
      <c r="C27" s="5" t="s">
        <v>51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107</v>
      </c>
      <c r="B28" s="5" t="s">
        <v>105</v>
      </c>
      <c r="C28" s="5" t="s">
        <v>51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107</v>
      </c>
      <c r="B29" s="5" t="s">
        <v>105</v>
      </c>
      <c r="C29" s="5" t="s">
        <v>51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108</v>
      </c>
      <c r="B30" s="5" t="s">
        <v>105</v>
      </c>
      <c r="C30" s="5" t="s">
        <v>51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107</v>
      </c>
      <c r="B31" s="5" t="s">
        <v>105</v>
      </c>
      <c r="C31" s="5" t="s">
        <v>51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109</v>
      </c>
      <c r="B32" s="5" t="s">
        <v>110</v>
      </c>
      <c r="C32" s="5" t="s">
        <v>51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111</v>
      </c>
      <c r="B33" s="5" t="s">
        <v>112</v>
      </c>
      <c r="C33" s="5" t="s">
        <v>51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113</v>
      </c>
      <c r="B34" s="5" t="s">
        <v>114</v>
      </c>
      <c r="C34" s="5" t="s">
        <v>51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115</v>
      </c>
      <c r="B35" s="5" t="s">
        <v>114</v>
      </c>
      <c r="C35" s="5" t="s">
        <v>51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116</v>
      </c>
      <c r="B36" s="7" t="s">
        <v>112</v>
      </c>
      <c r="C36" s="5" t="s">
        <v>51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116</v>
      </c>
      <c r="B37" s="7" t="s">
        <v>112</v>
      </c>
      <c r="C37" s="5" t="s">
        <v>51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117</v>
      </c>
      <c r="B38" s="5" t="s">
        <v>110</v>
      </c>
      <c r="C38" s="5" t="s">
        <v>51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118</v>
      </c>
      <c r="B39" s="7" t="s">
        <v>119</v>
      </c>
      <c r="C39" s="5" t="s">
        <v>51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120</v>
      </c>
      <c r="B40" s="7" t="s">
        <v>119</v>
      </c>
      <c r="C40" s="5" t="s">
        <v>51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121</v>
      </c>
      <c r="B41" s="7" t="s">
        <v>122</v>
      </c>
      <c r="C41" s="5" t="s">
        <v>51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123</v>
      </c>
      <c r="B42" s="7" t="s">
        <v>122</v>
      </c>
      <c r="C42" s="5" t="s">
        <v>51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124</v>
      </c>
      <c r="B43" s="7" t="s">
        <v>125</v>
      </c>
      <c r="C43" s="5" t="s">
        <v>51</v>
      </c>
      <c r="D43" s="9">
        <v>2023</v>
      </c>
      <c r="E43" s="9">
        <v>14</v>
      </c>
      <c r="F43" s="9">
        <v>1.6</v>
      </c>
    </row>
    <row r="44" spans="1:6" ht="15.75" thickBot="1">
      <c r="A44" s="7" t="s">
        <v>126</v>
      </c>
      <c r="B44" s="7" t="s">
        <v>127</v>
      </c>
      <c r="C44" s="5" t="s">
        <v>51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128</v>
      </c>
      <c r="B45" s="7" t="s">
        <v>127</v>
      </c>
      <c r="C45" s="5" t="s">
        <v>51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129</v>
      </c>
      <c r="B46" s="7" t="s">
        <v>127</v>
      </c>
      <c r="C46" s="5" t="s">
        <v>51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130</v>
      </c>
      <c r="B47" s="7" t="s">
        <v>131</v>
      </c>
      <c r="C47" s="5" t="s">
        <v>51</v>
      </c>
      <c r="D47" s="9">
        <v>2023</v>
      </c>
      <c r="E47" s="9">
        <v>16</v>
      </c>
      <c r="F47" s="9">
        <v>2</v>
      </c>
    </row>
    <row r="48" spans="1:6" ht="15.75" thickBot="1">
      <c r="A48" s="7" t="s">
        <v>132</v>
      </c>
      <c r="B48" s="7" t="s">
        <v>131</v>
      </c>
      <c r="C48" s="5" t="s">
        <v>51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133</v>
      </c>
      <c r="B49" s="7" t="s">
        <v>131</v>
      </c>
      <c r="C49" s="5" t="s">
        <v>51</v>
      </c>
      <c r="D49" s="9">
        <v>2023</v>
      </c>
      <c r="E49" s="9">
        <v>16</v>
      </c>
      <c r="F49" s="9">
        <v>2</v>
      </c>
    </row>
    <row r="50" spans="1:6" ht="15.75" thickBot="1">
      <c r="A50" s="5" t="s">
        <v>134</v>
      </c>
      <c r="B50" s="7" t="s">
        <v>135</v>
      </c>
      <c r="C50" s="5" t="s">
        <v>51</v>
      </c>
      <c r="D50" s="9">
        <v>2015</v>
      </c>
      <c r="E50" s="9">
        <v>11</v>
      </c>
      <c r="F50" s="9">
        <v>11</v>
      </c>
    </row>
    <row r="51" spans="1:6" ht="15.75" thickBot="1">
      <c r="A51" s="5" t="s">
        <v>134</v>
      </c>
      <c r="B51" s="7" t="s">
        <v>135</v>
      </c>
      <c r="C51" s="7" t="s">
        <v>51</v>
      </c>
      <c r="D51" s="9">
        <v>2015</v>
      </c>
      <c r="E51" s="9">
        <v>11</v>
      </c>
      <c r="F51" s="9">
        <v>11</v>
      </c>
    </row>
    <row r="52" spans="1:6" ht="15.75" thickBot="1">
      <c r="A52" s="5" t="s">
        <v>136</v>
      </c>
      <c r="B52" s="7" t="s">
        <v>137</v>
      </c>
      <c r="C52" s="7" t="s">
        <v>51</v>
      </c>
      <c r="D52" s="9">
        <v>2015</v>
      </c>
      <c r="E52" s="9">
        <v>13</v>
      </c>
      <c r="F52" s="9">
        <v>1.4</v>
      </c>
    </row>
    <row r="53" spans="1:6" ht="15.75" thickBot="1">
      <c r="A53" s="5" t="s">
        <v>136</v>
      </c>
      <c r="B53" s="7" t="s">
        <v>137</v>
      </c>
      <c r="C53" s="7" t="s">
        <v>51</v>
      </c>
      <c r="D53" s="9">
        <v>2015</v>
      </c>
      <c r="E53" s="9">
        <v>13</v>
      </c>
      <c r="F53" s="9">
        <v>1.4</v>
      </c>
    </row>
    <row r="54" spans="1:6" ht="15.75" thickBot="1">
      <c r="A54" s="5" t="s">
        <v>136</v>
      </c>
      <c r="B54" s="7" t="s">
        <v>137</v>
      </c>
      <c r="C54" s="7" t="s">
        <v>51</v>
      </c>
      <c r="D54" s="9">
        <v>2017</v>
      </c>
      <c r="E54" s="9">
        <v>13</v>
      </c>
      <c r="F54" s="9">
        <v>1.4</v>
      </c>
    </row>
    <row r="55" spans="1:6" ht="15.75" thickBot="1">
      <c r="A55" s="5" t="s">
        <v>136</v>
      </c>
      <c r="B55" s="7" t="s">
        <v>137</v>
      </c>
      <c r="C55" s="7" t="s">
        <v>51</v>
      </c>
      <c r="D55" s="9">
        <v>2017</v>
      </c>
      <c r="E55" s="9">
        <v>13</v>
      </c>
      <c r="F55" s="9">
        <v>1.4</v>
      </c>
    </row>
    <row r="56" spans="1:6" ht="15.75" thickBot="1">
      <c r="A56" s="5" t="s">
        <v>138</v>
      </c>
      <c r="B56" s="7" t="s">
        <v>139</v>
      </c>
      <c r="C56" s="7" t="s">
        <v>51</v>
      </c>
      <c r="D56" s="9">
        <v>2018</v>
      </c>
      <c r="E56" s="9">
        <v>13</v>
      </c>
      <c r="F56" s="9">
        <v>1.4</v>
      </c>
    </row>
    <row r="57" spans="1:6" ht="15.75" thickBot="1">
      <c r="A57" s="5" t="s">
        <v>140</v>
      </c>
      <c r="B57" s="7" t="s">
        <v>139</v>
      </c>
      <c r="C57" s="7" t="s">
        <v>51</v>
      </c>
      <c r="D57" s="9">
        <v>2019</v>
      </c>
      <c r="E57" s="9">
        <v>13</v>
      </c>
      <c r="F57" s="9">
        <v>1.4</v>
      </c>
    </row>
    <row r="58" spans="1:6" ht="15.75" thickBot="1">
      <c r="A58" s="5" t="s">
        <v>141</v>
      </c>
      <c r="B58" s="7" t="s">
        <v>142</v>
      </c>
      <c r="C58" s="7" t="s">
        <v>51</v>
      </c>
      <c r="D58" s="9">
        <v>2020</v>
      </c>
      <c r="E58" s="9">
        <v>13</v>
      </c>
      <c r="F58" s="9">
        <v>1.4</v>
      </c>
    </row>
    <row r="59" spans="1:6" ht="15.75" thickBot="1">
      <c r="A59" s="5" t="s">
        <v>141</v>
      </c>
      <c r="B59" s="7" t="s">
        <v>142</v>
      </c>
      <c r="C59" s="7" t="s">
        <v>51</v>
      </c>
      <c r="D59" s="9">
        <v>2020</v>
      </c>
      <c r="E59" s="9">
        <v>13</v>
      </c>
      <c r="F59" s="9">
        <v>1.4</v>
      </c>
    </row>
    <row r="60" spans="1:6" ht="15.75" thickBot="1">
      <c r="A60" s="5" t="s">
        <v>141</v>
      </c>
      <c r="B60" s="7" t="s">
        <v>142</v>
      </c>
      <c r="C60" s="7" t="s">
        <v>51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143</v>
      </c>
      <c r="B61" s="7" t="s">
        <v>144</v>
      </c>
      <c r="C61" s="7" t="s">
        <v>51</v>
      </c>
      <c r="D61" s="9">
        <v>2020</v>
      </c>
      <c r="E61" s="9">
        <v>13</v>
      </c>
      <c r="F61" s="9">
        <v>1.4</v>
      </c>
    </row>
    <row r="62" spans="1:6" ht="15.75" thickBot="1">
      <c r="A62" s="7" t="s">
        <v>145</v>
      </c>
      <c r="B62" s="7" t="s">
        <v>146</v>
      </c>
      <c r="C62" s="7" t="s">
        <v>51</v>
      </c>
      <c r="D62" s="9">
        <v>2022</v>
      </c>
      <c r="E62" s="9">
        <v>13</v>
      </c>
      <c r="F62" s="9">
        <v>1.4</v>
      </c>
    </row>
    <row r="63" spans="1:6" ht="15.75" thickBot="1">
      <c r="A63" s="7" t="s">
        <v>147</v>
      </c>
      <c r="B63" s="7" t="s">
        <v>148</v>
      </c>
      <c r="C63" s="7" t="s">
        <v>51</v>
      </c>
      <c r="D63" s="9">
        <v>2023</v>
      </c>
      <c r="E63" s="9">
        <v>15</v>
      </c>
      <c r="F63" s="9">
        <v>1.8</v>
      </c>
    </row>
    <row r="64" spans="1:6" ht="15.75" thickBot="1">
      <c r="A64" s="7" t="s">
        <v>149</v>
      </c>
      <c r="B64" s="7" t="s">
        <v>150</v>
      </c>
      <c r="C64" s="7" t="s">
        <v>51</v>
      </c>
      <c r="D64" s="9">
        <v>2024</v>
      </c>
      <c r="E64" s="9">
        <v>13</v>
      </c>
      <c r="F64" s="9">
        <v>1.4</v>
      </c>
    </row>
    <row r="65" spans="1:6" ht="15.75" thickBot="1">
      <c r="A65" s="7" t="s">
        <v>151</v>
      </c>
      <c r="B65" s="7" t="s">
        <v>152</v>
      </c>
      <c r="C65" s="7" t="s">
        <v>51</v>
      </c>
      <c r="D65" s="9">
        <v>2024</v>
      </c>
      <c r="E65" s="9">
        <v>15</v>
      </c>
      <c r="F65" s="9">
        <v>1.8</v>
      </c>
    </row>
    <row r="66" spans="1:6" ht="15.75" thickBot="1">
      <c r="A66" s="7" t="s">
        <v>153</v>
      </c>
      <c r="B66" s="7" t="s">
        <v>154</v>
      </c>
      <c r="C66" s="7" t="s">
        <v>307</v>
      </c>
      <c r="D66" s="9">
        <v>2013</v>
      </c>
      <c r="E66" s="7"/>
      <c r="F66" s="9">
        <v>5</v>
      </c>
    </row>
    <row r="67" spans="1:6" ht="15.75" thickBot="1">
      <c r="A67" s="7" t="s">
        <v>155</v>
      </c>
      <c r="B67" s="7" t="s">
        <v>156</v>
      </c>
      <c r="C67" s="7" t="s">
        <v>306</v>
      </c>
      <c r="D67" s="9">
        <v>2015</v>
      </c>
      <c r="E67" s="9">
        <v>27</v>
      </c>
      <c r="F67" s="9">
        <v>9.5399999999999991</v>
      </c>
    </row>
    <row r="68" spans="1:6" ht="15.75" thickBot="1">
      <c r="A68" s="7" t="s">
        <v>157</v>
      </c>
      <c r="B68" s="7" t="s">
        <v>156</v>
      </c>
      <c r="C68" s="7" t="s">
        <v>306</v>
      </c>
      <c r="D68" s="9">
        <v>2017</v>
      </c>
      <c r="E68" s="9">
        <v>27</v>
      </c>
      <c r="F68" s="9">
        <v>9.5399999999999991</v>
      </c>
    </row>
    <row r="69" spans="1:6" ht="15.75" thickBot="1">
      <c r="A69" s="7" t="s">
        <v>158</v>
      </c>
      <c r="B69" s="7" t="s">
        <v>159</v>
      </c>
      <c r="C69" s="7" t="s">
        <v>306</v>
      </c>
      <c r="D69" s="9">
        <v>2017</v>
      </c>
      <c r="E69" s="9">
        <v>21.5</v>
      </c>
      <c r="F69" s="9">
        <v>9.5399999999999991</v>
      </c>
    </row>
    <row r="70" spans="1:6" ht="15.75" thickBot="1">
      <c r="A70" s="7"/>
      <c r="B70" s="7" t="s">
        <v>160</v>
      </c>
      <c r="C70" s="7"/>
      <c r="D70" s="7"/>
      <c r="E70" s="7"/>
      <c r="F70" s="9">
        <v>2</v>
      </c>
    </row>
    <row r="71" spans="1:6" ht="15.75" thickBot="1">
      <c r="A71" s="7"/>
      <c r="B71" s="7" t="s">
        <v>160</v>
      </c>
      <c r="C71" s="7"/>
      <c r="D71" s="7"/>
      <c r="E71" s="7"/>
      <c r="F71" s="9">
        <v>2</v>
      </c>
    </row>
    <row r="72" spans="1:6" ht="15.75" thickBot="1">
      <c r="A72" s="7"/>
      <c r="B72" s="7" t="s">
        <v>160</v>
      </c>
      <c r="C72" s="7"/>
      <c r="D72" s="7"/>
      <c r="E72" s="7"/>
      <c r="F72" s="9">
        <v>2</v>
      </c>
    </row>
    <row r="73" spans="1:6" ht="15.75" thickBot="1">
      <c r="A73" s="7"/>
      <c r="B73" s="7" t="s">
        <v>160</v>
      </c>
      <c r="C73" s="7"/>
      <c r="D73" s="7"/>
      <c r="E73" s="7"/>
      <c r="F73" s="9">
        <v>2</v>
      </c>
    </row>
    <row r="74" spans="1:6" ht="15.75" thickBot="1">
      <c r="A74" s="7"/>
      <c r="B74" s="10" t="s">
        <v>161</v>
      </c>
      <c r="C74" s="10"/>
      <c r="D74" s="7"/>
      <c r="E74" s="7"/>
      <c r="F74" s="9">
        <v>1.74</v>
      </c>
    </row>
    <row r="75" spans="1:6" ht="15.75" thickBot="1">
      <c r="A75" s="7"/>
      <c r="B75" s="7" t="s">
        <v>160</v>
      </c>
      <c r="C75" s="7"/>
      <c r="D75" s="7"/>
      <c r="E75" s="7"/>
      <c r="F75" s="9">
        <v>2</v>
      </c>
    </row>
    <row r="76" spans="1:6" ht="15.75" thickBot="1">
      <c r="A76" s="7"/>
      <c r="B76" s="10" t="s">
        <v>161</v>
      </c>
      <c r="C76" s="10"/>
      <c r="D76" s="7"/>
      <c r="E76" s="7"/>
      <c r="F76" s="9">
        <v>1.74</v>
      </c>
    </row>
    <row r="77" spans="1:6" ht="15.75" thickBot="1">
      <c r="A77" s="7"/>
      <c r="B77" s="10" t="s">
        <v>162</v>
      </c>
      <c r="C77" s="10"/>
      <c r="D77" s="7"/>
      <c r="E77" s="7"/>
      <c r="F77" s="9">
        <v>1.8</v>
      </c>
    </row>
    <row r="78" spans="1:6" ht="15.75" thickBot="1">
      <c r="A78" s="7"/>
      <c r="B78" s="7" t="s">
        <v>160</v>
      </c>
      <c r="C78" s="7"/>
      <c r="D78" s="7"/>
      <c r="E78" s="7"/>
      <c r="F78" s="9">
        <v>2</v>
      </c>
    </row>
    <row r="79" spans="1:6" ht="15.75" thickBot="1">
      <c r="A79" s="7"/>
      <c r="B79" s="7" t="s">
        <v>163</v>
      </c>
      <c r="C79" s="7"/>
      <c r="D79" s="7"/>
      <c r="E79" s="7"/>
      <c r="F79" s="9">
        <v>1.8</v>
      </c>
    </row>
    <row r="80" spans="1:6" ht="15.75" thickBot="1">
      <c r="A80" s="7"/>
      <c r="B80" s="7" t="s">
        <v>164</v>
      </c>
      <c r="C80" s="7"/>
      <c r="D80" s="7"/>
      <c r="E80" s="7"/>
      <c r="F80" s="9">
        <v>1.26</v>
      </c>
    </row>
    <row r="81" spans="1:6" ht="15.75" thickBot="1">
      <c r="A81" s="7"/>
      <c r="B81" s="7" t="s">
        <v>165</v>
      </c>
      <c r="C81" s="7"/>
      <c r="D81" s="7"/>
      <c r="E81" s="7"/>
      <c r="F81" s="9">
        <v>1.26</v>
      </c>
    </row>
    <row r="82" spans="1:6" ht="15.75" thickBot="1">
      <c r="A82" s="7"/>
      <c r="B82" s="7" t="s">
        <v>166</v>
      </c>
      <c r="C82" s="7"/>
      <c r="D82" s="7"/>
      <c r="E82" s="7"/>
      <c r="F82" s="9">
        <v>1.26</v>
      </c>
    </row>
    <row r="83" spans="1:6" ht="15.75" thickBot="1">
      <c r="A83" s="7"/>
      <c r="B83" s="10" t="s">
        <v>167</v>
      </c>
      <c r="C83" s="10"/>
      <c r="D83" s="7"/>
      <c r="E83" s="7"/>
      <c r="F83" s="9">
        <v>1.26</v>
      </c>
    </row>
    <row r="84" spans="1:6" ht="15.75" thickBot="1">
      <c r="A84" s="7"/>
      <c r="B84" s="7" t="s">
        <v>168</v>
      </c>
      <c r="C84" s="7"/>
      <c r="D84" s="7"/>
      <c r="E84" s="7"/>
      <c r="F84" s="9">
        <v>1.17</v>
      </c>
    </row>
    <row r="85" spans="1:6" ht="15.75" thickBot="1">
      <c r="A85" s="7"/>
      <c r="B85" s="7" t="s">
        <v>169</v>
      </c>
      <c r="C85" s="7"/>
      <c r="D85" s="7"/>
      <c r="E85" s="7"/>
      <c r="F85" s="9">
        <v>1.8</v>
      </c>
    </row>
    <row r="86" spans="1:6" ht="15.75" thickBot="1">
      <c r="A86" s="7"/>
      <c r="B86" s="7" t="s">
        <v>170</v>
      </c>
      <c r="C86" s="7"/>
      <c r="D86" s="7"/>
      <c r="E86" s="7"/>
      <c r="F86" s="9">
        <v>1.35</v>
      </c>
    </row>
    <row r="87" spans="1:6" ht="15.75" thickBot="1">
      <c r="A87" s="7"/>
      <c r="B87" s="6" t="s">
        <v>171</v>
      </c>
      <c r="C87" s="6"/>
      <c r="D87" s="7"/>
      <c r="E87" s="7"/>
      <c r="F87" s="9">
        <v>1.1000000000000001</v>
      </c>
    </row>
    <row r="88" spans="1:6" ht="15.75" thickBot="1">
      <c r="A88" s="7"/>
      <c r="B88" s="6" t="s">
        <v>172</v>
      </c>
      <c r="C88" s="6"/>
      <c r="D88" s="7"/>
      <c r="E88" s="7"/>
      <c r="F88" s="9">
        <v>1.2</v>
      </c>
    </row>
    <row r="89" spans="1:6" ht="15.75" thickBot="1">
      <c r="A89" s="7"/>
      <c r="B89" s="6" t="s">
        <v>173</v>
      </c>
      <c r="C89" s="6"/>
      <c r="D89" s="7"/>
      <c r="E89" s="7"/>
      <c r="F89" s="9">
        <v>1.26</v>
      </c>
    </row>
    <row r="90" spans="1:6" ht="15.75" thickBot="1">
      <c r="A90" s="7"/>
      <c r="B90" s="7" t="s">
        <v>174</v>
      </c>
      <c r="C90" s="7"/>
      <c r="D90" s="7"/>
      <c r="E90" s="7"/>
      <c r="F90" s="9">
        <v>1.27</v>
      </c>
    </row>
    <row r="91" spans="1:6" ht="15.75" thickBot="1">
      <c r="A91" s="7"/>
      <c r="B91" s="7" t="s">
        <v>174</v>
      </c>
      <c r="C91" s="7"/>
      <c r="D91" s="7"/>
      <c r="E91" s="7"/>
      <c r="F91" s="9">
        <v>1.27</v>
      </c>
    </row>
    <row r="92" spans="1:6" ht="15.75" thickBot="1">
      <c r="A92" s="7"/>
      <c r="B92" s="7" t="s">
        <v>175</v>
      </c>
      <c r="C92" s="7"/>
      <c r="D92" s="7"/>
      <c r="E92" s="7"/>
      <c r="F92" s="9">
        <v>1.3</v>
      </c>
    </row>
    <row r="93" spans="1:6" ht="15.75" thickBot="1">
      <c r="A93" s="7"/>
      <c r="B93" s="7" t="s">
        <v>176</v>
      </c>
      <c r="C93" s="7"/>
      <c r="D93" s="7"/>
      <c r="E93" s="7"/>
      <c r="F93" s="9">
        <v>1.4</v>
      </c>
    </row>
    <row r="94" spans="1:6" ht="15.75" thickBot="1">
      <c r="A94" s="7"/>
      <c r="B94" s="7" t="s">
        <v>177</v>
      </c>
      <c r="C94" s="7"/>
      <c r="D94" s="7"/>
      <c r="E94" s="7"/>
      <c r="F94" s="9">
        <v>1.4</v>
      </c>
    </row>
    <row r="95" spans="1:6" ht="15.75" thickBot="1">
      <c r="A95" s="7"/>
      <c r="B95" s="7" t="s">
        <v>178</v>
      </c>
      <c r="C95" s="7"/>
      <c r="D95" s="7"/>
      <c r="E95" s="7"/>
      <c r="F95" s="9">
        <v>3.26</v>
      </c>
    </row>
    <row r="96" spans="1:6" ht="15.75" thickBot="1">
      <c r="A96" s="7"/>
      <c r="B96" s="7" t="s">
        <v>179</v>
      </c>
      <c r="C96" s="7"/>
      <c r="D96" s="7"/>
      <c r="E96" s="7"/>
      <c r="F96" s="9">
        <v>5.23</v>
      </c>
    </row>
    <row r="97" spans="1:6" ht="15.75" thickBot="1">
      <c r="A97" s="7"/>
      <c r="B97" s="7" t="s">
        <v>180</v>
      </c>
      <c r="C97" s="7"/>
      <c r="D97" s="7"/>
      <c r="E97" s="7"/>
      <c r="F97" s="9">
        <v>7.5</v>
      </c>
    </row>
    <row r="98" spans="1:6" ht="15.75" thickBot="1">
      <c r="A98" s="7"/>
      <c r="B98" s="7" t="s">
        <v>181</v>
      </c>
      <c r="C98" s="7"/>
      <c r="D98" s="7"/>
      <c r="E98" s="7"/>
      <c r="F98" s="9">
        <v>6.6</v>
      </c>
    </row>
    <row r="99" spans="1:6" ht="15.75" thickBot="1">
      <c r="A99" s="7"/>
      <c r="B99" s="7" t="s">
        <v>182</v>
      </c>
      <c r="C99" s="7"/>
      <c r="D99" s="7"/>
      <c r="E99" s="7"/>
      <c r="F99" s="9">
        <v>5.6</v>
      </c>
    </row>
    <row r="100" spans="1:6" ht="15.75" thickBot="1">
      <c r="A100" s="7"/>
      <c r="B100" s="7" t="s">
        <v>183</v>
      </c>
      <c r="C100" s="7"/>
      <c r="D100" s="7"/>
      <c r="E100" s="7"/>
      <c r="F100" s="9">
        <v>7.65</v>
      </c>
    </row>
    <row r="101" spans="1:6" ht="15.75" thickBot="1">
      <c r="A101" s="7"/>
      <c r="B101" s="7" t="s">
        <v>184</v>
      </c>
      <c r="C101" s="7"/>
      <c r="D101" s="7"/>
      <c r="E101" s="7"/>
      <c r="F101" s="9">
        <v>5.26</v>
      </c>
    </row>
    <row r="102" spans="1:6" ht="15.75" thickBot="1">
      <c r="A102" s="7"/>
      <c r="B102" s="7" t="s">
        <v>185</v>
      </c>
      <c r="C102" s="7"/>
      <c r="D102" s="7"/>
      <c r="E102" s="7"/>
      <c r="F102" s="9">
        <v>9</v>
      </c>
    </row>
    <row r="103" spans="1:6" ht="15.75" thickBot="1">
      <c r="A103" s="7"/>
      <c r="B103" s="7" t="s">
        <v>186</v>
      </c>
      <c r="C103" s="7"/>
      <c r="D103" s="7"/>
      <c r="E103" s="7"/>
      <c r="F103" s="9">
        <v>2.2999999999999998</v>
      </c>
    </row>
    <row r="104" spans="1:6" ht="15.75" thickBot="1">
      <c r="A104" s="7"/>
      <c r="B104" s="7" t="s">
        <v>187</v>
      </c>
      <c r="C104" s="7"/>
      <c r="D104" s="7"/>
      <c r="E104" s="7"/>
      <c r="F104" s="9">
        <v>2.2999999999999998</v>
      </c>
    </row>
    <row r="105" spans="1:6" ht="15.75" thickBot="1">
      <c r="A105" s="7"/>
      <c r="B105" s="7" t="s">
        <v>188</v>
      </c>
      <c r="C105" s="7"/>
      <c r="D105" s="7"/>
      <c r="E105" s="7"/>
      <c r="F105" s="9">
        <v>5.26</v>
      </c>
    </row>
    <row r="106" spans="1:6" ht="15.75" thickBot="1">
      <c r="A106" s="7"/>
      <c r="B106" s="7" t="s">
        <v>189</v>
      </c>
      <c r="C106" s="7"/>
      <c r="D106" s="7"/>
      <c r="E106" s="7"/>
      <c r="F106" s="9">
        <v>9.4</v>
      </c>
    </row>
    <row r="107" spans="1:6" ht="15.75" thickBot="1">
      <c r="A107" s="7"/>
      <c r="B107" s="7" t="s">
        <v>190</v>
      </c>
      <c r="C107" s="7"/>
      <c r="D107" s="7"/>
      <c r="E107" s="7"/>
      <c r="F107" s="9">
        <v>5.9</v>
      </c>
    </row>
    <row r="108" spans="1:6" ht="15.75" thickBot="1">
      <c r="A108" s="7"/>
      <c r="B108" s="7" t="s">
        <v>191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192</v>
      </c>
      <c r="C109" s="7"/>
      <c r="D109" s="7"/>
      <c r="E109" s="7"/>
      <c r="F109" s="9">
        <v>1.3</v>
      </c>
    </row>
    <row r="110" spans="1:6" ht="15.75" thickBot="1">
      <c r="A110" s="7"/>
      <c r="B110" s="7" t="s">
        <v>193</v>
      </c>
      <c r="C110" s="7"/>
      <c r="D110" s="7"/>
      <c r="E110" s="7"/>
      <c r="F110" s="9">
        <v>3</v>
      </c>
    </row>
    <row r="111" spans="1:6" ht="15.75" thickBot="1">
      <c r="A111" s="7"/>
      <c r="B111" s="7" t="s">
        <v>194</v>
      </c>
      <c r="C111" s="7"/>
      <c r="D111" s="7"/>
      <c r="E111" s="7"/>
      <c r="F111" s="9">
        <v>3</v>
      </c>
    </row>
    <row r="112" spans="1:6" ht="15.75" thickBot="1">
      <c r="A112" s="7"/>
      <c r="B112" s="7" t="s">
        <v>195</v>
      </c>
      <c r="C112" s="7"/>
      <c r="D112" s="7"/>
      <c r="E112" s="7"/>
      <c r="F112" s="9">
        <v>5.2</v>
      </c>
    </row>
    <row r="113" spans="1:6" ht="15.75" thickBot="1">
      <c r="A113" s="7"/>
      <c r="B113" s="7" t="s">
        <v>196</v>
      </c>
      <c r="C113" s="7"/>
      <c r="D113" s="7"/>
      <c r="E113" s="7"/>
      <c r="F113" s="9">
        <v>4.25</v>
      </c>
    </row>
    <row r="114" spans="1:6" ht="15.75" thickBot="1">
      <c r="A114" s="7"/>
      <c r="B114" s="7" t="s">
        <v>197</v>
      </c>
      <c r="C114" s="7"/>
      <c r="D114" s="7"/>
      <c r="E114" s="7"/>
      <c r="F114" s="9">
        <v>3.33</v>
      </c>
    </row>
    <row r="115" spans="1:6" ht="15.75" thickBot="1">
      <c r="A115" s="7"/>
      <c r="B115" s="7" t="s">
        <v>198</v>
      </c>
      <c r="C115" s="7"/>
      <c r="D115" s="7"/>
      <c r="E115" s="7"/>
      <c r="F115" s="9">
        <v>2.8</v>
      </c>
    </row>
    <row r="116" spans="1:6" ht="15.75" thickBot="1">
      <c r="A116" s="7"/>
      <c r="B116" s="7" t="s">
        <v>199</v>
      </c>
      <c r="C116" s="7"/>
      <c r="D116" s="7"/>
      <c r="E116" s="7"/>
      <c r="F116" s="9">
        <v>1.7</v>
      </c>
    </row>
    <row r="117" spans="1:6" ht="15.75" thickBot="1">
      <c r="A117" s="7"/>
      <c r="B117" s="7" t="s">
        <v>200</v>
      </c>
      <c r="C117" s="7"/>
      <c r="D117" s="7"/>
      <c r="E117" s="7"/>
      <c r="F117" s="9">
        <v>1.48</v>
      </c>
    </row>
    <row r="118" spans="1:6" ht="15.75" thickBot="1">
      <c r="A118" s="7"/>
      <c r="B118" s="7" t="s">
        <v>201</v>
      </c>
      <c r="C118" s="7"/>
      <c r="D118" s="7"/>
      <c r="E118" s="7"/>
      <c r="F118" s="9">
        <v>3.33</v>
      </c>
    </row>
    <row r="119" spans="1:6" ht="15.75" thickBot="1">
      <c r="A119" s="7"/>
      <c r="B119" s="7" t="s">
        <v>202</v>
      </c>
      <c r="C119" s="7"/>
      <c r="D119" s="7"/>
      <c r="E119" s="7"/>
      <c r="F119" s="9">
        <v>0.75</v>
      </c>
    </row>
    <row r="120" spans="1:6" ht="15.75" thickBot="1">
      <c r="A120" s="7"/>
      <c r="B120" s="7" t="s">
        <v>203</v>
      </c>
      <c r="C120" s="7"/>
      <c r="D120" s="7"/>
      <c r="E120" s="7"/>
      <c r="F120" s="9">
        <v>4.25</v>
      </c>
    </row>
    <row r="121" spans="1:6" ht="15.75" thickBot="1">
      <c r="A121" s="7"/>
      <c r="B121" s="7" t="s">
        <v>204</v>
      </c>
      <c r="C121" s="7"/>
      <c r="D121" s="7"/>
      <c r="E121" s="7"/>
      <c r="F121" s="9">
        <v>1.44</v>
      </c>
    </row>
    <row r="122" spans="1:6" ht="15.75" thickBot="1">
      <c r="A122" s="7"/>
      <c r="B122" s="7" t="s">
        <v>205</v>
      </c>
      <c r="C122" s="7"/>
      <c r="D122" s="7"/>
      <c r="E122" s="7"/>
      <c r="F122" s="9">
        <v>1.1299999999999999</v>
      </c>
    </row>
    <row r="123" spans="1:6" ht="15.75" thickBot="1">
      <c r="A123" s="7"/>
      <c r="B123" s="7" t="s">
        <v>206</v>
      </c>
      <c r="C123" s="7"/>
      <c r="D123" s="7"/>
      <c r="E123" s="7"/>
      <c r="F123" s="9">
        <v>1.1299999999999999</v>
      </c>
    </row>
    <row r="124" spans="1:6" ht="15.75" thickBot="1">
      <c r="A124" s="7"/>
      <c r="B124" s="7" t="s">
        <v>207</v>
      </c>
      <c r="C124" s="7"/>
      <c r="D124" s="7"/>
      <c r="E124" s="7"/>
      <c r="F124" s="9">
        <v>1.5</v>
      </c>
    </row>
    <row r="125" spans="1:6" ht="15.75" thickBot="1">
      <c r="A125" s="7"/>
      <c r="B125" s="7" t="s">
        <v>208</v>
      </c>
      <c r="C125" s="7"/>
      <c r="D125" s="7"/>
      <c r="E125" s="7"/>
      <c r="F125" s="9">
        <v>1.46</v>
      </c>
    </row>
    <row r="126" spans="1:6" ht="15.75" thickBot="1">
      <c r="A126" s="7"/>
      <c r="B126" s="7" t="s">
        <v>209</v>
      </c>
      <c r="C126" s="7"/>
      <c r="D126" s="7"/>
      <c r="E126" s="7"/>
      <c r="F126" s="9">
        <v>1.18</v>
      </c>
    </row>
    <row r="127" spans="1:6" ht="15.75" thickBot="1">
      <c r="A127" s="7"/>
      <c r="B127" s="7" t="s">
        <v>210</v>
      </c>
      <c r="C127" s="7"/>
      <c r="D127" s="7"/>
      <c r="E127" s="7"/>
      <c r="F127" s="9">
        <v>1.73</v>
      </c>
    </row>
    <row r="128" spans="1:6" ht="15.75" thickBot="1">
      <c r="A128" s="7"/>
      <c r="B128" s="7" t="s">
        <v>211</v>
      </c>
      <c r="C128" s="7"/>
      <c r="D128" s="7"/>
      <c r="E128" s="7"/>
      <c r="F128" s="9">
        <v>1.73</v>
      </c>
    </row>
    <row r="129" spans="1:6" ht="15.75" thickBot="1">
      <c r="A129" s="7"/>
      <c r="B129" s="7" t="s">
        <v>212</v>
      </c>
      <c r="C129" s="7"/>
      <c r="D129" s="7"/>
      <c r="E129" s="7"/>
      <c r="F129" s="9">
        <v>1.68</v>
      </c>
    </row>
    <row r="130" spans="1:6" ht="15.75" thickBot="1">
      <c r="A130" s="7"/>
      <c r="B130" s="7" t="s">
        <v>213</v>
      </c>
      <c r="C130" s="7"/>
      <c r="D130" s="7"/>
      <c r="E130" s="7"/>
      <c r="F130" s="9">
        <v>1.64</v>
      </c>
    </row>
    <row r="131" spans="1:6" ht="15.75" thickBot="1">
      <c r="A131" s="7"/>
      <c r="B131" s="7" t="s">
        <v>214</v>
      </c>
      <c r="C131" s="7"/>
      <c r="D131" s="7"/>
      <c r="E131" s="7"/>
      <c r="F131" s="9">
        <v>2.2999999999999998</v>
      </c>
    </row>
    <row r="132" spans="1:6" ht="15.75" thickBot="1">
      <c r="A132" s="7"/>
      <c r="B132" s="7" t="s">
        <v>215</v>
      </c>
      <c r="C132" s="7"/>
      <c r="D132" s="7"/>
      <c r="E132" s="7"/>
      <c r="F132" s="9">
        <v>1.96</v>
      </c>
    </row>
    <row r="133" spans="1:6" ht="15.75" thickBot="1">
      <c r="A133" s="7"/>
      <c r="B133" s="7" t="s">
        <v>216</v>
      </c>
      <c r="C133" s="7"/>
      <c r="D133" s="7"/>
      <c r="E133" s="7"/>
      <c r="F133" s="9">
        <v>1.7</v>
      </c>
    </row>
    <row r="134" spans="1:6" ht="15.75" thickBot="1">
      <c r="A134" s="7"/>
      <c r="B134" s="7" t="s">
        <v>217</v>
      </c>
      <c r="C134" s="7"/>
      <c r="D134" s="7"/>
      <c r="E134" s="7"/>
      <c r="F134" s="9">
        <v>2.7</v>
      </c>
    </row>
    <row r="135" spans="1:6" ht="15.75" thickBot="1">
      <c r="A135" s="7"/>
      <c r="B135" s="7" t="s">
        <v>218</v>
      </c>
      <c r="C135" s="7"/>
      <c r="D135" s="7"/>
      <c r="E135" s="7"/>
      <c r="F135" s="9">
        <v>2.74</v>
      </c>
    </row>
    <row r="136" spans="1:6" ht="15.75" thickBot="1">
      <c r="A136" s="7"/>
      <c r="B136" s="7" t="s">
        <v>219</v>
      </c>
      <c r="C136" s="7"/>
      <c r="D136" s="7"/>
      <c r="E136" s="7"/>
      <c r="F136" s="9">
        <v>2</v>
      </c>
    </row>
    <row r="137" spans="1:6" ht="15.75" thickBot="1">
      <c r="A137" s="7"/>
      <c r="B137" s="7" t="s">
        <v>210</v>
      </c>
      <c r="C137" s="7"/>
      <c r="D137" s="7"/>
      <c r="E137" s="7"/>
      <c r="F137" s="9">
        <v>1.73</v>
      </c>
    </row>
    <row r="138" spans="1:6" ht="15.75" thickBot="1">
      <c r="A138" s="7"/>
      <c r="B138" s="7" t="s">
        <v>220</v>
      </c>
      <c r="C138" s="7"/>
      <c r="D138" s="7"/>
      <c r="E138" s="7"/>
      <c r="F138" s="9">
        <v>1.68</v>
      </c>
    </row>
    <row r="139" spans="1:6" ht="15.75" thickBot="1">
      <c r="A139" s="7"/>
      <c r="B139" s="7" t="s">
        <v>221</v>
      </c>
      <c r="C139" s="7"/>
      <c r="D139" s="7"/>
      <c r="E139" s="7"/>
      <c r="F139" s="9">
        <v>1.64</v>
      </c>
    </row>
    <row r="140" spans="1:6" ht="15.75" thickBot="1">
      <c r="A140" s="7"/>
      <c r="B140" s="7" t="s">
        <v>222</v>
      </c>
      <c r="C140" s="7"/>
      <c r="D140" s="7"/>
      <c r="E140" s="7"/>
      <c r="F140" s="9">
        <v>2.2999999999999998</v>
      </c>
    </row>
    <row r="141" spans="1:6" ht="15.75" thickBot="1">
      <c r="A141" s="7"/>
      <c r="B141" s="7" t="s">
        <v>223</v>
      </c>
      <c r="C141" s="7"/>
      <c r="D141" s="7"/>
      <c r="E141" s="7"/>
      <c r="F141" s="9">
        <v>1.96</v>
      </c>
    </row>
    <row r="142" spans="1:6" ht="15.75" thickBot="1">
      <c r="A142" s="7"/>
      <c r="B142" s="7" t="s">
        <v>224</v>
      </c>
      <c r="C142" s="7"/>
      <c r="D142" s="7"/>
      <c r="E142" s="7"/>
      <c r="F142" s="9">
        <v>1.7</v>
      </c>
    </row>
    <row r="143" spans="1:6" ht="15.75" thickBot="1">
      <c r="A143" s="7"/>
      <c r="B143" s="7" t="s">
        <v>225</v>
      </c>
      <c r="C143" s="7"/>
      <c r="D143" s="7"/>
      <c r="E143" s="7"/>
      <c r="F143" s="9">
        <v>2.7</v>
      </c>
    </row>
    <row r="144" spans="1:6" ht="15.75" thickBot="1">
      <c r="A144" s="7"/>
      <c r="B144" s="7" t="s">
        <v>226</v>
      </c>
      <c r="C144" s="7"/>
      <c r="D144" s="7"/>
      <c r="E144" s="7"/>
      <c r="F144" s="9">
        <v>2.74</v>
      </c>
    </row>
    <row r="145" spans="1:6" ht="15.75" thickBot="1">
      <c r="A145" s="7"/>
      <c r="B145" s="7" t="s">
        <v>227</v>
      </c>
      <c r="C145" s="7"/>
      <c r="D145" s="7"/>
      <c r="E145" s="7"/>
      <c r="F145" s="9">
        <v>1.36</v>
      </c>
    </row>
    <row r="146" spans="1:6" ht="15.75" thickBot="1">
      <c r="A146" s="7"/>
      <c r="B146" s="7" t="s">
        <v>228</v>
      </c>
      <c r="C146" s="7"/>
      <c r="D146" s="7"/>
      <c r="E146" s="7"/>
      <c r="F146" s="9">
        <v>1.4</v>
      </c>
    </row>
    <row r="147" spans="1:6" ht="15.75" thickBot="1">
      <c r="A147" s="7"/>
      <c r="B147" s="7" t="s">
        <v>229</v>
      </c>
      <c r="C147" s="7"/>
      <c r="D147" s="7"/>
      <c r="E147" s="7"/>
      <c r="F147" s="9">
        <v>2.5</v>
      </c>
    </row>
    <row r="148" spans="1:6" ht="15.75" thickBot="1">
      <c r="A148" s="7"/>
      <c r="B148" s="7" t="s">
        <v>230</v>
      </c>
      <c r="C148" s="7"/>
      <c r="D148" s="7"/>
      <c r="E148" s="7"/>
      <c r="F148" s="9">
        <v>1.7</v>
      </c>
    </row>
    <row r="149" spans="1:6" ht="15.75" thickBot="1">
      <c r="A149" s="7"/>
      <c r="B149" s="7" t="s">
        <v>231</v>
      </c>
      <c r="C149" s="7"/>
      <c r="D149" s="7"/>
      <c r="E149" s="7"/>
      <c r="F149" s="9">
        <v>1.32</v>
      </c>
    </row>
    <row r="150" spans="1:6" ht="15.75" thickBot="1">
      <c r="A150" s="7"/>
      <c r="B150" s="7" t="s">
        <v>232</v>
      </c>
      <c r="C150" s="7"/>
      <c r="D150" s="7"/>
      <c r="E150" s="7"/>
      <c r="F150" s="9">
        <v>1.36</v>
      </c>
    </row>
    <row r="151" spans="1:6" ht="15.75" thickBot="1">
      <c r="A151" s="7"/>
      <c r="B151" s="7" t="s">
        <v>233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234</v>
      </c>
      <c r="C152" s="7"/>
      <c r="D152" s="7"/>
      <c r="E152" s="7"/>
      <c r="F152" s="9">
        <v>1.3</v>
      </c>
    </row>
    <row r="153" spans="1:6" ht="15.75" thickBot="1">
      <c r="A153" s="7"/>
      <c r="B153" s="7" t="s">
        <v>235</v>
      </c>
      <c r="C153" s="7"/>
      <c r="D153" s="7"/>
      <c r="E153" s="7"/>
      <c r="F153" s="9">
        <v>1.8</v>
      </c>
    </row>
    <row r="154" spans="1:6" ht="15.75" thickBot="1">
      <c r="A154" s="7"/>
      <c r="B154" s="7" t="s">
        <v>236</v>
      </c>
      <c r="C154" s="7"/>
      <c r="D154" s="7"/>
      <c r="E154" s="7"/>
      <c r="F154" s="9">
        <v>1.32</v>
      </c>
    </row>
    <row r="155" spans="1:6" ht="15.75" thickBot="1">
      <c r="A155" s="7"/>
      <c r="B155" s="7" t="s">
        <v>237</v>
      </c>
      <c r="C155" s="7"/>
      <c r="D155" s="7"/>
      <c r="E155" s="7"/>
      <c r="F155" s="9">
        <v>1.27</v>
      </c>
    </row>
    <row r="156" spans="1:6" ht="15.75" thickBot="1">
      <c r="A156" s="7"/>
      <c r="B156" s="7" t="s">
        <v>238</v>
      </c>
      <c r="C156" s="7"/>
      <c r="D156" s="7"/>
      <c r="E156" s="7"/>
      <c r="F156" s="9">
        <v>1.4</v>
      </c>
    </row>
    <row r="157" spans="1:6" ht="15.75" thickBot="1">
      <c r="A157" s="7"/>
      <c r="B157" s="7" t="s">
        <v>235</v>
      </c>
      <c r="C157" s="7"/>
      <c r="D157" s="7"/>
      <c r="E157" s="7"/>
      <c r="F157" s="9">
        <v>1.8</v>
      </c>
    </row>
    <row r="158" spans="1:6" ht="15.75" thickBot="1">
      <c r="A158" s="7"/>
      <c r="B158" s="7" t="s">
        <v>239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240</v>
      </c>
      <c r="C159" s="7"/>
      <c r="D159" s="7"/>
      <c r="E159" s="7"/>
      <c r="F159" s="9">
        <v>2.63</v>
      </c>
    </row>
    <row r="160" spans="1:6" ht="15.75" thickBot="1">
      <c r="A160" s="7"/>
      <c r="B160" s="7" t="s">
        <v>241</v>
      </c>
      <c r="C160" s="7"/>
      <c r="D160" s="7"/>
      <c r="E160" s="7"/>
      <c r="F160" s="9">
        <v>2.63</v>
      </c>
    </row>
    <row r="161" spans="1:6" ht="15.75" thickBot="1">
      <c r="A161" s="7"/>
      <c r="B161" s="7" t="s">
        <v>242</v>
      </c>
      <c r="C161" s="7"/>
      <c r="D161" s="7"/>
      <c r="E161" s="7"/>
      <c r="F161" s="9">
        <v>2</v>
      </c>
    </row>
    <row r="162" spans="1:6" ht="15.75" thickBot="1">
      <c r="A162" s="7"/>
      <c r="B162" s="7" t="s">
        <v>243</v>
      </c>
      <c r="C162" s="7"/>
      <c r="D162" s="7"/>
      <c r="E162" s="7"/>
      <c r="F162" s="9">
        <v>1.8</v>
      </c>
    </row>
    <row r="163" spans="1:6" ht="15.75" thickBot="1">
      <c r="A163" s="7"/>
      <c r="B163" s="7" t="s">
        <v>244</v>
      </c>
      <c r="C163" s="7"/>
      <c r="D163" s="7"/>
      <c r="E163" s="7"/>
      <c r="F163" s="9">
        <v>2.2000000000000002</v>
      </c>
    </row>
    <row r="164" spans="1:6" ht="15.75" thickBot="1">
      <c r="A164" s="7"/>
      <c r="B164" s="7" t="s">
        <v>245</v>
      </c>
      <c r="C164" s="7"/>
      <c r="D164" s="7"/>
      <c r="E164" s="7"/>
      <c r="F164" s="9">
        <v>2.63</v>
      </c>
    </row>
    <row r="165" spans="1:6" ht="15.75" thickBot="1">
      <c r="A165" s="7"/>
      <c r="B165" s="10" t="s">
        <v>246</v>
      </c>
      <c r="C165" s="10"/>
      <c r="D165" s="7"/>
      <c r="E165" s="7"/>
      <c r="F165" s="9">
        <v>2</v>
      </c>
    </row>
    <row r="166" spans="1:6" ht="15.75" thickBot="1">
      <c r="A166" s="7"/>
      <c r="B166" s="7" t="s">
        <v>247</v>
      </c>
      <c r="C166" s="7"/>
      <c r="D166" s="7"/>
      <c r="E166" s="7"/>
      <c r="F166" s="9">
        <v>1.47</v>
      </c>
    </row>
    <row r="167" spans="1:6" ht="15.75" thickBot="1">
      <c r="A167" s="7"/>
      <c r="B167" s="7" t="s">
        <v>248</v>
      </c>
      <c r="C167" s="7"/>
      <c r="D167" s="7"/>
      <c r="E167" s="7"/>
      <c r="F167" s="9">
        <v>1.36</v>
      </c>
    </row>
    <row r="168" spans="1:6" ht="15.75" thickBot="1">
      <c r="A168" s="7"/>
      <c r="B168" s="7" t="s">
        <v>249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250</v>
      </c>
      <c r="C169" s="7"/>
      <c r="D169" s="7"/>
      <c r="E169" s="7"/>
      <c r="F169" s="9">
        <v>1.53</v>
      </c>
    </row>
    <row r="170" spans="1:6" ht="15.75" thickBot="1">
      <c r="A170" s="7"/>
      <c r="B170" s="7" t="s">
        <v>251</v>
      </c>
      <c r="C170" s="7"/>
      <c r="D170" s="7"/>
      <c r="E170" s="7"/>
      <c r="F170" s="9">
        <v>1.24</v>
      </c>
    </row>
    <row r="171" spans="1:6" ht="15.75" thickBot="1">
      <c r="A171" s="7"/>
      <c r="B171" s="7" t="s">
        <v>252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253</v>
      </c>
      <c r="C172" s="7"/>
      <c r="D172" s="7"/>
      <c r="E172" s="7"/>
      <c r="F172" s="9">
        <v>1.55</v>
      </c>
    </row>
    <row r="173" spans="1:6" ht="15.75" thickBot="1">
      <c r="A173" s="7"/>
      <c r="B173" s="7" t="s">
        <v>254</v>
      </c>
      <c r="C173" s="7"/>
      <c r="D173" s="7"/>
      <c r="E173" s="7"/>
      <c r="F173" s="9">
        <v>1.75</v>
      </c>
    </row>
    <row r="174" spans="1:6" ht="15.75" thickBot="1">
      <c r="A174" s="7"/>
      <c r="B174" s="7" t="s">
        <v>255</v>
      </c>
      <c r="C174" s="7"/>
      <c r="D174" s="7"/>
      <c r="E174" s="7"/>
      <c r="F174" s="9">
        <v>1.7</v>
      </c>
    </row>
    <row r="175" spans="1:6" ht="15.75" thickBot="1">
      <c r="A175" s="7"/>
      <c r="B175" s="7" t="s">
        <v>256</v>
      </c>
      <c r="C175" s="7"/>
      <c r="D175" s="7"/>
      <c r="E175" s="7"/>
      <c r="F175" s="9">
        <v>1.3</v>
      </c>
    </row>
    <row r="176" spans="1:6" ht="15.75" thickBot="1">
      <c r="A176" s="7"/>
      <c r="B176" s="7" t="s">
        <v>257</v>
      </c>
      <c r="C176" s="7"/>
      <c r="D176" s="7"/>
      <c r="E176" s="7"/>
      <c r="F176" s="9">
        <v>1.53</v>
      </c>
    </row>
    <row r="177" spans="1:6" ht="15.75" thickBot="1">
      <c r="A177" s="7"/>
      <c r="B177" s="7" t="s">
        <v>258</v>
      </c>
      <c r="C177" s="7"/>
      <c r="D177" s="7"/>
      <c r="E177" s="7"/>
      <c r="F177" s="9">
        <v>1.27</v>
      </c>
    </row>
    <row r="178" spans="1:6" ht="15.75" thickBot="1">
      <c r="A178" s="7"/>
      <c r="B178" s="7" t="s">
        <v>259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260</v>
      </c>
      <c r="C179" s="7"/>
      <c r="D179" s="7"/>
      <c r="E179" s="7"/>
      <c r="F179" s="9">
        <v>1.4</v>
      </c>
    </row>
    <row r="180" spans="1:6" ht="15.75" thickBot="1">
      <c r="A180" s="7"/>
      <c r="B180" s="7" t="s">
        <v>261</v>
      </c>
      <c r="C180" s="7"/>
      <c r="D180" s="7"/>
      <c r="E180" s="7"/>
      <c r="F180" s="9">
        <v>1.4</v>
      </c>
    </row>
    <row r="181" spans="1:6" ht="15.75" thickBot="1">
      <c r="A181" s="7"/>
      <c r="B181" s="7" t="s">
        <v>262</v>
      </c>
      <c r="C181" s="7"/>
      <c r="D181" s="7"/>
      <c r="E181" s="7"/>
      <c r="F181" s="9">
        <v>1.44</v>
      </c>
    </row>
    <row r="182" spans="1:6" ht="15.75" thickBot="1">
      <c r="A182" s="7"/>
      <c r="B182" s="7" t="s">
        <v>263</v>
      </c>
      <c r="C182" s="7"/>
      <c r="D182" s="7"/>
      <c r="E182" s="7"/>
      <c r="F182" s="9">
        <v>1.1299999999999999</v>
      </c>
    </row>
    <row r="183" spans="1:6" ht="15.75" thickBot="1">
      <c r="A183" s="7"/>
      <c r="B183" s="7" t="s">
        <v>264</v>
      </c>
      <c r="C183" s="7"/>
      <c r="D183" s="7"/>
      <c r="E183" s="7"/>
      <c r="F183" s="9">
        <v>1.1299999999999999</v>
      </c>
    </row>
    <row r="184" spans="1:6" ht="15.75" thickBot="1">
      <c r="A184" s="7"/>
      <c r="B184" s="7" t="s">
        <v>265</v>
      </c>
      <c r="C184" s="7"/>
      <c r="D184" s="7"/>
      <c r="E184" s="7"/>
      <c r="F184" s="9">
        <v>1.5</v>
      </c>
    </row>
    <row r="185" spans="1:6" ht="15.75" thickBot="1">
      <c r="A185" s="7"/>
      <c r="B185" s="7" t="s">
        <v>210</v>
      </c>
      <c r="C185" s="7"/>
      <c r="D185" s="7"/>
      <c r="E185" s="7"/>
      <c r="F185" s="9">
        <v>1.73</v>
      </c>
    </row>
    <row r="186" spans="1:6" ht="15.75" thickBot="1">
      <c r="A186" s="7"/>
      <c r="B186" s="7" t="s">
        <v>220</v>
      </c>
      <c r="C186" s="7"/>
      <c r="D186" s="7"/>
      <c r="E186" s="7"/>
      <c r="F186" s="9">
        <v>1.68</v>
      </c>
    </row>
    <row r="187" spans="1:6" ht="15.75" thickBot="1">
      <c r="A187" s="7"/>
      <c r="B187" s="7" t="s">
        <v>221</v>
      </c>
      <c r="C187" s="7"/>
      <c r="D187" s="7"/>
      <c r="E187" s="7"/>
      <c r="F187" s="9">
        <v>1.64</v>
      </c>
    </row>
    <row r="188" spans="1:6" ht="15.75" thickBot="1">
      <c r="A188" s="7"/>
      <c r="B188" s="7" t="s">
        <v>222</v>
      </c>
      <c r="C188" s="7"/>
      <c r="D188" s="7"/>
      <c r="E188" s="7"/>
      <c r="F188" s="9">
        <v>2.2999999999999998</v>
      </c>
    </row>
    <row r="189" spans="1:6" ht="15.75" thickBot="1">
      <c r="A189" s="7"/>
      <c r="B189" s="7" t="s">
        <v>223</v>
      </c>
      <c r="C189" s="7"/>
      <c r="D189" s="7"/>
      <c r="E189" s="7"/>
      <c r="F189" s="9">
        <v>1.96</v>
      </c>
    </row>
    <row r="190" spans="1:6" ht="15.75" thickBot="1">
      <c r="A190" s="7"/>
      <c r="B190" s="7" t="s">
        <v>224</v>
      </c>
      <c r="C190" s="7"/>
      <c r="D190" s="7"/>
      <c r="E190" s="7"/>
      <c r="F190" s="9">
        <v>1.7</v>
      </c>
    </row>
    <row r="191" spans="1:6" ht="15.75" thickBot="1">
      <c r="A191" s="7"/>
      <c r="B191" s="7" t="s">
        <v>225</v>
      </c>
      <c r="C191" s="7"/>
      <c r="D191" s="7"/>
      <c r="E191" s="7"/>
      <c r="F191" s="9">
        <v>2.7</v>
      </c>
    </row>
    <row r="192" spans="1:6" ht="15.75" thickBot="1">
      <c r="A192" s="7"/>
      <c r="B192" s="7" t="s">
        <v>226</v>
      </c>
      <c r="C192" s="7"/>
      <c r="D192" s="7"/>
      <c r="E192" s="7"/>
      <c r="F192" s="9">
        <v>2.74</v>
      </c>
    </row>
    <row r="193" spans="1:6" ht="15.75" thickBot="1">
      <c r="A193" s="7"/>
      <c r="B193" s="7" t="s">
        <v>266</v>
      </c>
      <c r="C193" s="7"/>
      <c r="D193" s="7"/>
      <c r="E193" s="7"/>
      <c r="F193" s="9">
        <v>1.36</v>
      </c>
    </row>
    <row r="194" spans="1:6" ht="15.75" thickBot="1">
      <c r="A194" s="7"/>
      <c r="B194" s="7" t="s">
        <v>267</v>
      </c>
      <c r="C194" s="7"/>
      <c r="D194" s="7"/>
      <c r="E194" s="7"/>
      <c r="F194" s="9">
        <v>2.5</v>
      </c>
    </row>
    <row r="195" spans="1:6" ht="15.75" thickBot="1">
      <c r="A195" s="7"/>
      <c r="B195" s="7" t="s">
        <v>268</v>
      </c>
      <c r="C195" s="7"/>
      <c r="D195" s="7"/>
      <c r="E195" s="7"/>
      <c r="F195" s="9">
        <v>1.7</v>
      </c>
    </row>
    <row r="196" spans="1:6" ht="15.75" thickBot="1">
      <c r="A196" s="7"/>
      <c r="B196" s="7" t="s">
        <v>269</v>
      </c>
      <c r="C196" s="7"/>
      <c r="D196" s="7"/>
      <c r="E196" s="7"/>
      <c r="F196" s="9">
        <v>1.32</v>
      </c>
    </row>
    <row r="197" spans="1:6" ht="15.75" thickBot="1">
      <c r="A197" s="7"/>
      <c r="B197" s="7" t="s">
        <v>170</v>
      </c>
      <c r="C197" s="7"/>
      <c r="D197" s="7"/>
      <c r="E197" s="7"/>
      <c r="F197" s="9">
        <v>1.36</v>
      </c>
    </row>
    <row r="198" spans="1:6" ht="15.75" thickBot="1">
      <c r="A198" s="7"/>
      <c r="B198" s="7" t="s">
        <v>270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256</v>
      </c>
      <c r="C199" s="7"/>
      <c r="D199" s="7"/>
      <c r="E199" s="7"/>
      <c r="F199" s="9">
        <v>1.3</v>
      </c>
    </row>
    <row r="200" spans="1:6" ht="15.75" thickBot="1">
      <c r="A200" s="7"/>
      <c r="B200" s="7" t="s">
        <v>271</v>
      </c>
      <c r="C200" s="7"/>
      <c r="D200" s="7"/>
      <c r="E200" s="7"/>
      <c r="F200" s="9">
        <v>1.32</v>
      </c>
    </row>
    <row r="201" spans="1:6" ht="15.75" thickBot="1">
      <c r="A201" s="7"/>
      <c r="B201" s="7" t="s">
        <v>272</v>
      </c>
      <c r="C201" s="7"/>
      <c r="D201" s="7"/>
      <c r="E201" s="7"/>
      <c r="F201" s="9">
        <v>1.27</v>
      </c>
    </row>
    <row r="202" spans="1:6" ht="15.75" thickBot="1">
      <c r="A202" s="7"/>
      <c r="B202" s="7" t="s">
        <v>273</v>
      </c>
      <c r="C202" s="7"/>
      <c r="D202" s="7"/>
      <c r="E202" s="7"/>
      <c r="F202" s="9">
        <v>1.4</v>
      </c>
    </row>
    <row r="203" spans="1:6" ht="15.75" thickBot="1">
      <c r="A203" s="7"/>
      <c r="B203" s="7" t="s">
        <v>274</v>
      </c>
      <c r="C203" s="7"/>
      <c r="D203" s="7"/>
      <c r="E203" s="7"/>
      <c r="F203" s="9">
        <v>2.63</v>
      </c>
    </row>
    <row r="204" spans="1:6" ht="15.75" thickBot="1">
      <c r="A204" s="7"/>
      <c r="B204" s="7" t="s">
        <v>275</v>
      </c>
      <c r="C204" s="7"/>
      <c r="D204" s="7"/>
      <c r="E204" s="7"/>
      <c r="F204" s="9">
        <v>2.63</v>
      </c>
    </row>
    <row r="205" spans="1:6" ht="15.75" thickBot="1">
      <c r="A205" s="7"/>
      <c r="B205" s="7" t="s">
        <v>276</v>
      </c>
      <c r="C205" s="7"/>
      <c r="D205" s="7"/>
      <c r="E205" s="7"/>
      <c r="F205" s="9">
        <v>2</v>
      </c>
    </row>
    <row r="206" spans="1:6" ht="15.75" thickBot="1">
      <c r="A206" s="7"/>
      <c r="B206" s="7" t="s">
        <v>277</v>
      </c>
      <c r="C206" s="7"/>
      <c r="D206" s="7"/>
      <c r="E206" s="7"/>
      <c r="F206" s="9">
        <v>1.8</v>
      </c>
    </row>
    <row r="207" spans="1:6" ht="15.75" thickBot="1">
      <c r="A207" s="7"/>
      <c r="B207" s="7" t="s">
        <v>245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278</v>
      </c>
      <c r="C208" s="7"/>
      <c r="D208" s="7"/>
      <c r="E208" s="7"/>
      <c r="F208" s="9">
        <v>1.47</v>
      </c>
    </row>
    <row r="209" spans="1:6" ht="15.75" thickBot="1">
      <c r="A209" s="7"/>
      <c r="B209" s="7" t="s">
        <v>279</v>
      </c>
      <c r="C209" s="7"/>
      <c r="D209" s="7"/>
      <c r="E209" s="7"/>
      <c r="F209" s="9">
        <v>1.36</v>
      </c>
    </row>
    <row r="210" spans="1:6" ht="15.75" thickBot="1">
      <c r="A210" s="7"/>
      <c r="B210" s="7" t="s">
        <v>280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257</v>
      </c>
      <c r="C211" s="7"/>
      <c r="D211" s="7"/>
      <c r="E211" s="7"/>
      <c r="F211" s="9">
        <v>1.53</v>
      </c>
    </row>
    <row r="212" spans="1:6" ht="15.75" thickBot="1">
      <c r="A212" s="7"/>
      <c r="B212" s="7" t="s">
        <v>281</v>
      </c>
      <c r="C212" s="7"/>
      <c r="D212" s="7"/>
      <c r="E212" s="7"/>
      <c r="F212" s="9">
        <v>1.24</v>
      </c>
    </row>
    <row r="213" spans="1:6" ht="15.75" thickBot="1">
      <c r="A213" s="7"/>
      <c r="B213" s="7" t="s">
        <v>282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283</v>
      </c>
      <c r="C214" s="7"/>
      <c r="D214" s="7"/>
      <c r="E214" s="7"/>
      <c r="F214" s="9">
        <v>1.75</v>
      </c>
    </row>
    <row r="215" spans="1:6" ht="15.75" thickBot="1">
      <c r="A215" s="7"/>
      <c r="B215" s="7" t="s">
        <v>284</v>
      </c>
      <c r="C215" s="7"/>
      <c r="D215" s="7"/>
      <c r="E215" s="7"/>
      <c r="F215" s="9">
        <v>1.9</v>
      </c>
    </row>
    <row r="216" spans="1:6" ht="15.75" thickBot="1">
      <c r="A216" s="7"/>
      <c r="B216" s="11" t="s">
        <v>285</v>
      </c>
      <c r="C216" s="11"/>
      <c r="D216" s="7"/>
      <c r="E216" s="7"/>
      <c r="F216" s="9">
        <v>1.9</v>
      </c>
    </row>
    <row r="217" spans="1:6" ht="15.75" thickBot="1">
      <c r="A217" s="7"/>
      <c r="B217" s="7" t="s">
        <v>286</v>
      </c>
      <c r="C217" s="7"/>
      <c r="D217" s="7"/>
      <c r="E217" s="7"/>
      <c r="F217" s="9">
        <v>1.9</v>
      </c>
    </row>
    <row r="218" spans="1:6" ht="15.75" thickBot="1">
      <c r="A218" s="7"/>
      <c r="B218" s="10" t="s">
        <v>287</v>
      </c>
      <c r="C218" s="10"/>
      <c r="D218" s="7"/>
      <c r="E218" s="7"/>
      <c r="F218" s="9">
        <v>1.5</v>
      </c>
    </row>
    <row r="219" spans="1:6" ht="15.75" thickBot="1">
      <c r="A219" s="7"/>
      <c r="B219" s="10" t="s">
        <v>288</v>
      </c>
      <c r="C219" s="10"/>
      <c r="D219" s="7"/>
      <c r="E219" s="7"/>
      <c r="F219" s="9">
        <v>1.9</v>
      </c>
    </row>
    <row r="220" spans="1:6" ht="15.75" thickBot="1">
      <c r="A220" s="7"/>
      <c r="B220" s="7" t="s">
        <v>289</v>
      </c>
      <c r="C220" s="7"/>
      <c r="D220" s="7"/>
      <c r="E220" s="7"/>
      <c r="F220" s="9">
        <v>0.78</v>
      </c>
    </row>
    <row r="221" spans="1:6" ht="15.75" thickBot="1">
      <c r="A221" s="7"/>
      <c r="B221" s="11" t="s">
        <v>290</v>
      </c>
      <c r="C221" s="11"/>
      <c r="D221" s="7"/>
      <c r="E221" s="7"/>
      <c r="F221" s="9">
        <v>1.5</v>
      </c>
    </row>
    <row r="222" spans="1:6" ht="15.75" thickBot="1">
      <c r="A222" s="7"/>
      <c r="B222" s="7" t="s">
        <v>291</v>
      </c>
      <c r="C222" s="7"/>
      <c r="D222" s="7"/>
      <c r="E222" s="7"/>
      <c r="F222" s="9">
        <v>2.54</v>
      </c>
    </row>
    <row r="223" spans="1:6" ht="15.75" thickBot="1">
      <c r="A223" s="7"/>
      <c r="B223" s="7" t="s">
        <v>292</v>
      </c>
      <c r="C223" s="7"/>
      <c r="D223" s="7"/>
      <c r="E223" s="7"/>
      <c r="F223" s="9">
        <v>1.2</v>
      </c>
    </row>
    <row r="224" spans="1:6" ht="15.75" thickBot="1">
      <c r="A224" s="7"/>
      <c r="B224" s="7" t="s">
        <v>293</v>
      </c>
      <c r="C224" s="7"/>
      <c r="D224" s="7"/>
      <c r="E224" s="7"/>
      <c r="F224" s="9">
        <v>1.2</v>
      </c>
    </row>
    <row r="225" spans="1:6" ht="15.75" thickBot="1">
      <c r="A225" s="7"/>
      <c r="B225" s="7" t="s">
        <v>294</v>
      </c>
      <c r="C225" s="7"/>
      <c r="D225" s="7"/>
      <c r="E225" s="7"/>
      <c r="F225" s="9">
        <v>1.4</v>
      </c>
    </row>
    <row r="226" spans="1:6" ht="15.75" thickBot="1">
      <c r="A226" s="7"/>
      <c r="B226" s="7" t="s">
        <v>295</v>
      </c>
      <c r="C226" s="7"/>
      <c r="D226" s="7"/>
      <c r="E226" s="7"/>
      <c r="F226" s="9">
        <v>2.2999999999999998</v>
      </c>
    </row>
    <row r="227" spans="1:6" ht="15.75" thickBot="1">
      <c r="A227" s="7"/>
      <c r="B227" s="7" t="s">
        <v>296</v>
      </c>
      <c r="C227" s="7"/>
      <c r="D227" s="7"/>
      <c r="E227" s="7"/>
      <c r="F227" s="9">
        <v>0.33</v>
      </c>
    </row>
    <row r="228" spans="1:6" ht="15.75" thickBot="1">
      <c r="A228" s="7"/>
      <c r="B228" s="7" t="s">
        <v>297</v>
      </c>
      <c r="C228" s="7"/>
      <c r="D228" s="7"/>
      <c r="E228" s="7"/>
      <c r="F228" s="9">
        <v>4.45</v>
      </c>
    </row>
    <row r="229" spans="1:6" ht="15.75" thickBot="1">
      <c r="A229" s="27"/>
      <c r="B229" s="27" t="s">
        <v>298</v>
      </c>
      <c r="C229" s="27"/>
      <c r="D229" s="27"/>
      <c r="E229" s="7"/>
      <c r="F229" s="9">
        <v>4.3</v>
      </c>
    </row>
    <row r="230" spans="1:6" ht="15.75" thickBot="1">
      <c r="A230" s="27"/>
      <c r="B230" s="27" t="s">
        <v>299</v>
      </c>
      <c r="C230" s="27"/>
      <c r="D230" s="27"/>
      <c r="E230" s="7"/>
      <c r="F230" s="9">
        <v>4.57</v>
      </c>
    </row>
    <row r="231" spans="1:6" ht="15.75" thickBot="1">
      <c r="A231" s="27"/>
      <c r="B231" s="27" t="s">
        <v>300</v>
      </c>
      <c r="C231" s="27"/>
      <c r="D231" s="27"/>
      <c r="E231" s="7"/>
      <c r="F231" s="9">
        <v>4.9000000000000004</v>
      </c>
    </row>
    <row r="232" spans="1:6" ht="15.75" thickBot="1">
      <c r="A232" s="27"/>
      <c r="B232" s="28" t="s">
        <v>301</v>
      </c>
      <c r="C232" s="28"/>
      <c r="D232" s="27"/>
      <c r="E232" s="7"/>
      <c r="F232" s="9">
        <v>1.67</v>
      </c>
    </row>
    <row r="233" spans="1:6" ht="15.75" thickBot="1">
      <c r="A233" s="27"/>
      <c r="B233" s="28" t="s">
        <v>302</v>
      </c>
      <c r="C233" s="28"/>
      <c r="D233" s="27"/>
      <c r="E233" s="7"/>
      <c r="F233" s="9">
        <v>2.5</v>
      </c>
    </row>
    <row r="234" spans="1:6" ht="15.75" thickBot="1">
      <c r="A234" s="27"/>
      <c r="B234" s="28" t="s">
        <v>303</v>
      </c>
      <c r="C234" s="28"/>
      <c r="D234" s="27"/>
      <c r="E234" s="7"/>
      <c r="F234" s="9">
        <v>1.78</v>
      </c>
    </row>
    <row r="235" spans="1:6" ht="15.75" thickBot="1">
      <c r="A235" s="27"/>
      <c r="B235" s="28" t="s">
        <v>304</v>
      </c>
      <c r="C235" s="28"/>
      <c r="D235" s="27"/>
      <c r="E235" s="7"/>
      <c r="F235" s="9">
        <v>1.7</v>
      </c>
    </row>
    <row r="236" spans="1:6" ht="15.75" thickBot="1">
      <c r="A236" s="27"/>
      <c r="B236" s="28" t="s">
        <v>305</v>
      </c>
      <c r="C236" s="28"/>
      <c r="D236" s="27"/>
      <c r="E236" s="7"/>
      <c r="F236" s="9">
        <v>7.6</v>
      </c>
    </row>
    <row r="237" spans="1:6">
      <c r="B237" t="s">
        <v>160</v>
      </c>
      <c r="F237">
        <v>2</v>
      </c>
    </row>
    <row r="238" spans="1:6">
      <c r="B238" t="s">
        <v>160</v>
      </c>
      <c r="F238">
        <v>2</v>
      </c>
    </row>
    <row r="239" spans="1:6">
      <c r="B239" t="s">
        <v>160</v>
      </c>
      <c r="F239">
        <v>2</v>
      </c>
    </row>
    <row r="240" spans="1:6">
      <c r="B240" t="s">
        <v>160</v>
      </c>
      <c r="F240">
        <v>2</v>
      </c>
    </row>
    <row r="241" spans="2:6">
      <c r="B241" t="s">
        <v>161</v>
      </c>
      <c r="F241">
        <v>1.74</v>
      </c>
    </row>
    <row r="242" spans="2:6">
      <c r="B242" t="s">
        <v>160</v>
      </c>
      <c r="F242">
        <v>2</v>
      </c>
    </row>
    <row r="243" spans="2:6">
      <c r="B243" t="s">
        <v>161</v>
      </c>
      <c r="F243">
        <v>1.74</v>
      </c>
    </row>
    <row r="244" spans="2:6">
      <c r="B244" t="s">
        <v>162</v>
      </c>
      <c r="F244">
        <v>1.8</v>
      </c>
    </row>
    <row r="245" spans="2:6">
      <c r="B245" t="s">
        <v>160</v>
      </c>
      <c r="F245">
        <v>2</v>
      </c>
    </row>
    <row r="246" spans="2:6">
      <c r="B246" t="s">
        <v>163</v>
      </c>
      <c r="F246">
        <v>1.8</v>
      </c>
    </row>
    <row r="247" spans="2:6">
      <c r="B247" t="s">
        <v>164</v>
      </c>
      <c r="F247">
        <v>1.26</v>
      </c>
    </row>
    <row r="248" spans="2:6">
      <c r="B248" t="s">
        <v>165</v>
      </c>
      <c r="F248">
        <v>1.26</v>
      </c>
    </row>
    <row r="249" spans="2:6">
      <c r="B249" t="s">
        <v>166</v>
      </c>
      <c r="F249">
        <v>1.26</v>
      </c>
    </row>
    <row r="250" spans="2:6">
      <c r="B250" t="s">
        <v>167</v>
      </c>
      <c r="F250">
        <v>1.26</v>
      </c>
    </row>
    <row r="251" spans="2:6">
      <c r="B251" t="s">
        <v>168</v>
      </c>
      <c r="F251">
        <v>1.17</v>
      </c>
    </row>
    <row r="252" spans="2:6">
      <c r="B252" t="s">
        <v>169</v>
      </c>
      <c r="F252">
        <v>1.8</v>
      </c>
    </row>
    <row r="253" spans="2:6">
      <c r="B253" t="s">
        <v>170</v>
      </c>
      <c r="F253">
        <v>1.35</v>
      </c>
    </row>
    <row r="254" spans="2:6">
      <c r="B254" t="s">
        <v>171</v>
      </c>
      <c r="F254">
        <v>1.1000000000000001</v>
      </c>
    </row>
    <row r="255" spans="2:6">
      <c r="B255" t="s">
        <v>172</v>
      </c>
      <c r="F255">
        <v>1.2</v>
      </c>
    </row>
    <row r="256" spans="2:6">
      <c r="B256" t="s">
        <v>173</v>
      </c>
      <c r="F256">
        <v>1.26</v>
      </c>
    </row>
    <row r="257" spans="2:6">
      <c r="B257" t="s">
        <v>174</v>
      </c>
      <c r="F257">
        <v>1.27</v>
      </c>
    </row>
    <row r="258" spans="2:6">
      <c r="B258" t="s">
        <v>174</v>
      </c>
      <c r="F258">
        <v>1.27</v>
      </c>
    </row>
    <row r="259" spans="2:6">
      <c r="B259" t="s">
        <v>175</v>
      </c>
      <c r="F259">
        <v>1.3</v>
      </c>
    </row>
    <row r="260" spans="2:6">
      <c r="B260" t="s">
        <v>176</v>
      </c>
      <c r="F260">
        <v>1.4</v>
      </c>
    </row>
    <row r="261" spans="2:6">
      <c r="B261" t="s">
        <v>177</v>
      </c>
      <c r="F261">
        <v>1.4</v>
      </c>
    </row>
    <row r="262" spans="2:6">
      <c r="B262" t="s">
        <v>178</v>
      </c>
      <c r="F262">
        <v>3.26</v>
      </c>
    </row>
    <row r="263" spans="2:6">
      <c r="B263" t="s">
        <v>179</v>
      </c>
      <c r="F263">
        <v>5.23</v>
      </c>
    </row>
    <row r="264" spans="2:6">
      <c r="B264" t="s">
        <v>180</v>
      </c>
      <c r="F264">
        <v>7.5</v>
      </c>
    </row>
    <row r="265" spans="2:6">
      <c r="B265" t="s">
        <v>181</v>
      </c>
      <c r="F265">
        <v>6.6</v>
      </c>
    </row>
    <row r="266" spans="2:6">
      <c r="B266" t="s">
        <v>182</v>
      </c>
      <c r="F266">
        <v>1.3</v>
      </c>
    </row>
    <row r="267" spans="2:6">
      <c r="B267" t="s">
        <v>183</v>
      </c>
      <c r="F267">
        <v>7.65</v>
      </c>
    </row>
    <row r="268" spans="2:6">
      <c r="B268" t="s">
        <v>184</v>
      </c>
      <c r="F268">
        <v>5.26</v>
      </c>
    </row>
    <row r="269" spans="2:6">
      <c r="B269" t="s">
        <v>185</v>
      </c>
      <c r="F269">
        <v>9</v>
      </c>
    </row>
    <row r="270" spans="2:6">
      <c r="B270" t="s">
        <v>186</v>
      </c>
      <c r="F270">
        <v>2.2999999999999998</v>
      </c>
    </row>
    <row r="271" spans="2:6">
      <c r="B271" t="s">
        <v>187</v>
      </c>
      <c r="F271">
        <v>2.2999999999999998</v>
      </c>
    </row>
    <row r="272" spans="2:6">
      <c r="B272" t="s">
        <v>188</v>
      </c>
      <c r="F272">
        <v>5.26</v>
      </c>
    </row>
    <row r="273" spans="2:6">
      <c r="B273" t="s">
        <v>189</v>
      </c>
      <c r="F273">
        <v>9.4</v>
      </c>
    </row>
    <row r="274" spans="2:6">
      <c r="B274" t="s">
        <v>190</v>
      </c>
      <c r="F274">
        <v>5.9</v>
      </c>
    </row>
    <row r="275" spans="2:6">
      <c r="B275" t="s">
        <v>191</v>
      </c>
      <c r="F275">
        <v>5.26</v>
      </c>
    </row>
    <row r="276" spans="2:6">
      <c r="B276" t="s">
        <v>192</v>
      </c>
      <c r="F276">
        <v>1.3</v>
      </c>
    </row>
    <row r="277" spans="2:6">
      <c r="B277" t="s">
        <v>193</v>
      </c>
      <c r="F277">
        <v>3</v>
      </c>
    </row>
    <row r="278" spans="2:6">
      <c r="B278" t="s">
        <v>194</v>
      </c>
      <c r="F278">
        <v>3</v>
      </c>
    </row>
    <row r="279" spans="2:6">
      <c r="B279" t="s">
        <v>195</v>
      </c>
      <c r="F279">
        <v>5.2</v>
      </c>
    </row>
    <row r="280" spans="2:6">
      <c r="B280" t="s">
        <v>196</v>
      </c>
      <c r="F280">
        <v>4.25</v>
      </c>
    </row>
    <row r="281" spans="2:6">
      <c r="B281" t="s">
        <v>197</v>
      </c>
      <c r="F281">
        <v>3.33</v>
      </c>
    </row>
    <row r="282" spans="2:6">
      <c r="B282" t="s">
        <v>198</v>
      </c>
      <c r="F282">
        <v>2.8</v>
      </c>
    </row>
    <row r="283" spans="2:6">
      <c r="B283" t="s">
        <v>199</v>
      </c>
      <c r="F283">
        <v>1.7</v>
      </c>
    </row>
    <row r="284" spans="2:6">
      <c r="B284" t="s">
        <v>200</v>
      </c>
      <c r="F284">
        <v>1.48</v>
      </c>
    </row>
    <row r="285" spans="2:6">
      <c r="B285" t="s">
        <v>201</v>
      </c>
      <c r="F285">
        <v>3.33</v>
      </c>
    </row>
    <row r="286" spans="2:6">
      <c r="B286" t="s">
        <v>202</v>
      </c>
      <c r="F286">
        <v>0.75</v>
      </c>
    </row>
    <row r="287" spans="2:6">
      <c r="B287" t="s">
        <v>203</v>
      </c>
      <c r="F287">
        <v>4.25</v>
      </c>
    </row>
    <row r="288" spans="2:6">
      <c r="B288" t="s">
        <v>204</v>
      </c>
      <c r="F288">
        <v>1.44</v>
      </c>
    </row>
    <row r="289" spans="2:6">
      <c r="B289" t="s">
        <v>205</v>
      </c>
      <c r="F289">
        <v>1.1299999999999999</v>
      </c>
    </row>
    <row r="290" spans="2:6">
      <c r="B290" t="s">
        <v>206</v>
      </c>
      <c r="F290">
        <v>1.1299999999999999</v>
      </c>
    </row>
    <row r="291" spans="2:6">
      <c r="B291" t="s">
        <v>207</v>
      </c>
      <c r="F291">
        <v>1.5</v>
      </c>
    </row>
    <row r="292" spans="2:6">
      <c r="B292" t="s">
        <v>208</v>
      </c>
      <c r="F292">
        <v>1.46</v>
      </c>
    </row>
    <row r="293" spans="2:6">
      <c r="B293" t="s">
        <v>209</v>
      </c>
      <c r="F293">
        <v>1.18</v>
      </c>
    </row>
    <row r="294" spans="2:6">
      <c r="B294" t="s">
        <v>210</v>
      </c>
      <c r="F294">
        <v>1.73</v>
      </c>
    </row>
    <row r="295" spans="2:6">
      <c r="B295" t="s">
        <v>211</v>
      </c>
      <c r="F295">
        <v>1.73</v>
      </c>
    </row>
    <row r="296" spans="2:6">
      <c r="B296" t="s">
        <v>212</v>
      </c>
      <c r="F296">
        <v>1.68</v>
      </c>
    </row>
    <row r="297" spans="2:6">
      <c r="B297" t="s">
        <v>213</v>
      </c>
      <c r="F297">
        <v>1.64</v>
      </c>
    </row>
    <row r="298" spans="2:6">
      <c r="B298" t="s">
        <v>214</v>
      </c>
      <c r="F298">
        <v>2.2999999999999998</v>
      </c>
    </row>
    <row r="299" spans="2:6">
      <c r="B299" t="s">
        <v>215</v>
      </c>
      <c r="F299">
        <v>1.96</v>
      </c>
    </row>
    <row r="300" spans="2:6">
      <c r="B300" t="s">
        <v>216</v>
      </c>
      <c r="F300">
        <v>1.7</v>
      </c>
    </row>
    <row r="301" spans="2:6">
      <c r="B301" t="s">
        <v>217</v>
      </c>
      <c r="F301">
        <v>2.7</v>
      </c>
    </row>
    <row r="302" spans="2:6">
      <c r="B302" t="s">
        <v>218</v>
      </c>
      <c r="F302">
        <v>2.74</v>
      </c>
    </row>
    <row r="303" spans="2:6">
      <c r="B303" t="s">
        <v>219</v>
      </c>
      <c r="F303">
        <v>2</v>
      </c>
    </row>
    <row r="304" spans="2:6">
      <c r="B304" t="s">
        <v>210</v>
      </c>
      <c r="F304">
        <v>1.73</v>
      </c>
    </row>
    <row r="305" spans="2:6">
      <c r="B305" t="s">
        <v>220</v>
      </c>
      <c r="F305">
        <v>1.68</v>
      </c>
    </row>
    <row r="306" spans="2:6">
      <c r="B306" t="s">
        <v>221</v>
      </c>
      <c r="F306">
        <v>1.64</v>
      </c>
    </row>
    <row r="307" spans="2:6">
      <c r="B307" t="s">
        <v>222</v>
      </c>
      <c r="F307">
        <v>2.2999999999999998</v>
      </c>
    </row>
    <row r="308" spans="2:6">
      <c r="B308" t="s">
        <v>223</v>
      </c>
      <c r="F308">
        <v>1.96</v>
      </c>
    </row>
    <row r="309" spans="2:6">
      <c r="B309" t="s">
        <v>224</v>
      </c>
      <c r="F309">
        <v>1.7</v>
      </c>
    </row>
    <row r="310" spans="2:6">
      <c r="B310" t="s">
        <v>225</v>
      </c>
      <c r="F310">
        <v>2.7</v>
      </c>
    </row>
    <row r="311" spans="2:6">
      <c r="B311" t="s">
        <v>226</v>
      </c>
      <c r="F311">
        <v>2.74</v>
      </c>
    </row>
    <row r="312" spans="2:6">
      <c r="B312" t="s">
        <v>227</v>
      </c>
      <c r="F312">
        <v>1.36</v>
      </c>
    </row>
    <row r="313" spans="2:6">
      <c r="B313" t="s">
        <v>228</v>
      </c>
      <c r="F313">
        <v>1.4</v>
      </c>
    </row>
    <row r="314" spans="2:6">
      <c r="B314" t="s">
        <v>229</v>
      </c>
      <c r="F314">
        <v>2.5</v>
      </c>
    </row>
    <row r="315" spans="2:6">
      <c r="B315" t="s">
        <v>230</v>
      </c>
      <c r="F315">
        <v>1.7</v>
      </c>
    </row>
    <row r="316" spans="2:6">
      <c r="B316" t="s">
        <v>231</v>
      </c>
      <c r="F316">
        <v>1.32</v>
      </c>
    </row>
    <row r="317" spans="2:6">
      <c r="B317" t="s">
        <v>232</v>
      </c>
      <c r="F317">
        <v>1.36</v>
      </c>
    </row>
    <row r="318" spans="2:6">
      <c r="B318" t="s">
        <v>233</v>
      </c>
      <c r="F318">
        <v>1.7</v>
      </c>
    </row>
    <row r="319" spans="2:6">
      <c r="B319" t="s">
        <v>234</v>
      </c>
      <c r="F319">
        <v>1.3</v>
      </c>
    </row>
    <row r="320" spans="2:6">
      <c r="B320" t="s">
        <v>235</v>
      </c>
      <c r="F320">
        <v>1.8</v>
      </c>
    </row>
    <row r="321" spans="2:6">
      <c r="B321" t="s">
        <v>236</v>
      </c>
      <c r="F321">
        <v>1.32</v>
      </c>
    </row>
    <row r="322" spans="2:6">
      <c r="B322" t="s">
        <v>237</v>
      </c>
      <c r="F322">
        <v>1.27</v>
      </c>
    </row>
    <row r="323" spans="2:6">
      <c r="B323" t="s">
        <v>238</v>
      </c>
      <c r="F323">
        <v>1.4</v>
      </c>
    </row>
    <row r="324" spans="2:6">
      <c r="B324" t="s">
        <v>235</v>
      </c>
      <c r="F324">
        <v>1.8</v>
      </c>
    </row>
    <row r="325" spans="2:6">
      <c r="B325" t="s">
        <v>239</v>
      </c>
      <c r="F325">
        <v>1.4</v>
      </c>
    </row>
    <row r="326" spans="2:6">
      <c r="B326" t="s">
        <v>240</v>
      </c>
      <c r="F326">
        <v>2.63</v>
      </c>
    </row>
    <row r="327" spans="2:6">
      <c r="B327" t="s">
        <v>241</v>
      </c>
      <c r="F327">
        <v>2.63</v>
      </c>
    </row>
    <row r="328" spans="2:6">
      <c r="B328" t="s">
        <v>242</v>
      </c>
      <c r="F328">
        <v>2</v>
      </c>
    </row>
    <row r="329" spans="2:6">
      <c r="B329" t="s">
        <v>243</v>
      </c>
      <c r="F329">
        <v>1.8</v>
      </c>
    </row>
    <row r="330" spans="2:6">
      <c r="B330" t="s">
        <v>244</v>
      </c>
      <c r="F330">
        <v>2.2000000000000002</v>
      </c>
    </row>
    <row r="331" spans="2:6">
      <c r="B331" t="s">
        <v>245</v>
      </c>
      <c r="F331">
        <v>2.63</v>
      </c>
    </row>
    <row r="332" spans="2:6">
      <c r="B332" t="s">
        <v>246</v>
      </c>
      <c r="F332">
        <v>2</v>
      </c>
    </row>
    <row r="333" spans="2:6">
      <c r="B333" t="s">
        <v>247</v>
      </c>
      <c r="F333">
        <v>1.47</v>
      </c>
    </row>
    <row r="334" spans="2:6">
      <c r="B334" t="s">
        <v>248</v>
      </c>
      <c r="F334">
        <v>1.36</v>
      </c>
    </row>
    <row r="335" spans="2:6">
      <c r="B335" t="s">
        <v>249</v>
      </c>
      <c r="F335">
        <v>1.47</v>
      </c>
    </row>
    <row r="336" spans="2:6">
      <c r="B336" t="s">
        <v>250</v>
      </c>
      <c r="F336">
        <v>1.53</v>
      </c>
    </row>
    <row r="337" spans="2:6">
      <c r="B337" t="s">
        <v>251</v>
      </c>
      <c r="F337">
        <v>1.24</v>
      </c>
    </row>
    <row r="338" spans="2:6">
      <c r="B338" t="s">
        <v>252</v>
      </c>
      <c r="F338">
        <v>1.47</v>
      </c>
    </row>
    <row r="339" spans="2:6">
      <c r="B339" t="s">
        <v>253</v>
      </c>
      <c r="F339">
        <v>1.55</v>
      </c>
    </row>
    <row r="340" spans="2:6">
      <c r="B340" t="s">
        <v>254</v>
      </c>
      <c r="F340">
        <v>1.75</v>
      </c>
    </row>
    <row r="341" spans="2:6">
      <c r="B341" t="s">
        <v>255</v>
      </c>
      <c r="F341">
        <v>1.7</v>
      </c>
    </row>
    <row r="342" spans="2:6">
      <c r="B342" t="s">
        <v>256</v>
      </c>
      <c r="F342">
        <v>1.3</v>
      </c>
    </row>
    <row r="343" spans="2:6">
      <c r="B343" t="s">
        <v>257</v>
      </c>
      <c r="F343">
        <v>1.53</v>
      </c>
    </row>
    <row r="344" spans="2:6">
      <c r="B344" t="s">
        <v>258</v>
      </c>
      <c r="F344">
        <v>1.27</v>
      </c>
    </row>
    <row r="345" spans="2:6">
      <c r="B345" t="s">
        <v>259</v>
      </c>
      <c r="F345">
        <v>1.3</v>
      </c>
    </row>
    <row r="346" spans="2:6">
      <c r="B346" t="s">
        <v>260</v>
      </c>
      <c r="F346">
        <v>1.4</v>
      </c>
    </row>
    <row r="347" spans="2:6">
      <c r="B347" t="s">
        <v>261</v>
      </c>
      <c r="F347">
        <v>1.4</v>
      </c>
    </row>
    <row r="348" spans="2:6">
      <c r="B348" t="s">
        <v>262</v>
      </c>
      <c r="F348">
        <v>1.44</v>
      </c>
    </row>
    <row r="349" spans="2:6">
      <c r="B349" t="s">
        <v>263</v>
      </c>
      <c r="F349">
        <v>1.1299999999999999</v>
      </c>
    </row>
    <row r="350" spans="2:6">
      <c r="B350" t="s">
        <v>264</v>
      </c>
      <c r="F350">
        <v>1.1299999999999999</v>
      </c>
    </row>
    <row r="351" spans="2:6">
      <c r="B351" t="s">
        <v>265</v>
      </c>
      <c r="F351">
        <v>1.5</v>
      </c>
    </row>
    <row r="352" spans="2:6">
      <c r="B352" t="s">
        <v>210</v>
      </c>
      <c r="F352">
        <v>1.73</v>
      </c>
    </row>
    <row r="353" spans="2:6">
      <c r="B353" t="s">
        <v>220</v>
      </c>
      <c r="F353">
        <v>1.68</v>
      </c>
    </row>
    <row r="354" spans="2:6">
      <c r="B354" t="s">
        <v>221</v>
      </c>
      <c r="F354">
        <v>1.64</v>
      </c>
    </row>
    <row r="355" spans="2:6">
      <c r="B355" t="s">
        <v>222</v>
      </c>
      <c r="F355">
        <v>2.2999999999999998</v>
      </c>
    </row>
    <row r="356" spans="2:6">
      <c r="B356" t="s">
        <v>223</v>
      </c>
      <c r="F356">
        <v>1.96</v>
      </c>
    </row>
    <row r="357" spans="2:6">
      <c r="B357" t="s">
        <v>224</v>
      </c>
      <c r="F357">
        <v>1.7</v>
      </c>
    </row>
    <row r="358" spans="2:6">
      <c r="B358" t="s">
        <v>225</v>
      </c>
      <c r="F358">
        <v>2.7</v>
      </c>
    </row>
    <row r="359" spans="2:6">
      <c r="B359" t="s">
        <v>226</v>
      </c>
      <c r="F359">
        <v>2.74</v>
      </c>
    </row>
    <row r="360" spans="2:6">
      <c r="B360" t="s">
        <v>266</v>
      </c>
      <c r="F360">
        <v>1.36</v>
      </c>
    </row>
    <row r="361" spans="2:6">
      <c r="B361" t="s">
        <v>267</v>
      </c>
      <c r="F361">
        <v>2.5</v>
      </c>
    </row>
    <row r="362" spans="2:6">
      <c r="B362" t="s">
        <v>268</v>
      </c>
      <c r="F362">
        <v>1.7</v>
      </c>
    </row>
    <row r="363" spans="2:6">
      <c r="B363" t="s">
        <v>269</v>
      </c>
      <c r="F363">
        <v>1.32</v>
      </c>
    </row>
    <row r="364" spans="2:6">
      <c r="B364" t="s">
        <v>170</v>
      </c>
      <c r="F364">
        <v>1.36</v>
      </c>
    </row>
    <row r="365" spans="2:6">
      <c r="B365" t="s">
        <v>270</v>
      </c>
      <c r="F365">
        <v>1.7</v>
      </c>
    </row>
    <row r="366" spans="2:6">
      <c r="B366" t="s">
        <v>256</v>
      </c>
      <c r="F366">
        <v>1.3</v>
      </c>
    </row>
    <row r="367" spans="2:6">
      <c r="B367" t="s">
        <v>271</v>
      </c>
      <c r="F367">
        <v>1.32</v>
      </c>
    </row>
    <row r="368" spans="2:6">
      <c r="B368" t="s">
        <v>272</v>
      </c>
      <c r="F368">
        <v>1.27</v>
      </c>
    </row>
    <row r="369" spans="2:6">
      <c r="B369" t="s">
        <v>273</v>
      </c>
      <c r="F369">
        <v>1.4</v>
      </c>
    </row>
    <row r="370" spans="2:6">
      <c r="B370" t="s">
        <v>274</v>
      </c>
      <c r="F370">
        <v>2.63</v>
      </c>
    </row>
    <row r="371" spans="2:6">
      <c r="B371" t="s">
        <v>275</v>
      </c>
      <c r="F371">
        <v>2.63</v>
      </c>
    </row>
    <row r="372" spans="2:6">
      <c r="B372" t="s">
        <v>276</v>
      </c>
      <c r="F372">
        <v>2</v>
      </c>
    </row>
    <row r="373" spans="2:6">
      <c r="B373" t="s">
        <v>277</v>
      </c>
      <c r="F373">
        <v>1.8</v>
      </c>
    </row>
    <row r="374" spans="2:6">
      <c r="B374" t="s">
        <v>245</v>
      </c>
      <c r="F374">
        <v>2.63</v>
      </c>
    </row>
    <row r="375" spans="2:6">
      <c r="B375" t="s">
        <v>278</v>
      </c>
      <c r="F375">
        <v>1.47</v>
      </c>
    </row>
    <row r="376" spans="2:6">
      <c r="B376" t="s">
        <v>279</v>
      </c>
      <c r="F376">
        <v>1.36</v>
      </c>
    </row>
    <row r="377" spans="2:6">
      <c r="B377" t="s">
        <v>280</v>
      </c>
      <c r="F377">
        <v>1.47</v>
      </c>
    </row>
    <row r="378" spans="2:6">
      <c r="B378" t="s">
        <v>257</v>
      </c>
      <c r="F378">
        <v>1.53</v>
      </c>
    </row>
    <row r="379" spans="2:6">
      <c r="B379" t="s">
        <v>281</v>
      </c>
      <c r="F379">
        <v>1.24</v>
      </c>
    </row>
    <row r="380" spans="2:6">
      <c r="B380" t="s">
        <v>282</v>
      </c>
      <c r="F380">
        <v>1.47</v>
      </c>
    </row>
    <row r="381" spans="2:6">
      <c r="B381" t="s">
        <v>283</v>
      </c>
      <c r="F381">
        <v>1.75</v>
      </c>
    </row>
    <row r="382" spans="2:6">
      <c r="B382" t="s">
        <v>284</v>
      </c>
      <c r="F382">
        <v>1.9</v>
      </c>
    </row>
    <row r="383" spans="2:6">
      <c r="B383" t="s">
        <v>285</v>
      </c>
      <c r="F383">
        <v>1.9</v>
      </c>
    </row>
    <row r="384" spans="2:6">
      <c r="B384" t="s">
        <v>286</v>
      </c>
      <c r="F384">
        <v>1.9</v>
      </c>
    </row>
    <row r="385" spans="2:6">
      <c r="B385" t="s">
        <v>287</v>
      </c>
      <c r="F385">
        <v>1.5</v>
      </c>
    </row>
    <row r="386" spans="2:6">
      <c r="B386" t="s">
        <v>288</v>
      </c>
      <c r="F386">
        <v>1.9</v>
      </c>
    </row>
    <row r="387" spans="2:6">
      <c r="B387" t="s">
        <v>289</v>
      </c>
      <c r="F387">
        <v>0.78</v>
      </c>
    </row>
    <row r="388" spans="2:6">
      <c r="B388" t="s">
        <v>290</v>
      </c>
      <c r="F388">
        <v>1.5</v>
      </c>
    </row>
    <row r="389" spans="2:6">
      <c r="B389" t="s">
        <v>291</v>
      </c>
      <c r="F389">
        <v>2.54</v>
      </c>
    </row>
    <row r="390" spans="2:6">
      <c r="B390" t="s">
        <v>292</v>
      </c>
      <c r="F390">
        <v>1.2</v>
      </c>
    </row>
    <row r="391" spans="2:6">
      <c r="B391" t="s">
        <v>293</v>
      </c>
      <c r="F391">
        <v>1.2</v>
      </c>
    </row>
    <row r="392" spans="2:6">
      <c r="B392" t="s">
        <v>294</v>
      </c>
      <c r="F392">
        <v>1.4</v>
      </c>
    </row>
    <row r="393" spans="2:6">
      <c r="B393" t="s">
        <v>295</v>
      </c>
      <c r="F393">
        <v>2.2999999999999998</v>
      </c>
    </row>
    <row r="394" spans="2:6">
      <c r="B394" t="s">
        <v>296</v>
      </c>
      <c r="F394">
        <v>0.33</v>
      </c>
    </row>
    <row r="395" spans="2:6">
      <c r="B395" t="s">
        <v>297</v>
      </c>
      <c r="F395">
        <v>4.45</v>
      </c>
    </row>
    <row r="396" spans="2:6">
      <c r="B396" t="s">
        <v>298</v>
      </c>
      <c r="F396">
        <v>4.3</v>
      </c>
    </row>
    <row r="397" spans="2:6">
      <c r="B397" t="s">
        <v>299</v>
      </c>
      <c r="F397">
        <v>4.57</v>
      </c>
    </row>
    <row r="398" spans="2:6">
      <c r="B398" t="s">
        <v>300</v>
      </c>
      <c r="F398">
        <v>4.9000000000000004</v>
      </c>
    </row>
    <row r="399" spans="2:6">
      <c r="B399" t="s">
        <v>301</v>
      </c>
      <c r="F399">
        <v>1.67</v>
      </c>
    </row>
    <row r="400" spans="2:6">
      <c r="B400" t="s">
        <v>302</v>
      </c>
      <c r="F400">
        <v>2.5</v>
      </c>
    </row>
    <row r="401" spans="2:6">
      <c r="B401" t="s">
        <v>303</v>
      </c>
      <c r="F401">
        <v>1.78</v>
      </c>
    </row>
    <row r="402" spans="2:6">
      <c r="B402" t="s">
        <v>304</v>
      </c>
      <c r="F402">
        <v>1.7</v>
      </c>
    </row>
    <row r="403" spans="2:6">
      <c r="B403" t="s">
        <v>305</v>
      </c>
      <c r="F403">
        <v>7.6</v>
      </c>
    </row>
    <row r="404" spans="2:6">
      <c r="B404" t="s">
        <v>338</v>
      </c>
      <c r="F404">
        <v>1.92</v>
      </c>
    </row>
    <row r="405" spans="2:6">
      <c r="B405" t="s">
        <v>339</v>
      </c>
      <c r="F405">
        <v>1.55</v>
      </c>
    </row>
    <row r="406" spans="2:6">
      <c r="B406" t="s">
        <v>340</v>
      </c>
      <c r="F406">
        <v>1.36</v>
      </c>
    </row>
    <row r="407" spans="2:6">
      <c r="B407" t="s">
        <v>341</v>
      </c>
      <c r="F407">
        <v>1.87</v>
      </c>
    </row>
    <row r="408" spans="2:6">
      <c r="B408" t="s">
        <v>342</v>
      </c>
      <c r="F408">
        <v>1.6</v>
      </c>
    </row>
    <row r="409" spans="2:6">
      <c r="B409" t="s">
        <v>343</v>
      </c>
      <c r="F409">
        <v>1.86</v>
      </c>
    </row>
    <row r="410" spans="2:6">
      <c r="B410" t="s">
        <v>344</v>
      </c>
      <c r="F410">
        <v>1.78</v>
      </c>
    </row>
    <row r="411" spans="2:6">
      <c r="B411" t="s">
        <v>345</v>
      </c>
      <c r="F411">
        <v>1.96</v>
      </c>
    </row>
    <row r="412" spans="2:6">
      <c r="B412" t="s">
        <v>346</v>
      </c>
      <c r="F412">
        <v>1.6</v>
      </c>
    </row>
    <row r="413" spans="2:6">
      <c r="B413" t="s">
        <v>347</v>
      </c>
      <c r="F413">
        <v>1.7</v>
      </c>
    </row>
    <row r="414" spans="2:6">
      <c r="B414" t="s">
        <v>348</v>
      </c>
      <c r="F414">
        <v>1.63</v>
      </c>
    </row>
    <row r="415" spans="2:6">
      <c r="B415" t="s">
        <v>349</v>
      </c>
      <c r="F415">
        <v>2.2000000000000002</v>
      </c>
    </row>
    <row r="416" spans="2:6">
      <c r="B416" t="s">
        <v>350</v>
      </c>
      <c r="F416">
        <v>2.2999999999999998</v>
      </c>
    </row>
    <row r="417" spans="2:6">
      <c r="B417" t="s">
        <v>351</v>
      </c>
      <c r="F417">
        <v>1.1200000000000001</v>
      </c>
    </row>
    <row r="418" spans="2:6">
      <c r="B418" t="s">
        <v>352</v>
      </c>
      <c r="F418">
        <v>1.55</v>
      </c>
    </row>
    <row r="419" spans="2:6">
      <c r="B419" t="s">
        <v>353</v>
      </c>
      <c r="F419">
        <v>1.36</v>
      </c>
    </row>
    <row r="420" spans="2:6">
      <c r="B420" t="s">
        <v>341</v>
      </c>
      <c r="F420">
        <v>1.87</v>
      </c>
    </row>
    <row r="421" spans="2:6">
      <c r="B421" t="s">
        <v>342</v>
      </c>
      <c r="F421">
        <v>1.6</v>
      </c>
    </row>
    <row r="422" spans="2:6">
      <c r="B422" t="s">
        <v>354</v>
      </c>
      <c r="F422">
        <v>1.86</v>
      </c>
    </row>
    <row r="423" spans="2:6">
      <c r="B423" t="s">
        <v>355</v>
      </c>
      <c r="F423">
        <v>1.78</v>
      </c>
    </row>
    <row r="424" spans="2:6">
      <c r="B424" t="s">
        <v>356</v>
      </c>
      <c r="F424">
        <v>1.96</v>
      </c>
    </row>
    <row r="425" spans="2:6">
      <c r="B425" t="s">
        <v>357</v>
      </c>
      <c r="F425">
        <v>1.6</v>
      </c>
    </row>
    <row r="426" spans="2:6">
      <c r="B426" t="s">
        <v>358</v>
      </c>
      <c r="F426">
        <v>1.7</v>
      </c>
    </row>
    <row r="427" spans="2:6">
      <c r="B427" t="s">
        <v>359</v>
      </c>
      <c r="F427">
        <v>1.63</v>
      </c>
    </row>
    <row r="428" spans="2:6">
      <c r="B428" t="s">
        <v>360</v>
      </c>
      <c r="F428">
        <v>2.2000000000000002</v>
      </c>
    </row>
    <row r="429" spans="2:6">
      <c r="B429" t="s">
        <v>350</v>
      </c>
      <c r="F429">
        <v>2.2999999999999998</v>
      </c>
    </row>
    <row r="430" spans="2:6">
      <c r="B430" t="s">
        <v>361</v>
      </c>
      <c r="F430">
        <v>1.1200000000000001</v>
      </c>
    </row>
    <row r="431" spans="2:6">
      <c r="B431" t="s">
        <v>362</v>
      </c>
      <c r="F431">
        <v>2.2999999999999998</v>
      </c>
    </row>
    <row r="432" spans="2:6">
      <c r="B432" t="s">
        <v>337</v>
      </c>
      <c r="F432">
        <v>1.6</v>
      </c>
    </row>
    <row r="433" spans="2:6">
      <c r="B433" t="s">
        <v>363</v>
      </c>
      <c r="F433">
        <v>1.6</v>
      </c>
    </row>
    <row r="434" spans="2:6">
      <c r="B434" t="s">
        <v>364</v>
      </c>
      <c r="F434">
        <v>1.76</v>
      </c>
    </row>
    <row r="435" spans="2:6">
      <c r="B435" t="s">
        <v>365</v>
      </c>
      <c r="F435">
        <v>2</v>
      </c>
    </row>
    <row r="436" spans="2:6">
      <c r="B436" t="s">
        <v>54</v>
      </c>
      <c r="F436">
        <v>1.48</v>
      </c>
    </row>
    <row r="437" spans="2:6">
      <c r="B437" t="s">
        <v>59</v>
      </c>
      <c r="F437">
        <v>1.53</v>
      </c>
    </row>
    <row r="438" spans="2:6">
      <c r="B438" t="s">
        <v>52</v>
      </c>
      <c r="F438">
        <v>1.37</v>
      </c>
    </row>
    <row r="439" spans="2:6">
      <c r="B439" t="s">
        <v>61</v>
      </c>
      <c r="F439">
        <v>1.48</v>
      </c>
    </row>
    <row r="440" spans="2:6">
      <c r="B440" t="s">
        <v>366</v>
      </c>
      <c r="F440">
        <v>1.3</v>
      </c>
    </row>
    <row r="441" spans="2:6">
      <c r="B441" t="s">
        <v>367</v>
      </c>
      <c r="F441">
        <v>1.54</v>
      </c>
    </row>
    <row r="442" spans="2:6">
      <c r="B442" t="s">
        <v>368</v>
      </c>
      <c r="F442">
        <v>1.3</v>
      </c>
    </row>
    <row r="443" spans="2:6">
      <c r="B443" t="s">
        <v>369</v>
      </c>
      <c r="F443">
        <v>1.55</v>
      </c>
    </row>
    <row r="444" spans="2:6">
      <c r="B444" t="s">
        <v>370</v>
      </c>
      <c r="F444">
        <v>1.8</v>
      </c>
    </row>
    <row r="445" spans="2:6">
      <c r="B445" t="s">
        <v>371</v>
      </c>
      <c r="F445">
        <v>1.9</v>
      </c>
    </row>
    <row r="446" spans="2:6">
      <c r="B446" t="s">
        <v>372</v>
      </c>
      <c r="F446">
        <v>1.25</v>
      </c>
    </row>
    <row r="447" spans="2:6">
      <c r="B447" t="s">
        <v>58</v>
      </c>
      <c r="F447">
        <v>2</v>
      </c>
    </row>
    <row r="448" spans="2:6">
      <c r="B448" t="s">
        <v>55</v>
      </c>
      <c r="F448">
        <v>2</v>
      </c>
    </row>
    <row r="449" spans="2:6">
      <c r="B449" t="s">
        <v>53</v>
      </c>
      <c r="F449">
        <v>2.1</v>
      </c>
    </row>
    <row r="450" spans="2:6">
      <c r="B450" t="s">
        <v>373</v>
      </c>
      <c r="F450">
        <v>1.7</v>
      </c>
    </row>
    <row r="451" spans="2:6">
      <c r="B451" t="s">
        <v>374</v>
      </c>
      <c r="F451">
        <v>1.2</v>
      </c>
    </row>
    <row r="452" spans="2:6">
      <c r="B452" t="s">
        <v>375</v>
      </c>
      <c r="F452">
        <v>5.0999999999999996</v>
      </c>
    </row>
    <row r="453" spans="2:6">
      <c r="B453" t="s">
        <v>376</v>
      </c>
      <c r="F453">
        <v>6.6</v>
      </c>
    </row>
    <row r="454" spans="2:6">
      <c r="B454" t="s">
        <v>377</v>
      </c>
      <c r="F454">
        <v>4.38</v>
      </c>
    </row>
    <row r="455" spans="2:6">
      <c r="B455" t="s">
        <v>378</v>
      </c>
      <c r="F455">
        <v>5</v>
      </c>
    </row>
    <row r="456" spans="2:6">
      <c r="B456" t="s">
        <v>379</v>
      </c>
      <c r="F456">
        <v>3.3</v>
      </c>
    </row>
    <row r="457" spans="2:6">
      <c r="B457" t="s">
        <v>380</v>
      </c>
      <c r="F457">
        <v>2</v>
      </c>
    </row>
    <row r="458" spans="2:6">
      <c r="B458" t="s">
        <v>381</v>
      </c>
      <c r="F458">
        <v>2</v>
      </c>
    </row>
    <row r="459" spans="2:6">
      <c r="B459" t="s">
        <v>382</v>
      </c>
      <c r="F459">
        <v>2</v>
      </c>
    </row>
    <row r="460" spans="2:6">
      <c r="B460" t="s">
        <v>383</v>
      </c>
      <c r="F460">
        <v>1.8</v>
      </c>
    </row>
    <row r="461" spans="2:6">
      <c r="B461" t="s">
        <v>384</v>
      </c>
      <c r="F461">
        <v>1.8</v>
      </c>
    </row>
    <row r="462" spans="2:6">
      <c r="B462" t="s">
        <v>385</v>
      </c>
      <c r="F462">
        <v>1.45</v>
      </c>
    </row>
    <row r="463" spans="2:6">
      <c r="B463" t="s">
        <v>386</v>
      </c>
      <c r="F463">
        <v>1.25</v>
      </c>
    </row>
    <row r="464" spans="2:6">
      <c r="B464" t="s">
        <v>387</v>
      </c>
      <c r="F464">
        <v>1.5</v>
      </c>
    </row>
    <row r="465" spans="2:6">
      <c r="B465" t="s">
        <v>388</v>
      </c>
      <c r="F465">
        <v>1.6</v>
      </c>
    </row>
    <row r="466" spans="2:6">
      <c r="B466" t="s">
        <v>389</v>
      </c>
      <c r="F466">
        <v>1.7</v>
      </c>
    </row>
    <row r="467" spans="2:6">
      <c r="B467" t="s">
        <v>390</v>
      </c>
      <c r="F467">
        <v>1.2</v>
      </c>
    </row>
    <row r="468" spans="2:6">
      <c r="B468" t="s">
        <v>391</v>
      </c>
      <c r="F468">
        <v>1.4</v>
      </c>
    </row>
    <row r="469" spans="2:6">
      <c r="B469" t="s">
        <v>392</v>
      </c>
      <c r="F469">
        <v>1.33</v>
      </c>
    </row>
    <row r="470" spans="2:6">
      <c r="B470" t="s">
        <v>393</v>
      </c>
      <c r="F470">
        <v>1.4</v>
      </c>
    </row>
    <row r="471" spans="2:6">
      <c r="B471" t="s">
        <v>394</v>
      </c>
      <c r="F471">
        <v>1.17</v>
      </c>
    </row>
    <row r="472" spans="2:6">
      <c r="B472" t="s">
        <v>395</v>
      </c>
      <c r="F472">
        <v>1.25</v>
      </c>
    </row>
    <row r="473" spans="2:6">
      <c r="B473" t="s">
        <v>396</v>
      </c>
      <c r="F473">
        <v>1.58</v>
      </c>
    </row>
    <row r="474" spans="2:6">
      <c r="B474" t="s">
        <v>397</v>
      </c>
      <c r="F474">
        <v>2.37</v>
      </c>
    </row>
    <row r="475" spans="2:6">
      <c r="B475" t="s">
        <v>398</v>
      </c>
      <c r="F475">
        <v>1.1200000000000001</v>
      </c>
    </row>
    <row r="476" spans="2:6">
      <c r="B476" t="s">
        <v>399</v>
      </c>
      <c r="F476">
        <v>1.36</v>
      </c>
    </row>
    <row r="477" spans="2:6">
      <c r="B477" t="s">
        <v>400</v>
      </c>
      <c r="F477">
        <v>1.3</v>
      </c>
    </row>
    <row r="478" spans="2:6">
      <c r="B478" t="s">
        <v>401</v>
      </c>
      <c r="F478">
        <v>3.15</v>
      </c>
    </row>
    <row r="479" spans="2:6">
      <c r="B479" t="s">
        <v>402</v>
      </c>
      <c r="F479">
        <v>3.5</v>
      </c>
    </row>
    <row r="480" spans="2:6">
      <c r="B480" t="s">
        <v>403</v>
      </c>
      <c r="F480">
        <v>4.5</v>
      </c>
    </row>
    <row r="481" spans="2:6">
      <c r="B481" t="s">
        <v>404</v>
      </c>
      <c r="F481">
        <v>3.18</v>
      </c>
    </row>
    <row r="482" spans="2:6">
      <c r="B482" t="s">
        <v>405</v>
      </c>
      <c r="F482">
        <v>5</v>
      </c>
    </row>
    <row r="483" spans="2:6">
      <c r="B483" t="s">
        <v>406</v>
      </c>
      <c r="F483">
        <v>3.4</v>
      </c>
    </row>
    <row r="484" spans="2:6">
      <c r="B484" t="s">
        <v>407</v>
      </c>
      <c r="F484">
        <v>1.82</v>
      </c>
    </row>
    <row r="485" spans="2:6">
      <c r="B485" t="s">
        <v>408</v>
      </c>
      <c r="F485">
        <v>1.36</v>
      </c>
    </row>
    <row r="486" spans="2:6">
      <c r="B486" t="s">
        <v>409</v>
      </c>
      <c r="F486">
        <v>1.39</v>
      </c>
    </row>
    <row r="487" spans="2:6">
      <c r="B487" t="s">
        <v>410</v>
      </c>
      <c r="F487">
        <v>1.33</v>
      </c>
    </row>
    <row r="488" spans="2:6">
      <c r="B488" t="s">
        <v>411</v>
      </c>
      <c r="F488">
        <v>3.05</v>
      </c>
    </row>
    <row r="489" spans="2:6">
      <c r="B489" t="s">
        <v>412</v>
      </c>
      <c r="F489">
        <v>3</v>
      </c>
    </row>
    <row r="490" spans="2:6">
      <c r="B490" t="s">
        <v>413</v>
      </c>
      <c r="F490">
        <v>1.69</v>
      </c>
    </row>
    <row r="491" spans="2:6">
      <c r="B491" t="s">
        <v>414</v>
      </c>
      <c r="F491">
        <v>1.59</v>
      </c>
    </row>
    <row r="492" spans="2:6">
      <c r="B492" t="s">
        <v>415</v>
      </c>
      <c r="F492">
        <v>1.59</v>
      </c>
    </row>
    <row r="493" spans="2:6">
      <c r="B493" t="s">
        <v>416</v>
      </c>
      <c r="F493">
        <v>1.61</v>
      </c>
    </row>
    <row r="494" spans="2:6">
      <c r="B494" t="s">
        <v>417</v>
      </c>
      <c r="F494">
        <v>2.35</v>
      </c>
    </row>
    <row r="495" spans="2:6">
      <c r="B495" t="s">
        <v>418</v>
      </c>
      <c r="F495">
        <v>1.84</v>
      </c>
    </row>
    <row r="496" spans="2:6">
      <c r="B496" t="s">
        <v>419</v>
      </c>
      <c r="F496">
        <v>1.74</v>
      </c>
    </row>
    <row r="497" spans="2:6">
      <c r="B497" t="s">
        <v>420</v>
      </c>
      <c r="F497">
        <v>1.81</v>
      </c>
    </row>
    <row r="498" spans="2:6">
      <c r="B498" t="s">
        <v>421</v>
      </c>
      <c r="F498">
        <v>2.14</v>
      </c>
    </row>
    <row r="499" spans="2:6">
      <c r="B499" t="s">
        <v>422</v>
      </c>
      <c r="F499">
        <v>1.78</v>
      </c>
    </row>
    <row r="500" spans="2:6">
      <c r="B500" t="s">
        <v>423</v>
      </c>
      <c r="F500">
        <v>1.78</v>
      </c>
    </row>
    <row r="501" spans="2:6">
      <c r="B501" t="s">
        <v>424</v>
      </c>
      <c r="F501">
        <v>6.3</v>
      </c>
    </row>
    <row r="502" spans="2:6">
      <c r="B502" t="s">
        <v>425</v>
      </c>
      <c r="F502">
        <v>2.8</v>
      </c>
    </row>
    <row r="503" spans="2:6">
      <c r="B503" t="s">
        <v>426</v>
      </c>
      <c r="F503">
        <v>2.89</v>
      </c>
    </row>
    <row r="504" spans="2:6">
      <c r="B504" t="s">
        <v>381</v>
      </c>
      <c r="F504">
        <v>2.0499999999999998</v>
      </c>
    </row>
    <row r="505" spans="2:6">
      <c r="B505" t="s">
        <v>427</v>
      </c>
      <c r="F505">
        <v>1.32</v>
      </c>
    </row>
    <row r="506" spans="2:6">
      <c r="B506" t="s">
        <v>428</v>
      </c>
      <c r="F506">
        <v>1.22</v>
      </c>
    </row>
    <row r="507" spans="2:6">
      <c r="B507" t="s">
        <v>429</v>
      </c>
      <c r="F507">
        <v>12.4</v>
      </c>
    </row>
    <row r="508" spans="2:6">
      <c r="B508" t="s">
        <v>430</v>
      </c>
      <c r="F508">
        <v>9.34</v>
      </c>
    </row>
    <row r="509" spans="2:6">
      <c r="B509" t="s">
        <v>431</v>
      </c>
      <c r="F509">
        <v>16.899999999999999</v>
      </c>
    </row>
    <row r="510" spans="2:6">
      <c r="B510" t="s">
        <v>432</v>
      </c>
      <c r="F510">
        <v>9.3000000000000007</v>
      </c>
    </row>
    <row r="511" spans="2:6">
      <c r="B511" t="s">
        <v>433</v>
      </c>
      <c r="F511">
        <v>7.25</v>
      </c>
    </row>
    <row r="512" spans="2:6">
      <c r="B512" t="s">
        <v>434</v>
      </c>
      <c r="F512">
        <v>7.25</v>
      </c>
    </row>
    <row r="513" spans="2:6">
      <c r="B513" t="s">
        <v>435</v>
      </c>
      <c r="F513">
        <v>7.56</v>
      </c>
    </row>
    <row r="514" spans="2:6">
      <c r="B514" t="s">
        <v>436</v>
      </c>
      <c r="F514">
        <v>10.46</v>
      </c>
    </row>
    <row r="515" spans="2:6">
      <c r="B515" t="s">
        <v>437</v>
      </c>
      <c r="F515">
        <v>9.4600000000000009</v>
      </c>
    </row>
    <row r="516" spans="2:6">
      <c r="B516" t="s">
        <v>438</v>
      </c>
      <c r="F516">
        <v>2.7</v>
      </c>
    </row>
    <row r="517" spans="2:6">
      <c r="B517" t="s">
        <v>439</v>
      </c>
      <c r="F517">
        <v>1.28</v>
      </c>
    </row>
    <row r="518" spans="2:6">
      <c r="B518" t="s">
        <v>440</v>
      </c>
      <c r="F518">
        <v>3.61</v>
      </c>
    </row>
    <row r="519" spans="2:6">
      <c r="B519" t="s">
        <v>441</v>
      </c>
      <c r="F519">
        <v>6</v>
      </c>
    </row>
    <row r="520" spans="2:6">
      <c r="B520" t="s">
        <v>442</v>
      </c>
      <c r="F520">
        <v>5.47</v>
      </c>
    </row>
    <row r="521" spans="2:6">
      <c r="B521" t="s">
        <v>443</v>
      </c>
      <c r="F521">
        <v>5.26</v>
      </c>
    </row>
    <row r="522" spans="2:6">
      <c r="B522" t="s">
        <v>444</v>
      </c>
      <c r="F522">
        <v>5.14</v>
      </c>
    </row>
    <row r="523" spans="2:6">
      <c r="B523" t="s">
        <v>445</v>
      </c>
      <c r="F523">
        <v>6</v>
      </c>
    </row>
    <row r="524" spans="2:6">
      <c r="B524" t="s">
        <v>446</v>
      </c>
      <c r="F524">
        <v>4.25</v>
      </c>
    </row>
    <row r="525" spans="2:6">
      <c r="B525" t="s">
        <v>447</v>
      </c>
      <c r="F525">
        <v>8</v>
      </c>
    </row>
    <row r="526" spans="2:6">
      <c r="B526" t="s">
        <v>448</v>
      </c>
      <c r="F526">
        <v>1.2</v>
      </c>
    </row>
    <row r="527" spans="2:6">
      <c r="B527" t="s">
        <v>449</v>
      </c>
      <c r="F527">
        <v>26.8</v>
      </c>
    </row>
    <row r="528" spans="2:6">
      <c r="B528" t="s">
        <v>450</v>
      </c>
      <c r="F528">
        <v>10.7</v>
      </c>
    </row>
    <row r="529" spans="2:6">
      <c r="B529" t="s">
        <v>451</v>
      </c>
      <c r="F529">
        <v>1.32</v>
      </c>
    </row>
    <row r="530" spans="2:6">
      <c r="B530" t="s">
        <v>452</v>
      </c>
      <c r="F530">
        <v>1.24</v>
      </c>
    </row>
    <row r="531" spans="2:6">
      <c r="B531" t="s">
        <v>453</v>
      </c>
      <c r="F531">
        <v>5.2</v>
      </c>
    </row>
    <row r="532" spans="2:6">
      <c r="B532" t="s">
        <v>454</v>
      </c>
      <c r="F532">
        <v>1.08</v>
      </c>
    </row>
    <row r="533" spans="2:6">
      <c r="B533" t="s">
        <v>455</v>
      </c>
      <c r="F533">
        <v>1.27</v>
      </c>
    </row>
    <row r="534" spans="2:6">
      <c r="B534" t="s">
        <v>456</v>
      </c>
      <c r="F534">
        <v>1.8</v>
      </c>
    </row>
    <row r="535" spans="2:6">
      <c r="B535" t="s">
        <v>457</v>
      </c>
      <c r="F535">
        <v>2.06</v>
      </c>
    </row>
    <row r="536" spans="2:6">
      <c r="B536" t="s">
        <v>458</v>
      </c>
      <c r="F536">
        <v>1.27</v>
      </c>
    </row>
    <row r="537" spans="2:6">
      <c r="B537" t="s">
        <v>459</v>
      </c>
      <c r="F537">
        <v>2.04</v>
      </c>
    </row>
    <row r="538" spans="2:6">
      <c r="B538" t="s">
        <v>460</v>
      </c>
      <c r="F538">
        <v>1.1000000000000001</v>
      </c>
    </row>
    <row r="539" spans="2:6">
      <c r="B539" t="s">
        <v>461</v>
      </c>
      <c r="F539">
        <v>2.6</v>
      </c>
    </row>
    <row r="540" spans="2:6">
      <c r="B540" t="s">
        <v>462</v>
      </c>
      <c r="F540">
        <v>1.5</v>
      </c>
    </row>
    <row r="541" spans="2:6">
      <c r="B541" t="s">
        <v>463</v>
      </c>
      <c r="F541">
        <v>1.2</v>
      </c>
    </row>
    <row r="542" spans="2:6">
      <c r="B542" t="s">
        <v>464</v>
      </c>
      <c r="F542">
        <v>1.67</v>
      </c>
    </row>
    <row r="543" spans="2:6">
      <c r="B543" t="s">
        <v>465</v>
      </c>
      <c r="F543">
        <v>2.08</v>
      </c>
    </row>
    <row r="544" spans="2:6">
      <c r="B544" t="s">
        <v>466</v>
      </c>
      <c r="F544">
        <v>2.6</v>
      </c>
    </row>
    <row r="545" spans="2:6">
      <c r="B545" t="s">
        <v>467</v>
      </c>
      <c r="F545">
        <v>0.62</v>
      </c>
    </row>
    <row r="546" spans="2:6">
      <c r="B546" t="s">
        <v>468</v>
      </c>
      <c r="F546">
        <v>1.52</v>
      </c>
    </row>
    <row r="547" spans="2:6">
      <c r="B547" t="s">
        <v>469</v>
      </c>
      <c r="F547">
        <v>2.9</v>
      </c>
    </row>
    <row r="548" spans="2:6">
      <c r="B548" t="s">
        <v>470</v>
      </c>
      <c r="F548">
        <v>2.35</v>
      </c>
    </row>
    <row r="549" spans="2:6">
      <c r="B549" t="s">
        <v>471</v>
      </c>
      <c r="F549">
        <v>2.82</v>
      </c>
    </row>
    <row r="550" spans="2:6">
      <c r="B550" t="s">
        <v>472</v>
      </c>
      <c r="F550">
        <v>1.5</v>
      </c>
    </row>
    <row r="551" spans="2:6">
      <c r="B551" t="s">
        <v>473</v>
      </c>
      <c r="F551">
        <v>1.49</v>
      </c>
    </row>
    <row r="552" spans="2:6">
      <c r="B552" t="s">
        <v>474</v>
      </c>
      <c r="F552">
        <v>1.49</v>
      </c>
    </row>
    <row r="553" spans="2:6">
      <c r="B553" t="s">
        <v>475</v>
      </c>
      <c r="F553">
        <v>1.5</v>
      </c>
    </row>
    <row r="554" spans="2:6">
      <c r="B554" t="s">
        <v>476</v>
      </c>
      <c r="F554">
        <v>1.49</v>
      </c>
    </row>
    <row r="555" spans="2:6">
      <c r="B555" t="s">
        <v>477</v>
      </c>
      <c r="F555">
        <v>1.49</v>
      </c>
    </row>
    <row r="556" spans="2:6">
      <c r="B556" t="s">
        <v>478</v>
      </c>
      <c r="F556">
        <v>1.79</v>
      </c>
    </row>
    <row r="557" spans="2:6">
      <c r="B557" t="s">
        <v>479</v>
      </c>
      <c r="F557">
        <v>2.29</v>
      </c>
    </row>
    <row r="558" spans="2:6">
      <c r="B558" t="s">
        <v>480</v>
      </c>
      <c r="F558">
        <v>1.66</v>
      </c>
    </row>
    <row r="559" spans="2:6">
      <c r="B559" t="s">
        <v>481</v>
      </c>
      <c r="F559">
        <v>1.4</v>
      </c>
    </row>
    <row r="560" spans="2:6">
      <c r="B560" t="s">
        <v>482</v>
      </c>
      <c r="F560">
        <v>1.59</v>
      </c>
    </row>
    <row r="561" spans="2:6">
      <c r="B561" t="s">
        <v>483</v>
      </c>
      <c r="F561">
        <v>1.2</v>
      </c>
    </row>
    <row r="562" spans="2:6">
      <c r="B562" t="s">
        <v>484</v>
      </c>
      <c r="F562">
        <v>1.47</v>
      </c>
    </row>
    <row r="563" spans="2:6">
      <c r="B563" t="s">
        <v>485</v>
      </c>
      <c r="F563">
        <v>1.24</v>
      </c>
    </row>
    <row r="564" spans="2:6">
      <c r="B564" t="s">
        <v>137</v>
      </c>
      <c r="F564">
        <v>1.35</v>
      </c>
    </row>
    <row r="565" spans="2:6">
      <c r="B565" t="s">
        <v>486</v>
      </c>
      <c r="F565">
        <v>2.14</v>
      </c>
    </row>
    <row r="566" spans="2:6">
      <c r="B566" t="s">
        <v>487</v>
      </c>
      <c r="F566">
        <v>1.71</v>
      </c>
    </row>
    <row r="567" spans="2:6">
      <c r="B567" t="s">
        <v>488</v>
      </c>
      <c r="F567">
        <v>1.85</v>
      </c>
    </row>
    <row r="568" spans="2:6">
      <c r="B568" t="s">
        <v>489</v>
      </c>
      <c r="F568">
        <v>1.85</v>
      </c>
    </row>
    <row r="569" spans="2:6">
      <c r="B569" t="s">
        <v>490</v>
      </c>
      <c r="F569">
        <v>1.36</v>
      </c>
    </row>
    <row r="570" spans="2:6">
      <c r="B570" t="s">
        <v>491</v>
      </c>
      <c r="F570">
        <v>1.26</v>
      </c>
    </row>
    <row r="571" spans="2:6">
      <c r="B571" t="s">
        <v>492</v>
      </c>
      <c r="F571">
        <v>2</v>
      </c>
    </row>
    <row r="572" spans="2:6">
      <c r="B572" t="s">
        <v>493</v>
      </c>
      <c r="F572">
        <v>2</v>
      </c>
    </row>
    <row r="573" spans="2:6">
      <c r="B573" t="s">
        <v>494</v>
      </c>
      <c r="F573">
        <v>1.82</v>
      </c>
    </row>
    <row r="574" spans="2:6">
      <c r="B574" t="s">
        <v>495</v>
      </c>
      <c r="F574">
        <v>1.51</v>
      </c>
    </row>
    <row r="575" spans="2:6">
      <c r="B575" t="s">
        <v>496</v>
      </c>
      <c r="F575">
        <v>1.29</v>
      </c>
    </row>
    <row r="576" spans="2:6">
      <c r="B576" t="s">
        <v>497</v>
      </c>
      <c r="F576">
        <v>1.27</v>
      </c>
    </row>
    <row r="577" spans="2:6">
      <c r="B577" t="s">
        <v>498</v>
      </c>
      <c r="F577">
        <v>1.28</v>
      </c>
    </row>
    <row r="578" spans="2:6">
      <c r="B578" t="s">
        <v>499</v>
      </c>
      <c r="F578">
        <v>1.32</v>
      </c>
    </row>
    <row r="579" spans="2:6">
      <c r="B579" t="s">
        <v>500</v>
      </c>
      <c r="F579">
        <v>1.55</v>
      </c>
    </row>
    <row r="580" spans="2:6">
      <c r="B580" t="s">
        <v>501</v>
      </c>
      <c r="F580">
        <v>1.36</v>
      </c>
    </row>
    <row r="581" spans="2:6">
      <c r="B581" t="s">
        <v>502</v>
      </c>
      <c r="F581">
        <v>1.46</v>
      </c>
    </row>
    <row r="582" spans="2:6">
      <c r="B582" t="s">
        <v>503</v>
      </c>
      <c r="F582">
        <v>1.74</v>
      </c>
    </row>
    <row r="583" spans="2:6">
      <c r="B583" t="s">
        <v>504</v>
      </c>
      <c r="F583">
        <v>2.5099999999999998</v>
      </c>
    </row>
    <row r="584" spans="2:6">
      <c r="B584" t="s">
        <v>505</v>
      </c>
      <c r="F584">
        <v>1.43</v>
      </c>
    </row>
    <row r="585" spans="2:6">
      <c r="B585" t="s">
        <v>506</v>
      </c>
      <c r="F585">
        <v>2.86</v>
      </c>
    </row>
    <row r="586" spans="2:6">
      <c r="B586" t="s">
        <v>507</v>
      </c>
      <c r="F586">
        <v>1.85</v>
      </c>
    </row>
    <row r="587" spans="2:6">
      <c r="B587" t="s">
        <v>508</v>
      </c>
      <c r="F587">
        <v>2.79</v>
      </c>
    </row>
    <row r="588" spans="2:6">
      <c r="B588" t="s">
        <v>509</v>
      </c>
      <c r="F588">
        <v>3.09</v>
      </c>
    </row>
    <row r="589" spans="2:6">
      <c r="B589" t="s">
        <v>510</v>
      </c>
      <c r="F589">
        <v>2.04</v>
      </c>
    </row>
    <row r="590" spans="2:6">
      <c r="B590" t="s">
        <v>511</v>
      </c>
      <c r="F590">
        <v>1.0900000000000001</v>
      </c>
    </row>
    <row r="591" spans="2:6">
      <c r="B591" t="s">
        <v>512</v>
      </c>
      <c r="F591">
        <v>1.36</v>
      </c>
    </row>
    <row r="592" spans="2:6">
      <c r="B592" t="s">
        <v>513</v>
      </c>
      <c r="F592">
        <v>1.17</v>
      </c>
    </row>
    <row r="593" spans="2:6">
      <c r="B593" t="s">
        <v>60</v>
      </c>
      <c r="F593">
        <v>1.32</v>
      </c>
    </row>
    <row r="594" spans="2:6">
      <c r="B594" t="s">
        <v>387</v>
      </c>
      <c r="F594">
        <v>1.49</v>
      </c>
    </row>
    <row r="595" spans="2:6">
      <c r="B595" t="s">
        <v>514</v>
      </c>
      <c r="F595">
        <v>2</v>
      </c>
    </row>
    <row r="596" spans="2:6">
      <c r="B596" t="s">
        <v>515</v>
      </c>
      <c r="F596">
        <v>1.24</v>
      </c>
    </row>
    <row r="597" spans="2:6">
      <c r="B597" t="s">
        <v>516</v>
      </c>
      <c r="F597">
        <v>1.75</v>
      </c>
    </row>
    <row r="598" spans="2:6">
      <c r="B598" t="s">
        <v>517</v>
      </c>
      <c r="F598">
        <v>2.74</v>
      </c>
    </row>
    <row r="599" spans="2:6">
      <c r="B599" t="s">
        <v>518</v>
      </c>
      <c r="F599">
        <v>2.87</v>
      </c>
    </row>
    <row r="600" spans="2:6">
      <c r="B600" t="s">
        <v>519</v>
      </c>
      <c r="F600">
        <v>2.2599999999999998</v>
      </c>
    </row>
    <row r="601" spans="2:6">
      <c r="B601" t="s">
        <v>520</v>
      </c>
      <c r="F601">
        <v>1.26</v>
      </c>
    </row>
    <row r="602" spans="2:6">
      <c r="B602" t="s">
        <v>521</v>
      </c>
      <c r="F602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2026-03-10T09:37:37Z</dcterms:modified>
</cp:coreProperties>
</file>